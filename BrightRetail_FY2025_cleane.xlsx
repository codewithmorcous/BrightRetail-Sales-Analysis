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6E\EXCELCNV\fe094deb-45b5-4271-885e-97a0f5c3cd78\"/>
    </mc:Choice>
  </mc:AlternateContent>
  <xr:revisionPtr revIDLastSave="0" documentId="8_{D9590327-E961-48C0-8BF5-40E01C9DFE17}" xr6:coauthVersionLast="47" xr6:coauthVersionMax="47" xr10:uidLastSave="{00000000-0000-0000-0000-000000000000}"/>
  <bookViews>
    <workbookView xWindow="-60" yWindow="-60" windowWidth="15480" windowHeight="11640" xr2:uid="{B38C6BAD-CF9B-4751-8E7A-D626998F3C6C}"/>
  </bookViews>
  <sheets>
    <sheet name="Main" sheetId="1" r:id="rId1"/>
    <sheet name="KPI" sheetId="3" r:id="rId2"/>
    <sheet name="Charts" sheetId="4" r:id="rId3"/>
    <sheet name="Pivot_Table" sheetId="2" r:id="rId4"/>
  </sheets>
  <calcPr calcId="191028"/>
  <pivotCaches>
    <pivotCache cacheId="659" r:id="rId5"/>
    <pivotCache cacheId="66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9" i="3"/>
  <c r="B4" i="3"/>
  <c r="B3" i="3"/>
  <c r="B6" i="3" s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N2" i="1" s="1"/>
  <c r="N4" i="1" l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1001" i="1"/>
  <c r="O1001" i="1" s="1"/>
  <c r="N1002" i="1"/>
  <c r="O1002" i="1" s="1"/>
  <c r="N1003" i="1"/>
  <c r="O1003" i="1" s="1"/>
  <c r="N1004" i="1"/>
  <c r="O1004" i="1" s="1"/>
  <c r="N1005" i="1"/>
  <c r="O1005" i="1" s="1"/>
  <c r="N1006" i="1"/>
  <c r="O1006" i="1" s="1"/>
  <c r="N1007" i="1"/>
  <c r="O1007" i="1" s="1"/>
  <c r="N1008" i="1"/>
  <c r="O1008" i="1" s="1"/>
  <c r="N1009" i="1"/>
  <c r="O1009" i="1" s="1"/>
  <c r="N1010" i="1"/>
  <c r="O1010" i="1" s="1"/>
  <c r="N1011" i="1"/>
  <c r="O1011" i="1" s="1"/>
  <c r="N1012" i="1"/>
  <c r="O1012" i="1" s="1"/>
  <c r="N1013" i="1"/>
  <c r="O1013" i="1" s="1"/>
  <c r="N1014" i="1"/>
  <c r="O1014" i="1" s="1"/>
  <c r="N1015" i="1"/>
  <c r="O1015" i="1" s="1"/>
  <c r="N1016" i="1"/>
  <c r="O1016" i="1" s="1"/>
  <c r="N1017" i="1"/>
  <c r="O1017" i="1" s="1"/>
  <c r="N1018" i="1"/>
  <c r="O1018" i="1" s="1"/>
  <c r="N1019" i="1"/>
  <c r="O1019" i="1" s="1"/>
  <c r="N1020" i="1"/>
  <c r="O1020" i="1" s="1"/>
  <c r="N1021" i="1"/>
  <c r="O1021" i="1" s="1"/>
  <c r="N1022" i="1"/>
  <c r="O1022" i="1" s="1"/>
  <c r="N1023" i="1"/>
  <c r="O1023" i="1" s="1"/>
  <c r="N1024" i="1"/>
  <c r="O1024" i="1" s="1"/>
  <c r="N1025" i="1"/>
  <c r="O1025" i="1" s="1"/>
  <c r="N1026" i="1"/>
  <c r="O1026" i="1" s="1"/>
  <c r="N1027" i="1"/>
  <c r="O1027" i="1" s="1"/>
  <c r="N1028" i="1"/>
  <c r="O1028" i="1" s="1"/>
  <c r="N1029" i="1"/>
  <c r="O1029" i="1" s="1"/>
  <c r="N1030" i="1"/>
  <c r="O1030" i="1" s="1"/>
  <c r="N1031" i="1"/>
  <c r="O1031" i="1" s="1"/>
  <c r="N1032" i="1"/>
  <c r="O1032" i="1" s="1"/>
  <c r="N1033" i="1"/>
  <c r="O1033" i="1" s="1"/>
  <c r="N1034" i="1"/>
  <c r="O1034" i="1" s="1"/>
  <c r="N1035" i="1"/>
  <c r="O1035" i="1" s="1"/>
  <c r="N1036" i="1"/>
  <c r="O1036" i="1" s="1"/>
  <c r="N1037" i="1"/>
  <c r="O1037" i="1" s="1"/>
  <c r="N1038" i="1"/>
  <c r="O1038" i="1" s="1"/>
  <c r="N1039" i="1"/>
  <c r="O1039" i="1" s="1"/>
  <c r="N1040" i="1"/>
  <c r="O1040" i="1" s="1"/>
  <c r="N1041" i="1"/>
  <c r="O1041" i="1" s="1"/>
  <c r="N1042" i="1"/>
  <c r="O1042" i="1" s="1"/>
  <c r="N1043" i="1"/>
  <c r="O1043" i="1" s="1"/>
  <c r="N1044" i="1"/>
  <c r="O1044" i="1" s="1"/>
  <c r="N1045" i="1"/>
  <c r="O1045" i="1" s="1"/>
  <c r="N1046" i="1"/>
  <c r="O1046" i="1" s="1"/>
  <c r="N1047" i="1"/>
  <c r="O1047" i="1" s="1"/>
  <c r="N1048" i="1"/>
  <c r="O1048" i="1" s="1"/>
  <c r="N1049" i="1"/>
  <c r="O1049" i="1" s="1"/>
  <c r="N1050" i="1"/>
  <c r="O1050" i="1" s="1"/>
  <c r="N1051" i="1"/>
  <c r="O1051" i="1" s="1"/>
  <c r="N1052" i="1"/>
  <c r="O1052" i="1" s="1"/>
  <c r="N1053" i="1"/>
  <c r="O1053" i="1" s="1"/>
  <c r="N1054" i="1"/>
  <c r="O1054" i="1" s="1"/>
  <c r="N1055" i="1"/>
  <c r="O1055" i="1" s="1"/>
  <c r="N1056" i="1"/>
  <c r="O1056" i="1" s="1"/>
  <c r="N1057" i="1"/>
  <c r="O1057" i="1" s="1"/>
  <c r="N1058" i="1"/>
  <c r="O1058" i="1" s="1"/>
  <c r="N1059" i="1"/>
  <c r="O1059" i="1" s="1"/>
  <c r="N1060" i="1"/>
  <c r="O1060" i="1" s="1"/>
  <c r="N1061" i="1"/>
  <c r="O1061" i="1" s="1"/>
  <c r="N1062" i="1"/>
  <c r="O1062" i="1" s="1"/>
  <c r="N1063" i="1"/>
  <c r="O1063" i="1" s="1"/>
  <c r="N1064" i="1"/>
  <c r="O1064" i="1" s="1"/>
  <c r="N1065" i="1"/>
  <c r="O1065" i="1" s="1"/>
  <c r="N1066" i="1"/>
  <c r="O1066" i="1" s="1"/>
  <c r="N1067" i="1"/>
  <c r="O1067" i="1" s="1"/>
  <c r="N1068" i="1"/>
  <c r="O1068" i="1" s="1"/>
  <c r="N1069" i="1"/>
  <c r="O1069" i="1" s="1"/>
  <c r="N1070" i="1"/>
  <c r="O1070" i="1" s="1"/>
  <c r="N1071" i="1"/>
  <c r="O1071" i="1" s="1"/>
  <c r="N1072" i="1"/>
  <c r="O1072" i="1" s="1"/>
  <c r="N1073" i="1"/>
  <c r="O1073" i="1" s="1"/>
  <c r="N1074" i="1"/>
  <c r="O1074" i="1" s="1"/>
  <c r="N1075" i="1"/>
  <c r="O1075" i="1" s="1"/>
  <c r="N1076" i="1"/>
  <c r="O1076" i="1" s="1"/>
  <c r="N1077" i="1"/>
  <c r="O1077" i="1" s="1"/>
  <c r="N1078" i="1"/>
  <c r="O1078" i="1" s="1"/>
  <c r="N1079" i="1"/>
  <c r="O1079" i="1" s="1"/>
  <c r="N1080" i="1"/>
  <c r="O1080" i="1" s="1"/>
  <c r="N1081" i="1"/>
  <c r="O1081" i="1" s="1"/>
  <c r="N1082" i="1"/>
  <c r="O1082" i="1" s="1"/>
  <c r="N1083" i="1"/>
  <c r="O1083" i="1" s="1"/>
  <c r="N1084" i="1"/>
  <c r="O1084" i="1" s="1"/>
  <c r="N1085" i="1"/>
  <c r="O1085" i="1" s="1"/>
  <c r="N1086" i="1"/>
  <c r="O1086" i="1" s="1"/>
  <c r="N1087" i="1"/>
  <c r="O1087" i="1" s="1"/>
  <c r="N1088" i="1"/>
  <c r="O1088" i="1" s="1"/>
  <c r="N1089" i="1"/>
  <c r="O1089" i="1" s="1"/>
  <c r="N1090" i="1"/>
  <c r="O1090" i="1" s="1"/>
  <c r="N1091" i="1"/>
  <c r="O1091" i="1" s="1"/>
  <c r="N1092" i="1"/>
  <c r="O1092" i="1" s="1"/>
  <c r="N1093" i="1"/>
  <c r="O1093" i="1" s="1"/>
  <c r="N1094" i="1"/>
  <c r="O1094" i="1" s="1"/>
  <c r="N1095" i="1"/>
  <c r="O1095" i="1" s="1"/>
  <c r="N1096" i="1"/>
  <c r="O1096" i="1" s="1"/>
  <c r="N1097" i="1"/>
  <c r="O1097" i="1" s="1"/>
  <c r="N1098" i="1"/>
  <c r="O1098" i="1" s="1"/>
  <c r="N1099" i="1"/>
  <c r="O1099" i="1" s="1"/>
  <c r="N1100" i="1"/>
  <c r="O1100" i="1" s="1"/>
  <c r="N1101" i="1"/>
  <c r="O1101" i="1" s="1"/>
  <c r="N1102" i="1"/>
  <c r="O1102" i="1" s="1"/>
  <c r="N1103" i="1"/>
  <c r="O1103" i="1" s="1"/>
  <c r="N1104" i="1"/>
  <c r="O1104" i="1" s="1"/>
  <c r="N1105" i="1"/>
  <c r="O1105" i="1" s="1"/>
  <c r="N1106" i="1"/>
  <c r="O1106" i="1" s="1"/>
  <c r="N1107" i="1"/>
  <c r="O1107" i="1" s="1"/>
  <c r="N1108" i="1"/>
  <c r="O1108" i="1" s="1"/>
  <c r="N1109" i="1"/>
  <c r="O1109" i="1" s="1"/>
  <c r="N1110" i="1"/>
  <c r="O1110" i="1" s="1"/>
  <c r="N1111" i="1"/>
  <c r="O1111" i="1" s="1"/>
  <c r="N1112" i="1"/>
  <c r="O1112" i="1" s="1"/>
  <c r="N1113" i="1"/>
  <c r="O1113" i="1" s="1"/>
  <c r="N1114" i="1"/>
  <c r="O1114" i="1" s="1"/>
  <c r="N1115" i="1"/>
  <c r="O1115" i="1" s="1"/>
  <c r="N1116" i="1"/>
  <c r="O1116" i="1" s="1"/>
  <c r="N1117" i="1"/>
  <c r="O1117" i="1" s="1"/>
  <c r="N1118" i="1"/>
  <c r="O1118" i="1" s="1"/>
  <c r="N1119" i="1"/>
  <c r="O1119" i="1" s="1"/>
  <c r="N1120" i="1"/>
  <c r="O1120" i="1" s="1"/>
  <c r="N1121" i="1"/>
  <c r="O1121" i="1" s="1"/>
  <c r="N1122" i="1"/>
  <c r="O1122" i="1" s="1"/>
  <c r="N1123" i="1"/>
  <c r="O1123" i="1" s="1"/>
  <c r="N1124" i="1"/>
  <c r="O1124" i="1" s="1"/>
  <c r="N1125" i="1"/>
  <c r="O1125" i="1" s="1"/>
  <c r="N1126" i="1"/>
  <c r="O1126" i="1" s="1"/>
  <c r="N1127" i="1"/>
  <c r="O1127" i="1" s="1"/>
  <c r="N1128" i="1"/>
  <c r="O1128" i="1" s="1"/>
  <c r="N1129" i="1"/>
  <c r="O1129" i="1" s="1"/>
  <c r="N1130" i="1"/>
  <c r="O1130" i="1" s="1"/>
  <c r="N1131" i="1"/>
  <c r="O1131" i="1" s="1"/>
  <c r="N1132" i="1"/>
  <c r="O1132" i="1" s="1"/>
  <c r="N1133" i="1"/>
  <c r="O1133" i="1" s="1"/>
  <c r="N1134" i="1"/>
  <c r="O1134" i="1" s="1"/>
  <c r="N1135" i="1"/>
  <c r="O1135" i="1" s="1"/>
  <c r="N1136" i="1"/>
  <c r="O1136" i="1" s="1"/>
  <c r="N1137" i="1"/>
  <c r="O1137" i="1" s="1"/>
  <c r="N1138" i="1"/>
  <c r="O1138" i="1" s="1"/>
  <c r="N1139" i="1"/>
  <c r="O1139" i="1" s="1"/>
  <c r="N1140" i="1"/>
  <c r="O1140" i="1" s="1"/>
  <c r="N1141" i="1"/>
  <c r="O1141" i="1" s="1"/>
  <c r="N1142" i="1"/>
  <c r="O1142" i="1" s="1"/>
  <c r="N1143" i="1"/>
  <c r="O1143" i="1" s="1"/>
  <c r="N1144" i="1"/>
  <c r="O1144" i="1" s="1"/>
  <c r="N1145" i="1"/>
  <c r="O1145" i="1" s="1"/>
  <c r="N1146" i="1"/>
  <c r="O1146" i="1" s="1"/>
  <c r="N1147" i="1"/>
  <c r="O1147" i="1" s="1"/>
  <c r="N1148" i="1"/>
  <c r="O1148" i="1" s="1"/>
  <c r="N1149" i="1"/>
  <c r="O1149" i="1" s="1"/>
  <c r="N1150" i="1"/>
  <c r="O1150" i="1" s="1"/>
  <c r="N1151" i="1"/>
  <c r="O1151" i="1" s="1"/>
  <c r="N1152" i="1"/>
  <c r="O1152" i="1" s="1"/>
  <c r="N1153" i="1"/>
  <c r="O1153" i="1" s="1"/>
  <c r="N1154" i="1"/>
  <c r="O1154" i="1" s="1"/>
  <c r="N1155" i="1"/>
  <c r="O1155" i="1" s="1"/>
  <c r="N1156" i="1"/>
  <c r="O1156" i="1" s="1"/>
  <c r="N1157" i="1"/>
  <c r="O1157" i="1" s="1"/>
  <c r="N1158" i="1"/>
  <c r="O1158" i="1" s="1"/>
  <c r="N1159" i="1"/>
  <c r="O1159" i="1" s="1"/>
  <c r="N1160" i="1"/>
  <c r="O1160" i="1" s="1"/>
  <c r="N1161" i="1"/>
  <c r="O1161" i="1" s="1"/>
  <c r="N1162" i="1"/>
  <c r="O1162" i="1" s="1"/>
  <c r="N1163" i="1"/>
  <c r="O1163" i="1" s="1"/>
  <c r="N1164" i="1"/>
  <c r="O1164" i="1" s="1"/>
  <c r="N1165" i="1"/>
  <c r="O1165" i="1" s="1"/>
  <c r="N1166" i="1"/>
  <c r="O1166" i="1" s="1"/>
  <c r="N1167" i="1"/>
  <c r="O1167" i="1" s="1"/>
  <c r="N1168" i="1"/>
  <c r="O1168" i="1" s="1"/>
  <c r="N1169" i="1"/>
  <c r="O1169" i="1" s="1"/>
  <c r="N1170" i="1"/>
  <c r="O1170" i="1" s="1"/>
  <c r="N1171" i="1"/>
  <c r="O1171" i="1" s="1"/>
  <c r="N1172" i="1"/>
  <c r="O1172" i="1" s="1"/>
  <c r="N1173" i="1"/>
  <c r="O1173" i="1" s="1"/>
  <c r="N1174" i="1"/>
  <c r="O1174" i="1" s="1"/>
  <c r="N1175" i="1"/>
  <c r="O1175" i="1" s="1"/>
  <c r="N1176" i="1"/>
  <c r="O1176" i="1" s="1"/>
  <c r="N1177" i="1"/>
  <c r="O1177" i="1" s="1"/>
  <c r="N1178" i="1"/>
  <c r="O1178" i="1" s="1"/>
  <c r="N1179" i="1"/>
  <c r="O1179" i="1" s="1"/>
  <c r="N1180" i="1"/>
  <c r="O1180" i="1" s="1"/>
  <c r="N1181" i="1"/>
  <c r="O1181" i="1" s="1"/>
  <c r="N1182" i="1"/>
  <c r="O1182" i="1" s="1"/>
  <c r="N1183" i="1"/>
  <c r="O1183" i="1" s="1"/>
  <c r="N1184" i="1"/>
  <c r="O1184" i="1" s="1"/>
  <c r="N1185" i="1"/>
  <c r="O1185" i="1" s="1"/>
  <c r="N1186" i="1"/>
  <c r="O1186" i="1" s="1"/>
  <c r="N1187" i="1"/>
  <c r="O1187" i="1" s="1"/>
  <c r="N1188" i="1"/>
  <c r="O1188" i="1" s="1"/>
  <c r="N1189" i="1"/>
  <c r="O1189" i="1" s="1"/>
  <c r="N1190" i="1"/>
  <c r="O1190" i="1" s="1"/>
  <c r="N1191" i="1"/>
  <c r="O1191" i="1" s="1"/>
  <c r="N1192" i="1"/>
  <c r="O1192" i="1" s="1"/>
  <c r="N1193" i="1"/>
  <c r="O1193" i="1" s="1"/>
  <c r="N1194" i="1"/>
  <c r="O1194" i="1" s="1"/>
  <c r="N1195" i="1"/>
  <c r="O1195" i="1" s="1"/>
  <c r="N1196" i="1"/>
  <c r="O1196" i="1" s="1"/>
  <c r="N1197" i="1"/>
  <c r="O1197" i="1" s="1"/>
  <c r="N1198" i="1"/>
  <c r="O1198" i="1" s="1"/>
  <c r="N1199" i="1"/>
  <c r="O1199" i="1" s="1"/>
  <c r="N1200" i="1"/>
  <c r="O1200" i="1" s="1"/>
  <c r="N1201" i="1"/>
  <c r="O1201" i="1" s="1"/>
  <c r="N1202" i="1"/>
  <c r="O1202" i="1" s="1"/>
  <c r="N1203" i="1"/>
  <c r="O1203" i="1" s="1"/>
  <c r="N1204" i="1"/>
  <c r="O1204" i="1" s="1"/>
  <c r="N1205" i="1"/>
  <c r="O1205" i="1" s="1"/>
  <c r="N1206" i="1"/>
  <c r="O1206" i="1" s="1"/>
  <c r="N1207" i="1"/>
  <c r="O1207" i="1" s="1"/>
  <c r="N1208" i="1"/>
  <c r="O1208" i="1" s="1"/>
  <c r="N1209" i="1"/>
  <c r="O1209" i="1" s="1"/>
  <c r="N1210" i="1"/>
  <c r="O1210" i="1" s="1"/>
  <c r="N1211" i="1"/>
  <c r="O1211" i="1" s="1"/>
  <c r="N1212" i="1"/>
  <c r="O1212" i="1" s="1"/>
  <c r="N1213" i="1"/>
  <c r="O1213" i="1" s="1"/>
  <c r="N1214" i="1"/>
  <c r="O1214" i="1" s="1"/>
  <c r="N1215" i="1"/>
  <c r="O1215" i="1" s="1"/>
  <c r="N1216" i="1"/>
  <c r="O1216" i="1" s="1"/>
  <c r="N1217" i="1"/>
  <c r="O1217" i="1" s="1"/>
  <c r="N1218" i="1"/>
  <c r="O1218" i="1" s="1"/>
  <c r="N1219" i="1"/>
  <c r="O1219" i="1" s="1"/>
  <c r="N1220" i="1"/>
  <c r="O1220" i="1" s="1"/>
  <c r="N1221" i="1"/>
  <c r="O1221" i="1" s="1"/>
  <c r="N1222" i="1"/>
  <c r="O1222" i="1" s="1"/>
  <c r="N1223" i="1"/>
  <c r="O1223" i="1" s="1"/>
  <c r="N1224" i="1"/>
  <c r="O1224" i="1" s="1"/>
  <c r="N1225" i="1"/>
  <c r="O1225" i="1" s="1"/>
  <c r="N1226" i="1"/>
  <c r="O1226" i="1" s="1"/>
  <c r="N1227" i="1"/>
  <c r="O1227" i="1" s="1"/>
  <c r="N1228" i="1"/>
  <c r="O1228" i="1" s="1"/>
  <c r="N1229" i="1"/>
  <c r="O1229" i="1" s="1"/>
  <c r="N1230" i="1"/>
  <c r="O1230" i="1" s="1"/>
  <c r="N1231" i="1"/>
  <c r="O1231" i="1" s="1"/>
  <c r="N1232" i="1"/>
  <c r="O1232" i="1" s="1"/>
  <c r="N1233" i="1"/>
  <c r="O1233" i="1" s="1"/>
  <c r="N1234" i="1"/>
  <c r="O1234" i="1" s="1"/>
  <c r="N1235" i="1"/>
  <c r="O1235" i="1" s="1"/>
  <c r="N1236" i="1"/>
  <c r="O1236" i="1" s="1"/>
  <c r="N1237" i="1"/>
  <c r="O1237" i="1" s="1"/>
  <c r="N1238" i="1"/>
  <c r="O1238" i="1" s="1"/>
  <c r="N1239" i="1"/>
  <c r="O1239" i="1" s="1"/>
  <c r="N1240" i="1"/>
  <c r="O1240" i="1" s="1"/>
  <c r="N1241" i="1"/>
  <c r="O1241" i="1" s="1"/>
  <c r="N1242" i="1"/>
  <c r="O1242" i="1" s="1"/>
  <c r="N1243" i="1"/>
  <c r="O1243" i="1" s="1"/>
  <c r="N1244" i="1"/>
  <c r="O1244" i="1" s="1"/>
  <c r="N1245" i="1"/>
  <c r="O1245" i="1" s="1"/>
  <c r="N1246" i="1"/>
  <c r="O1246" i="1" s="1"/>
  <c r="N1247" i="1"/>
  <c r="O1247" i="1" s="1"/>
  <c r="N1248" i="1"/>
  <c r="O1248" i="1" s="1"/>
  <c r="N1249" i="1"/>
  <c r="O1249" i="1" s="1"/>
  <c r="N1250" i="1"/>
  <c r="O1250" i="1" s="1"/>
  <c r="N1251" i="1"/>
  <c r="O1251" i="1" s="1"/>
  <c r="N1252" i="1"/>
  <c r="O1252" i="1" s="1"/>
  <c r="N1253" i="1"/>
  <c r="O1253" i="1" s="1"/>
  <c r="N1254" i="1"/>
  <c r="O1254" i="1" s="1"/>
  <c r="N1255" i="1"/>
  <c r="O1255" i="1" s="1"/>
  <c r="N1256" i="1"/>
  <c r="O1256" i="1" s="1"/>
  <c r="N1257" i="1"/>
  <c r="O1257" i="1" s="1"/>
  <c r="N1258" i="1"/>
  <c r="O1258" i="1" s="1"/>
  <c r="N1259" i="1"/>
  <c r="O1259" i="1" s="1"/>
  <c r="N1260" i="1"/>
  <c r="O1260" i="1" s="1"/>
  <c r="N1261" i="1"/>
  <c r="O1261" i="1" s="1"/>
  <c r="N1262" i="1"/>
  <c r="O1262" i="1" s="1"/>
  <c r="N1263" i="1"/>
  <c r="O1263" i="1" s="1"/>
  <c r="N1264" i="1"/>
  <c r="O1264" i="1" s="1"/>
  <c r="N1265" i="1"/>
  <c r="O1265" i="1" s="1"/>
  <c r="N1266" i="1"/>
  <c r="O1266" i="1" s="1"/>
  <c r="N1267" i="1"/>
  <c r="O1267" i="1" s="1"/>
  <c r="N1268" i="1"/>
  <c r="O1268" i="1" s="1"/>
  <c r="N1269" i="1"/>
  <c r="O1269" i="1" s="1"/>
  <c r="N1270" i="1"/>
  <c r="O1270" i="1" s="1"/>
  <c r="N1271" i="1"/>
  <c r="O1271" i="1" s="1"/>
  <c r="N1272" i="1"/>
  <c r="O1272" i="1" s="1"/>
  <c r="N1273" i="1"/>
  <c r="O1273" i="1" s="1"/>
  <c r="N1274" i="1"/>
  <c r="O1274" i="1" s="1"/>
  <c r="N1275" i="1"/>
  <c r="O1275" i="1" s="1"/>
  <c r="N1276" i="1"/>
  <c r="O1276" i="1" s="1"/>
  <c r="N1277" i="1"/>
  <c r="O1277" i="1" s="1"/>
  <c r="N1278" i="1"/>
  <c r="O1278" i="1" s="1"/>
  <c r="N1279" i="1"/>
  <c r="O1279" i="1" s="1"/>
  <c r="N1280" i="1"/>
  <c r="O1280" i="1" s="1"/>
  <c r="N1281" i="1"/>
  <c r="O1281" i="1" s="1"/>
  <c r="N1282" i="1"/>
  <c r="O1282" i="1" s="1"/>
  <c r="N1283" i="1"/>
  <c r="O1283" i="1" s="1"/>
  <c r="N1284" i="1"/>
  <c r="O1284" i="1" s="1"/>
  <c r="N1285" i="1"/>
  <c r="O1285" i="1" s="1"/>
  <c r="N1286" i="1"/>
  <c r="O1286" i="1" s="1"/>
  <c r="N1287" i="1"/>
  <c r="O1287" i="1" s="1"/>
  <c r="N1288" i="1"/>
  <c r="O1288" i="1" s="1"/>
  <c r="N1289" i="1"/>
  <c r="O1289" i="1" s="1"/>
  <c r="N1290" i="1"/>
  <c r="O1290" i="1" s="1"/>
  <c r="N1291" i="1"/>
  <c r="O1291" i="1" s="1"/>
  <c r="N1292" i="1"/>
  <c r="O1292" i="1" s="1"/>
  <c r="N1293" i="1"/>
  <c r="O1293" i="1" s="1"/>
  <c r="N1294" i="1"/>
  <c r="O1294" i="1" s="1"/>
  <c r="N1295" i="1"/>
  <c r="O1295" i="1" s="1"/>
  <c r="N1296" i="1"/>
  <c r="O1296" i="1" s="1"/>
  <c r="N1297" i="1"/>
  <c r="O1297" i="1" s="1"/>
  <c r="N1298" i="1"/>
  <c r="O1298" i="1" s="1"/>
  <c r="N1299" i="1"/>
  <c r="O1299" i="1" s="1"/>
  <c r="N1300" i="1"/>
  <c r="O1300" i="1" s="1"/>
  <c r="N1301" i="1"/>
  <c r="O1301" i="1" s="1"/>
  <c r="N1302" i="1"/>
  <c r="O1302" i="1" s="1"/>
  <c r="N1303" i="1"/>
  <c r="O1303" i="1" s="1"/>
  <c r="N1304" i="1"/>
  <c r="O1304" i="1" s="1"/>
  <c r="N1305" i="1"/>
  <c r="O1305" i="1" s="1"/>
  <c r="N1306" i="1"/>
  <c r="O1306" i="1" s="1"/>
  <c r="N1307" i="1"/>
  <c r="O1307" i="1" s="1"/>
  <c r="N1308" i="1"/>
  <c r="O1308" i="1" s="1"/>
  <c r="N1309" i="1"/>
  <c r="O1309" i="1" s="1"/>
  <c r="N1310" i="1"/>
  <c r="O1310" i="1" s="1"/>
  <c r="N1311" i="1"/>
  <c r="O1311" i="1" s="1"/>
  <c r="N1312" i="1"/>
  <c r="O1312" i="1" s="1"/>
  <c r="N1313" i="1"/>
  <c r="O1313" i="1" s="1"/>
  <c r="N1314" i="1"/>
  <c r="O1314" i="1" s="1"/>
  <c r="N1315" i="1"/>
  <c r="O1315" i="1" s="1"/>
  <c r="N1316" i="1"/>
  <c r="O1316" i="1" s="1"/>
  <c r="N1317" i="1"/>
  <c r="O1317" i="1" s="1"/>
  <c r="N1318" i="1"/>
  <c r="O1318" i="1" s="1"/>
  <c r="N1319" i="1"/>
  <c r="O1319" i="1" s="1"/>
  <c r="N1320" i="1"/>
  <c r="O1320" i="1" s="1"/>
  <c r="N1321" i="1"/>
  <c r="O1321" i="1" s="1"/>
  <c r="N1322" i="1"/>
  <c r="O1322" i="1" s="1"/>
  <c r="N1323" i="1"/>
  <c r="O1323" i="1" s="1"/>
  <c r="N1324" i="1"/>
  <c r="O1324" i="1" s="1"/>
  <c r="N1325" i="1"/>
  <c r="O1325" i="1" s="1"/>
  <c r="N1326" i="1"/>
  <c r="O1326" i="1" s="1"/>
  <c r="N1327" i="1"/>
  <c r="O1327" i="1" s="1"/>
  <c r="N1328" i="1"/>
  <c r="O1328" i="1" s="1"/>
  <c r="N1329" i="1"/>
  <c r="O1329" i="1" s="1"/>
  <c r="N1330" i="1"/>
  <c r="O1330" i="1" s="1"/>
  <c r="N1331" i="1"/>
  <c r="O1331" i="1" s="1"/>
  <c r="N1332" i="1"/>
  <c r="O1332" i="1" s="1"/>
  <c r="N1333" i="1"/>
  <c r="O1333" i="1" s="1"/>
  <c r="N1334" i="1"/>
  <c r="O1334" i="1" s="1"/>
  <c r="N1335" i="1"/>
  <c r="O1335" i="1" s="1"/>
  <c r="N1336" i="1"/>
  <c r="O1336" i="1" s="1"/>
  <c r="N1337" i="1"/>
  <c r="O1337" i="1" s="1"/>
  <c r="N1338" i="1"/>
  <c r="O1338" i="1" s="1"/>
  <c r="N1339" i="1"/>
  <c r="O1339" i="1" s="1"/>
  <c r="N1340" i="1"/>
  <c r="O1340" i="1" s="1"/>
  <c r="N1341" i="1"/>
  <c r="O1341" i="1" s="1"/>
  <c r="N1342" i="1"/>
  <c r="O1342" i="1" s="1"/>
  <c r="N1343" i="1"/>
  <c r="O1343" i="1" s="1"/>
  <c r="N1344" i="1"/>
  <c r="O1344" i="1" s="1"/>
  <c r="N1345" i="1"/>
  <c r="O1345" i="1" s="1"/>
  <c r="N1346" i="1"/>
  <c r="O1346" i="1" s="1"/>
  <c r="N1347" i="1"/>
  <c r="O1347" i="1" s="1"/>
  <c r="N1348" i="1"/>
  <c r="O1348" i="1" s="1"/>
  <c r="N1349" i="1"/>
  <c r="O1349" i="1" s="1"/>
  <c r="N1350" i="1"/>
  <c r="O1350" i="1" s="1"/>
  <c r="N1351" i="1"/>
  <c r="O1351" i="1" s="1"/>
  <c r="N1352" i="1"/>
  <c r="O1352" i="1" s="1"/>
  <c r="N1353" i="1"/>
  <c r="O1353" i="1" s="1"/>
  <c r="N1354" i="1"/>
  <c r="O1354" i="1" s="1"/>
  <c r="N1355" i="1"/>
  <c r="O1355" i="1" s="1"/>
  <c r="N1356" i="1"/>
  <c r="O1356" i="1" s="1"/>
  <c r="N1357" i="1"/>
  <c r="O1357" i="1" s="1"/>
  <c r="N1358" i="1"/>
  <c r="O1358" i="1" s="1"/>
  <c r="N1359" i="1"/>
  <c r="O1359" i="1" s="1"/>
  <c r="N1360" i="1"/>
  <c r="O1360" i="1" s="1"/>
  <c r="N1361" i="1"/>
  <c r="O1361" i="1" s="1"/>
  <c r="N1362" i="1"/>
  <c r="O1362" i="1" s="1"/>
  <c r="N1363" i="1"/>
  <c r="O1363" i="1" s="1"/>
  <c r="N1364" i="1"/>
  <c r="O1364" i="1" s="1"/>
  <c r="N1365" i="1"/>
  <c r="O1365" i="1" s="1"/>
  <c r="N1366" i="1"/>
  <c r="O1366" i="1" s="1"/>
  <c r="N1367" i="1"/>
  <c r="O1367" i="1" s="1"/>
  <c r="N1368" i="1"/>
  <c r="O1368" i="1" s="1"/>
  <c r="N1369" i="1"/>
  <c r="O1369" i="1" s="1"/>
  <c r="N1370" i="1"/>
  <c r="O1370" i="1" s="1"/>
  <c r="N1371" i="1"/>
  <c r="O1371" i="1" s="1"/>
  <c r="N1372" i="1"/>
  <c r="O1372" i="1" s="1"/>
  <c r="N1373" i="1"/>
  <c r="O1373" i="1" s="1"/>
  <c r="N1374" i="1"/>
  <c r="O1374" i="1" s="1"/>
  <c r="N1375" i="1"/>
  <c r="O1375" i="1" s="1"/>
  <c r="N1376" i="1"/>
  <c r="O1376" i="1" s="1"/>
  <c r="N1377" i="1"/>
  <c r="O1377" i="1" s="1"/>
  <c r="N1378" i="1"/>
  <c r="O1378" i="1" s="1"/>
  <c r="N1379" i="1"/>
  <c r="O1379" i="1" s="1"/>
  <c r="N1380" i="1"/>
  <c r="O1380" i="1" s="1"/>
  <c r="N1381" i="1"/>
  <c r="O1381" i="1" s="1"/>
  <c r="N1382" i="1"/>
  <c r="O1382" i="1" s="1"/>
  <c r="N1383" i="1"/>
  <c r="O1383" i="1" s="1"/>
  <c r="N1384" i="1"/>
  <c r="O1384" i="1" s="1"/>
  <c r="N1385" i="1"/>
  <c r="O1385" i="1" s="1"/>
  <c r="N1386" i="1"/>
  <c r="O1386" i="1" s="1"/>
  <c r="N1387" i="1"/>
  <c r="O1387" i="1" s="1"/>
  <c r="N1388" i="1"/>
  <c r="O1388" i="1" s="1"/>
  <c r="N1389" i="1"/>
  <c r="O1389" i="1" s="1"/>
  <c r="N1390" i="1"/>
  <c r="O1390" i="1" s="1"/>
  <c r="N1391" i="1"/>
  <c r="O1391" i="1" s="1"/>
  <c r="N1392" i="1"/>
  <c r="O1392" i="1" s="1"/>
  <c r="N1393" i="1"/>
  <c r="O1393" i="1" s="1"/>
  <c r="N1394" i="1"/>
  <c r="O1394" i="1" s="1"/>
  <c r="N1395" i="1"/>
  <c r="O1395" i="1" s="1"/>
  <c r="N1396" i="1"/>
  <c r="O1396" i="1" s="1"/>
  <c r="N1397" i="1"/>
  <c r="O1397" i="1" s="1"/>
  <c r="N1398" i="1"/>
  <c r="O1398" i="1" s="1"/>
  <c r="N1399" i="1"/>
  <c r="O1399" i="1" s="1"/>
  <c r="N1400" i="1"/>
  <c r="O1400" i="1" s="1"/>
  <c r="N1401" i="1"/>
  <c r="O1401" i="1" s="1"/>
  <c r="N1402" i="1"/>
  <c r="O1402" i="1" s="1"/>
  <c r="N1403" i="1"/>
  <c r="O1403" i="1" s="1"/>
  <c r="N1404" i="1"/>
  <c r="O1404" i="1" s="1"/>
  <c r="N1405" i="1"/>
  <c r="O1405" i="1" s="1"/>
  <c r="N1406" i="1"/>
  <c r="O1406" i="1" s="1"/>
  <c r="N1407" i="1"/>
  <c r="O1407" i="1" s="1"/>
  <c r="N1408" i="1"/>
  <c r="O1408" i="1" s="1"/>
  <c r="N1409" i="1"/>
  <c r="O1409" i="1" s="1"/>
  <c r="N1410" i="1"/>
  <c r="O1410" i="1" s="1"/>
  <c r="N1411" i="1"/>
  <c r="O1411" i="1" s="1"/>
  <c r="N1412" i="1"/>
  <c r="O1412" i="1" s="1"/>
  <c r="N1413" i="1"/>
  <c r="O1413" i="1" s="1"/>
  <c r="N1414" i="1"/>
  <c r="O1414" i="1" s="1"/>
  <c r="N1415" i="1"/>
  <c r="O1415" i="1" s="1"/>
  <c r="N1416" i="1"/>
  <c r="O1416" i="1" s="1"/>
  <c r="N1417" i="1"/>
  <c r="O1417" i="1" s="1"/>
  <c r="N1418" i="1"/>
  <c r="O1418" i="1" s="1"/>
  <c r="N1419" i="1"/>
  <c r="O1419" i="1" s="1"/>
  <c r="N1420" i="1"/>
  <c r="O1420" i="1" s="1"/>
  <c r="N1421" i="1"/>
  <c r="O1421" i="1" s="1"/>
  <c r="N1422" i="1"/>
  <c r="O1422" i="1" s="1"/>
  <c r="N1423" i="1"/>
  <c r="O1423" i="1" s="1"/>
  <c r="N1424" i="1"/>
  <c r="O1424" i="1" s="1"/>
  <c r="N1425" i="1"/>
  <c r="O1425" i="1" s="1"/>
  <c r="N1426" i="1"/>
  <c r="O1426" i="1" s="1"/>
  <c r="N1427" i="1"/>
  <c r="O1427" i="1" s="1"/>
  <c r="N1428" i="1"/>
  <c r="O1428" i="1" s="1"/>
  <c r="N1429" i="1"/>
  <c r="O1429" i="1" s="1"/>
  <c r="N1430" i="1"/>
  <c r="O1430" i="1" s="1"/>
  <c r="N1431" i="1"/>
  <c r="O1431" i="1" s="1"/>
  <c r="N1432" i="1"/>
  <c r="O1432" i="1" s="1"/>
  <c r="N1433" i="1"/>
  <c r="O1433" i="1" s="1"/>
  <c r="N1434" i="1"/>
  <c r="O1434" i="1" s="1"/>
  <c r="N1435" i="1"/>
  <c r="O1435" i="1" s="1"/>
  <c r="N1436" i="1"/>
  <c r="O1436" i="1" s="1"/>
  <c r="N1437" i="1"/>
  <c r="O1437" i="1" s="1"/>
  <c r="N1438" i="1"/>
  <c r="O1438" i="1" s="1"/>
  <c r="N1439" i="1"/>
  <c r="O1439" i="1" s="1"/>
  <c r="N1440" i="1"/>
  <c r="O1440" i="1" s="1"/>
  <c r="N1441" i="1"/>
  <c r="O1441" i="1" s="1"/>
  <c r="N1442" i="1"/>
  <c r="O1442" i="1" s="1"/>
  <c r="N1443" i="1"/>
  <c r="O1443" i="1" s="1"/>
  <c r="N1444" i="1"/>
  <c r="O1444" i="1" s="1"/>
  <c r="N1445" i="1"/>
  <c r="O1445" i="1" s="1"/>
  <c r="N1446" i="1"/>
  <c r="O1446" i="1" s="1"/>
  <c r="N1447" i="1"/>
  <c r="O1447" i="1" s="1"/>
  <c r="N1448" i="1"/>
  <c r="O1448" i="1" s="1"/>
  <c r="N1449" i="1"/>
  <c r="O1449" i="1" s="1"/>
  <c r="N1450" i="1"/>
  <c r="O1450" i="1" s="1"/>
  <c r="N1451" i="1"/>
  <c r="O1451" i="1" s="1"/>
  <c r="N1452" i="1"/>
  <c r="O1452" i="1" s="1"/>
  <c r="N1453" i="1"/>
  <c r="O1453" i="1" s="1"/>
  <c r="N1454" i="1"/>
  <c r="O1454" i="1" s="1"/>
  <c r="N1455" i="1"/>
  <c r="O1455" i="1" s="1"/>
  <c r="N1456" i="1"/>
  <c r="O1456" i="1" s="1"/>
  <c r="N1457" i="1"/>
  <c r="O1457" i="1" s="1"/>
  <c r="N1458" i="1"/>
  <c r="O1458" i="1" s="1"/>
  <c r="N1459" i="1"/>
  <c r="O1459" i="1" s="1"/>
  <c r="N1460" i="1"/>
  <c r="O1460" i="1" s="1"/>
  <c r="N1461" i="1"/>
  <c r="O1461" i="1" s="1"/>
  <c r="N1462" i="1"/>
  <c r="O1462" i="1" s="1"/>
  <c r="N1463" i="1"/>
  <c r="O1463" i="1" s="1"/>
  <c r="N1464" i="1"/>
  <c r="O1464" i="1" s="1"/>
  <c r="N1465" i="1"/>
  <c r="O1465" i="1" s="1"/>
  <c r="N1466" i="1"/>
  <c r="O1466" i="1" s="1"/>
  <c r="N1467" i="1"/>
  <c r="O1467" i="1" s="1"/>
  <c r="N1468" i="1"/>
  <c r="O1468" i="1" s="1"/>
  <c r="N1469" i="1"/>
  <c r="O1469" i="1" s="1"/>
  <c r="N1470" i="1"/>
  <c r="O1470" i="1" s="1"/>
  <c r="N1471" i="1"/>
  <c r="O1471" i="1" s="1"/>
  <c r="N1472" i="1"/>
  <c r="O1472" i="1" s="1"/>
  <c r="N1473" i="1"/>
  <c r="O1473" i="1" s="1"/>
  <c r="N1474" i="1"/>
  <c r="O1474" i="1" s="1"/>
  <c r="N1475" i="1"/>
  <c r="O1475" i="1" s="1"/>
  <c r="N1476" i="1"/>
  <c r="O1476" i="1" s="1"/>
  <c r="N1477" i="1"/>
  <c r="O1477" i="1" s="1"/>
  <c r="N1478" i="1"/>
  <c r="O1478" i="1" s="1"/>
  <c r="N1479" i="1"/>
  <c r="O1479" i="1" s="1"/>
  <c r="N1480" i="1"/>
  <c r="O1480" i="1" s="1"/>
  <c r="N1481" i="1"/>
  <c r="O1481" i="1" s="1"/>
  <c r="N1482" i="1"/>
  <c r="O1482" i="1" s="1"/>
  <c r="N1483" i="1"/>
  <c r="O1483" i="1" s="1"/>
  <c r="N1484" i="1"/>
  <c r="O1484" i="1" s="1"/>
  <c r="N1485" i="1"/>
  <c r="O1485" i="1" s="1"/>
  <c r="N1486" i="1"/>
  <c r="O1486" i="1" s="1"/>
  <c r="N1487" i="1"/>
  <c r="O1487" i="1" s="1"/>
  <c r="N1488" i="1"/>
  <c r="O1488" i="1" s="1"/>
  <c r="N1489" i="1"/>
  <c r="O1489" i="1" s="1"/>
  <c r="N1490" i="1"/>
  <c r="O1490" i="1" s="1"/>
  <c r="N1491" i="1"/>
  <c r="O1491" i="1" s="1"/>
  <c r="N1492" i="1"/>
  <c r="O1492" i="1" s="1"/>
  <c r="N1493" i="1"/>
  <c r="O1493" i="1" s="1"/>
  <c r="N1494" i="1"/>
  <c r="O1494" i="1" s="1"/>
  <c r="N1495" i="1"/>
  <c r="O1495" i="1" s="1"/>
  <c r="N1496" i="1"/>
  <c r="O1496" i="1" s="1"/>
  <c r="N1497" i="1"/>
  <c r="O1497" i="1" s="1"/>
  <c r="N1498" i="1"/>
  <c r="O1498" i="1" s="1"/>
  <c r="N1499" i="1"/>
  <c r="O1499" i="1" s="1"/>
  <c r="N1500" i="1"/>
  <c r="O1500" i="1" s="1"/>
  <c r="N1501" i="1"/>
  <c r="O1501" i="1" s="1"/>
  <c r="N1502" i="1"/>
  <c r="O1502" i="1" s="1"/>
  <c r="N1503" i="1"/>
  <c r="O1503" i="1" s="1"/>
  <c r="N1504" i="1"/>
  <c r="O1504" i="1" s="1"/>
  <c r="N1505" i="1"/>
  <c r="O1505" i="1" s="1"/>
  <c r="N1506" i="1"/>
  <c r="O1506" i="1" s="1"/>
  <c r="N1507" i="1"/>
  <c r="O1507" i="1" s="1"/>
  <c r="N1508" i="1"/>
  <c r="O1508" i="1" s="1"/>
  <c r="N1509" i="1"/>
  <c r="O1509" i="1" s="1"/>
  <c r="N1510" i="1"/>
  <c r="O1510" i="1" s="1"/>
  <c r="N1511" i="1"/>
  <c r="O1511" i="1" s="1"/>
  <c r="N1512" i="1"/>
  <c r="O1512" i="1" s="1"/>
  <c r="N1513" i="1"/>
  <c r="O1513" i="1" s="1"/>
  <c r="N1514" i="1"/>
  <c r="O1514" i="1" s="1"/>
  <c r="N1515" i="1"/>
  <c r="O1515" i="1" s="1"/>
  <c r="N1516" i="1"/>
  <c r="O1516" i="1" s="1"/>
  <c r="N1517" i="1"/>
  <c r="O1517" i="1" s="1"/>
  <c r="N1518" i="1"/>
  <c r="O1518" i="1" s="1"/>
  <c r="N1519" i="1"/>
  <c r="O1519" i="1" s="1"/>
  <c r="N1520" i="1"/>
  <c r="O1520" i="1" s="1"/>
  <c r="N1521" i="1"/>
  <c r="O1521" i="1" s="1"/>
  <c r="N1522" i="1"/>
  <c r="O1522" i="1" s="1"/>
  <c r="N1523" i="1"/>
  <c r="O1523" i="1" s="1"/>
  <c r="N1524" i="1"/>
  <c r="O1524" i="1" s="1"/>
  <c r="N1525" i="1"/>
  <c r="O1525" i="1" s="1"/>
  <c r="N1526" i="1"/>
  <c r="O1526" i="1" s="1"/>
  <c r="N1527" i="1"/>
  <c r="O1527" i="1" s="1"/>
  <c r="N1528" i="1"/>
  <c r="O1528" i="1" s="1"/>
  <c r="N1529" i="1"/>
  <c r="O1529" i="1" s="1"/>
  <c r="N1530" i="1"/>
  <c r="O1530" i="1" s="1"/>
  <c r="N1531" i="1"/>
  <c r="O1531" i="1" s="1"/>
  <c r="N1532" i="1"/>
  <c r="O1532" i="1" s="1"/>
  <c r="N1533" i="1"/>
  <c r="O1533" i="1" s="1"/>
  <c r="N1534" i="1"/>
  <c r="O1534" i="1" s="1"/>
  <c r="N1535" i="1"/>
  <c r="O1535" i="1" s="1"/>
  <c r="N1536" i="1"/>
  <c r="O1536" i="1" s="1"/>
  <c r="N1537" i="1"/>
  <c r="O1537" i="1" s="1"/>
  <c r="N1538" i="1"/>
  <c r="O1538" i="1" s="1"/>
  <c r="N1539" i="1"/>
  <c r="O1539" i="1" s="1"/>
  <c r="N1540" i="1"/>
  <c r="O1540" i="1" s="1"/>
  <c r="N1541" i="1"/>
  <c r="O1541" i="1" s="1"/>
  <c r="N1542" i="1"/>
  <c r="O1542" i="1" s="1"/>
  <c r="N1543" i="1"/>
  <c r="O1543" i="1" s="1"/>
  <c r="N1544" i="1"/>
  <c r="O1544" i="1" s="1"/>
  <c r="N1545" i="1"/>
  <c r="O1545" i="1" s="1"/>
  <c r="N1546" i="1"/>
  <c r="O1546" i="1" s="1"/>
  <c r="N1547" i="1"/>
  <c r="O1547" i="1" s="1"/>
  <c r="N1548" i="1"/>
  <c r="O1548" i="1" s="1"/>
  <c r="N1549" i="1"/>
  <c r="O1549" i="1" s="1"/>
  <c r="N1550" i="1"/>
  <c r="O1550" i="1" s="1"/>
  <c r="N1551" i="1"/>
  <c r="O1551" i="1" s="1"/>
  <c r="N1552" i="1"/>
  <c r="O1552" i="1" s="1"/>
  <c r="N1553" i="1"/>
  <c r="O1553" i="1" s="1"/>
  <c r="N1554" i="1"/>
  <c r="O1554" i="1" s="1"/>
  <c r="N1555" i="1"/>
  <c r="O1555" i="1" s="1"/>
  <c r="N1556" i="1"/>
  <c r="O1556" i="1" s="1"/>
  <c r="N1557" i="1"/>
  <c r="O1557" i="1" s="1"/>
  <c r="N1558" i="1"/>
  <c r="O1558" i="1" s="1"/>
  <c r="N1559" i="1"/>
  <c r="O1559" i="1" s="1"/>
  <c r="N1560" i="1"/>
  <c r="O1560" i="1" s="1"/>
  <c r="N1561" i="1"/>
  <c r="O1561" i="1" s="1"/>
  <c r="N1562" i="1"/>
  <c r="O1562" i="1" s="1"/>
  <c r="N1563" i="1"/>
  <c r="O1563" i="1" s="1"/>
  <c r="N1564" i="1"/>
  <c r="O1564" i="1" s="1"/>
  <c r="N1565" i="1"/>
  <c r="O1565" i="1" s="1"/>
  <c r="N1566" i="1"/>
  <c r="O1566" i="1" s="1"/>
  <c r="N1567" i="1"/>
  <c r="O1567" i="1" s="1"/>
  <c r="N1568" i="1"/>
  <c r="O1568" i="1" s="1"/>
  <c r="N1569" i="1"/>
  <c r="O1569" i="1" s="1"/>
  <c r="N1570" i="1"/>
  <c r="O1570" i="1" s="1"/>
  <c r="N1571" i="1"/>
  <c r="O1571" i="1" s="1"/>
  <c r="N1572" i="1"/>
  <c r="O1572" i="1" s="1"/>
  <c r="N1573" i="1"/>
  <c r="O1573" i="1" s="1"/>
  <c r="N1574" i="1"/>
  <c r="O1574" i="1" s="1"/>
  <c r="N1575" i="1"/>
  <c r="O1575" i="1" s="1"/>
  <c r="N1576" i="1"/>
  <c r="O1576" i="1" s="1"/>
  <c r="N1577" i="1"/>
  <c r="O1577" i="1" s="1"/>
  <c r="N1578" i="1"/>
  <c r="O1578" i="1" s="1"/>
  <c r="N1579" i="1"/>
  <c r="O1579" i="1" s="1"/>
  <c r="N1580" i="1"/>
  <c r="O1580" i="1" s="1"/>
  <c r="N1581" i="1"/>
  <c r="O1581" i="1" s="1"/>
  <c r="N1582" i="1"/>
  <c r="O1582" i="1" s="1"/>
  <c r="N1583" i="1"/>
  <c r="O1583" i="1" s="1"/>
  <c r="N1584" i="1"/>
  <c r="O1584" i="1" s="1"/>
  <c r="N1585" i="1"/>
  <c r="O1585" i="1" s="1"/>
  <c r="N1586" i="1"/>
  <c r="O1586" i="1" s="1"/>
  <c r="N1587" i="1"/>
  <c r="O1587" i="1" s="1"/>
  <c r="N1588" i="1"/>
  <c r="O1588" i="1" s="1"/>
  <c r="N1589" i="1"/>
  <c r="O1589" i="1" s="1"/>
  <c r="N1590" i="1"/>
  <c r="O1590" i="1" s="1"/>
  <c r="N1591" i="1"/>
  <c r="O1591" i="1" s="1"/>
  <c r="N1592" i="1"/>
  <c r="O1592" i="1" s="1"/>
  <c r="N1593" i="1"/>
  <c r="O1593" i="1" s="1"/>
  <c r="N1594" i="1"/>
  <c r="O1594" i="1" s="1"/>
  <c r="N1595" i="1"/>
  <c r="O1595" i="1" s="1"/>
  <c r="N1596" i="1"/>
  <c r="O1596" i="1" s="1"/>
  <c r="N1597" i="1"/>
  <c r="O1597" i="1" s="1"/>
  <c r="N1598" i="1"/>
  <c r="O1598" i="1" s="1"/>
  <c r="N1599" i="1"/>
  <c r="O1599" i="1" s="1"/>
  <c r="N1600" i="1"/>
  <c r="O1600" i="1" s="1"/>
  <c r="N1601" i="1"/>
  <c r="O1601" i="1" s="1"/>
  <c r="N1602" i="1"/>
  <c r="O1602" i="1" s="1"/>
  <c r="N1603" i="1"/>
  <c r="O1603" i="1" s="1"/>
  <c r="N1604" i="1"/>
  <c r="O1604" i="1" s="1"/>
  <c r="N1605" i="1"/>
  <c r="O1605" i="1" s="1"/>
  <c r="N1606" i="1"/>
  <c r="O1606" i="1" s="1"/>
  <c r="N1607" i="1"/>
  <c r="O1607" i="1" s="1"/>
  <c r="N1608" i="1"/>
  <c r="O1608" i="1" s="1"/>
  <c r="N1609" i="1"/>
  <c r="O1609" i="1" s="1"/>
  <c r="N1610" i="1"/>
  <c r="O1610" i="1" s="1"/>
  <c r="N1611" i="1"/>
  <c r="O1611" i="1" s="1"/>
  <c r="N1612" i="1"/>
  <c r="O1612" i="1" s="1"/>
  <c r="N1613" i="1"/>
  <c r="O1613" i="1" s="1"/>
  <c r="N1614" i="1"/>
  <c r="O1614" i="1" s="1"/>
  <c r="N1615" i="1"/>
  <c r="O1615" i="1" s="1"/>
  <c r="N1616" i="1"/>
  <c r="O1616" i="1" s="1"/>
  <c r="N1617" i="1"/>
  <c r="O1617" i="1" s="1"/>
  <c r="N1618" i="1"/>
  <c r="O1618" i="1" s="1"/>
  <c r="N1619" i="1"/>
  <c r="O1619" i="1" s="1"/>
  <c r="N1620" i="1"/>
  <c r="O1620" i="1" s="1"/>
  <c r="N1621" i="1"/>
  <c r="O1621" i="1" s="1"/>
  <c r="N1622" i="1"/>
  <c r="O1622" i="1" s="1"/>
  <c r="N1623" i="1"/>
  <c r="O1623" i="1" s="1"/>
  <c r="N1624" i="1"/>
  <c r="O1624" i="1" s="1"/>
  <c r="N1625" i="1"/>
  <c r="O1625" i="1" s="1"/>
  <c r="N1626" i="1"/>
  <c r="O1626" i="1" s="1"/>
  <c r="N1627" i="1"/>
  <c r="O1627" i="1" s="1"/>
  <c r="N1628" i="1"/>
  <c r="O1628" i="1" s="1"/>
  <c r="N1629" i="1"/>
  <c r="O1629" i="1" s="1"/>
  <c r="N1630" i="1"/>
  <c r="O1630" i="1" s="1"/>
  <c r="N1631" i="1"/>
  <c r="O1631" i="1" s="1"/>
  <c r="N1632" i="1"/>
  <c r="O1632" i="1" s="1"/>
  <c r="N1633" i="1"/>
  <c r="O1633" i="1" s="1"/>
  <c r="N1634" i="1"/>
  <c r="O1634" i="1" s="1"/>
  <c r="N1635" i="1"/>
  <c r="O1635" i="1" s="1"/>
  <c r="N1636" i="1"/>
  <c r="O1636" i="1" s="1"/>
  <c r="N1637" i="1"/>
  <c r="O1637" i="1" s="1"/>
  <c r="N1638" i="1"/>
  <c r="O1638" i="1" s="1"/>
  <c r="N1639" i="1"/>
  <c r="O1639" i="1" s="1"/>
  <c r="N1640" i="1"/>
  <c r="O1640" i="1" s="1"/>
  <c r="N1641" i="1"/>
  <c r="O1641" i="1" s="1"/>
  <c r="N1642" i="1"/>
  <c r="O1642" i="1" s="1"/>
  <c r="N1643" i="1"/>
  <c r="O1643" i="1" s="1"/>
  <c r="N1644" i="1"/>
  <c r="O1644" i="1" s="1"/>
  <c r="N1645" i="1"/>
  <c r="O1645" i="1" s="1"/>
  <c r="N1646" i="1"/>
  <c r="O1646" i="1" s="1"/>
  <c r="N1647" i="1"/>
  <c r="O1647" i="1" s="1"/>
  <c r="N1648" i="1"/>
  <c r="O1648" i="1" s="1"/>
  <c r="N1649" i="1"/>
  <c r="O1649" i="1" s="1"/>
  <c r="N1650" i="1"/>
  <c r="O1650" i="1" s="1"/>
  <c r="N1651" i="1"/>
  <c r="O1651" i="1" s="1"/>
  <c r="N1652" i="1"/>
  <c r="O1652" i="1" s="1"/>
  <c r="N1653" i="1"/>
  <c r="O1653" i="1" s="1"/>
  <c r="N1654" i="1"/>
  <c r="O1654" i="1" s="1"/>
  <c r="N1655" i="1"/>
  <c r="O1655" i="1" s="1"/>
  <c r="N1656" i="1"/>
  <c r="O1656" i="1" s="1"/>
  <c r="N1657" i="1"/>
  <c r="O1657" i="1" s="1"/>
  <c r="N1658" i="1"/>
  <c r="O1658" i="1" s="1"/>
  <c r="N1659" i="1"/>
  <c r="O1659" i="1" s="1"/>
  <c r="N1660" i="1"/>
  <c r="O1660" i="1" s="1"/>
  <c r="N1661" i="1"/>
  <c r="O1661" i="1" s="1"/>
  <c r="N1662" i="1"/>
  <c r="O1662" i="1" s="1"/>
  <c r="N1663" i="1"/>
  <c r="O1663" i="1" s="1"/>
  <c r="N1664" i="1"/>
  <c r="O1664" i="1" s="1"/>
  <c r="N1665" i="1"/>
  <c r="O1665" i="1" s="1"/>
  <c r="N1666" i="1"/>
  <c r="O1666" i="1" s="1"/>
  <c r="N1667" i="1"/>
  <c r="O1667" i="1" s="1"/>
  <c r="N1668" i="1"/>
  <c r="O1668" i="1" s="1"/>
  <c r="N1669" i="1"/>
  <c r="O1669" i="1" s="1"/>
  <c r="N1670" i="1"/>
  <c r="O1670" i="1" s="1"/>
  <c r="N1671" i="1"/>
  <c r="O1671" i="1" s="1"/>
  <c r="N1672" i="1"/>
  <c r="O1672" i="1" s="1"/>
  <c r="N1673" i="1"/>
  <c r="O1673" i="1" s="1"/>
  <c r="N1674" i="1"/>
  <c r="O1674" i="1" s="1"/>
  <c r="N1675" i="1"/>
  <c r="O1675" i="1" s="1"/>
  <c r="N1676" i="1"/>
  <c r="O1676" i="1" s="1"/>
  <c r="N1677" i="1"/>
  <c r="O1677" i="1" s="1"/>
  <c r="N1678" i="1"/>
  <c r="O1678" i="1" s="1"/>
  <c r="N1679" i="1"/>
  <c r="O1679" i="1" s="1"/>
  <c r="N1680" i="1"/>
  <c r="O1680" i="1" s="1"/>
  <c r="N1681" i="1"/>
  <c r="O1681" i="1" s="1"/>
  <c r="N1682" i="1"/>
  <c r="O1682" i="1" s="1"/>
  <c r="N1683" i="1"/>
  <c r="O1683" i="1" s="1"/>
  <c r="N1684" i="1"/>
  <c r="O1684" i="1" s="1"/>
  <c r="N1685" i="1"/>
  <c r="O1685" i="1" s="1"/>
  <c r="N1686" i="1"/>
  <c r="O1686" i="1" s="1"/>
  <c r="N1687" i="1"/>
  <c r="O1687" i="1" s="1"/>
  <c r="N1688" i="1"/>
  <c r="O1688" i="1" s="1"/>
  <c r="N1689" i="1"/>
  <c r="O1689" i="1" s="1"/>
  <c r="N1690" i="1"/>
  <c r="O1690" i="1" s="1"/>
  <c r="N1691" i="1"/>
  <c r="O1691" i="1" s="1"/>
  <c r="N1692" i="1"/>
  <c r="O1692" i="1" s="1"/>
  <c r="N1693" i="1"/>
  <c r="O1693" i="1" s="1"/>
  <c r="N1694" i="1"/>
  <c r="O1694" i="1" s="1"/>
  <c r="N1695" i="1"/>
  <c r="O1695" i="1" s="1"/>
  <c r="N1696" i="1"/>
  <c r="O1696" i="1" s="1"/>
  <c r="N1697" i="1"/>
  <c r="O1697" i="1" s="1"/>
  <c r="N1698" i="1"/>
  <c r="O1698" i="1" s="1"/>
  <c r="N1699" i="1"/>
  <c r="O1699" i="1" s="1"/>
  <c r="N1700" i="1"/>
  <c r="O1700" i="1" s="1"/>
  <c r="N1701" i="1"/>
  <c r="O1701" i="1" s="1"/>
  <c r="N1702" i="1"/>
  <c r="O1702" i="1" s="1"/>
  <c r="N1703" i="1"/>
  <c r="O1703" i="1" s="1"/>
  <c r="N1704" i="1"/>
  <c r="O1704" i="1" s="1"/>
  <c r="N1705" i="1"/>
  <c r="O1705" i="1" s="1"/>
  <c r="N1706" i="1"/>
  <c r="O1706" i="1" s="1"/>
  <c r="N1707" i="1"/>
  <c r="O1707" i="1" s="1"/>
  <c r="N1708" i="1"/>
  <c r="O1708" i="1" s="1"/>
  <c r="N1709" i="1"/>
  <c r="O1709" i="1" s="1"/>
  <c r="N1710" i="1"/>
  <c r="O1710" i="1" s="1"/>
  <c r="N1711" i="1"/>
  <c r="O1711" i="1" s="1"/>
  <c r="N1712" i="1"/>
  <c r="O1712" i="1" s="1"/>
  <c r="N1713" i="1"/>
  <c r="O1713" i="1" s="1"/>
  <c r="N1714" i="1"/>
  <c r="O1714" i="1" s="1"/>
  <c r="N1715" i="1"/>
  <c r="O1715" i="1" s="1"/>
  <c r="N1716" i="1"/>
  <c r="O1716" i="1" s="1"/>
  <c r="N1717" i="1"/>
  <c r="O1717" i="1" s="1"/>
  <c r="N1718" i="1"/>
  <c r="O1718" i="1" s="1"/>
  <c r="N1719" i="1"/>
  <c r="O1719" i="1" s="1"/>
  <c r="N1720" i="1"/>
  <c r="O1720" i="1" s="1"/>
  <c r="N1721" i="1"/>
  <c r="O1721" i="1" s="1"/>
  <c r="N1722" i="1"/>
  <c r="O1722" i="1" s="1"/>
  <c r="N1723" i="1"/>
  <c r="O1723" i="1" s="1"/>
  <c r="N1724" i="1"/>
  <c r="O1724" i="1" s="1"/>
  <c r="N1725" i="1"/>
  <c r="O1725" i="1" s="1"/>
  <c r="N1726" i="1"/>
  <c r="O1726" i="1" s="1"/>
  <c r="N1727" i="1"/>
  <c r="O1727" i="1" s="1"/>
  <c r="N1728" i="1"/>
  <c r="O1728" i="1" s="1"/>
  <c r="N1729" i="1"/>
  <c r="O1729" i="1" s="1"/>
  <c r="N1730" i="1"/>
  <c r="O1730" i="1" s="1"/>
  <c r="N1731" i="1"/>
  <c r="O1731" i="1" s="1"/>
  <c r="N1732" i="1"/>
  <c r="O1732" i="1" s="1"/>
  <c r="N1733" i="1"/>
  <c r="O1733" i="1" s="1"/>
  <c r="N1734" i="1"/>
  <c r="O1734" i="1" s="1"/>
  <c r="N1735" i="1"/>
  <c r="O1735" i="1" s="1"/>
  <c r="N1736" i="1"/>
  <c r="O1736" i="1" s="1"/>
  <c r="N1737" i="1"/>
  <c r="O1737" i="1" s="1"/>
  <c r="N1738" i="1"/>
  <c r="O1738" i="1" s="1"/>
  <c r="N1739" i="1"/>
  <c r="O1739" i="1" s="1"/>
  <c r="N1740" i="1"/>
  <c r="O1740" i="1" s="1"/>
  <c r="N1741" i="1"/>
  <c r="O1741" i="1" s="1"/>
  <c r="N1742" i="1"/>
  <c r="O1742" i="1" s="1"/>
  <c r="N1743" i="1"/>
  <c r="O1743" i="1" s="1"/>
  <c r="N1744" i="1"/>
  <c r="O1744" i="1" s="1"/>
  <c r="N1745" i="1"/>
  <c r="O1745" i="1" s="1"/>
  <c r="N1746" i="1"/>
  <c r="O1746" i="1" s="1"/>
  <c r="N1747" i="1"/>
  <c r="O1747" i="1" s="1"/>
  <c r="N1748" i="1"/>
  <c r="O1748" i="1" s="1"/>
  <c r="N1749" i="1"/>
  <c r="O1749" i="1" s="1"/>
  <c r="N1750" i="1"/>
  <c r="O1750" i="1" s="1"/>
  <c r="N1751" i="1"/>
  <c r="O1751" i="1" s="1"/>
  <c r="N1752" i="1"/>
  <c r="O1752" i="1" s="1"/>
  <c r="N1753" i="1"/>
  <c r="O1753" i="1" s="1"/>
  <c r="N1754" i="1"/>
  <c r="O1754" i="1" s="1"/>
  <c r="N1755" i="1"/>
  <c r="O1755" i="1" s="1"/>
  <c r="N1756" i="1"/>
  <c r="O1756" i="1" s="1"/>
  <c r="N1757" i="1"/>
  <c r="O1757" i="1" s="1"/>
  <c r="N1758" i="1"/>
  <c r="O1758" i="1" s="1"/>
  <c r="N1759" i="1"/>
  <c r="O1759" i="1" s="1"/>
  <c r="N1760" i="1"/>
  <c r="O1760" i="1" s="1"/>
  <c r="N1761" i="1"/>
  <c r="O1761" i="1" s="1"/>
  <c r="N1762" i="1"/>
  <c r="O1762" i="1" s="1"/>
  <c r="N1763" i="1"/>
  <c r="O1763" i="1" s="1"/>
  <c r="N1764" i="1"/>
  <c r="O1764" i="1" s="1"/>
  <c r="N1765" i="1"/>
  <c r="O1765" i="1" s="1"/>
  <c r="N1766" i="1"/>
  <c r="O1766" i="1" s="1"/>
  <c r="N1767" i="1"/>
  <c r="O1767" i="1" s="1"/>
  <c r="N1768" i="1"/>
  <c r="O1768" i="1" s="1"/>
  <c r="N1769" i="1"/>
  <c r="O1769" i="1" s="1"/>
  <c r="N1770" i="1"/>
  <c r="O1770" i="1" s="1"/>
  <c r="N1771" i="1"/>
  <c r="O1771" i="1" s="1"/>
  <c r="N1772" i="1"/>
  <c r="O1772" i="1" s="1"/>
  <c r="N1773" i="1"/>
  <c r="O1773" i="1" s="1"/>
  <c r="N1774" i="1"/>
  <c r="O1774" i="1" s="1"/>
  <c r="N1775" i="1"/>
  <c r="O1775" i="1" s="1"/>
  <c r="N1776" i="1"/>
  <c r="O1776" i="1" s="1"/>
  <c r="N1777" i="1"/>
  <c r="O1777" i="1" s="1"/>
  <c r="N1778" i="1"/>
  <c r="O1778" i="1" s="1"/>
  <c r="N1779" i="1"/>
  <c r="O1779" i="1" s="1"/>
  <c r="N1780" i="1"/>
  <c r="O1780" i="1" s="1"/>
  <c r="N1781" i="1"/>
  <c r="O1781" i="1" s="1"/>
  <c r="N1782" i="1"/>
  <c r="O1782" i="1" s="1"/>
  <c r="N1783" i="1"/>
  <c r="O1783" i="1" s="1"/>
  <c r="N1784" i="1"/>
  <c r="O1784" i="1" s="1"/>
  <c r="N1785" i="1"/>
  <c r="O1785" i="1" s="1"/>
  <c r="N1786" i="1"/>
  <c r="O1786" i="1" s="1"/>
  <c r="N1787" i="1"/>
  <c r="O1787" i="1" s="1"/>
  <c r="N1788" i="1"/>
  <c r="O1788" i="1" s="1"/>
  <c r="N1789" i="1"/>
  <c r="O1789" i="1" s="1"/>
  <c r="N1790" i="1"/>
  <c r="O1790" i="1" s="1"/>
  <c r="N1791" i="1"/>
  <c r="O1791" i="1" s="1"/>
  <c r="N1792" i="1"/>
  <c r="O1792" i="1" s="1"/>
  <c r="N1793" i="1"/>
  <c r="O1793" i="1" s="1"/>
  <c r="N1794" i="1"/>
  <c r="O1794" i="1" s="1"/>
  <c r="N1795" i="1"/>
  <c r="O1795" i="1" s="1"/>
  <c r="N1796" i="1"/>
  <c r="O1796" i="1" s="1"/>
  <c r="N1797" i="1"/>
  <c r="O1797" i="1" s="1"/>
  <c r="N1798" i="1"/>
  <c r="O1798" i="1" s="1"/>
  <c r="N1799" i="1"/>
  <c r="O1799" i="1" s="1"/>
  <c r="N1800" i="1"/>
  <c r="O1800" i="1" s="1"/>
  <c r="N1801" i="1"/>
  <c r="O1801" i="1" s="1"/>
  <c r="N1802" i="1"/>
  <c r="O1802" i="1" s="1"/>
  <c r="N1803" i="1"/>
  <c r="O1803" i="1" s="1"/>
  <c r="N1804" i="1"/>
  <c r="O1804" i="1" s="1"/>
  <c r="N1805" i="1"/>
  <c r="O1805" i="1" s="1"/>
  <c r="N1806" i="1"/>
  <c r="O1806" i="1" s="1"/>
  <c r="N1807" i="1"/>
  <c r="O1807" i="1" s="1"/>
  <c r="N1808" i="1"/>
  <c r="O1808" i="1" s="1"/>
  <c r="N1809" i="1"/>
  <c r="O1809" i="1" s="1"/>
  <c r="N1810" i="1"/>
  <c r="O1810" i="1" s="1"/>
  <c r="N1811" i="1"/>
  <c r="O1811" i="1" s="1"/>
  <c r="N1812" i="1"/>
  <c r="O1812" i="1" s="1"/>
  <c r="N1813" i="1"/>
  <c r="O1813" i="1" s="1"/>
  <c r="N1814" i="1"/>
  <c r="O1814" i="1" s="1"/>
  <c r="N1815" i="1"/>
  <c r="O1815" i="1" s="1"/>
  <c r="N1816" i="1"/>
  <c r="O1816" i="1" s="1"/>
  <c r="N1817" i="1"/>
  <c r="O1817" i="1" s="1"/>
  <c r="N1818" i="1"/>
  <c r="O1818" i="1" s="1"/>
  <c r="N1819" i="1"/>
  <c r="O1819" i="1" s="1"/>
  <c r="N1820" i="1"/>
  <c r="O1820" i="1" s="1"/>
  <c r="N1821" i="1"/>
  <c r="O1821" i="1" s="1"/>
  <c r="N1822" i="1"/>
  <c r="O1822" i="1" s="1"/>
  <c r="N1823" i="1"/>
  <c r="O1823" i="1" s="1"/>
  <c r="N1824" i="1"/>
  <c r="O1824" i="1" s="1"/>
  <c r="N1825" i="1"/>
  <c r="O1825" i="1" s="1"/>
  <c r="N1826" i="1"/>
  <c r="O1826" i="1" s="1"/>
  <c r="N1827" i="1"/>
  <c r="O1827" i="1" s="1"/>
  <c r="N1828" i="1"/>
  <c r="O1828" i="1" s="1"/>
  <c r="N1829" i="1"/>
  <c r="O1829" i="1" s="1"/>
  <c r="N1830" i="1"/>
  <c r="O1830" i="1" s="1"/>
  <c r="N1831" i="1"/>
  <c r="O1831" i="1" s="1"/>
  <c r="N1832" i="1"/>
  <c r="O1832" i="1" s="1"/>
  <c r="N1833" i="1"/>
  <c r="O1833" i="1" s="1"/>
  <c r="N1834" i="1"/>
  <c r="O1834" i="1" s="1"/>
  <c r="N1835" i="1"/>
  <c r="O1835" i="1" s="1"/>
  <c r="N1836" i="1"/>
  <c r="O1836" i="1" s="1"/>
  <c r="N1837" i="1"/>
  <c r="O1837" i="1" s="1"/>
  <c r="N1838" i="1"/>
  <c r="O1838" i="1" s="1"/>
  <c r="N1839" i="1"/>
  <c r="O1839" i="1" s="1"/>
  <c r="N1840" i="1"/>
  <c r="O1840" i="1" s="1"/>
  <c r="N1841" i="1"/>
  <c r="O1841" i="1" s="1"/>
  <c r="N1842" i="1"/>
  <c r="O1842" i="1" s="1"/>
  <c r="N1843" i="1"/>
  <c r="O1843" i="1" s="1"/>
  <c r="N1844" i="1"/>
  <c r="O1844" i="1" s="1"/>
  <c r="N1845" i="1"/>
  <c r="O1845" i="1" s="1"/>
  <c r="N1846" i="1"/>
  <c r="O1846" i="1" s="1"/>
  <c r="N1847" i="1"/>
  <c r="O1847" i="1" s="1"/>
  <c r="N1848" i="1"/>
  <c r="O1848" i="1" s="1"/>
  <c r="N1849" i="1"/>
  <c r="O1849" i="1" s="1"/>
  <c r="N1850" i="1"/>
  <c r="O1850" i="1" s="1"/>
  <c r="N1851" i="1"/>
  <c r="O1851" i="1" s="1"/>
  <c r="N1852" i="1"/>
  <c r="O1852" i="1" s="1"/>
  <c r="N1853" i="1"/>
  <c r="O1853" i="1" s="1"/>
  <c r="N1854" i="1"/>
  <c r="O1854" i="1" s="1"/>
  <c r="N1855" i="1"/>
  <c r="O1855" i="1" s="1"/>
  <c r="N1856" i="1"/>
  <c r="O1856" i="1" s="1"/>
  <c r="N1857" i="1"/>
  <c r="O1857" i="1" s="1"/>
  <c r="N1858" i="1"/>
  <c r="O1858" i="1" s="1"/>
  <c r="N1859" i="1"/>
  <c r="O1859" i="1" s="1"/>
  <c r="N1860" i="1"/>
  <c r="O1860" i="1" s="1"/>
  <c r="N1861" i="1"/>
  <c r="O1861" i="1" s="1"/>
  <c r="N1862" i="1"/>
  <c r="O1862" i="1" s="1"/>
  <c r="N1863" i="1"/>
  <c r="O1863" i="1" s="1"/>
  <c r="N1864" i="1"/>
  <c r="O1864" i="1" s="1"/>
  <c r="N1865" i="1"/>
  <c r="O1865" i="1" s="1"/>
  <c r="N1866" i="1"/>
  <c r="O1866" i="1" s="1"/>
  <c r="N1867" i="1"/>
  <c r="O1867" i="1" s="1"/>
  <c r="N1868" i="1"/>
  <c r="O1868" i="1" s="1"/>
  <c r="N1869" i="1"/>
  <c r="O1869" i="1" s="1"/>
  <c r="N1870" i="1"/>
  <c r="O1870" i="1" s="1"/>
  <c r="N1871" i="1"/>
  <c r="O1871" i="1" s="1"/>
  <c r="N1872" i="1"/>
  <c r="O1872" i="1" s="1"/>
  <c r="N1873" i="1"/>
  <c r="O1873" i="1" s="1"/>
  <c r="N1874" i="1"/>
  <c r="O1874" i="1" s="1"/>
  <c r="N1875" i="1"/>
  <c r="O1875" i="1" s="1"/>
  <c r="N1876" i="1"/>
  <c r="O1876" i="1" s="1"/>
  <c r="N1877" i="1"/>
  <c r="O1877" i="1" s="1"/>
  <c r="N1878" i="1"/>
  <c r="O1878" i="1" s="1"/>
  <c r="N1879" i="1"/>
  <c r="O1879" i="1" s="1"/>
  <c r="N1880" i="1"/>
  <c r="O1880" i="1" s="1"/>
  <c r="N1881" i="1"/>
  <c r="O1881" i="1" s="1"/>
  <c r="N1882" i="1"/>
  <c r="O1882" i="1" s="1"/>
  <c r="N1883" i="1"/>
  <c r="O1883" i="1" s="1"/>
  <c r="N1884" i="1"/>
  <c r="O1884" i="1" s="1"/>
  <c r="N1885" i="1"/>
  <c r="O1885" i="1" s="1"/>
  <c r="N1886" i="1"/>
  <c r="O1886" i="1" s="1"/>
  <c r="N1887" i="1"/>
  <c r="O1887" i="1" s="1"/>
  <c r="N1888" i="1"/>
  <c r="O1888" i="1" s="1"/>
  <c r="N1889" i="1"/>
  <c r="O1889" i="1" s="1"/>
  <c r="N1890" i="1"/>
  <c r="O1890" i="1" s="1"/>
  <c r="N1891" i="1"/>
  <c r="O1891" i="1" s="1"/>
  <c r="N1892" i="1"/>
  <c r="O1892" i="1" s="1"/>
  <c r="N1893" i="1"/>
  <c r="O1893" i="1" s="1"/>
  <c r="N1894" i="1"/>
  <c r="O1894" i="1" s="1"/>
  <c r="N1895" i="1"/>
  <c r="O1895" i="1" s="1"/>
  <c r="N1896" i="1"/>
  <c r="O1896" i="1" s="1"/>
  <c r="N1897" i="1"/>
  <c r="O1897" i="1" s="1"/>
  <c r="N1898" i="1"/>
  <c r="O1898" i="1" s="1"/>
  <c r="N1899" i="1"/>
  <c r="O1899" i="1" s="1"/>
  <c r="N1900" i="1"/>
  <c r="O1900" i="1" s="1"/>
  <c r="N1901" i="1"/>
  <c r="O1901" i="1" s="1"/>
  <c r="N1902" i="1"/>
  <c r="O1902" i="1" s="1"/>
  <c r="N1903" i="1"/>
  <c r="O1903" i="1" s="1"/>
  <c r="N1904" i="1"/>
  <c r="O1904" i="1" s="1"/>
  <c r="N1905" i="1"/>
  <c r="O1905" i="1" s="1"/>
  <c r="N1906" i="1"/>
  <c r="O1906" i="1" s="1"/>
  <c r="N1907" i="1"/>
  <c r="O1907" i="1" s="1"/>
  <c r="N1908" i="1"/>
  <c r="O1908" i="1" s="1"/>
  <c r="N1909" i="1"/>
  <c r="O1909" i="1" s="1"/>
  <c r="N1910" i="1"/>
  <c r="O1910" i="1" s="1"/>
  <c r="N1911" i="1"/>
  <c r="O1911" i="1" s="1"/>
  <c r="N1912" i="1"/>
  <c r="O1912" i="1" s="1"/>
  <c r="N1913" i="1"/>
  <c r="O1913" i="1" s="1"/>
  <c r="N1914" i="1"/>
  <c r="O1914" i="1" s="1"/>
  <c r="N1915" i="1"/>
  <c r="O1915" i="1" s="1"/>
  <c r="N1916" i="1"/>
  <c r="O1916" i="1" s="1"/>
  <c r="N1917" i="1"/>
  <c r="O1917" i="1" s="1"/>
  <c r="N1918" i="1"/>
  <c r="O1918" i="1" s="1"/>
  <c r="N1919" i="1"/>
  <c r="O1919" i="1" s="1"/>
  <c r="N1920" i="1"/>
  <c r="O1920" i="1" s="1"/>
  <c r="N1921" i="1"/>
  <c r="O1921" i="1" s="1"/>
  <c r="N1922" i="1"/>
  <c r="O1922" i="1" s="1"/>
  <c r="N1923" i="1"/>
  <c r="O1923" i="1" s="1"/>
  <c r="N1924" i="1"/>
  <c r="O1924" i="1" s="1"/>
  <c r="N1925" i="1"/>
  <c r="O1925" i="1" s="1"/>
  <c r="N1926" i="1"/>
  <c r="O1926" i="1" s="1"/>
  <c r="N1927" i="1"/>
  <c r="O1927" i="1" s="1"/>
  <c r="N1928" i="1"/>
  <c r="O1928" i="1" s="1"/>
  <c r="N1929" i="1"/>
  <c r="O1929" i="1" s="1"/>
  <c r="N1930" i="1"/>
  <c r="O1930" i="1" s="1"/>
  <c r="N1931" i="1"/>
  <c r="O1931" i="1" s="1"/>
  <c r="N1932" i="1"/>
  <c r="O1932" i="1" s="1"/>
  <c r="N1933" i="1"/>
  <c r="O1933" i="1" s="1"/>
  <c r="N1934" i="1"/>
  <c r="O1934" i="1" s="1"/>
  <c r="N1935" i="1"/>
  <c r="O1935" i="1" s="1"/>
  <c r="N1936" i="1"/>
  <c r="O1936" i="1" s="1"/>
  <c r="N1937" i="1"/>
  <c r="O1937" i="1" s="1"/>
  <c r="N1938" i="1"/>
  <c r="O1938" i="1" s="1"/>
  <c r="N1939" i="1"/>
  <c r="O1939" i="1" s="1"/>
  <c r="N1940" i="1"/>
  <c r="O1940" i="1" s="1"/>
  <c r="N1941" i="1"/>
  <c r="O1941" i="1" s="1"/>
  <c r="N1942" i="1"/>
  <c r="O1942" i="1" s="1"/>
  <c r="N1943" i="1"/>
  <c r="O1943" i="1" s="1"/>
  <c r="N1944" i="1"/>
  <c r="O1944" i="1" s="1"/>
  <c r="N1945" i="1"/>
  <c r="O1945" i="1" s="1"/>
  <c r="N1946" i="1"/>
  <c r="O1946" i="1" s="1"/>
  <c r="N1947" i="1"/>
  <c r="O1947" i="1" s="1"/>
  <c r="N1948" i="1"/>
  <c r="O1948" i="1" s="1"/>
  <c r="N1949" i="1"/>
  <c r="O1949" i="1" s="1"/>
  <c r="N1950" i="1"/>
  <c r="O1950" i="1" s="1"/>
  <c r="N1951" i="1"/>
  <c r="O1951" i="1" s="1"/>
  <c r="N1952" i="1"/>
  <c r="O1952" i="1" s="1"/>
  <c r="N1953" i="1"/>
  <c r="O1953" i="1" s="1"/>
  <c r="N1954" i="1"/>
  <c r="O1954" i="1" s="1"/>
  <c r="N1955" i="1"/>
  <c r="O1955" i="1" s="1"/>
  <c r="N1956" i="1"/>
  <c r="O1956" i="1" s="1"/>
  <c r="N1957" i="1"/>
  <c r="O1957" i="1" s="1"/>
  <c r="N1958" i="1"/>
  <c r="O1958" i="1" s="1"/>
  <c r="N1959" i="1"/>
  <c r="O1959" i="1" s="1"/>
  <c r="N1960" i="1"/>
  <c r="O1960" i="1" s="1"/>
  <c r="N1961" i="1"/>
  <c r="O1961" i="1" s="1"/>
  <c r="N1962" i="1"/>
  <c r="O1962" i="1" s="1"/>
  <c r="N1963" i="1"/>
  <c r="O1963" i="1" s="1"/>
  <c r="N1964" i="1"/>
  <c r="O1964" i="1" s="1"/>
  <c r="N1965" i="1"/>
  <c r="O1965" i="1" s="1"/>
  <c r="N1966" i="1"/>
  <c r="O1966" i="1" s="1"/>
  <c r="N1967" i="1"/>
  <c r="O1967" i="1" s="1"/>
  <c r="N1968" i="1"/>
  <c r="O1968" i="1" s="1"/>
  <c r="N1969" i="1"/>
  <c r="O1969" i="1" s="1"/>
  <c r="N1970" i="1"/>
  <c r="O1970" i="1" s="1"/>
  <c r="N1971" i="1"/>
  <c r="O1971" i="1" s="1"/>
  <c r="N1972" i="1"/>
  <c r="O1972" i="1" s="1"/>
  <c r="N1973" i="1"/>
  <c r="O1973" i="1" s="1"/>
  <c r="N1974" i="1"/>
  <c r="O1974" i="1" s="1"/>
  <c r="N1975" i="1"/>
  <c r="O1975" i="1" s="1"/>
  <c r="N1976" i="1"/>
  <c r="O1976" i="1" s="1"/>
  <c r="N1977" i="1"/>
  <c r="O1977" i="1" s="1"/>
  <c r="N1978" i="1"/>
  <c r="O1978" i="1" s="1"/>
  <c r="N1979" i="1"/>
  <c r="O1979" i="1" s="1"/>
  <c r="N1980" i="1"/>
  <c r="O1980" i="1" s="1"/>
  <c r="N1981" i="1"/>
  <c r="O1981" i="1" s="1"/>
  <c r="N1982" i="1"/>
  <c r="O1982" i="1" s="1"/>
  <c r="N1983" i="1"/>
  <c r="O1983" i="1" s="1"/>
  <c r="N1984" i="1"/>
  <c r="O1984" i="1" s="1"/>
  <c r="N1985" i="1"/>
  <c r="O1985" i="1" s="1"/>
  <c r="N1986" i="1"/>
  <c r="O1986" i="1" s="1"/>
  <c r="N1987" i="1"/>
  <c r="O1987" i="1" s="1"/>
  <c r="N1988" i="1"/>
  <c r="O1988" i="1" s="1"/>
  <c r="N1989" i="1"/>
  <c r="O1989" i="1" s="1"/>
  <c r="N1990" i="1"/>
  <c r="O1990" i="1" s="1"/>
  <c r="N1991" i="1"/>
  <c r="O1991" i="1" s="1"/>
  <c r="N1992" i="1"/>
  <c r="O1992" i="1" s="1"/>
  <c r="N1993" i="1"/>
  <c r="O1993" i="1" s="1"/>
  <c r="N1994" i="1"/>
  <c r="O1994" i="1" s="1"/>
  <c r="N1995" i="1"/>
  <c r="O1995" i="1" s="1"/>
  <c r="N1996" i="1"/>
  <c r="O1996" i="1" s="1"/>
  <c r="N1997" i="1"/>
  <c r="O1997" i="1" s="1"/>
  <c r="N1998" i="1"/>
  <c r="O1998" i="1" s="1"/>
  <c r="N1999" i="1"/>
  <c r="O1999" i="1" s="1"/>
  <c r="N2000" i="1"/>
  <c r="O2000" i="1" s="1"/>
  <c r="N2001" i="1"/>
  <c r="O2001" i="1" s="1"/>
  <c r="N2002" i="1"/>
  <c r="O2002" i="1" s="1"/>
  <c r="N2003" i="1"/>
  <c r="O2003" i="1" s="1"/>
  <c r="N2004" i="1"/>
  <c r="O2004" i="1" s="1"/>
  <c r="N2005" i="1"/>
  <c r="O2005" i="1" s="1"/>
  <c r="N2006" i="1"/>
  <c r="O2006" i="1" s="1"/>
  <c r="N2007" i="1"/>
  <c r="O2007" i="1" s="1"/>
  <c r="N2008" i="1"/>
  <c r="O2008" i="1" s="1"/>
  <c r="N2009" i="1"/>
  <c r="O2009" i="1" s="1"/>
  <c r="N2010" i="1"/>
  <c r="O2010" i="1" s="1"/>
  <c r="N2011" i="1"/>
  <c r="O2011" i="1" s="1"/>
  <c r="N2012" i="1"/>
  <c r="O2012" i="1" s="1"/>
  <c r="N2013" i="1"/>
  <c r="O2013" i="1" s="1"/>
  <c r="N2014" i="1"/>
  <c r="O2014" i="1" s="1"/>
  <c r="N2015" i="1"/>
  <c r="O2015" i="1" s="1"/>
  <c r="N2016" i="1"/>
  <c r="O2016" i="1" s="1"/>
  <c r="N2017" i="1"/>
  <c r="O2017" i="1" s="1"/>
  <c r="N2018" i="1"/>
  <c r="O2018" i="1" s="1"/>
  <c r="N2019" i="1"/>
  <c r="O2019" i="1" s="1"/>
  <c r="N2020" i="1"/>
  <c r="O2020" i="1" s="1"/>
  <c r="N2021" i="1"/>
  <c r="O2021" i="1" s="1"/>
  <c r="N2022" i="1"/>
  <c r="O2022" i="1" s="1"/>
  <c r="N2023" i="1"/>
  <c r="O2023" i="1" s="1"/>
  <c r="N2024" i="1"/>
  <c r="O2024" i="1" s="1"/>
  <c r="N2025" i="1"/>
  <c r="O2025" i="1" s="1"/>
  <c r="N2026" i="1"/>
  <c r="O2026" i="1" s="1"/>
  <c r="N2027" i="1"/>
  <c r="O2027" i="1" s="1"/>
  <c r="N2028" i="1"/>
  <c r="O2028" i="1" s="1"/>
  <c r="N2029" i="1"/>
  <c r="O2029" i="1" s="1"/>
  <c r="N2030" i="1"/>
  <c r="O2030" i="1" s="1"/>
  <c r="N2031" i="1"/>
  <c r="O2031" i="1" s="1"/>
  <c r="N2032" i="1"/>
  <c r="O2032" i="1" s="1"/>
  <c r="N2033" i="1"/>
  <c r="O2033" i="1" s="1"/>
  <c r="N2034" i="1"/>
  <c r="O2034" i="1" s="1"/>
  <c r="N2035" i="1"/>
  <c r="O2035" i="1" s="1"/>
  <c r="N2036" i="1"/>
  <c r="O2036" i="1" s="1"/>
  <c r="N2037" i="1"/>
  <c r="O2037" i="1" s="1"/>
  <c r="N2038" i="1"/>
  <c r="O2038" i="1" s="1"/>
  <c r="N2039" i="1"/>
  <c r="O2039" i="1" s="1"/>
  <c r="N2040" i="1"/>
  <c r="O2040" i="1" s="1"/>
  <c r="N2041" i="1"/>
  <c r="O2041" i="1" s="1"/>
  <c r="N2042" i="1"/>
  <c r="O2042" i="1" s="1"/>
  <c r="N2043" i="1"/>
  <c r="O2043" i="1" s="1"/>
  <c r="N2044" i="1"/>
  <c r="O2044" i="1" s="1"/>
  <c r="N2045" i="1"/>
  <c r="O2045" i="1" s="1"/>
  <c r="N2046" i="1"/>
  <c r="O2046" i="1" s="1"/>
  <c r="N2047" i="1"/>
  <c r="O2047" i="1" s="1"/>
  <c r="N2048" i="1"/>
  <c r="O2048" i="1" s="1"/>
  <c r="N2049" i="1"/>
  <c r="O2049" i="1" s="1"/>
  <c r="N2050" i="1"/>
  <c r="O2050" i="1" s="1"/>
  <c r="N2051" i="1"/>
  <c r="O2051" i="1" s="1"/>
  <c r="N2052" i="1"/>
  <c r="O2052" i="1" s="1"/>
  <c r="N2053" i="1"/>
  <c r="O2053" i="1" s="1"/>
  <c r="N2054" i="1"/>
  <c r="O2054" i="1" s="1"/>
  <c r="N2055" i="1"/>
  <c r="O2055" i="1" s="1"/>
  <c r="N2056" i="1"/>
  <c r="O2056" i="1" s="1"/>
  <c r="N2057" i="1"/>
  <c r="O2057" i="1" s="1"/>
  <c r="N2058" i="1"/>
  <c r="O2058" i="1" s="1"/>
  <c r="N2059" i="1"/>
  <c r="O2059" i="1" s="1"/>
  <c r="N2060" i="1"/>
  <c r="O2060" i="1" s="1"/>
  <c r="N2061" i="1"/>
  <c r="O2061" i="1" s="1"/>
  <c r="N2062" i="1"/>
  <c r="O2062" i="1" s="1"/>
  <c r="N2063" i="1"/>
  <c r="O2063" i="1" s="1"/>
  <c r="N2064" i="1"/>
  <c r="O2064" i="1" s="1"/>
  <c r="N2065" i="1"/>
  <c r="O2065" i="1" s="1"/>
  <c r="N2066" i="1"/>
  <c r="O2066" i="1" s="1"/>
  <c r="N2067" i="1"/>
  <c r="O2067" i="1" s="1"/>
  <c r="N2068" i="1"/>
  <c r="O2068" i="1" s="1"/>
  <c r="N2069" i="1"/>
  <c r="O2069" i="1" s="1"/>
  <c r="N2070" i="1"/>
  <c r="O2070" i="1" s="1"/>
  <c r="N2071" i="1"/>
  <c r="O2071" i="1" s="1"/>
  <c r="N2072" i="1"/>
  <c r="O2072" i="1" s="1"/>
  <c r="N2073" i="1"/>
  <c r="O2073" i="1" s="1"/>
  <c r="N2074" i="1"/>
  <c r="O2074" i="1" s="1"/>
  <c r="N2075" i="1"/>
  <c r="O2075" i="1" s="1"/>
  <c r="N2076" i="1"/>
  <c r="O2076" i="1" s="1"/>
  <c r="N2077" i="1"/>
  <c r="O2077" i="1" s="1"/>
  <c r="N2078" i="1"/>
  <c r="O2078" i="1" s="1"/>
  <c r="N2079" i="1"/>
  <c r="O2079" i="1" s="1"/>
  <c r="N2080" i="1"/>
  <c r="O2080" i="1" s="1"/>
  <c r="N2081" i="1"/>
  <c r="O2081" i="1" s="1"/>
  <c r="N2082" i="1"/>
  <c r="O2082" i="1" s="1"/>
  <c r="N2083" i="1"/>
  <c r="O2083" i="1" s="1"/>
  <c r="N2084" i="1"/>
  <c r="O2084" i="1" s="1"/>
  <c r="N2085" i="1"/>
  <c r="O2085" i="1" s="1"/>
  <c r="N2086" i="1"/>
  <c r="O2086" i="1" s="1"/>
  <c r="N2087" i="1"/>
  <c r="O2087" i="1" s="1"/>
  <c r="N2088" i="1"/>
  <c r="O2088" i="1" s="1"/>
  <c r="N2089" i="1"/>
  <c r="O2089" i="1" s="1"/>
  <c r="N2090" i="1"/>
  <c r="O2090" i="1" s="1"/>
  <c r="N2091" i="1"/>
  <c r="O2091" i="1" s="1"/>
  <c r="N2092" i="1"/>
  <c r="O2092" i="1" s="1"/>
  <c r="N2093" i="1"/>
  <c r="O2093" i="1" s="1"/>
  <c r="N2094" i="1"/>
  <c r="O2094" i="1" s="1"/>
  <c r="N2095" i="1"/>
  <c r="O2095" i="1" s="1"/>
  <c r="N2096" i="1"/>
  <c r="O2096" i="1" s="1"/>
  <c r="N2097" i="1"/>
  <c r="O2097" i="1" s="1"/>
  <c r="N2098" i="1"/>
  <c r="O2098" i="1" s="1"/>
  <c r="N2099" i="1"/>
  <c r="O2099" i="1" s="1"/>
  <c r="N2100" i="1"/>
  <c r="O2100" i="1" s="1"/>
  <c r="N2101" i="1"/>
  <c r="O2101" i="1" s="1"/>
  <c r="N2102" i="1"/>
  <c r="O2102" i="1" s="1"/>
  <c r="N2103" i="1"/>
  <c r="O2103" i="1" s="1"/>
  <c r="N2104" i="1"/>
  <c r="O2104" i="1" s="1"/>
  <c r="N2105" i="1"/>
  <c r="O2105" i="1" s="1"/>
  <c r="N2106" i="1"/>
  <c r="O2106" i="1" s="1"/>
  <c r="N2107" i="1"/>
  <c r="O2107" i="1" s="1"/>
  <c r="N2108" i="1"/>
  <c r="O2108" i="1" s="1"/>
  <c r="N2109" i="1"/>
  <c r="O2109" i="1" s="1"/>
  <c r="N2110" i="1"/>
  <c r="O2110" i="1" s="1"/>
  <c r="N2111" i="1"/>
  <c r="O2111" i="1" s="1"/>
  <c r="N2112" i="1"/>
  <c r="O2112" i="1" s="1"/>
  <c r="N2113" i="1"/>
  <c r="O2113" i="1" s="1"/>
  <c r="N2114" i="1"/>
  <c r="O2114" i="1" s="1"/>
  <c r="N2115" i="1"/>
  <c r="O2115" i="1" s="1"/>
  <c r="N2116" i="1"/>
  <c r="O2116" i="1" s="1"/>
  <c r="N2117" i="1"/>
  <c r="O2117" i="1" s="1"/>
  <c r="N2118" i="1"/>
  <c r="O2118" i="1" s="1"/>
  <c r="N2119" i="1"/>
  <c r="O2119" i="1" s="1"/>
  <c r="N2120" i="1"/>
  <c r="O2120" i="1" s="1"/>
  <c r="N2121" i="1"/>
  <c r="O2121" i="1" s="1"/>
  <c r="N2122" i="1"/>
  <c r="O2122" i="1" s="1"/>
  <c r="N2123" i="1"/>
  <c r="O2123" i="1" s="1"/>
  <c r="N2124" i="1"/>
  <c r="O2124" i="1" s="1"/>
  <c r="N2125" i="1"/>
  <c r="O2125" i="1" s="1"/>
  <c r="N2126" i="1"/>
  <c r="O2126" i="1" s="1"/>
  <c r="N2127" i="1"/>
  <c r="O2127" i="1" s="1"/>
  <c r="N2128" i="1"/>
  <c r="O2128" i="1" s="1"/>
  <c r="N2129" i="1"/>
  <c r="O2129" i="1" s="1"/>
  <c r="N2130" i="1"/>
  <c r="O2130" i="1" s="1"/>
  <c r="N2131" i="1"/>
  <c r="O2131" i="1" s="1"/>
  <c r="N2132" i="1"/>
  <c r="O2132" i="1" s="1"/>
  <c r="N2133" i="1"/>
  <c r="O2133" i="1" s="1"/>
  <c r="N2134" i="1"/>
  <c r="O2134" i="1" s="1"/>
  <c r="N2135" i="1"/>
  <c r="O2135" i="1" s="1"/>
  <c r="N2136" i="1"/>
  <c r="O2136" i="1" s="1"/>
  <c r="N2137" i="1"/>
  <c r="O2137" i="1" s="1"/>
  <c r="N2138" i="1"/>
  <c r="O2138" i="1" s="1"/>
  <c r="N2139" i="1"/>
  <c r="O2139" i="1" s="1"/>
  <c r="N2140" i="1"/>
  <c r="O2140" i="1" s="1"/>
  <c r="N2141" i="1"/>
  <c r="O2141" i="1" s="1"/>
  <c r="N2142" i="1"/>
  <c r="O2142" i="1" s="1"/>
  <c r="N2143" i="1"/>
  <c r="O2143" i="1" s="1"/>
  <c r="N2144" i="1"/>
  <c r="O2144" i="1" s="1"/>
  <c r="N2145" i="1"/>
  <c r="O2145" i="1" s="1"/>
  <c r="N2146" i="1"/>
  <c r="O2146" i="1" s="1"/>
  <c r="N2147" i="1"/>
  <c r="O2147" i="1" s="1"/>
  <c r="N2148" i="1"/>
  <c r="O2148" i="1" s="1"/>
  <c r="N2149" i="1"/>
  <c r="O2149" i="1" s="1"/>
  <c r="N2150" i="1"/>
  <c r="O2150" i="1" s="1"/>
  <c r="N2151" i="1"/>
  <c r="O2151" i="1" s="1"/>
  <c r="N2152" i="1"/>
  <c r="O2152" i="1" s="1"/>
  <c r="N2153" i="1"/>
  <c r="O2153" i="1" s="1"/>
  <c r="N2154" i="1"/>
  <c r="O2154" i="1" s="1"/>
  <c r="N2155" i="1"/>
  <c r="O2155" i="1" s="1"/>
  <c r="N2156" i="1"/>
  <c r="O2156" i="1" s="1"/>
  <c r="N2157" i="1"/>
  <c r="O2157" i="1" s="1"/>
  <c r="N2158" i="1"/>
  <c r="O2158" i="1" s="1"/>
  <c r="N2159" i="1"/>
  <c r="O2159" i="1" s="1"/>
  <c r="N2160" i="1"/>
  <c r="O2160" i="1" s="1"/>
  <c r="N2161" i="1"/>
  <c r="O2161" i="1" s="1"/>
  <c r="N2162" i="1"/>
  <c r="O2162" i="1" s="1"/>
  <c r="N2163" i="1"/>
  <c r="O2163" i="1" s="1"/>
  <c r="N2164" i="1"/>
  <c r="O2164" i="1" s="1"/>
  <c r="N2165" i="1"/>
  <c r="O2165" i="1" s="1"/>
  <c r="N2166" i="1"/>
  <c r="O2166" i="1" s="1"/>
  <c r="N2167" i="1"/>
  <c r="O2167" i="1" s="1"/>
  <c r="N2168" i="1"/>
  <c r="O2168" i="1" s="1"/>
  <c r="N2169" i="1"/>
  <c r="O2169" i="1" s="1"/>
  <c r="N2170" i="1"/>
  <c r="O2170" i="1" s="1"/>
  <c r="N2171" i="1"/>
  <c r="O2171" i="1" s="1"/>
  <c r="N2172" i="1"/>
  <c r="O2172" i="1" s="1"/>
  <c r="N2173" i="1"/>
  <c r="O2173" i="1" s="1"/>
  <c r="N2174" i="1"/>
  <c r="O2174" i="1" s="1"/>
  <c r="N2175" i="1"/>
  <c r="O2175" i="1" s="1"/>
  <c r="N2176" i="1"/>
  <c r="O2176" i="1" s="1"/>
  <c r="N2177" i="1"/>
  <c r="O2177" i="1" s="1"/>
  <c r="N2178" i="1"/>
  <c r="O2178" i="1" s="1"/>
  <c r="N2179" i="1"/>
  <c r="O2179" i="1" s="1"/>
  <c r="N2180" i="1"/>
  <c r="O2180" i="1" s="1"/>
  <c r="N2181" i="1"/>
  <c r="O2181" i="1" s="1"/>
  <c r="N2182" i="1"/>
  <c r="O2182" i="1" s="1"/>
  <c r="N2183" i="1"/>
  <c r="O2183" i="1" s="1"/>
  <c r="N2184" i="1"/>
  <c r="O2184" i="1" s="1"/>
  <c r="N2185" i="1"/>
  <c r="O2185" i="1" s="1"/>
  <c r="N2186" i="1"/>
  <c r="O2186" i="1" s="1"/>
  <c r="N2187" i="1"/>
  <c r="O2187" i="1" s="1"/>
  <c r="N2188" i="1"/>
  <c r="O2188" i="1" s="1"/>
  <c r="N2189" i="1"/>
  <c r="O2189" i="1" s="1"/>
  <c r="N2190" i="1"/>
  <c r="O2190" i="1" s="1"/>
  <c r="N2191" i="1"/>
  <c r="O2191" i="1" s="1"/>
  <c r="N2192" i="1"/>
  <c r="O2192" i="1" s="1"/>
  <c r="N2193" i="1"/>
  <c r="O2193" i="1" s="1"/>
  <c r="N2194" i="1"/>
  <c r="O2194" i="1" s="1"/>
  <c r="N2195" i="1"/>
  <c r="O2195" i="1" s="1"/>
  <c r="N2196" i="1"/>
  <c r="O2196" i="1" s="1"/>
  <c r="N2197" i="1"/>
  <c r="O2197" i="1" s="1"/>
  <c r="N2198" i="1"/>
  <c r="O2198" i="1" s="1"/>
  <c r="N2199" i="1"/>
  <c r="O2199" i="1" s="1"/>
  <c r="N2200" i="1"/>
  <c r="O2200" i="1" s="1"/>
  <c r="N2201" i="1"/>
  <c r="O2201" i="1" s="1"/>
  <c r="N2202" i="1"/>
  <c r="O2202" i="1" s="1"/>
  <c r="N2203" i="1"/>
  <c r="O2203" i="1" s="1"/>
  <c r="N2204" i="1"/>
  <c r="O2204" i="1" s="1"/>
  <c r="N2205" i="1"/>
  <c r="O2205" i="1" s="1"/>
  <c r="N2206" i="1"/>
  <c r="O2206" i="1" s="1"/>
  <c r="N2207" i="1"/>
  <c r="O2207" i="1" s="1"/>
  <c r="N2208" i="1"/>
  <c r="O2208" i="1" s="1"/>
  <c r="N2209" i="1"/>
  <c r="O2209" i="1" s="1"/>
  <c r="N2210" i="1"/>
  <c r="O2210" i="1" s="1"/>
  <c r="N2211" i="1"/>
  <c r="O2211" i="1" s="1"/>
  <c r="N2212" i="1"/>
  <c r="O2212" i="1" s="1"/>
  <c r="N2213" i="1"/>
  <c r="O2213" i="1" s="1"/>
  <c r="N2214" i="1"/>
  <c r="O2214" i="1" s="1"/>
  <c r="N2215" i="1"/>
  <c r="O2215" i="1" s="1"/>
  <c r="N2216" i="1"/>
  <c r="O2216" i="1" s="1"/>
  <c r="N2217" i="1"/>
  <c r="O2217" i="1" s="1"/>
  <c r="N2218" i="1"/>
  <c r="O2218" i="1" s="1"/>
  <c r="N2219" i="1"/>
  <c r="O2219" i="1" s="1"/>
  <c r="N2220" i="1"/>
  <c r="O2220" i="1" s="1"/>
  <c r="N2221" i="1"/>
  <c r="O2221" i="1" s="1"/>
  <c r="N2222" i="1"/>
  <c r="O2222" i="1" s="1"/>
  <c r="N2223" i="1"/>
  <c r="O2223" i="1" s="1"/>
  <c r="N2224" i="1"/>
  <c r="O2224" i="1" s="1"/>
  <c r="N2225" i="1"/>
  <c r="O2225" i="1" s="1"/>
  <c r="N2226" i="1"/>
  <c r="O2226" i="1" s="1"/>
  <c r="N2227" i="1"/>
  <c r="O2227" i="1" s="1"/>
  <c r="N2228" i="1"/>
  <c r="O2228" i="1" s="1"/>
  <c r="N2229" i="1"/>
  <c r="O2229" i="1" s="1"/>
  <c r="N2230" i="1"/>
  <c r="O2230" i="1" s="1"/>
  <c r="N2231" i="1"/>
  <c r="O2231" i="1" s="1"/>
  <c r="N2232" i="1"/>
  <c r="O2232" i="1" s="1"/>
  <c r="N2233" i="1"/>
  <c r="O2233" i="1" s="1"/>
  <c r="N2234" i="1"/>
  <c r="O2234" i="1" s="1"/>
  <c r="N2235" i="1"/>
  <c r="O2235" i="1" s="1"/>
  <c r="N2236" i="1"/>
  <c r="O2236" i="1" s="1"/>
  <c r="N2237" i="1"/>
  <c r="O2237" i="1" s="1"/>
  <c r="N2238" i="1"/>
  <c r="O2238" i="1" s="1"/>
  <c r="N2239" i="1"/>
  <c r="O2239" i="1" s="1"/>
  <c r="N2240" i="1"/>
  <c r="O2240" i="1" s="1"/>
  <c r="N2241" i="1"/>
  <c r="O2241" i="1" s="1"/>
  <c r="N2242" i="1"/>
  <c r="O2242" i="1" s="1"/>
  <c r="N2243" i="1"/>
  <c r="O2243" i="1" s="1"/>
  <c r="N2244" i="1"/>
  <c r="O2244" i="1" s="1"/>
  <c r="N2245" i="1"/>
  <c r="O2245" i="1" s="1"/>
  <c r="N2246" i="1"/>
  <c r="O2246" i="1" s="1"/>
  <c r="N2247" i="1"/>
  <c r="O2247" i="1" s="1"/>
  <c r="N2248" i="1"/>
  <c r="O2248" i="1" s="1"/>
  <c r="N2249" i="1"/>
  <c r="O2249" i="1" s="1"/>
  <c r="N2250" i="1"/>
  <c r="O2250" i="1" s="1"/>
  <c r="N2251" i="1"/>
  <c r="O2251" i="1" s="1"/>
  <c r="N2252" i="1"/>
  <c r="O2252" i="1" s="1"/>
  <c r="N2253" i="1"/>
  <c r="O2253" i="1" s="1"/>
  <c r="N2254" i="1"/>
  <c r="O2254" i="1" s="1"/>
  <c r="N2255" i="1"/>
  <c r="O2255" i="1" s="1"/>
  <c r="N2256" i="1"/>
  <c r="O2256" i="1" s="1"/>
  <c r="N2257" i="1"/>
  <c r="O2257" i="1" s="1"/>
  <c r="N2258" i="1"/>
  <c r="O2258" i="1" s="1"/>
  <c r="N2259" i="1"/>
  <c r="O2259" i="1" s="1"/>
  <c r="N2260" i="1"/>
  <c r="O2260" i="1" s="1"/>
  <c r="N2261" i="1"/>
  <c r="O2261" i="1" s="1"/>
  <c r="N2262" i="1"/>
  <c r="O2262" i="1" s="1"/>
  <c r="N2263" i="1"/>
  <c r="O2263" i="1" s="1"/>
  <c r="N2264" i="1"/>
  <c r="O2264" i="1" s="1"/>
  <c r="N2265" i="1"/>
  <c r="O2265" i="1" s="1"/>
  <c r="N2266" i="1"/>
  <c r="O2266" i="1" s="1"/>
  <c r="N2267" i="1"/>
  <c r="O2267" i="1" s="1"/>
  <c r="N2268" i="1"/>
  <c r="O2268" i="1" s="1"/>
  <c r="N2269" i="1"/>
  <c r="O2269" i="1" s="1"/>
  <c r="N2270" i="1"/>
  <c r="O2270" i="1" s="1"/>
  <c r="N2271" i="1"/>
  <c r="O2271" i="1" s="1"/>
  <c r="N2272" i="1"/>
  <c r="O2272" i="1" s="1"/>
  <c r="N2273" i="1"/>
  <c r="O2273" i="1" s="1"/>
  <c r="N2274" i="1"/>
  <c r="O2274" i="1" s="1"/>
  <c r="N2275" i="1"/>
  <c r="O2275" i="1" s="1"/>
  <c r="N2276" i="1"/>
  <c r="O2276" i="1" s="1"/>
  <c r="N2277" i="1"/>
  <c r="O2277" i="1" s="1"/>
  <c r="N2278" i="1"/>
  <c r="O2278" i="1" s="1"/>
  <c r="N2279" i="1"/>
  <c r="O2279" i="1" s="1"/>
  <c r="N2280" i="1"/>
  <c r="O2280" i="1" s="1"/>
  <c r="N2281" i="1"/>
  <c r="O2281" i="1" s="1"/>
  <c r="N2282" i="1"/>
  <c r="O2282" i="1" s="1"/>
  <c r="N2283" i="1"/>
  <c r="O2283" i="1" s="1"/>
  <c r="N2284" i="1"/>
  <c r="O2284" i="1" s="1"/>
  <c r="N2285" i="1"/>
  <c r="O2285" i="1" s="1"/>
  <c r="N2286" i="1"/>
  <c r="O2286" i="1" s="1"/>
  <c r="N2287" i="1"/>
  <c r="O2287" i="1" s="1"/>
  <c r="N2288" i="1"/>
  <c r="O2288" i="1" s="1"/>
  <c r="N2289" i="1"/>
  <c r="O2289" i="1" s="1"/>
  <c r="N2290" i="1"/>
  <c r="O2290" i="1" s="1"/>
  <c r="N2291" i="1"/>
  <c r="O2291" i="1" s="1"/>
  <c r="N2292" i="1"/>
  <c r="O2292" i="1" s="1"/>
  <c r="N2293" i="1"/>
  <c r="O2293" i="1" s="1"/>
  <c r="N2294" i="1"/>
  <c r="O2294" i="1" s="1"/>
  <c r="N2295" i="1"/>
  <c r="O2295" i="1" s="1"/>
  <c r="N2296" i="1"/>
  <c r="O2296" i="1" s="1"/>
  <c r="N2297" i="1"/>
  <c r="O2297" i="1" s="1"/>
  <c r="N2298" i="1"/>
  <c r="O2298" i="1" s="1"/>
  <c r="N2299" i="1"/>
  <c r="O2299" i="1" s="1"/>
  <c r="N2300" i="1"/>
  <c r="O2300" i="1" s="1"/>
  <c r="N2301" i="1"/>
  <c r="O2301" i="1" s="1"/>
  <c r="N2302" i="1"/>
  <c r="O2302" i="1" s="1"/>
  <c r="N2303" i="1"/>
  <c r="O2303" i="1" s="1"/>
  <c r="N2304" i="1"/>
  <c r="O2304" i="1" s="1"/>
  <c r="N2305" i="1"/>
  <c r="O2305" i="1" s="1"/>
  <c r="N2306" i="1"/>
  <c r="O2306" i="1" s="1"/>
  <c r="N2307" i="1"/>
  <c r="O2307" i="1" s="1"/>
  <c r="N2308" i="1"/>
  <c r="O2308" i="1" s="1"/>
  <c r="N2309" i="1"/>
  <c r="O2309" i="1" s="1"/>
  <c r="N2310" i="1"/>
  <c r="O2310" i="1" s="1"/>
  <c r="N2311" i="1"/>
  <c r="O2311" i="1" s="1"/>
  <c r="N2312" i="1"/>
  <c r="O2312" i="1" s="1"/>
  <c r="N2313" i="1"/>
  <c r="O2313" i="1" s="1"/>
  <c r="N2314" i="1"/>
  <c r="O2314" i="1" s="1"/>
  <c r="N2315" i="1"/>
  <c r="O2315" i="1" s="1"/>
  <c r="N2316" i="1"/>
  <c r="O2316" i="1" s="1"/>
  <c r="N2317" i="1"/>
  <c r="O2317" i="1" s="1"/>
  <c r="N2318" i="1"/>
  <c r="O2318" i="1" s="1"/>
  <c r="N2319" i="1"/>
  <c r="O2319" i="1" s="1"/>
  <c r="N2320" i="1"/>
  <c r="O2320" i="1" s="1"/>
  <c r="N2321" i="1"/>
  <c r="O2321" i="1" s="1"/>
  <c r="N2322" i="1"/>
  <c r="O2322" i="1" s="1"/>
  <c r="N2323" i="1"/>
  <c r="O2323" i="1" s="1"/>
  <c r="N2324" i="1"/>
  <c r="O2324" i="1" s="1"/>
  <c r="N2325" i="1"/>
  <c r="O2325" i="1" s="1"/>
  <c r="N2326" i="1"/>
  <c r="O2326" i="1" s="1"/>
  <c r="N2327" i="1"/>
  <c r="O2327" i="1" s="1"/>
  <c r="N2328" i="1"/>
  <c r="O2328" i="1" s="1"/>
  <c r="N2329" i="1"/>
  <c r="O2329" i="1" s="1"/>
  <c r="N2330" i="1"/>
  <c r="O2330" i="1" s="1"/>
  <c r="N2331" i="1"/>
  <c r="O2331" i="1" s="1"/>
  <c r="N2332" i="1"/>
  <c r="O2332" i="1" s="1"/>
  <c r="N2333" i="1"/>
  <c r="O2333" i="1" s="1"/>
  <c r="N2334" i="1"/>
  <c r="O2334" i="1" s="1"/>
  <c r="N2335" i="1"/>
  <c r="O2335" i="1" s="1"/>
  <c r="N2336" i="1"/>
  <c r="O2336" i="1" s="1"/>
  <c r="N2337" i="1"/>
  <c r="O2337" i="1" s="1"/>
  <c r="N2338" i="1"/>
  <c r="O2338" i="1" s="1"/>
  <c r="N2339" i="1"/>
  <c r="O2339" i="1" s="1"/>
  <c r="N2340" i="1"/>
  <c r="O2340" i="1" s="1"/>
  <c r="N2341" i="1"/>
  <c r="O2341" i="1" s="1"/>
  <c r="N2342" i="1"/>
  <c r="O2342" i="1" s="1"/>
  <c r="N2343" i="1"/>
  <c r="O2343" i="1" s="1"/>
  <c r="N2344" i="1"/>
  <c r="O2344" i="1" s="1"/>
  <c r="N2345" i="1"/>
  <c r="O2345" i="1" s="1"/>
  <c r="N2346" i="1"/>
  <c r="O2346" i="1" s="1"/>
  <c r="N2347" i="1"/>
  <c r="O2347" i="1" s="1"/>
  <c r="N2348" i="1"/>
  <c r="O2348" i="1" s="1"/>
  <c r="N2349" i="1"/>
  <c r="O2349" i="1" s="1"/>
  <c r="N2350" i="1"/>
  <c r="O2350" i="1" s="1"/>
  <c r="N2351" i="1"/>
  <c r="O2351" i="1" s="1"/>
  <c r="N2352" i="1"/>
  <c r="O2352" i="1" s="1"/>
  <c r="N2353" i="1"/>
  <c r="O2353" i="1" s="1"/>
  <c r="N2354" i="1"/>
  <c r="O2354" i="1" s="1"/>
  <c r="N2355" i="1"/>
  <c r="O2355" i="1" s="1"/>
  <c r="N2356" i="1"/>
  <c r="O2356" i="1" s="1"/>
  <c r="N2357" i="1"/>
  <c r="O2357" i="1" s="1"/>
  <c r="N2358" i="1"/>
  <c r="O2358" i="1" s="1"/>
  <c r="N2359" i="1"/>
  <c r="O2359" i="1" s="1"/>
  <c r="N2360" i="1"/>
  <c r="O2360" i="1" s="1"/>
  <c r="N2361" i="1"/>
  <c r="O2361" i="1" s="1"/>
  <c r="N2362" i="1"/>
  <c r="O2362" i="1" s="1"/>
  <c r="N2363" i="1"/>
  <c r="O2363" i="1" s="1"/>
  <c r="N2364" i="1"/>
  <c r="O2364" i="1" s="1"/>
  <c r="N2365" i="1"/>
  <c r="O2365" i="1" s="1"/>
  <c r="N2366" i="1"/>
  <c r="O2366" i="1" s="1"/>
  <c r="N2367" i="1"/>
  <c r="O2367" i="1" s="1"/>
  <c r="N2368" i="1"/>
  <c r="O2368" i="1" s="1"/>
  <c r="N2369" i="1"/>
  <c r="O2369" i="1" s="1"/>
  <c r="N2370" i="1"/>
  <c r="O2370" i="1" s="1"/>
  <c r="N2371" i="1"/>
  <c r="O2371" i="1" s="1"/>
  <c r="N2372" i="1"/>
  <c r="O2372" i="1" s="1"/>
  <c r="N2373" i="1"/>
  <c r="O2373" i="1" s="1"/>
  <c r="N2374" i="1"/>
  <c r="O2374" i="1" s="1"/>
  <c r="N2375" i="1"/>
  <c r="O2375" i="1" s="1"/>
  <c r="N2376" i="1"/>
  <c r="O2376" i="1" s="1"/>
  <c r="N2377" i="1"/>
  <c r="O2377" i="1" s="1"/>
  <c r="N2378" i="1"/>
  <c r="O2378" i="1" s="1"/>
  <c r="N2379" i="1"/>
  <c r="O2379" i="1" s="1"/>
  <c r="N2380" i="1"/>
  <c r="O2380" i="1" s="1"/>
  <c r="N2381" i="1"/>
  <c r="O2381" i="1" s="1"/>
  <c r="N2382" i="1"/>
  <c r="O2382" i="1" s="1"/>
  <c r="N2383" i="1"/>
  <c r="O2383" i="1" s="1"/>
  <c r="N2384" i="1"/>
  <c r="O2384" i="1" s="1"/>
  <c r="N2385" i="1"/>
  <c r="O2385" i="1" s="1"/>
  <c r="N2386" i="1"/>
  <c r="O2386" i="1" s="1"/>
  <c r="N2387" i="1"/>
  <c r="O2387" i="1" s="1"/>
  <c r="N2388" i="1"/>
  <c r="O2388" i="1" s="1"/>
  <c r="N2389" i="1"/>
  <c r="O2389" i="1" s="1"/>
  <c r="N2390" i="1"/>
  <c r="O2390" i="1" s="1"/>
  <c r="N2391" i="1"/>
  <c r="O2391" i="1" s="1"/>
  <c r="N2392" i="1"/>
  <c r="O2392" i="1" s="1"/>
  <c r="N2393" i="1"/>
  <c r="O2393" i="1" s="1"/>
  <c r="N2394" i="1"/>
  <c r="O2394" i="1" s="1"/>
  <c r="N2395" i="1"/>
  <c r="O2395" i="1" s="1"/>
  <c r="N2396" i="1"/>
  <c r="O2396" i="1" s="1"/>
  <c r="N2397" i="1"/>
  <c r="O2397" i="1" s="1"/>
  <c r="N2398" i="1"/>
  <c r="O2398" i="1" s="1"/>
  <c r="N2399" i="1"/>
  <c r="O2399" i="1" s="1"/>
  <c r="N2400" i="1"/>
  <c r="O2400" i="1" s="1"/>
  <c r="N2401" i="1"/>
  <c r="O2401" i="1" s="1"/>
  <c r="N2402" i="1"/>
  <c r="O2402" i="1" s="1"/>
  <c r="N2403" i="1"/>
  <c r="O2403" i="1" s="1"/>
  <c r="N2404" i="1"/>
  <c r="O2404" i="1" s="1"/>
  <c r="N2405" i="1"/>
  <c r="O2405" i="1" s="1"/>
  <c r="N2406" i="1"/>
  <c r="O2406" i="1" s="1"/>
  <c r="N2407" i="1"/>
  <c r="O2407" i="1" s="1"/>
  <c r="N2408" i="1"/>
  <c r="O2408" i="1" s="1"/>
  <c r="N2409" i="1"/>
  <c r="O2409" i="1" s="1"/>
  <c r="N2410" i="1"/>
  <c r="O2410" i="1" s="1"/>
  <c r="N2411" i="1"/>
  <c r="O2411" i="1" s="1"/>
  <c r="N2412" i="1"/>
  <c r="O2412" i="1" s="1"/>
  <c r="N2413" i="1"/>
  <c r="O2413" i="1" s="1"/>
  <c r="N2414" i="1"/>
  <c r="O2414" i="1" s="1"/>
  <c r="N2415" i="1"/>
  <c r="O2415" i="1" s="1"/>
  <c r="N2416" i="1"/>
  <c r="O2416" i="1" s="1"/>
  <c r="N2417" i="1"/>
  <c r="O2417" i="1" s="1"/>
  <c r="N2418" i="1"/>
  <c r="O2418" i="1" s="1"/>
  <c r="N2419" i="1"/>
  <c r="O2419" i="1" s="1"/>
  <c r="N2420" i="1"/>
  <c r="O2420" i="1" s="1"/>
  <c r="N2421" i="1"/>
  <c r="O2421" i="1" s="1"/>
  <c r="N2422" i="1"/>
  <c r="O2422" i="1" s="1"/>
  <c r="N2423" i="1"/>
  <c r="O2423" i="1" s="1"/>
  <c r="N2424" i="1"/>
  <c r="O2424" i="1" s="1"/>
  <c r="N2425" i="1"/>
  <c r="O2425" i="1" s="1"/>
  <c r="N2426" i="1"/>
  <c r="O2426" i="1" s="1"/>
  <c r="N2427" i="1"/>
  <c r="O2427" i="1" s="1"/>
  <c r="N2428" i="1"/>
  <c r="O2428" i="1" s="1"/>
  <c r="N2429" i="1"/>
  <c r="O2429" i="1" s="1"/>
  <c r="N2430" i="1"/>
  <c r="O2430" i="1" s="1"/>
  <c r="N2431" i="1"/>
  <c r="O2431" i="1" s="1"/>
  <c r="N2432" i="1"/>
  <c r="O2432" i="1" s="1"/>
  <c r="N2433" i="1"/>
  <c r="O2433" i="1" s="1"/>
  <c r="N2434" i="1"/>
  <c r="O2434" i="1" s="1"/>
  <c r="N2435" i="1"/>
  <c r="O2435" i="1" s="1"/>
  <c r="N2436" i="1"/>
  <c r="O2436" i="1" s="1"/>
  <c r="N2437" i="1"/>
  <c r="O2437" i="1" s="1"/>
  <c r="N2438" i="1"/>
  <c r="O2438" i="1" s="1"/>
  <c r="N2439" i="1"/>
  <c r="O2439" i="1" s="1"/>
  <c r="N2440" i="1"/>
  <c r="O2440" i="1" s="1"/>
  <c r="N2441" i="1"/>
  <c r="O2441" i="1" s="1"/>
  <c r="N2442" i="1"/>
  <c r="O2442" i="1" s="1"/>
  <c r="N2443" i="1"/>
  <c r="O2443" i="1" s="1"/>
  <c r="N2444" i="1"/>
  <c r="O2444" i="1" s="1"/>
  <c r="N2445" i="1"/>
  <c r="O2445" i="1" s="1"/>
  <c r="N2446" i="1"/>
  <c r="O2446" i="1" s="1"/>
  <c r="N2447" i="1"/>
  <c r="O2447" i="1" s="1"/>
  <c r="N2448" i="1"/>
  <c r="O2448" i="1" s="1"/>
  <c r="N2449" i="1"/>
  <c r="O2449" i="1" s="1"/>
  <c r="N2450" i="1"/>
  <c r="O2450" i="1" s="1"/>
  <c r="N2451" i="1"/>
  <c r="O2451" i="1" s="1"/>
  <c r="N2452" i="1"/>
  <c r="O2452" i="1" s="1"/>
  <c r="N2453" i="1"/>
  <c r="O2453" i="1" s="1"/>
  <c r="N2454" i="1"/>
  <c r="O2454" i="1" s="1"/>
  <c r="N2455" i="1"/>
  <c r="O2455" i="1" s="1"/>
  <c r="N2456" i="1"/>
  <c r="O2456" i="1" s="1"/>
  <c r="N2457" i="1"/>
  <c r="O2457" i="1" s="1"/>
  <c r="N2458" i="1"/>
  <c r="O2458" i="1" s="1"/>
  <c r="N2459" i="1"/>
  <c r="O2459" i="1" s="1"/>
  <c r="N2460" i="1"/>
  <c r="O2460" i="1" s="1"/>
  <c r="N2461" i="1"/>
  <c r="O2461" i="1" s="1"/>
  <c r="N2462" i="1"/>
  <c r="O2462" i="1" s="1"/>
  <c r="N2463" i="1"/>
  <c r="O2463" i="1" s="1"/>
  <c r="N2464" i="1"/>
  <c r="O2464" i="1" s="1"/>
  <c r="N2465" i="1"/>
  <c r="O2465" i="1" s="1"/>
  <c r="N2466" i="1"/>
  <c r="O2466" i="1" s="1"/>
  <c r="N2467" i="1"/>
  <c r="O2467" i="1" s="1"/>
  <c r="N2468" i="1"/>
  <c r="O2468" i="1" s="1"/>
  <c r="N2469" i="1"/>
  <c r="O2469" i="1" s="1"/>
  <c r="N2470" i="1"/>
  <c r="O2470" i="1" s="1"/>
  <c r="N2471" i="1"/>
  <c r="O2471" i="1" s="1"/>
  <c r="N2472" i="1"/>
  <c r="O2472" i="1" s="1"/>
  <c r="N2473" i="1"/>
  <c r="O2473" i="1" s="1"/>
  <c r="N2474" i="1"/>
  <c r="O2474" i="1" s="1"/>
  <c r="N2475" i="1"/>
  <c r="O2475" i="1" s="1"/>
  <c r="N2476" i="1"/>
  <c r="O2476" i="1" s="1"/>
  <c r="N2477" i="1"/>
  <c r="O2477" i="1" s="1"/>
  <c r="N2478" i="1"/>
  <c r="O2478" i="1" s="1"/>
  <c r="N2479" i="1"/>
  <c r="O2479" i="1" s="1"/>
  <c r="N2480" i="1"/>
  <c r="O2480" i="1" s="1"/>
  <c r="N2481" i="1"/>
  <c r="O2481" i="1" s="1"/>
  <c r="N2482" i="1"/>
  <c r="O2482" i="1" s="1"/>
  <c r="N2483" i="1"/>
  <c r="O2483" i="1" s="1"/>
  <c r="N2484" i="1"/>
  <c r="O2484" i="1" s="1"/>
  <c r="N2485" i="1"/>
  <c r="O2485" i="1" s="1"/>
  <c r="N2486" i="1"/>
  <c r="O2486" i="1" s="1"/>
  <c r="N2487" i="1"/>
  <c r="O2487" i="1" s="1"/>
  <c r="N2488" i="1"/>
  <c r="O2488" i="1" s="1"/>
  <c r="N2489" i="1"/>
  <c r="O2489" i="1" s="1"/>
  <c r="N2490" i="1"/>
  <c r="O2490" i="1" s="1"/>
  <c r="N2491" i="1"/>
  <c r="O2491" i="1" s="1"/>
  <c r="N2492" i="1"/>
  <c r="O2492" i="1" s="1"/>
  <c r="N2493" i="1"/>
  <c r="O2493" i="1" s="1"/>
  <c r="N2494" i="1"/>
  <c r="O2494" i="1" s="1"/>
  <c r="N2495" i="1"/>
  <c r="O2495" i="1" s="1"/>
  <c r="N2496" i="1"/>
  <c r="O2496" i="1" s="1"/>
  <c r="N2497" i="1"/>
  <c r="O2497" i="1" s="1"/>
  <c r="N2498" i="1"/>
  <c r="O2498" i="1" s="1"/>
  <c r="N2499" i="1"/>
  <c r="O2499" i="1" s="1"/>
  <c r="N2500" i="1"/>
  <c r="O2500" i="1" s="1"/>
  <c r="N2501" i="1"/>
  <c r="O2501" i="1" s="1"/>
  <c r="N2502" i="1"/>
  <c r="O2502" i="1" s="1"/>
  <c r="N2503" i="1"/>
  <c r="O2503" i="1" s="1"/>
  <c r="N2504" i="1"/>
  <c r="O2504" i="1" s="1"/>
  <c r="N2505" i="1"/>
  <c r="O2505" i="1" s="1"/>
  <c r="N2506" i="1"/>
  <c r="O2506" i="1" s="1"/>
  <c r="N2507" i="1"/>
  <c r="O2507" i="1" s="1"/>
  <c r="N2508" i="1"/>
  <c r="O2508" i="1" s="1"/>
  <c r="N2509" i="1"/>
  <c r="O2509" i="1" s="1"/>
  <c r="N2510" i="1"/>
  <c r="O2510" i="1" s="1"/>
  <c r="N2511" i="1"/>
  <c r="O2511" i="1" s="1"/>
  <c r="N2512" i="1"/>
  <c r="O2512" i="1" s="1"/>
  <c r="N2513" i="1"/>
  <c r="O2513" i="1" s="1"/>
  <c r="N2514" i="1"/>
  <c r="O2514" i="1" s="1"/>
  <c r="N2515" i="1"/>
  <c r="O2515" i="1" s="1"/>
  <c r="N2516" i="1"/>
  <c r="O2516" i="1" s="1"/>
  <c r="N2517" i="1"/>
  <c r="O2517" i="1" s="1"/>
  <c r="N2518" i="1"/>
  <c r="O2518" i="1" s="1"/>
  <c r="N2519" i="1"/>
  <c r="O2519" i="1" s="1"/>
  <c r="N2520" i="1"/>
  <c r="O2520" i="1" s="1"/>
  <c r="N2521" i="1"/>
  <c r="O2521" i="1" s="1"/>
  <c r="N2522" i="1"/>
  <c r="O2522" i="1" s="1"/>
  <c r="N2523" i="1"/>
  <c r="O2523" i="1" s="1"/>
  <c r="N2524" i="1"/>
  <c r="O2524" i="1" s="1"/>
  <c r="N2525" i="1"/>
  <c r="O2525" i="1" s="1"/>
  <c r="N2526" i="1"/>
  <c r="O2526" i="1" s="1"/>
  <c r="N2527" i="1"/>
  <c r="O2527" i="1" s="1"/>
  <c r="N2528" i="1"/>
  <c r="O2528" i="1" s="1"/>
  <c r="N2529" i="1"/>
  <c r="O2529" i="1" s="1"/>
  <c r="N2530" i="1"/>
  <c r="O2530" i="1" s="1"/>
  <c r="N2531" i="1"/>
  <c r="O2531" i="1" s="1"/>
  <c r="N2532" i="1"/>
  <c r="O2532" i="1" s="1"/>
  <c r="N2533" i="1"/>
  <c r="O2533" i="1" s="1"/>
  <c r="N2534" i="1"/>
  <c r="O2534" i="1" s="1"/>
  <c r="N2535" i="1"/>
  <c r="O2535" i="1" s="1"/>
  <c r="N2536" i="1"/>
  <c r="O2536" i="1" s="1"/>
  <c r="N2537" i="1"/>
  <c r="O2537" i="1" s="1"/>
  <c r="N2538" i="1"/>
  <c r="O2538" i="1" s="1"/>
  <c r="N2539" i="1"/>
  <c r="O2539" i="1" s="1"/>
  <c r="N2540" i="1"/>
  <c r="O2540" i="1" s="1"/>
  <c r="N2541" i="1"/>
  <c r="O2541" i="1" s="1"/>
  <c r="N2542" i="1"/>
  <c r="O2542" i="1" s="1"/>
  <c r="N2543" i="1"/>
  <c r="O2543" i="1" s="1"/>
  <c r="N2544" i="1"/>
  <c r="O2544" i="1" s="1"/>
  <c r="N2545" i="1"/>
  <c r="O2545" i="1" s="1"/>
  <c r="N2546" i="1"/>
  <c r="O2546" i="1" s="1"/>
  <c r="N2547" i="1"/>
  <c r="O2547" i="1" s="1"/>
  <c r="N2548" i="1"/>
  <c r="O2548" i="1" s="1"/>
  <c r="N2549" i="1"/>
  <c r="O2549" i="1" s="1"/>
  <c r="N2550" i="1"/>
  <c r="O2550" i="1" s="1"/>
  <c r="N2551" i="1"/>
  <c r="O2551" i="1" s="1"/>
  <c r="N2552" i="1"/>
  <c r="O2552" i="1" s="1"/>
  <c r="N2553" i="1"/>
  <c r="O2553" i="1" s="1"/>
  <c r="N2554" i="1"/>
  <c r="O2554" i="1" s="1"/>
  <c r="N2555" i="1"/>
  <c r="O2555" i="1" s="1"/>
  <c r="N2556" i="1"/>
  <c r="O2556" i="1" s="1"/>
  <c r="N2557" i="1"/>
  <c r="O2557" i="1" s="1"/>
  <c r="N2558" i="1"/>
  <c r="O2558" i="1" s="1"/>
  <c r="N2559" i="1"/>
  <c r="O2559" i="1" s="1"/>
  <c r="N2560" i="1"/>
  <c r="O2560" i="1" s="1"/>
  <c r="N2561" i="1"/>
  <c r="O2561" i="1" s="1"/>
  <c r="N2562" i="1"/>
  <c r="O2562" i="1" s="1"/>
  <c r="N2563" i="1"/>
  <c r="O2563" i="1" s="1"/>
  <c r="N2564" i="1"/>
  <c r="O2564" i="1" s="1"/>
  <c r="N2565" i="1"/>
  <c r="O2565" i="1" s="1"/>
  <c r="N2566" i="1"/>
  <c r="O2566" i="1" s="1"/>
  <c r="N2567" i="1"/>
  <c r="O2567" i="1" s="1"/>
  <c r="N2568" i="1"/>
  <c r="O2568" i="1" s="1"/>
  <c r="N2569" i="1"/>
  <c r="O2569" i="1" s="1"/>
  <c r="N2570" i="1"/>
  <c r="O2570" i="1" s="1"/>
  <c r="N2571" i="1"/>
  <c r="O2571" i="1" s="1"/>
  <c r="N2572" i="1"/>
  <c r="O2572" i="1" s="1"/>
  <c r="N2573" i="1"/>
  <c r="O2573" i="1" s="1"/>
  <c r="N2574" i="1"/>
  <c r="O2574" i="1" s="1"/>
  <c r="N2575" i="1"/>
  <c r="O2575" i="1" s="1"/>
  <c r="N2576" i="1"/>
  <c r="O2576" i="1" s="1"/>
  <c r="N2577" i="1"/>
  <c r="O2577" i="1" s="1"/>
  <c r="N2578" i="1"/>
  <c r="O2578" i="1" s="1"/>
  <c r="N2579" i="1"/>
  <c r="O2579" i="1" s="1"/>
  <c r="N2580" i="1"/>
  <c r="O2580" i="1" s="1"/>
  <c r="N2581" i="1"/>
  <c r="O2581" i="1" s="1"/>
  <c r="N2582" i="1"/>
  <c r="O2582" i="1" s="1"/>
  <c r="N2583" i="1"/>
  <c r="O2583" i="1" s="1"/>
  <c r="N2584" i="1"/>
  <c r="O2584" i="1" s="1"/>
  <c r="N2585" i="1"/>
  <c r="O2585" i="1" s="1"/>
  <c r="N2586" i="1"/>
  <c r="O2586" i="1" s="1"/>
  <c r="N2587" i="1"/>
  <c r="O2587" i="1" s="1"/>
  <c r="N2588" i="1"/>
  <c r="O2588" i="1" s="1"/>
  <c r="N2589" i="1"/>
  <c r="O2589" i="1" s="1"/>
  <c r="N2590" i="1"/>
  <c r="O2590" i="1" s="1"/>
  <c r="N2591" i="1"/>
  <c r="O2591" i="1" s="1"/>
  <c r="N2592" i="1"/>
  <c r="O2592" i="1" s="1"/>
  <c r="N2593" i="1"/>
  <c r="O2593" i="1" s="1"/>
  <c r="N2594" i="1"/>
  <c r="O2594" i="1" s="1"/>
  <c r="N2595" i="1"/>
  <c r="O2595" i="1" s="1"/>
  <c r="N2596" i="1"/>
  <c r="O2596" i="1" s="1"/>
  <c r="N2597" i="1"/>
  <c r="O2597" i="1" s="1"/>
  <c r="N2598" i="1"/>
  <c r="O2598" i="1" s="1"/>
  <c r="N2599" i="1"/>
  <c r="O2599" i="1" s="1"/>
  <c r="N2600" i="1"/>
  <c r="O2600" i="1" s="1"/>
  <c r="N2601" i="1"/>
  <c r="O2601" i="1" s="1"/>
  <c r="N2602" i="1"/>
  <c r="O2602" i="1" s="1"/>
  <c r="N2603" i="1"/>
  <c r="O2603" i="1" s="1"/>
  <c r="N2604" i="1"/>
  <c r="O2604" i="1" s="1"/>
  <c r="N2605" i="1"/>
  <c r="O2605" i="1" s="1"/>
  <c r="N2606" i="1"/>
  <c r="O2606" i="1" s="1"/>
  <c r="N2607" i="1"/>
  <c r="O2607" i="1" s="1"/>
  <c r="N2608" i="1"/>
  <c r="O2608" i="1" s="1"/>
  <c r="N2609" i="1"/>
  <c r="O2609" i="1" s="1"/>
  <c r="N2610" i="1"/>
  <c r="O2610" i="1" s="1"/>
  <c r="N2611" i="1"/>
  <c r="O2611" i="1" s="1"/>
  <c r="N2612" i="1"/>
  <c r="O2612" i="1" s="1"/>
  <c r="N2613" i="1"/>
  <c r="O2613" i="1" s="1"/>
  <c r="N2614" i="1"/>
  <c r="O2614" i="1" s="1"/>
  <c r="N2615" i="1"/>
  <c r="O2615" i="1" s="1"/>
  <c r="N2616" i="1"/>
  <c r="O2616" i="1" s="1"/>
  <c r="N2617" i="1"/>
  <c r="O2617" i="1" s="1"/>
  <c r="N2618" i="1"/>
  <c r="O2618" i="1" s="1"/>
  <c r="N2619" i="1"/>
  <c r="O2619" i="1" s="1"/>
  <c r="N2620" i="1"/>
  <c r="O2620" i="1" s="1"/>
  <c r="N2621" i="1"/>
  <c r="O2621" i="1" s="1"/>
  <c r="N2622" i="1"/>
  <c r="O2622" i="1" s="1"/>
  <c r="N2623" i="1"/>
  <c r="O2623" i="1" s="1"/>
  <c r="N2624" i="1"/>
  <c r="O2624" i="1" s="1"/>
  <c r="N2625" i="1"/>
  <c r="O2625" i="1" s="1"/>
  <c r="N2626" i="1"/>
  <c r="O2626" i="1" s="1"/>
  <c r="N2627" i="1"/>
  <c r="O2627" i="1" s="1"/>
  <c r="N2628" i="1"/>
  <c r="O2628" i="1" s="1"/>
  <c r="N2629" i="1"/>
  <c r="O2629" i="1" s="1"/>
  <c r="N2630" i="1"/>
  <c r="O2630" i="1" s="1"/>
  <c r="N2631" i="1"/>
  <c r="O2631" i="1" s="1"/>
  <c r="N2632" i="1"/>
  <c r="O2632" i="1" s="1"/>
  <c r="N2633" i="1"/>
  <c r="O2633" i="1" s="1"/>
  <c r="N2634" i="1"/>
  <c r="O2634" i="1" s="1"/>
  <c r="N2635" i="1"/>
  <c r="O2635" i="1" s="1"/>
  <c r="N2636" i="1"/>
  <c r="O2636" i="1" s="1"/>
  <c r="N2637" i="1"/>
  <c r="O2637" i="1" s="1"/>
  <c r="N2638" i="1"/>
  <c r="O2638" i="1" s="1"/>
  <c r="N2639" i="1"/>
  <c r="O2639" i="1" s="1"/>
  <c r="N2640" i="1"/>
  <c r="O2640" i="1" s="1"/>
  <c r="N2641" i="1"/>
  <c r="O2641" i="1" s="1"/>
  <c r="N2642" i="1"/>
  <c r="O2642" i="1" s="1"/>
  <c r="N2643" i="1"/>
  <c r="O2643" i="1" s="1"/>
  <c r="N2644" i="1"/>
  <c r="O2644" i="1" s="1"/>
  <c r="N2645" i="1"/>
  <c r="O2645" i="1" s="1"/>
  <c r="N2646" i="1"/>
  <c r="O2646" i="1" s="1"/>
  <c r="N2647" i="1"/>
  <c r="O2647" i="1" s="1"/>
  <c r="N2648" i="1"/>
  <c r="O2648" i="1" s="1"/>
  <c r="N2649" i="1"/>
  <c r="O2649" i="1" s="1"/>
  <c r="N2650" i="1"/>
  <c r="O2650" i="1" s="1"/>
  <c r="N2651" i="1"/>
  <c r="O2651" i="1" s="1"/>
  <c r="N2652" i="1"/>
  <c r="O2652" i="1" s="1"/>
  <c r="N2653" i="1"/>
  <c r="O2653" i="1" s="1"/>
  <c r="N2654" i="1"/>
  <c r="O2654" i="1" s="1"/>
  <c r="N2655" i="1"/>
  <c r="O2655" i="1" s="1"/>
  <c r="N2656" i="1"/>
  <c r="O2656" i="1" s="1"/>
  <c r="N2657" i="1"/>
  <c r="O2657" i="1" s="1"/>
  <c r="N2658" i="1"/>
  <c r="O2658" i="1" s="1"/>
  <c r="N2659" i="1"/>
  <c r="O2659" i="1" s="1"/>
  <c r="N2660" i="1"/>
  <c r="O2660" i="1" s="1"/>
  <c r="N2661" i="1"/>
  <c r="O2661" i="1" s="1"/>
  <c r="N2662" i="1"/>
  <c r="O2662" i="1" s="1"/>
  <c r="N2663" i="1"/>
  <c r="O2663" i="1" s="1"/>
  <c r="N2664" i="1"/>
  <c r="O2664" i="1" s="1"/>
  <c r="N2665" i="1"/>
  <c r="O2665" i="1" s="1"/>
  <c r="N2666" i="1"/>
  <c r="O2666" i="1" s="1"/>
  <c r="N2667" i="1"/>
  <c r="O2667" i="1" s="1"/>
  <c r="N2668" i="1"/>
  <c r="O2668" i="1" s="1"/>
  <c r="N2669" i="1"/>
  <c r="O2669" i="1" s="1"/>
  <c r="N2670" i="1"/>
  <c r="O2670" i="1" s="1"/>
  <c r="N2671" i="1"/>
  <c r="O2671" i="1" s="1"/>
  <c r="N2672" i="1"/>
  <c r="O2672" i="1" s="1"/>
  <c r="N2673" i="1"/>
  <c r="O2673" i="1" s="1"/>
  <c r="N2674" i="1"/>
  <c r="O2674" i="1" s="1"/>
  <c r="N2675" i="1"/>
  <c r="O2675" i="1" s="1"/>
  <c r="N2676" i="1"/>
  <c r="O2676" i="1" s="1"/>
  <c r="N2677" i="1"/>
  <c r="O2677" i="1" s="1"/>
  <c r="N2678" i="1"/>
  <c r="O2678" i="1" s="1"/>
  <c r="N2679" i="1"/>
  <c r="O2679" i="1" s="1"/>
  <c r="N2680" i="1"/>
  <c r="O2680" i="1" s="1"/>
  <c r="N2681" i="1"/>
  <c r="O2681" i="1" s="1"/>
  <c r="N2682" i="1"/>
  <c r="O2682" i="1" s="1"/>
  <c r="N2683" i="1"/>
  <c r="O2683" i="1" s="1"/>
  <c r="N2684" i="1"/>
  <c r="O2684" i="1" s="1"/>
  <c r="N2685" i="1"/>
  <c r="O2685" i="1" s="1"/>
  <c r="N2686" i="1"/>
  <c r="O2686" i="1" s="1"/>
  <c r="N2687" i="1"/>
  <c r="O2687" i="1" s="1"/>
  <c r="N2688" i="1"/>
  <c r="O2688" i="1" s="1"/>
  <c r="N2689" i="1"/>
  <c r="O2689" i="1" s="1"/>
  <c r="N2690" i="1"/>
  <c r="O2690" i="1" s="1"/>
  <c r="N2691" i="1"/>
  <c r="O2691" i="1" s="1"/>
  <c r="N2692" i="1"/>
  <c r="O2692" i="1" s="1"/>
  <c r="N2693" i="1"/>
  <c r="O2693" i="1" s="1"/>
  <c r="N2694" i="1"/>
  <c r="O2694" i="1" s="1"/>
  <c r="N2695" i="1"/>
  <c r="O2695" i="1" s="1"/>
  <c r="N2696" i="1"/>
  <c r="O2696" i="1" s="1"/>
  <c r="N2697" i="1"/>
  <c r="O2697" i="1" s="1"/>
  <c r="N2698" i="1"/>
  <c r="O2698" i="1" s="1"/>
  <c r="N2699" i="1"/>
  <c r="O2699" i="1" s="1"/>
  <c r="N2700" i="1"/>
  <c r="O2700" i="1" s="1"/>
  <c r="N2701" i="1"/>
  <c r="O2701" i="1" s="1"/>
  <c r="N2702" i="1"/>
  <c r="O2702" i="1" s="1"/>
  <c r="N2703" i="1"/>
  <c r="O2703" i="1" s="1"/>
  <c r="N2704" i="1"/>
  <c r="O2704" i="1" s="1"/>
  <c r="N2705" i="1"/>
  <c r="O2705" i="1" s="1"/>
  <c r="N2706" i="1"/>
  <c r="O2706" i="1" s="1"/>
  <c r="N2707" i="1"/>
  <c r="O2707" i="1" s="1"/>
  <c r="N2708" i="1"/>
  <c r="O2708" i="1" s="1"/>
  <c r="N2709" i="1"/>
  <c r="O2709" i="1" s="1"/>
  <c r="N2710" i="1"/>
  <c r="O2710" i="1" s="1"/>
  <c r="N2711" i="1"/>
  <c r="O2711" i="1" s="1"/>
  <c r="N2712" i="1"/>
  <c r="O2712" i="1" s="1"/>
  <c r="N2713" i="1"/>
  <c r="O2713" i="1" s="1"/>
  <c r="N2714" i="1"/>
  <c r="O2714" i="1" s="1"/>
  <c r="N2715" i="1"/>
  <c r="O2715" i="1" s="1"/>
  <c r="N2716" i="1"/>
  <c r="O2716" i="1" s="1"/>
  <c r="N2717" i="1"/>
  <c r="O2717" i="1" s="1"/>
  <c r="N2718" i="1"/>
  <c r="O2718" i="1" s="1"/>
  <c r="N2719" i="1"/>
  <c r="O2719" i="1" s="1"/>
  <c r="N2720" i="1"/>
  <c r="O2720" i="1" s="1"/>
  <c r="N2721" i="1"/>
  <c r="O2721" i="1" s="1"/>
  <c r="N2722" i="1"/>
  <c r="O2722" i="1" s="1"/>
  <c r="N2723" i="1"/>
  <c r="O2723" i="1" s="1"/>
  <c r="N2724" i="1"/>
  <c r="O2724" i="1" s="1"/>
  <c r="N2725" i="1"/>
  <c r="O2725" i="1" s="1"/>
  <c r="N2726" i="1"/>
  <c r="O2726" i="1" s="1"/>
  <c r="N2727" i="1"/>
  <c r="O2727" i="1" s="1"/>
  <c r="N2728" i="1"/>
  <c r="O2728" i="1" s="1"/>
  <c r="N2729" i="1"/>
  <c r="O2729" i="1" s="1"/>
  <c r="N2730" i="1"/>
  <c r="O2730" i="1" s="1"/>
  <c r="N2731" i="1"/>
  <c r="O2731" i="1" s="1"/>
  <c r="N2732" i="1"/>
  <c r="O2732" i="1" s="1"/>
  <c r="N2733" i="1"/>
  <c r="O2733" i="1" s="1"/>
  <c r="N2734" i="1"/>
  <c r="O2734" i="1" s="1"/>
  <c r="N2735" i="1"/>
  <c r="O2735" i="1" s="1"/>
  <c r="N2736" i="1"/>
  <c r="O2736" i="1" s="1"/>
  <c r="N2737" i="1"/>
  <c r="O2737" i="1" s="1"/>
  <c r="N2738" i="1"/>
  <c r="O2738" i="1" s="1"/>
  <c r="N2739" i="1"/>
  <c r="O2739" i="1" s="1"/>
  <c r="N2740" i="1"/>
  <c r="O2740" i="1" s="1"/>
  <c r="N2741" i="1"/>
  <c r="O2741" i="1" s="1"/>
  <c r="N2742" i="1"/>
  <c r="O2742" i="1" s="1"/>
  <c r="N2743" i="1"/>
  <c r="O2743" i="1" s="1"/>
  <c r="N2744" i="1"/>
  <c r="O2744" i="1" s="1"/>
  <c r="N2745" i="1"/>
  <c r="O2745" i="1" s="1"/>
  <c r="N2746" i="1"/>
  <c r="O2746" i="1" s="1"/>
  <c r="N2747" i="1"/>
  <c r="O2747" i="1" s="1"/>
  <c r="N2748" i="1"/>
  <c r="O2748" i="1" s="1"/>
  <c r="N2749" i="1"/>
  <c r="O2749" i="1" s="1"/>
  <c r="N2750" i="1"/>
  <c r="O2750" i="1" s="1"/>
  <c r="N2751" i="1"/>
  <c r="O2751" i="1" s="1"/>
  <c r="N2752" i="1"/>
  <c r="O2752" i="1" s="1"/>
  <c r="N2753" i="1"/>
  <c r="O2753" i="1" s="1"/>
  <c r="N2754" i="1"/>
  <c r="O2754" i="1" s="1"/>
  <c r="N2755" i="1"/>
  <c r="O2755" i="1" s="1"/>
  <c r="N2756" i="1"/>
  <c r="O2756" i="1" s="1"/>
  <c r="N2757" i="1"/>
  <c r="O2757" i="1" s="1"/>
  <c r="N2758" i="1"/>
  <c r="O2758" i="1" s="1"/>
  <c r="N2759" i="1"/>
  <c r="O2759" i="1" s="1"/>
  <c r="N2760" i="1"/>
  <c r="O2760" i="1" s="1"/>
  <c r="N2761" i="1"/>
  <c r="O2761" i="1" s="1"/>
  <c r="N2762" i="1"/>
  <c r="O2762" i="1" s="1"/>
  <c r="N2763" i="1"/>
  <c r="O2763" i="1" s="1"/>
  <c r="N2764" i="1"/>
  <c r="O2764" i="1" s="1"/>
  <c r="N2765" i="1"/>
  <c r="O2765" i="1" s="1"/>
  <c r="N2766" i="1"/>
  <c r="O2766" i="1" s="1"/>
  <c r="N2767" i="1"/>
  <c r="O2767" i="1" s="1"/>
  <c r="N2768" i="1"/>
  <c r="O2768" i="1" s="1"/>
  <c r="N2769" i="1"/>
  <c r="O2769" i="1" s="1"/>
  <c r="N2770" i="1"/>
  <c r="O2770" i="1" s="1"/>
  <c r="N2771" i="1"/>
  <c r="O2771" i="1" s="1"/>
  <c r="N2772" i="1"/>
  <c r="O2772" i="1" s="1"/>
  <c r="N2773" i="1"/>
  <c r="O2773" i="1" s="1"/>
  <c r="N2774" i="1"/>
  <c r="O2774" i="1" s="1"/>
  <c r="N2775" i="1"/>
  <c r="O2775" i="1" s="1"/>
  <c r="N2776" i="1"/>
  <c r="O2776" i="1" s="1"/>
  <c r="N2777" i="1"/>
  <c r="O2777" i="1" s="1"/>
  <c r="N2778" i="1"/>
  <c r="O2778" i="1" s="1"/>
  <c r="N2779" i="1"/>
  <c r="O2779" i="1" s="1"/>
  <c r="N2780" i="1"/>
  <c r="O2780" i="1" s="1"/>
  <c r="N2781" i="1"/>
  <c r="O2781" i="1" s="1"/>
  <c r="N2782" i="1"/>
  <c r="O2782" i="1" s="1"/>
  <c r="N2783" i="1"/>
  <c r="O2783" i="1" s="1"/>
  <c r="N2784" i="1"/>
  <c r="O2784" i="1" s="1"/>
  <c r="N2785" i="1"/>
  <c r="O2785" i="1" s="1"/>
  <c r="N2786" i="1"/>
  <c r="O2786" i="1" s="1"/>
  <c r="N2787" i="1"/>
  <c r="O2787" i="1" s="1"/>
  <c r="N2788" i="1"/>
  <c r="O2788" i="1" s="1"/>
  <c r="N2789" i="1"/>
  <c r="O2789" i="1" s="1"/>
  <c r="N2790" i="1"/>
  <c r="O2790" i="1" s="1"/>
  <c r="N2791" i="1"/>
  <c r="O2791" i="1" s="1"/>
  <c r="N2792" i="1"/>
  <c r="O2792" i="1" s="1"/>
  <c r="N2793" i="1"/>
  <c r="O2793" i="1" s="1"/>
  <c r="N2794" i="1"/>
  <c r="O2794" i="1" s="1"/>
  <c r="N2795" i="1"/>
  <c r="O2795" i="1" s="1"/>
  <c r="N2796" i="1"/>
  <c r="O2796" i="1" s="1"/>
  <c r="N2797" i="1"/>
  <c r="O2797" i="1" s="1"/>
  <c r="N2798" i="1"/>
  <c r="O2798" i="1" s="1"/>
  <c r="N2799" i="1"/>
  <c r="O2799" i="1" s="1"/>
  <c r="N2800" i="1"/>
  <c r="O2800" i="1" s="1"/>
  <c r="N2801" i="1"/>
  <c r="O2801" i="1" s="1"/>
  <c r="N2802" i="1"/>
  <c r="O2802" i="1" s="1"/>
  <c r="N2803" i="1"/>
  <c r="O2803" i="1" s="1"/>
  <c r="N2804" i="1"/>
  <c r="O2804" i="1" s="1"/>
  <c r="N2805" i="1"/>
  <c r="O2805" i="1" s="1"/>
  <c r="N2806" i="1"/>
  <c r="O2806" i="1" s="1"/>
  <c r="N2807" i="1"/>
  <c r="O2807" i="1" s="1"/>
  <c r="N2808" i="1"/>
  <c r="O2808" i="1" s="1"/>
  <c r="N2809" i="1"/>
  <c r="O2809" i="1" s="1"/>
  <c r="N2810" i="1"/>
  <c r="O2810" i="1" s="1"/>
  <c r="N2811" i="1"/>
  <c r="O2811" i="1" s="1"/>
  <c r="N2812" i="1"/>
  <c r="O2812" i="1" s="1"/>
  <c r="N2813" i="1"/>
  <c r="O2813" i="1" s="1"/>
  <c r="N2814" i="1"/>
  <c r="O2814" i="1" s="1"/>
  <c r="N2815" i="1"/>
  <c r="O2815" i="1" s="1"/>
  <c r="N2816" i="1"/>
  <c r="O2816" i="1" s="1"/>
  <c r="N2817" i="1"/>
  <c r="O2817" i="1" s="1"/>
  <c r="N2818" i="1"/>
  <c r="O2818" i="1" s="1"/>
  <c r="N2819" i="1"/>
  <c r="O2819" i="1" s="1"/>
  <c r="N2820" i="1"/>
  <c r="O2820" i="1" s="1"/>
  <c r="N2821" i="1"/>
  <c r="O2821" i="1" s="1"/>
  <c r="N2822" i="1"/>
  <c r="O2822" i="1" s="1"/>
  <c r="N2823" i="1"/>
  <c r="O2823" i="1" s="1"/>
  <c r="N2824" i="1"/>
  <c r="O2824" i="1" s="1"/>
  <c r="N2825" i="1"/>
  <c r="O2825" i="1" s="1"/>
  <c r="N2826" i="1"/>
  <c r="O2826" i="1" s="1"/>
  <c r="N2827" i="1"/>
  <c r="O2827" i="1" s="1"/>
  <c r="N2828" i="1"/>
  <c r="O2828" i="1" s="1"/>
  <c r="N2829" i="1"/>
  <c r="O2829" i="1" s="1"/>
  <c r="N2830" i="1"/>
  <c r="O2830" i="1" s="1"/>
  <c r="N2831" i="1"/>
  <c r="O2831" i="1" s="1"/>
  <c r="N2832" i="1"/>
  <c r="O2832" i="1" s="1"/>
  <c r="N2833" i="1"/>
  <c r="O2833" i="1" s="1"/>
  <c r="N2834" i="1"/>
  <c r="O2834" i="1" s="1"/>
  <c r="N2835" i="1"/>
  <c r="O2835" i="1" s="1"/>
  <c r="N2836" i="1"/>
  <c r="O2836" i="1" s="1"/>
  <c r="N2837" i="1"/>
  <c r="O2837" i="1" s="1"/>
  <c r="N2838" i="1"/>
  <c r="O2838" i="1" s="1"/>
  <c r="N2839" i="1"/>
  <c r="O2839" i="1" s="1"/>
  <c r="N2840" i="1"/>
  <c r="O2840" i="1" s="1"/>
  <c r="N2841" i="1"/>
  <c r="O2841" i="1" s="1"/>
  <c r="N2842" i="1"/>
  <c r="O2842" i="1" s="1"/>
  <c r="N2843" i="1"/>
  <c r="O2843" i="1" s="1"/>
  <c r="N2844" i="1"/>
  <c r="O2844" i="1" s="1"/>
  <c r="N2845" i="1"/>
  <c r="O2845" i="1" s="1"/>
  <c r="N2846" i="1"/>
  <c r="O2846" i="1" s="1"/>
  <c r="N2847" i="1"/>
  <c r="O2847" i="1" s="1"/>
  <c r="N2848" i="1"/>
  <c r="O2848" i="1" s="1"/>
  <c r="N2849" i="1"/>
  <c r="O2849" i="1" s="1"/>
  <c r="N2850" i="1"/>
  <c r="O2850" i="1" s="1"/>
  <c r="N2851" i="1"/>
  <c r="O2851" i="1" s="1"/>
  <c r="N2852" i="1"/>
  <c r="O2852" i="1" s="1"/>
  <c r="N2853" i="1"/>
  <c r="O2853" i="1" s="1"/>
  <c r="N2854" i="1"/>
  <c r="O2854" i="1" s="1"/>
  <c r="N2855" i="1"/>
  <c r="O2855" i="1" s="1"/>
  <c r="N2856" i="1"/>
  <c r="O2856" i="1" s="1"/>
  <c r="N2857" i="1"/>
  <c r="O2857" i="1" s="1"/>
  <c r="N2858" i="1"/>
  <c r="O2858" i="1" s="1"/>
  <c r="N2859" i="1"/>
  <c r="O2859" i="1" s="1"/>
  <c r="N2860" i="1"/>
  <c r="O2860" i="1" s="1"/>
  <c r="N2861" i="1"/>
  <c r="O2861" i="1" s="1"/>
  <c r="N2862" i="1"/>
  <c r="O2862" i="1" s="1"/>
  <c r="N2863" i="1"/>
  <c r="O2863" i="1" s="1"/>
  <c r="N2864" i="1"/>
  <c r="O2864" i="1" s="1"/>
  <c r="N2865" i="1"/>
  <c r="O2865" i="1" s="1"/>
  <c r="N2866" i="1"/>
  <c r="O2866" i="1" s="1"/>
  <c r="N2867" i="1"/>
  <c r="O2867" i="1" s="1"/>
  <c r="N2868" i="1"/>
  <c r="O2868" i="1" s="1"/>
  <c r="N2869" i="1"/>
  <c r="O2869" i="1" s="1"/>
  <c r="N2870" i="1"/>
  <c r="O2870" i="1" s="1"/>
  <c r="N2871" i="1"/>
  <c r="O2871" i="1" s="1"/>
  <c r="N2872" i="1"/>
  <c r="O2872" i="1" s="1"/>
  <c r="N2873" i="1"/>
  <c r="O2873" i="1" s="1"/>
  <c r="N2874" i="1"/>
  <c r="O2874" i="1" s="1"/>
  <c r="N2875" i="1"/>
  <c r="O2875" i="1" s="1"/>
  <c r="N2876" i="1"/>
  <c r="O2876" i="1" s="1"/>
  <c r="N2877" i="1"/>
  <c r="O2877" i="1" s="1"/>
  <c r="N2878" i="1"/>
  <c r="O2878" i="1" s="1"/>
  <c r="N2879" i="1"/>
  <c r="O2879" i="1" s="1"/>
  <c r="N2880" i="1"/>
  <c r="O2880" i="1" s="1"/>
  <c r="N2881" i="1"/>
  <c r="O2881" i="1" s="1"/>
  <c r="N2882" i="1"/>
  <c r="O2882" i="1" s="1"/>
  <c r="N2883" i="1"/>
  <c r="O2883" i="1" s="1"/>
  <c r="N2884" i="1"/>
  <c r="O2884" i="1" s="1"/>
  <c r="N2885" i="1"/>
  <c r="O2885" i="1" s="1"/>
  <c r="N2886" i="1"/>
  <c r="O2886" i="1" s="1"/>
  <c r="N2887" i="1"/>
  <c r="O2887" i="1" s="1"/>
  <c r="N2888" i="1"/>
  <c r="O2888" i="1" s="1"/>
  <c r="N2889" i="1"/>
  <c r="O2889" i="1" s="1"/>
  <c r="N2890" i="1"/>
  <c r="O2890" i="1" s="1"/>
  <c r="N2891" i="1"/>
  <c r="O2891" i="1" s="1"/>
  <c r="N2892" i="1"/>
  <c r="O2892" i="1" s="1"/>
  <c r="N2893" i="1"/>
  <c r="O2893" i="1" s="1"/>
  <c r="N2894" i="1"/>
  <c r="O2894" i="1" s="1"/>
  <c r="N2895" i="1"/>
  <c r="O2895" i="1" s="1"/>
  <c r="N2896" i="1"/>
  <c r="O2896" i="1" s="1"/>
  <c r="N2897" i="1"/>
  <c r="O2897" i="1" s="1"/>
  <c r="N2898" i="1"/>
  <c r="O2898" i="1" s="1"/>
  <c r="N2899" i="1"/>
  <c r="O2899" i="1" s="1"/>
  <c r="N2900" i="1"/>
  <c r="O2900" i="1" s="1"/>
  <c r="N2901" i="1"/>
  <c r="O2901" i="1" s="1"/>
  <c r="N2902" i="1"/>
  <c r="O2902" i="1" s="1"/>
  <c r="N2903" i="1"/>
  <c r="O2903" i="1" s="1"/>
  <c r="N2904" i="1"/>
  <c r="O2904" i="1" s="1"/>
  <c r="N2905" i="1"/>
  <c r="O2905" i="1" s="1"/>
  <c r="N2906" i="1"/>
  <c r="O2906" i="1" s="1"/>
  <c r="N2907" i="1"/>
  <c r="O2907" i="1" s="1"/>
  <c r="N2908" i="1"/>
  <c r="O2908" i="1" s="1"/>
  <c r="N2909" i="1"/>
  <c r="O2909" i="1" s="1"/>
  <c r="N2910" i="1"/>
  <c r="O2910" i="1" s="1"/>
  <c r="N2911" i="1"/>
  <c r="O2911" i="1" s="1"/>
  <c r="N2912" i="1"/>
  <c r="O2912" i="1" s="1"/>
  <c r="N2913" i="1"/>
  <c r="O2913" i="1" s="1"/>
  <c r="N2914" i="1"/>
  <c r="O2914" i="1" s="1"/>
  <c r="N2915" i="1"/>
  <c r="O2915" i="1" s="1"/>
  <c r="N2916" i="1"/>
  <c r="O2916" i="1" s="1"/>
  <c r="N2917" i="1"/>
  <c r="O2917" i="1" s="1"/>
  <c r="N2918" i="1"/>
  <c r="O2918" i="1" s="1"/>
  <c r="N2919" i="1"/>
  <c r="O2919" i="1" s="1"/>
  <c r="N2920" i="1"/>
  <c r="O2920" i="1" s="1"/>
  <c r="N2921" i="1"/>
  <c r="O2921" i="1" s="1"/>
  <c r="N2922" i="1"/>
  <c r="O2922" i="1" s="1"/>
  <c r="N2923" i="1"/>
  <c r="O2923" i="1" s="1"/>
  <c r="N2924" i="1"/>
  <c r="O2924" i="1" s="1"/>
  <c r="N2925" i="1"/>
  <c r="O2925" i="1" s="1"/>
  <c r="N2926" i="1"/>
  <c r="O2926" i="1" s="1"/>
  <c r="N2927" i="1"/>
  <c r="O2927" i="1" s="1"/>
  <c r="N2928" i="1"/>
  <c r="O2928" i="1" s="1"/>
  <c r="N2929" i="1"/>
  <c r="O2929" i="1" s="1"/>
  <c r="N2930" i="1"/>
  <c r="O2930" i="1" s="1"/>
  <c r="N2931" i="1"/>
  <c r="O2931" i="1" s="1"/>
  <c r="N2932" i="1"/>
  <c r="O2932" i="1" s="1"/>
  <c r="N2933" i="1"/>
  <c r="O2933" i="1" s="1"/>
  <c r="N2934" i="1"/>
  <c r="O2934" i="1" s="1"/>
  <c r="N2935" i="1"/>
  <c r="O2935" i="1" s="1"/>
  <c r="N2936" i="1"/>
  <c r="O2936" i="1" s="1"/>
  <c r="N2937" i="1"/>
  <c r="O2937" i="1" s="1"/>
  <c r="N2938" i="1"/>
  <c r="O2938" i="1" s="1"/>
  <c r="N2939" i="1"/>
  <c r="O2939" i="1" s="1"/>
  <c r="N2940" i="1"/>
  <c r="O2940" i="1" s="1"/>
  <c r="N2941" i="1"/>
  <c r="O2941" i="1" s="1"/>
  <c r="N2942" i="1"/>
  <c r="O2942" i="1" s="1"/>
  <c r="N2943" i="1"/>
  <c r="O2943" i="1" s="1"/>
  <c r="N2944" i="1"/>
  <c r="O2944" i="1" s="1"/>
  <c r="N2945" i="1"/>
  <c r="O2945" i="1" s="1"/>
  <c r="N2946" i="1"/>
  <c r="O2946" i="1" s="1"/>
  <c r="N2947" i="1"/>
  <c r="O2947" i="1" s="1"/>
  <c r="N2948" i="1"/>
  <c r="O2948" i="1" s="1"/>
  <c r="N2949" i="1"/>
  <c r="O2949" i="1" s="1"/>
  <c r="N2950" i="1"/>
  <c r="O2950" i="1" s="1"/>
  <c r="N2951" i="1"/>
  <c r="O2951" i="1" s="1"/>
  <c r="N2952" i="1"/>
  <c r="O2952" i="1" s="1"/>
  <c r="N2953" i="1"/>
  <c r="O2953" i="1" s="1"/>
  <c r="N2954" i="1"/>
  <c r="O2954" i="1" s="1"/>
  <c r="N2955" i="1"/>
  <c r="O2955" i="1" s="1"/>
  <c r="N2956" i="1"/>
  <c r="O2956" i="1" s="1"/>
  <c r="N2957" i="1"/>
  <c r="O2957" i="1" s="1"/>
  <c r="N2958" i="1"/>
  <c r="O2958" i="1" s="1"/>
  <c r="N2959" i="1"/>
  <c r="O2959" i="1" s="1"/>
  <c r="N2960" i="1"/>
  <c r="O2960" i="1" s="1"/>
  <c r="N2961" i="1"/>
  <c r="O2961" i="1" s="1"/>
  <c r="N2962" i="1"/>
  <c r="O2962" i="1" s="1"/>
  <c r="N2963" i="1"/>
  <c r="O2963" i="1" s="1"/>
  <c r="N2964" i="1"/>
  <c r="O2964" i="1" s="1"/>
  <c r="N2965" i="1"/>
  <c r="O2965" i="1" s="1"/>
  <c r="N2966" i="1"/>
  <c r="O2966" i="1" s="1"/>
  <c r="N2967" i="1"/>
  <c r="O2967" i="1" s="1"/>
  <c r="N2968" i="1"/>
  <c r="O2968" i="1" s="1"/>
  <c r="N2969" i="1"/>
  <c r="O2969" i="1" s="1"/>
  <c r="N2970" i="1"/>
  <c r="O2970" i="1" s="1"/>
  <c r="N2971" i="1"/>
  <c r="O2971" i="1" s="1"/>
  <c r="N2972" i="1"/>
  <c r="O2972" i="1" s="1"/>
  <c r="N2973" i="1"/>
  <c r="O2973" i="1" s="1"/>
  <c r="N2974" i="1"/>
  <c r="O2974" i="1" s="1"/>
  <c r="N2975" i="1"/>
  <c r="O2975" i="1" s="1"/>
  <c r="N2976" i="1"/>
  <c r="O2976" i="1" s="1"/>
  <c r="N2977" i="1"/>
  <c r="O2977" i="1" s="1"/>
  <c r="N2978" i="1"/>
  <c r="O2978" i="1" s="1"/>
  <c r="N2979" i="1"/>
  <c r="O2979" i="1" s="1"/>
  <c r="N2980" i="1"/>
  <c r="O2980" i="1" s="1"/>
  <c r="N2981" i="1"/>
  <c r="O2981" i="1" s="1"/>
  <c r="N2982" i="1"/>
  <c r="O2982" i="1" s="1"/>
  <c r="N2983" i="1"/>
  <c r="O2983" i="1" s="1"/>
  <c r="N2984" i="1"/>
  <c r="O2984" i="1" s="1"/>
  <c r="N2985" i="1"/>
  <c r="O2985" i="1" s="1"/>
  <c r="N2986" i="1"/>
  <c r="O2986" i="1" s="1"/>
  <c r="N2987" i="1"/>
  <c r="O2987" i="1" s="1"/>
  <c r="N2988" i="1"/>
  <c r="O2988" i="1" s="1"/>
  <c r="N2989" i="1"/>
  <c r="O2989" i="1" s="1"/>
  <c r="N3" i="1"/>
  <c r="O3" i="1"/>
  <c r="B12" i="3" l="1"/>
  <c r="B14" i="3"/>
  <c r="B16" i="3"/>
  <c r="B15" i="3"/>
  <c r="B13" i="3"/>
  <c r="B10" i="3"/>
  <c r="B11" i="3" s="1"/>
  <c r="B7" i="3"/>
  <c r="B2" i="3"/>
  <c r="B5" i="3" l="1"/>
  <c r="B17" i="3"/>
</calcChain>
</file>

<file path=xl/sharedStrings.xml><?xml version="1.0" encoding="utf-8"?>
<sst xmlns="http://schemas.openxmlformats.org/spreadsheetml/2006/main" count="32987" uniqueCount="3878">
  <si>
    <t>OrderID</t>
  </si>
  <si>
    <t>Day</t>
  </si>
  <si>
    <t>Month</t>
  </si>
  <si>
    <t>Year</t>
  </si>
  <si>
    <t>CustomerID</t>
  </si>
  <si>
    <t>CustomerName</t>
  </si>
  <si>
    <t>Region</t>
  </si>
  <si>
    <t>Category</t>
  </si>
  <si>
    <t>ProductName</t>
  </si>
  <si>
    <t>Quantity</t>
  </si>
  <si>
    <t>UnitPrice</t>
  </si>
  <si>
    <t>Revenue</t>
  </si>
  <si>
    <t>Discount%</t>
  </si>
  <si>
    <t>Disc_amount</t>
  </si>
  <si>
    <t>TotalAmount</t>
  </si>
  <si>
    <t>PaymentMethod</t>
  </si>
  <si>
    <t>CustomerType</t>
  </si>
  <si>
    <t>ORD-2025001</t>
  </si>
  <si>
    <t>1 Wed</t>
  </si>
  <si>
    <t>Jan</t>
  </si>
  <si>
    <t>2025</t>
  </si>
  <si>
    <t>CUST-1039</t>
  </si>
  <si>
    <t>Aarav Joshi</t>
  </si>
  <si>
    <t>North</t>
  </si>
  <si>
    <t>Stationery</t>
  </si>
  <si>
    <t>Gel Pen Pack</t>
  </si>
  <si>
    <t>Credit Card</t>
  </si>
  <si>
    <t>Returning</t>
  </si>
  <si>
    <t>ORD-2025002</t>
  </si>
  <si>
    <t>CUST-1212</t>
  </si>
  <si>
    <t>Komal Joshi</t>
  </si>
  <si>
    <t>East</t>
  </si>
  <si>
    <t>Notebook Set</t>
  </si>
  <si>
    <t>Debit Card</t>
  </si>
  <si>
    <t>New</t>
  </si>
  <si>
    <t>ORD-2025003</t>
  </si>
  <si>
    <t>CUST-1132</t>
  </si>
  <si>
    <t>Shreya Sharma</t>
  </si>
  <si>
    <t>West</t>
  </si>
  <si>
    <t>Electronics</t>
  </si>
  <si>
    <t>Wireless Mouse</t>
  </si>
  <si>
    <t>UPI</t>
  </si>
  <si>
    <t>ORD-2025004</t>
  </si>
  <si>
    <t>CUST-1272</t>
  </si>
  <si>
    <t>Aarav Saxena</t>
  </si>
  <si>
    <t>South</t>
  </si>
  <si>
    <t>Beauty</t>
  </si>
  <si>
    <t>Herbal Shampoo</t>
  </si>
  <si>
    <t>ORD-2025005</t>
  </si>
  <si>
    <t>CUST-1083</t>
  </si>
  <si>
    <t>Komal Kapoor</t>
  </si>
  <si>
    <t>Smartwatch</t>
  </si>
  <si>
    <t>Cash</t>
  </si>
  <si>
    <t>ORD-2025006</t>
  </si>
  <si>
    <t>CUST-1013</t>
  </si>
  <si>
    <t>Divya Joshi</t>
  </si>
  <si>
    <t>Central</t>
  </si>
  <si>
    <t>Home &amp; Kitchen</t>
  </si>
  <si>
    <t>Non-stick Pan Set</t>
  </si>
  <si>
    <t>ORD-2025007</t>
  </si>
  <si>
    <t>CUST-1166</t>
  </si>
  <si>
    <t>Divya Mehta</t>
  </si>
  <si>
    <t>LED Desk Lamp</t>
  </si>
  <si>
    <t>ORD-2025008</t>
  </si>
  <si>
    <t>2 Thu</t>
  </si>
  <si>
    <t>Apparel</t>
  </si>
  <si>
    <t>Denim Jacket</t>
  </si>
  <si>
    <t>ORD-2025009</t>
  </si>
  <si>
    <t>CUST-1125</t>
  </si>
  <si>
    <t>Muskan Malhotra</t>
  </si>
  <si>
    <t>Groceries</t>
  </si>
  <si>
    <t>Organic Honey 500g</t>
  </si>
  <si>
    <t>ORD-2025010</t>
  </si>
  <si>
    <t>CUST-1317</t>
  </si>
  <si>
    <t>Aditya Kapoor</t>
  </si>
  <si>
    <t>ORD-2025011</t>
  </si>
  <si>
    <t>CUST-1369</t>
  </si>
  <si>
    <t>Rohan Sharma</t>
  </si>
  <si>
    <t>ORD-2025012</t>
  </si>
  <si>
    <t>CUST-1250</t>
  </si>
  <si>
    <t>Shreya Saxena</t>
  </si>
  <si>
    <t>ORD-2025013</t>
  </si>
  <si>
    <t>CUST-1159</t>
  </si>
  <si>
    <t>Isha Kapoor</t>
  </si>
  <si>
    <t>ORD-2025014</t>
  </si>
  <si>
    <t>CUST-1047</t>
  </si>
  <si>
    <t>Net Banking</t>
  </si>
  <si>
    <t>ORD-2025015</t>
  </si>
  <si>
    <t>3 Fri</t>
  </si>
  <si>
    <t>CUST-1290</t>
  </si>
  <si>
    <t>Kabir Mehta</t>
  </si>
  <si>
    <t>Basmati Rice 5kg</t>
  </si>
  <si>
    <t>ORD-2025016</t>
  </si>
  <si>
    <t>CUST-1211</t>
  </si>
  <si>
    <t>Formal Shirt</t>
  </si>
  <si>
    <t>ORD-2025017</t>
  </si>
  <si>
    <t>CUST-1274</t>
  </si>
  <si>
    <t>Muskan Singh</t>
  </si>
  <si>
    <t>Cotton T-Shirt</t>
  </si>
  <si>
    <t>ORD-2025018</t>
  </si>
  <si>
    <t>CUST-1242</t>
  </si>
  <si>
    <t>Sakshi Malhotra</t>
  </si>
  <si>
    <t>ORD-2025019</t>
  </si>
  <si>
    <t>CUST-1352</t>
  </si>
  <si>
    <t>Nandini Mehta</t>
  </si>
  <si>
    <t>ORD-2025020</t>
  </si>
  <si>
    <t>CUST-1324</t>
  </si>
  <si>
    <t>Rahul Verma</t>
  </si>
  <si>
    <t>Sports</t>
  </si>
  <si>
    <t>Cricket Bat</t>
  </si>
  <si>
    <t>ORD-2025021</t>
  </si>
  <si>
    <t>CUST-1371</t>
  </si>
  <si>
    <t>ORD-2025022</t>
  </si>
  <si>
    <t>4 Sat</t>
  </si>
  <si>
    <t>CUST-1258</t>
  </si>
  <si>
    <t>Muskan Joshi</t>
  </si>
  <si>
    <t>ORD-2025023</t>
  </si>
  <si>
    <t>CUST-1289</t>
  </si>
  <si>
    <t>Kunal Verma</t>
  </si>
  <si>
    <t>ORD-2025024</t>
  </si>
  <si>
    <t>CUST-1395</t>
  </si>
  <si>
    <t>ORD-2025025</t>
  </si>
  <si>
    <t>CUST-1351</t>
  </si>
  <si>
    <t>Tanya Mehta</t>
  </si>
  <si>
    <t>ORD-2025026</t>
  </si>
  <si>
    <t>5 Sun</t>
  </si>
  <si>
    <t>CUST-1214</t>
  </si>
  <si>
    <t>ORD-2025027</t>
  </si>
  <si>
    <t>CUST-1145</t>
  </si>
  <si>
    <t>Kunal Joshi</t>
  </si>
  <si>
    <t>Yoga Mat</t>
  </si>
  <si>
    <t>ORD-2025028</t>
  </si>
  <si>
    <t>ORD-2025029</t>
  </si>
  <si>
    <t>CUST-1053</t>
  </si>
  <si>
    <t>Vivaan Malhotra</t>
  </si>
  <si>
    <t>ORD-2025030</t>
  </si>
  <si>
    <t>CUST-1305</t>
  </si>
  <si>
    <t>ORD-2025031</t>
  </si>
  <si>
    <t>CUST-1291</t>
  </si>
  <si>
    <t>Arjun Saxena</t>
  </si>
  <si>
    <t>Bluetooth Headphones</t>
  </si>
  <si>
    <t>ORD-2025032</t>
  </si>
  <si>
    <t>CUST-1022</t>
  </si>
  <si>
    <t>Tanya Verma</t>
  </si>
  <si>
    <t>ORD-2025033</t>
  </si>
  <si>
    <t>6 Mon</t>
  </si>
  <si>
    <t>CUST-1207</t>
  </si>
  <si>
    <t>Rohan Malhotra</t>
  </si>
  <si>
    <t>ORD-2025034</t>
  </si>
  <si>
    <t>CUST-1092</t>
  </si>
  <si>
    <t>Arjun Mehta</t>
  </si>
  <si>
    <t>ORD-2025035</t>
  </si>
  <si>
    <t>CUST-1206</t>
  </si>
  <si>
    <t>Aditya Gupta</t>
  </si>
  <si>
    <t>Face Wash 100ml</t>
  </si>
  <si>
    <t>ORD-2025036</t>
  </si>
  <si>
    <t>CUST-1385</t>
  </si>
  <si>
    <t>Aman Kapoor</t>
  </si>
  <si>
    <t>ORD-2025037</t>
  </si>
  <si>
    <t>CUST-1164</t>
  </si>
  <si>
    <t>Kabir Malhotra</t>
  </si>
  <si>
    <t>ORD-2025038</t>
  </si>
  <si>
    <t>ORD-2025039</t>
  </si>
  <si>
    <t>7 Tue</t>
  </si>
  <si>
    <t>ORD-2025040</t>
  </si>
  <si>
    <t>CUST-1176</t>
  </si>
  <si>
    <t>Meera Sharma</t>
  </si>
  <si>
    <t>ORD-2025041</t>
  </si>
  <si>
    <t>ORD-2025042</t>
  </si>
  <si>
    <t>CUST-1335</t>
  </si>
  <si>
    <t>Divya Saxena</t>
  </si>
  <si>
    <t>ORD-2025043</t>
  </si>
  <si>
    <t>CUST-1270</t>
  </si>
  <si>
    <t>Nandini Verma</t>
  </si>
  <si>
    <t>ORD-2025044</t>
  </si>
  <si>
    <t>CUST-1191</t>
  </si>
  <si>
    <t>Nandini Malhotra</t>
  </si>
  <si>
    <t>ORD-2025045</t>
  </si>
  <si>
    <t>CUST-1055</t>
  </si>
  <si>
    <t>Rohan Saxena</t>
  </si>
  <si>
    <t>ORD-2025046</t>
  </si>
  <si>
    <t>8 Wed</t>
  </si>
  <si>
    <t>CUST-1098</t>
  </si>
  <si>
    <t>Rohan Patel</t>
  </si>
  <si>
    <t>ORD-2025047</t>
  </si>
  <si>
    <t>9 Thu</t>
  </si>
  <si>
    <t>CUST-1171</t>
  </si>
  <si>
    <t>Ankit Verma</t>
  </si>
  <si>
    <t>ORD-2025048</t>
  </si>
  <si>
    <t>ORD-2025049</t>
  </si>
  <si>
    <t>CUST-1249</t>
  </si>
  <si>
    <t>Kabir Sharma</t>
  </si>
  <si>
    <t>ORD-2025050</t>
  </si>
  <si>
    <t>ORD-2025051</t>
  </si>
  <si>
    <t>CUST-1362</t>
  </si>
  <si>
    <t>Shreya Malhotra</t>
  </si>
  <si>
    <t>ORD-2025052</t>
  </si>
  <si>
    <t>CUST-1135</t>
  </si>
  <si>
    <t>Shreya Joshi</t>
  </si>
  <si>
    <t>ORD-2025053</t>
  </si>
  <si>
    <t>CUST-1019</t>
  </si>
  <si>
    <t>ORD-2025054</t>
  </si>
  <si>
    <t>CUST-1043</t>
  </si>
  <si>
    <t>Divya Kapoor</t>
  </si>
  <si>
    <t>ORD-2025055</t>
  </si>
  <si>
    <t>CUST-1243</t>
  </si>
  <si>
    <t>Aman Joshi</t>
  </si>
  <si>
    <t>ORD-2025056</t>
  </si>
  <si>
    <t>CUST-1273</t>
  </si>
  <si>
    <t>Aman Saxena</t>
  </si>
  <si>
    <t>ORD-2025057</t>
  </si>
  <si>
    <t>10 Fri</t>
  </si>
  <si>
    <t>CUST-1085</t>
  </si>
  <si>
    <t>Shreya Mehta</t>
  </si>
  <si>
    <t>ORD-2025058</t>
  </si>
  <si>
    <t>CUST-1093</t>
  </si>
  <si>
    <t>ORD-2025059</t>
  </si>
  <si>
    <t>CUST-1327</t>
  </si>
  <si>
    <t>Kunal Malhotra</t>
  </si>
  <si>
    <t>ORD-2025060</t>
  </si>
  <si>
    <t>CUST-1027</t>
  </si>
  <si>
    <t>ORD-2025061</t>
  </si>
  <si>
    <t>CUST-1185</t>
  </si>
  <si>
    <t>ORD-2025062</t>
  </si>
  <si>
    <t>CUST-1017</t>
  </si>
  <si>
    <t>Aarav Verma</t>
  </si>
  <si>
    <t>ORD-2025063</t>
  </si>
  <si>
    <t>11 Sat</t>
  </si>
  <si>
    <t>CUST-1162</t>
  </si>
  <si>
    <t>Aarav Kapoor</t>
  </si>
  <si>
    <t>ORD-2025064</t>
  </si>
  <si>
    <t>CUST-1081</t>
  </si>
  <si>
    <t>ORD-2025065</t>
  </si>
  <si>
    <t>12 Sun</t>
  </si>
  <si>
    <t>ORD-2025066</t>
  </si>
  <si>
    <t>CUST-1247</t>
  </si>
  <si>
    <t>Meera Malhotra</t>
  </si>
  <si>
    <t>ORD-2025067</t>
  </si>
  <si>
    <t>CUST-1064</t>
  </si>
  <si>
    <t>Ankit Mehta</t>
  </si>
  <si>
    <t>ORD-2025068</t>
  </si>
  <si>
    <t>CUST-1169</t>
  </si>
  <si>
    <t>Nandini Patel</t>
  </si>
  <si>
    <t>ORD-2025069</t>
  </si>
  <si>
    <t>CUST-1356</t>
  </si>
  <si>
    <t>Isha Verma</t>
  </si>
  <si>
    <t>ORD-2025070</t>
  </si>
  <si>
    <t>CUST-1252</t>
  </si>
  <si>
    <t>Arjun Singh</t>
  </si>
  <si>
    <t>ORD-2025071</t>
  </si>
  <si>
    <t>13 Mon</t>
  </si>
  <si>
    <t>ORD-2025072</t>
  </si>
  <si>
    <t>CUST-1030</t>
  </si>
  <si>
    <t>Rahul Kapoor</t>
  </si>
  <si>
    <t>ORD-2025073</t>
  </si>
  <si>
    <t>CUST-1326</t>
  </si>
  <si>
    <t>Rohan Verma</t>
  </si>
  <si>
    <t>ORD-2025074</t>
  </si>
  <si>
    <t>CUST-1391</t>
  </si>
  <si>
    <t>Kunal Gupta</t>
  </si>
  <si>
    <t>ORD-2025075</t>
  </si>
  <si>
    <t>ORD-2025076</t>
  </si>
  <si>
    <t>CUST-1319</t>
  </si>
  <si>
    <t>ORD-2025077</t>
  </si>
  <si>
    <t>CUST-1314</t>
  </si>
  <si>
    <t>Kunal Sharma</t>
  </si>
  <si>
    <t>ORD-2025078</t>
  </si>
  <si>
    <t>CUST-1400</t>
  </si>
  <si>
    <t>Aarav Gupta</t>
  </si>
  <si>
    <t>ORD-2025079</t>
  </si>
  <si>
    <t>ORD-2025080</t>
  </si>
  <si>
    <t>CUST-1091</t>
  </si>
  <si>
    <t>Kabir Gupta</t>
  </si>
  <si>
    <t>ORD-2025081</t>
  </si>
  <si>
    <t>14 Tue</t>
  </si>
  <si>
    <t>CUST-1277</t>
  </si>
  <si>
    <t>Vivaan Sharma</t>
  </si>
  <si>
    <t>ORD-2025082</t>
  </si>
  <si>
    <t>CUST-1067</t>
  </si>
  <si>
    <t>Nandini Gupta</t>
  </si>
  <si>
    <t>ORD-2025083</t>
  </si>
  <si>
    <t>15 Wed</t>
  </si>
  <si>
    <t>CUST-1365</t>
  </si>
  <si>
    <t>Meera Singh</t>
  </si>
  <si>
    <t>ORD-2025084</t>
  </si>
  <si>
    <t>ORD-2025085</t>
  </si>
  <si>
    <t>CUST-1283</t>
  </si>
  <si>
    <t>Aditya Mehta</t>
  </si>
  <si>
    <t>ORD-2025086</t>
  </si>
  <si>
    <t>CUST-1178</t>
  </si>
  <si>
    <t>Komal Sharma</t>
  </si>
  <si>
    <t>ORD-2025087</t>
  </si>
  <si>
    <t>CUST-1375</t>
  </si>
  <si>
    <t>ORD-2025088</t>
  </si>
  <si>
    <t>CUST-1062</t>
  </si>
  <si>
    <t>Tanya Sharma</t>
  </si>
  <si>
    <t>ORD-2025089</t>
  </si>
  <si>
    <t>CUST-1223</t>
  </si>
  <si>
    <t>Meera Saxena</t>
  </si>
  <si>
    <t>ORD-2025090</t>
  </si>
  <si>
    <t>CUST-1187</t>
  </si>
  <si>
    <t>Kabir Saxena</t>
  </si>
  <si>
    <t>ORD-2025091</t>
  </si>
  <si>
    <t>CUST-1033</t>
  </si>
  <si>
    <t>Meera Joshi</t>
  </si>
  <si>
    <t>ORD-2025092</t>
  </si>
  <si>
    <t>CUST-1213</t>
  </si>
  <si>
    <t>Ankit Patel</t>
  </si>
  <si>
    <t>ORD-2025093</t>
  </si>
  <si>
    <t>16 Thu</t>
  </si>
  <si>
    <t>CUST-1316</t>
  </si>
  <si>
    <t>Komal Saxena</t>
  </si>
  <si>
    <t>ORD-2025094</t>
  </si>
  <si>
    <t>CUST-1228</t>
  </si>
  <si>
    <t>Aarav Mehta</t>
  </si>
  <si>
    <t>ORD-2025095</t>
  </si>
  <si>
    <t>CUST-1061</t>
  </si>
  <si>
    <t>Muskan Patel</t>
  </si>
  <si>
    <t>ORD-2025096</t>
  </si>
  <si>
    <t>CUST-1002</t>
  </si>
  <si>
    <t>ORD-2025097</t>
  </si>
  <si>
    <t>ORD-2025098</t>
  </si>
  <si>
    <t>CUST-1154</t>
  </si>
  <si>
    <t>Aditya Malhotra</t>
  </si>
  <si>
    <t>ORD-2025099</t>
  </si>
  <si>
    <t>CUST-1224</t>
  </si>
  <si>
    <t>Swati Verma</t>
  </si>
  <si>
    <t>ORD-2025100</t>
  </si>
  <si>
    <t>CUST-1227</t>
  </si>
  <si>
    <t>Rohan Joshi</t>
  </si>
  <si>
    <t>ORD-2025101</t>
  </si>
  <si>
    <t>17 Fri</t>
  </si>
  <si>
    <t>CUST-1373</t>
  </si>
  <si>
    <t>ORD-2025102</t>
  </si>
  <si>
    <t>CUST-1063</t>
  </si>
  <si>
    <t>Aman Sharma</t>
  </si>
  <si>
    <t>ORD-2025103</t>
  </si>
  <si>
    <t>CUST-1084</t>
  </si>
  <si>
    <t>Kunal Saxena</t>
  </si>
  <si>
    <t>ORD-2025104</t>
  </si>
  <si>
    <t>ORD-2025105</t>
  </si>
  <si>
    <t>CUST-1338</t>
  </si>
  <si>
    <t>Komal Malhotra</t>
  </si>
  <si>
    <t>ORD-2025106</t>
  </si>
  <si>
    <t>CUST-1278</t>
  </si>
  <si>
    <t>Meera Verma</t>
  </si>
  <si>
    <t>ORD-2025107</t>
  </si>
  <si>
    <t>CUST-1342</t>
  </si>
  <si>
    <t>Vivaan Saxena</t>
  </si>
  <si>
    <t>ORD-2025108</t>
  </si>
  <si>
    <t>18 Sat</t>
  </si>
  <si>
    <t>ORD-2025109</t>
  </si>
  <si>
    <t>CUST-1264</t>
  </si>
  <si>
    <t>ORD-2025110</t>
  </si>
  <si>
    <t>CUST-1015</t>
  </si>
  <si>
    <t>Swati Joshi</t>
  </si>
  <si>
    <t>ORD-2025111</t>
  </si>
  <si>
    <t>CUST-1157</t>
  </si>
  <si>
    <t>Arjun Verma</t>
  </si>
  <si>
    <t>ORD-2025112</t>
  </si>
  <si>
    <t>CUST-1077</t>
  </si>
  <si>
    <t>ORD-2025113</t>
  </si>
  <si>
    <t>CUST-1128</t>
  </si>
  <si>
    <t>ORD-2025114</t>
  </si>
  <si>
    <t>19 Sun</t>
  </si>
  <si>
    <t>CUST-1010</t>
  </si>
  <si>
    <t>Kabir Singh</t>
  </si>
  <si>
    <t>ORD-2025115</t>
  </si>
  <si>
    <t>CUST-1280</t>
  </si>
  <si>
    <t>Muskan Kapoor</t>
  </si>
  <si>
    <t>ORD-2025116</t>
  </si>
  <si>
    <t>CUST-1059</t>
  </si>
  <si>
    <t>ORD-2025117</t>
  </si>
  <si>
    <t>CUST-1001</t>
  </si>
  <si>
    <t>ORD-2025118</t>
  </si>
  <si>
    <t>CUST-1377</t>
  </si>
  <si>
    <t>Sakshi Patel</t>
  </si>
  <si>
    <t>ORD-2025119</t>
  </si>
  <si>
    <t>CUST-1123</t>
  </si>
  <si>
    <t>Shreya Gupta</t>
  </si>
  <si>
    <t>ORD-2025120</t>
  </si>
  <si>
    <t>20 Mon</t>
  </si>
  <si>
    <t>ORD-2025121</t>
  </si>
  <si>
    <t>CUST-1138</t>
  </si>
  <si>
    <t>Tanya Singh</t>
  </si>
  <si>
    <t>ORD-2025122</t>
  </si>
  <si>
    <t>CUST-1387</t>
  </si>
  <si>
    <t>ORD-2025123</t>
  </si>
  <si>
    <t>21 Tue</t>
  </si>
  <si>
    <t>CUST-1279</t>
  </si>
  <si>
    <t>Tanya Kapoor</t>
  </si>
  <si>
    <t>ORD-2025124</t>
  </si>
  <si>
    <t>CUST-1254</t>
  </si>
  <si>
    <t>ORD-2025125</t>
  </si>
  <si>
    <t>CUST-1096</t>
  </si>
  <si>
    <t>ORD-2025126</t>
  </si>
  <si>
    <t>CUST-1177</t>
  </si>
  <si>
    <t>ORD-2025127</t>
  </si>
  <si>
    <t>ORD-2025128</t>
  </si>
  <si>
    <t>22 Wed</t>
  </si>
  <si>
    <t>ORD-2025129</t>
  </si>
  <si>
    <t>CUST-1028</t>
  </si>
  <si>
    <t>ORD-2025130</t>
  </si>
  <si>
    <t>ORD-2025131</t>
  </si>
  <si>
    <t>ORD-2025132</t>
  </si>
  <si>
    <t>CUST-1331</t>
  </si>
  <si>
    <t>ORD-2025133</t>
  </si>
  <si>
    <t>CUST-1038</t>
  </si>
  <si>
    <t>ORD-2025134</t>
  </si>
  <si>
    <t>CUST-1103</t>
  </si>
  <si>
    <t>Muskan Gupta</t>
  </si>
  <si>
    <t>ORD-2025135</t>
  </si>
  <si>
    <t>23 Thu</t>
  </si>
  <si>
    <t>ORD-2025136</t>
  </si>
  <si>
    <t>CUST-1237</t>
  </si>
  <si>
    <t>Divya Sharma</t>
  </si>
  <si>
    <t>ORD-2025137</t>
  </si>
  <si>
    <t>ORD-2025138</t>
  </si>
  <si>
    <t>CUST-1239</t>
  </si>
  <si>
    <t>ORD-2025139</t>
  </si>
  <si>
    <t>ORD-2025140</t>
  </si>
  <si>
    <t>CUST-1046</t>
  </si>
  <si>
    <t>Rohan Kapoor</t>
  </si>
  <si>
    <t>ORD-2025141</t>
  </si>
  <si>
    <t>CUST-1044</t>
  </si>
  <si>
    <t>Swati Saxena</t>
  </si>
  <si>
    <t>ORD-2025142</t>
  </si>
  <si>
    <t>24 Fri</t>
  </si>
  <si>
    <t>ORD-2025143</t>
  </si>
  <si>
    <t>ORD-2025144</t>
  </si>
  <si>
    <t>CUST-1306</t>
  </si>
  <si>
    <t>ORD-2025145</t>
  </si>
  <si>
    <t>ORD-2025146</t>
  </si>
  <si>
    <t>CUST-1368</t>
  </si>
  <si>
    <t>Isha Patel</t>
  </si>
  <si>
    <t>ORD-2025147</t>
  </si>
  <si>
    <t>ORD-2025148</t>
  </si>
  <si>
    <t>CUST-1196</t>
  </si>
  <si>
    <t>Aditya Patel</t>
  </si>
  <si>
    <t>ORD-2025149</t>
  </si>
  <si>
    <t>CUST-1049</t>
  </si>
  <si>
    <t>ORD-2025150</t>
  </si>
  <si>
    <t>CUST-1232</t>
  </si>
  <si>
    <t>Aman Patel</t>
  </si>
  <si>
    <t>ORD-2025151</t>
  </si>
  <si>
    <t>25 Sat</t>
  </si>
  <si>
    <t>ORD-2025152</t>
  </si>
  <si>
    <t>CUST-1225</t>
  </si>
  <si>
    <t>ORD-2025153</t>
  </si>
  <si>
    <t>CUST-1105</t>
  </si>
  <si>
    <t>Rohan Singh</t>
  </si>
  <si>
    <t>ORD-2025154</t>
  </si>
  <si>
    <t>ORD-2025155</t>
  </si>
  <si>
    <t>CUST-1321</t>
  </si>
  <si>
    <t>Isha Mehta</t>
  </si>
  <si>
    <t>ORD-2025156</t>
  </si>
  <si>
    <t>ORD-2025157</t>
  </si>
  <si>
    <t>ORD-2025158</t>
  </si>
  <si>
    <t>ORD-2025159</t>
  </si>
  <si>
    <t>26 Sun</t>
  </si>
  <si>
    <t>ORD-2025160</t>
  </si>
  <si>
    <t>CUST-1296</t>
  </si>
  <si>
    <t>Vivaan Kapoor</t>
  </si>
  <si>
    <t>ORD-2025161</t>
  </si>
  <si>
    <t>CUST-1384</t>
  </si>
  <si>
    <t>Vivaan Singh</t>
  </si>
  <si>
    <t>ORD-2025162</t>
  </si>
  <si>
    <t>ORD-2025163</t>
  </si>
  <si>
    <t>ORD-2025164</t>
  </si>
  <si>
    <t>CUST-1364</t>
  </si>
  <si>
    <t>Rahul Malhotra</t>
  </si>
  <si>
    <t>ORD-2025165</t>
  </si>
  <si>
    <t>CUST-1379</t>
  </si>
  <si>
    <t>Divya Verma</t>
  </si>
  <si>
    <t>ORD-2025166</t>
  </si>
  <si>
    <t>CUST-1257</t>
  </si>
  <si>
    <t>ORD-2025167</t>
  </si>
  <si>
    <t>CUST-1307</t>
  </si>
  <si>
    <t>Swati Kapoor</t>
  </si>
  <si>
    <t>ORD-2025168</t>
  </si>
  <si>
    <t>CUST-1073</t>
  </si>
  <si>
    <t>ORD-2025169</t>
  </si>
  <si>
    <t>27 Mon</t>
  </si>
  <si>
    <t>ORD-2025170</t>
  </si>
  <si>
    <t>CUST-1320</t>
  </si>
  <si>
    <t>Ankit Kapoor</t>
  </si>
  <si>
    <t>ORD-2025171</t>
  </si>
  <si>
    <t>28 Tue</t>
  </si>
  <si>
    <t>ORD-2025172</t>
  </si>
  <si>
    <t>29 Wed</t>
  </si>
  <si>
    <t>CUST-1094</t>
  </si>
  <si>
    <t>ORD-2025173</t>
  </si>
  <si>
    <t>ORD-2025174</t>
  </si>
  <si>
    <t>CUST-1100</t>
  </si>
  <si>
    <t>ORD-2025175</t>
  </si>
  <si>
    <t>CUST-1260</t>
  </si>
  <si>
    <t>ORD-2025176</t>
  </si>
  <si>
    <t>30 Thu</t>
  </si>
  <si>
    <t>CUST-1089</t>
  </si>
  <si>
    <t>ORD-2025177</t>
  </si>
  <si>
    <t>CUST-1218</t>
  </si>
  <si>
    <t>Rahul Singh</t>
  </si>
  <si>
    <t>ORD-2025178</t>
  </si>
  <si>
    <t>CUST-1390</t>
  </si>
  <si>
    <t>Rahul Saxena</t>
  </si>
  <si>
    <t>ORD-2025179</t>
  </si>
  <si>
    <t>CUST-1357</t>
  </si>
  <si>
    <t>ORD-2025180</t>
  </si>
  <si>
    <t>ORD-2025181</t>
  </si>
  <si>
    <t>31 Fri</t>
  </si>
  <si>
    <t>CUST-1200</t>
  </si>
  <si>
    <t>ORD-2025182</t>
  </si>
  <si>
    <t>CUST-1349</t>
  </si>
  <si>
    <t>Rohan Mehta</t>
  </si>
  <si>
    <t>ORD-2025183</t>
  </si>
  <si>
    <t>CUST-1142</t>
  </si>
  <si>
    <t>Divya Singh</t>
  </si>
  <si>
    <t>ORD-2025184</t>
  </si>
  <si>
    <t>CUST-1366</t>
  </si>
  <si>
    <t>Vivaan Joshi</t>
  </si>
  <si>
    <t>ORD-2025185</t>
  </si>
  <si>
    <t>CUST-1140</t>
  </si>
  <si>
    <t>ORD-2025186</t>
  </si>
  <si>
    <t>1 Sat</t>
  </si>
  <si>
    <t>Feb</t>
  </si>
  <si>
    <t>CUST-1332</t>
  </si>
  <si>
    <t>ORD-2025187</t>
  </si>
  <si>
    <t>ORD-2025188</t>
  </si>
  <si>
    <t>ORD-2025189</t>
  </si>
  <si>
    <t>ORD-2025190</t>
  </si>
  <si>
    <t>ORD-2025191</t>
  </si>
  <si>
    <t>CUST-1343</t>
  </si>
  <si>
    <t>ORD-2025192</t>
  </si>
  <si>
    <t>CUST-1363</t>
  </si>
  <si>
    <t>Arjun Joshi</t>
  </si>
  <si>
    <t>ORD-2025193</t>
  </si>
  <si>
    <t>CUST-1072</t>
  </si>
  <si>
    <t>ORD-2025194</t>
  </si>
  <si>
    <t>2 Sun</t>
  </si>
  <si>
    <t>CUST-1248</t>
  </si>
  <si>
    <t>ORD-2025195</t>
  </si>
  <si>
    <t>CUST-1082</t>
  </si>
  <si>
    <t>ORD-2025196</t>
  </si>
  <si>
    <t>ORD-2025197</t>
  </si>
  <si>
    <t>3 Mon</t>
  </si>
  <si>
    <t>CUST-1300</t>
  </si>
  <si>
    <t>Vivaan Mehta</t>
  </si>
  <si>
    <t>ORD-2025198</t>
  </si>
  <si>
    <t>ORD-2025199</t>
  </si>
  <si>
    <t>ORD-2025200</t>
  </si>
  <si>
    <t>ORD-2025201</t>
  </si>
  <si>
    <t>4 Tue</t>
  </si>
  <si>
    <t>CUST-1134</t>
  </si>
  <si>
    <t>Komal Patel</t>
  </si>
  <si>
    <t>ORD-2025202</t>
  </si>
  <si>
    <t>CUST-1024</t>
  </si>
  <si>
    <t>ORD-2025203</t>
  </si>
  <si>
    <t>ORD-2025204</t>
  </si>
  <si>
    <t>ORD-2025205</t>
  </si>
  <si>
    <t>ORD-2025206</t>
  </si>
  <si>
    <t>ORD-2025207</t>
  </si>
  <si>
    <t>CUST-1284</t>
  </si>
  <si>
    <t>Arjun Kapoor</t>
  </si>
  <si>
    <t>ORD-2025208</t>
  </si>
  <si>
    <t>5 Wed</t>
  </si>
  <si>
    <t>CUST-1115</t>
  </si>
  <si>
    <t>ORD-2025209</t>
  </si>
  <si>
    <t>ORD-2025210</t>
  </si>
  <si>
    <t>CUST-1374</t>
  </si>
  <si>
    <t>Isha Sharma</t>
  </si>
  <si>
    <t>ORD-2025211</t>
  </si>
  <si>
    <t>ORD-2025212</t>
  </si>
  <si>
    <t>ORD-2025213</t>
  </si>
  <si>
    <t>CUST-1119</t>
  </si>
  <si>
    <t>Rahul Gupta</t>
  </si>
  <si>
    <t>ORD-2025214</t>
  </si>
  <si>
    <t>ORD-2025215</t>
  </si>
  <si>
    <t>ORD-2025216</t>
  </si>
  <si>
    <t>CUST-1158</t>
  </si>
  <si>
    <t>Shreya Singh</t>
  </si>
  <si>
    <t>ORD-2025217</t>
  </si>
  <si>
    <t>6 Thu</t>
  </si>
  <si>
    <t>ORD-2025218</t>
  </si>
  <si>
    <t>CUST-1006</t>
  </si>
  <si>
    <t>Sakshi Singh</t>
  </si>
  <si>
    <t>ORD-2025219</t>
  </si>
  <si>
    <t>CUST-1346</t>
  </si>
  <si>
    <t>Vivaan Gupta</t>
  </si>
  <si>
    <t>ORD-2025220</t>
  </si>
  <si>
    <t>CUST-1174</t>
  </si>
  <si>
    <t>ORD-2025221</t>
  </si>
  <si>
    <t>7 Fri</t>
  </si>
  <si>
    <t>CUST-1037</t>
  </si>
  <si>
    <t>ORD-2025222</t>
  </si>
  <si>
    <t>CUST-1189</t>
  </si>
  <si>
    <t>ORD-2025223</t>
  </si>
  <si>
    <t>CUST-1184</t>
  </si>
  <si>
    <t>Rahul Joshi</t>
  </si>
  <si>
    <t>ORD-2025224</t>
  </si>
  <si>
    <t>CUST-1399</t>
  </si>
  <si>
    <t>Vivaan Verma</t>
  </si>
  <si>
    <t>ORD-2025225</t>
  </si>
  <si>
    <t>8 Sat</t>
  </si>
  <si>
    <t>CUST-1268</t>
  </si>
  <si>
    <t>Aman Verma</t>
  </si>
  <si>
    <t>ORD-2025226</t>
  </si>
  <si>
    <t>CUST-1173</t>
  </si>
  <si>
    <t>Ankit Gupta</t>
  </si>
  <si>
    <t>ORD-2025227</t>
  </si>
  <si>
    <t>ORD-2025228</t>
  </si>
  <si>
    <t>ORD-2025229</t>
  </si>
  <si>
    <t>ORD-2025230</t>
  </si>
  <si>
    <t>CUST-1110</t>
  </si>
  <si>
    <t>Aman Malhotra</t>
  </si>
  <si>
    <t>ORD-2025231</t>
  </si>
  <si>
    <t>ORD-2025232</t>
  </si>
  <si>
    <t>CUST-1221</t>
  </si>
  <si>
    <t>Kunal Singh</t>
  </si>
  <si>
    <t>ORD-2025233</t>
  </si>
  <si>
    <t>ORD-2025234</t>
  </si>
  <si>
    <t>ORD-2025235</t>
  </si>
  <si>
    <t>9 Sun</t>
  </si>
  <si>
    <t>CUST-1190</t>
  </si>
  <si>
    <t>Rahul Patel</t>
  </si>
  <si>
    <t>ORD-2025236</t>
  </si>
  <si>
    <t>ORD-2025237</t>
  </si>
  <si>
    <t>CUST-1398</t>
  </si>
  <si>
    <t>ORD-2025238</t>
  </si>
  <si>
    <t>CUST-1068</t>
  </si>
  <si>
    <t>ORD-2025239</t>
  </si>
  <si>
    <t>ORD-2025240</t>
  </si>
  <si>
    <t>10 Mon</t>
  </si>
  <si>
    <t>ORD-2025241</t>
  </si>
  <si>
    <t>ORD-2025242</t>
  </si>
  <si>
    <t>ORD-2025243</t>
  </si>
  <si>
    <t>ORD-2025244</t>
  </si>
  <si>
    <t>CUST-1048</t>
  </si>
  <si>
    <t>ORD-2025245</t>
  </si>
  <si>
    <t>CUST-1205</t>
  </si>
  <si>
    <t>ORD-2025246</t>
  </si>
  <si>
    <t>CUST-1149</t>
  </si>
  <si>
    <t>ORD-2025247</t>
  </si>
  <si>
    <t>ORD-2025248</t>
  </si>
  <si>
    <t>11 Tue</t>
  </si>
  <si>
    <t>ORD-2025249</t>
  </si>
  <si>
    <t>CUST-1208</t>
  </si>
  <si>
    <t>ORD-2025250</t>
  </si>
  <si>
    <t>ORD-2025251</t>
  </si>
  <si>
    <t>CUST-1032</t>
  </si>
  <si>
    <t>ORD-2025252</t>
  </si>
  <si>
    <t>12 Wed</t>
  </si>
  <si>
    <t>ORD-2025253</t>
  </si>
  <si>
    <t>CUST-1358</t>
  </si>
  <si>
    <t>ORD-2025254</t>
  </si>
  <si>
    <t>ORD-2025255</t>
  </si>
  <si>
    <t>CUST-1188</t>
  </si>
  <si>
    <t>ORD-2025256</t>
  </si>
  <si>
    <t>CUST-1020</t>
  </si>
  <si>
    <t>ORD-2025257</t>
  </si>
  <si>
    <t>CUST-1121</t>
  </si>
  <si>
    <t>ORD-2025258</t>
  </si>
  <si>
    <t>13 Thu</t>
  </si>
  <si>
    <t>CUST-1256</t>
  </si>
  <si>
    <t>ORD-2025259</t>
  </si>
  <si>
    <t>ORD-2025260</t>
  </si>
  <si>
    <t>CUST-1292</t>
  </si>
  <si>
    <t>Aman Singh</t>
  </si>
  <si>
    <t>ORD-2025261</t>
  </si>
  <si>
    <t>CUST-1112</t>
  </si>
  <si>
    <t>Komal Gupta</t>
  </si>
  <si>
    <t>ORD-2025262</t>
  </si>
  <si>
    <t>14 Fri</t>
  </si>
  <si>
    <t>ORD-2025263</t>
  </si>
  <si>
    <t>ORD-2025264</t>
  </si>
  <si>
    <t>CUST-1007</t>
  </si>
  <si>
    <t>Aarav Sharma</t>
  </si>
  <si>
    <t>ORD-2025265</t>
  </si>
  <si>
    <t>CUST-1233</t>
  </si>
  <si>
    <t>ORD-2025266</t>
  </si>
  <si>
    <t>ORD-2025267</t>
  </si>
  <si>
    <t>CUST-1090</t>
  </si>
  <si>
    <t>ORD-2025268</t>
  </si>
  <si>
    <t>15 Sat</t>
  </si>
  <si>
    <t>ORD-2025269</t>
  </si>
  <si>
    <t>ORD-2025270</t>
  </si>
  <si>
    <t>ORD-2025271</t>
  </si>
  <si>
    <t>CUST-1151</t>
  </si>
  <si>
    <t>ORD-2025272</t>
  </si>
  <si>
    <t>ORD-2025273</t>
  </si>
  <si>
    <t>ORD-2025274</t>
  </si>
  <si>
    <t>16 Sun</t>
  </si>
  <si>
    <t>CUST-1042</t>
  </si>
  <si>
    <t>ORD-2025275</t>
  </si>
  <si>
    <t>CUST-1172</t>
  </si>
  <si>
    <t>Nandini Saxena</t>
  </si>
  <si>
    <t>ORD-2025276</t>
  </si>
  <si>
    <t>ORD-2025277</t>
  </si>
  <si>
    <t>CUST-1163</t>
  </si>
  <si>
    <t>Sakshi Mehta</t>
  </si>
  <si>
    <t>ORD-2025278</t>
  </si>
  <si>
    <t>17 Mon</t>
  </si>
  <si>
    <t>CUST-1009</t>
  </si>
  <si>
    <t>ORD-2025279</t>
  </si>
  <si>
    <t>18 Tue</t>
  </si>
  <si>
    <t>ORD-2025280</t>
  </si>
  <si>
    <t>CUST-1165</t>
  </si>
  <si>
    <t>ORD-2025281</t>
  </si>
  <si>
    <t>CUST-1129</t>
  </si>
  <si>
    <t>ORD-2025282</t>
  </si>
  <si>
    <t>CUST-1104</t>
  </si>
  <si>
    <t>ORD-2025283</t>
  </si>
  <si>
    <t>19 Wed</t>
  </si>
  <si>
    <t>ORD-2025284</t>
  </si>
  <si>
    <t>CUST-1029</t>
  </si>
  <si>
    <t>Swati Patel</t>
  </si>
  <si>
    <t>ORD-2025285</t>
  </si>
  <si>
    <t>CUST-1378</t>
  </si>
  <si>
    <t>Rahul Mehta</t>
  </si>
  <si>
    <t>ORD-2025286</t>
  </si>
  <si>
    <t>ORD-2025287</t>
  </si>
  <si>
    <t>ORD-2025288</t>
  </si>
  <si>
    <t>20 Thu</t>
  </si>
  <si>
    <t>CUST-1106</t>
  </si>
  <si>
    <t>Ankit Saxena</t>
  </si>
  <si>
    <t>ORD-2025289</t>
  </si>
  <si>
    <t>CUST-1076</t>
  </si>
  <si>
    <t>Tanya Saxena</t>
  </si>
  <si>
    <t>ORD-2025290</t>
  </si>
  <si>
    <t>ORD-2025291</t>
  </si>
  <si>
    <t>CUST-1201</t>
  </si>
  <si>
    <t>Tanya Joshi</t>
  </si>
  <si>
    <t>ORD-2025292</t>
  </si>
  <si>
    <t>ORD-2025293</t>
  </si>
  <si>
    <t>CUST-1383</t>
  </si>
  <si>
    <t>Aman Gupta</t>
  </si>
  <si>
    <t>ORD-2025294</t>
  </si>
  <si>
    <t>21 Fri</t>
  </si>
  <si>
    <t>ORD-2025295</t>
  </si>
  <si>
    <t>ORD-2025296</t>
  </si>
  <si>
    <t>ORD-2025297</t>
  </si>
  <si>
    <t>CUST-1219</t>
  </si>
  <si>
    <t>ORD-2025298</t>
  </si>
  <si>
    <t>ORD-2025299</t>
  </si>
  <si>
    <t>ORD-2025300</t>
  </si>
  <si>
    <t>ORD-2025301</t>
  </si>
  <si>
    <t>CUST-1198</t>
  </si>
  <si>
    <t>ORD-2025302</t>
  </si>
  <si>
    <t>CUST-1355</t>
  </si>
  <si>
    <t>Aditya Joshi</t>
  </si>
  <si>
    <t>ORD-2025303</t>
  </si>
  <si>
    <t>CUST-1350</t>
  </si>
  <si>
    <t>ORD-2025304</t>
  </si>
  <si>
    <t>22 Sat</t>
  </si>
  <si>
    <t>ORD-2025305</t>
  </si>
  <si>
    <t>ORD-2025306</t>
  </si>
  <si>
    <t>CUST-1075</t>
  </si>
  <si>
    <t>Divya Patel</t>
  </si>
  <si>
    <t>ORD-2025307</t>
  </si>
  <si>
    <t>CUST-1054</t>
  </si>
  <si>
    <t>Kunal Patel</t>
  </si>
  <si>
    <t>ORD-2025308</t>
  </si>
  <si>
    <t>CUST-1325</t>
  </si>
  <si>
    <t>ORD-2025309</t>
  </si>
  <si>
    <t>CUST-1066</t>
  </si>
  <si>
    <t>ORD-2025310</t>
  </si>
  <si>
    <t>23 Sun</t>
  </si>
  <si>
    <t>CUST-1102</t>
  </si>
  <si>
    <t>Aarav Patel</t>
  </si>
  <si>
    <t>ORD-2025311</t>
  </si>
  <si>
    <t>CUST-1118</t>
  </si>
  <si>
    <t>ORD-2025312</t>
  </si>
  <si>
    <t>ORD-2025313</t>
  </si>
  <si>
    <t>ORD-2025314</t>
  </si>
  <si>
    <t>ORD-2025315</t>
  </si>
  <si>
    <t>ORD-2025316</t>
  </si>
  <si>
    <t>24 Mon</t>
  </si>
  <si>
    <t>CUST-1018</t>
  </si>
  <si>
    <t>ORD-2025317</t>
  </si>
  <si>
    <t>CUST-1288</t>
  </si>
  <si>
    <t>ORD-2025318</t>
  </si>
  <si>
    <t>CUST-1026</t>
  </si>
  <si>
    <t>ORD-2025319</t>
  </si>
  <si>
    <t>ORD-2025320</t>
  </si>
  <si>
    <t>CUST-1261</t>
  </si>
  <si>
    <t>Shreya Patel</t>
  </si>
  <si>
    <t>ORD-2025321</t>
  </si>
  <si>
    <t>25 Tue</t>
  </si>
  <si>
    <t>CUST-1041</t>
  </si>
  <si>
    <t>Divya Malhotra</t>
  </si>
  <si>
    <t>ORD-2025322</t>
  </si>
  <si>
    <t>ORD-2025323</t>
  </si>
  <si>
    <t>CUST-1301</t>
  </si>
  <si>
    <t>ORD-2025324</t>
  </si>
  <si>
    <t>CUST-1313</t>
  </si>
  <si>
    <t>ORD-2025325</t>
  </si>
  <si>
    <t>CUST-1143</t>
  </si>
  <si>
    <t>Muskan Saxena</t>
  </si>
  <si>
    <t>ORD-2025326</t>
  </si>
  <si>
    <t>CUST-1340</t>
  </si>
  <si>
    <t>ORD-2025327</t>
  </si>
  <si>
    <t>ORD-2025328</t>
  </si>
  <si>
    <t>CUST-1329</t>
  </si>
  <si>
    <t>Swati Gupta</t>
  </si>
  <si>
    <t>ORD-2025329</t>
  </si>
  <si>
    <t>ORD-2025330</t>
  </si>
  <si>
    <t>ORD-2025331</t>
  </si>
  <si>
    <t>CUST-1302</t>
  </si>
  <si>
    <t>ORD-2025332</t>
  </si>
  <si>
    <t>26 Wed</t>
  </si>
  <si>
    <t>ORD-2025333</t>
  </si>
  <si>
    <t>ORD-2025334</t>
  </si>
  <si>
    <t>CUST-1234</t>
  </si>
  <si>
    <t>ORD-2025335</t>
  </si>
  <si>
    <t>ORD-2025336</t>
  </si>
  <si>
    <t>ORD-2025337</t>
  </si>
  <si>
    <t>ORD-2025338</t>
  </si>
  <si>
    <t>ORD-2025339</t>
  </si>
  <si>
    <t>CUST-1359</t>
  </si>
  <si>
    <t>ORD-2025340</t>
  </si>
  <si>
    <t>ORD-2025341</t>
  </si>
  <si>
    <t>27 Thu</t>
  </si>
  <si>
    <t>CUST-1386</t>
  </si>
  <si>
    <t>ORD-2025342</t>
  </si>
  <si>
    <t>ORD-2025343</t>
  </si>
  <si>
    <t>ORD-2025344</t>
  </si>
  <si>
    <t>ORD-2025345</t>
  </si>
  <si>
    <t>ORD-2025346</t>
  </si>
  <si>
    <t>ORD-2025347</t>
  </si>
  <si>
    <t>ORD-2025348</t>
  </si>
  <si>
    <t>ORD-2025349</t>
  </si>
  <si>
    <t>28 Fri</t>
  </si>
  <si>
    <t>ORD-2025350</t>
  </si>
  <si>
    <t>CUST-1210</t>
  </si>
  <si>
    <t>ORD-2025351</t>
  </si>
  <si>
    <t>ORD-2025352</t>
  </si>
  <si>
    <t>CUST-1025</t>
  </si>
  <si>
    <t>Aditya Singh</t>
  </si>
  <si>
    <t>ORD-2025353</t>
  </si>
  <si>
    <t>ORD-2025354</t>
  </si>
  <si>
    <t>Mar</t>
  </si>
  <si>
    <t>CUST-1361</t>
  </si>
  <si>
    <t>ORD-2025355</t>
  </si>
  <si>
    <t>ORD-2025356</t>
  </si>
  <si>
    <t>CUST-1259</t>
  </si>
  <si>
    <t>ORD-2025357</t>
  </si>
  <si>
    <t>ORD-2025358</t>
  </si>
  <si>
    <t>ORD-2025359</t>
  </si>
  <si>
    <t>CUST-1131</t>
  </si>
  <si>
    <t>ORD-2025360</t>
  </si>
  <si>
    <t>ORD-2025361</t>
  </si>
  <si>
    <t>CUST-1136</t>
  </si>
  <si>
    <t>ORD-2025362</t>
  </si>
  <si>
    <t>CUST-1004</t>
  </si>
  <si>
    <t>Tanya Malhotra</t>
  </si>
  <si>
    <t>ORD-2025363</t>
  </si>
  <si>
    <t>CUST-1231</t>
  </si>
  <si>
    <t>Divya Gupta</t>
  </si>
  <si>
    <t>ORD-2025364</t>
  </si>
  <si>
    <t>ORD-2025365</t>
  </si>
  <si>
    <t>ORD-2025366</t>
  </si>
  <si>
    <t>ORD-2025367</t>
  </si>
  <si>
    <t>ORD-2025368</t>
  </si>
  <si>
    <t>CUST-1348</t>
  </si>
  <si>
    <t>Ankit Malhotra</t>
  </si>
  <si>
    <t>ORD-2025369</t>
  </si>
  <si>
    <t>CUST-1111</t>
  </si>
  <si>
    <t>ORD-2025370</t>
  </si>
  <si>
    <t>CUST-1192</t>
  </si>
  <si>
    <t>ORD-2025371</t>
  </si>
  <si>
    <t>ORD-2025372</t>
  </si>
  <si>
    <t>CUST-1195</t>
  </si>
  <si>
    <t>ORD-2025373</t>
  </si>
  <si>
    <t>CUST-1209</t>
  </si>
  <si>
    <t>Meera Mehta</t>
  </si>
  <si>
    <t>ORD-2025374</t>
  </si>
  <si>
    <t>CUST-1074</t>
  </si>
  <si>
    <t>Kabir Kapoor</t>
  </si>
  <si>
    <t>ORD-2025375</t>
  </si>
  <si>
    <t>CUST-1312</t>
  </si>
  <si>
    <t>Sakshi Saxena</t>
  </si>
  <si>
    <t>ORD-2025376</t>
  </si>
  <si>
    <t>ORD-2025377</t>
  </si>
  <si>
    <t>ORD-2025378</t>
  </si>
  <si>
    <t>ORD-2025379</t>
  </si>
  <si>
    <t>CUST-1071</t>
  </si>
  <si>
    <t>ORD-2025380</t>
  </si>
  <si>
    <t>CUST-1122</t>
  </si>
  <si>
    <t>ORD-2025381</t>
  </si>
  <si>
    <t>CUST-1116</t>
  </si>
  <si>
    <t>ORD-2025382</t>
  </si>
  <si>
    <t>ORD-2025383</t>
  </si>
  <si>
    <t>ORD-2025384</t>
  </si>
  <si>
    <t>ORD-2025385</t>
  </si>
  <si>
    <t>CUST-1021</t>
  </si>
  <si>
    <t>ORD-2025386</t>
  </si>
  <si>
    <t>CUST-1108</t>
  </si>
  <si>
    <t>ORD-2025387</t>
  </si>
  <si>
    <t>ORD-2025388</t>
  </si>
  <si>
    <t>ORD-2025389</t>
  </si>
  <si>
    <t>CUST-1294</t>
  </si>
  <si>
    <t>Kabir Joshi</t>
  </si>
  <si>
    <t>ORD-2025390</t>
  </si>
  <si>
    <t>ORD-2025391</t>
  </si>
  <si>
    <t>ORD-2025392</t>
  </si>
  <si>
    <t>CUST-1080</t>
  </si>
  <si>
    <t>ORD-2025393</t>
  </si>
  <si>
    <t>CUST-1095</t>
  </si>
  <si>
    <t>Nandini Joshi</t>
  </si>
  <si>
    <t>ORD-2025394</t>
  </si>
  <si>
    <t>ORD-2025395</t>
  </si>
  <si>
    <t>ORD-2025396</t>
  </si>
  <si>
    <t>ORD-2025397</t>
  </si>
  <si>
    <t>ORD-2025398</t>
  </si>
  <si>
    <t>ORD-2025399</t>
  </si>
  <si>
    <t>ORD-2025400</t>
  </si>
  <si>
    <t>CUST-1235</t>
  </si>
  <si>
    <t>ORD-2025401</t>
  </si>
  <si>
    <t>ORD-2025402</t>
  </si>
  <si>
    <t>ORD-2025403</t>
  </si>
  <si>
    <t>ORD-2025404</t>
  </si>
  <si>
    <t>ORD-2025405</t>
  </si>
  <si>
    <t>CUST-1036</t>
  </si>
  <si>
    <t>ORD-2025406</t>
  </si>
  <si>
    <t>ORD-2025407</t>
  </si>
  <si>
    <t>ORD-2025408</t>
  </si>
  <si>
    <t>CUST-1215</t>
  </si>
  <si>
    <t>ORD-2025409</t>
  </si>
  <si>
    <t>ORD-2025410</t>
  </si>
  <si>
    <t>CUST-1005</t>
  </si>
  <si>
    <t>ORD-2025411</t>
  </si>
  <si>
    <t>ORD-2025412</t>
  </si>
  <si>
    <t>CUST-1127</t>
  </si>
  <si>
    <t>ORD-2025413</t>
  </si>
  <si>
    <t>CUST-1394</t>
  </si>
  <si>
    <t>ORD-2025414</t>
  </si>
  <si>
    <t>ORD-2025415</t>
  </si>
  <si>
    <t>CUST-1056</t>
  </si>
  <si>
    <t>ORD-2025416</t>
  </si>
  <si>
    <t>CUST-1203</t>
  </si>
  <si>
    <t>ORD-2025417</t>
  </si>
  <si>
    <t>ORD-2025418</t>
  </si>
  <si>
    <t>ORD-2025419</t>
  </si>
  <si>
    <t>ORD-2025420</t>
  </si>
  <si>
    <t>CUST-1133</t>
  </si>
  <si>
    <t>Kunal Mehta</t>
  </si>
  <si>
    <t>ORD-2025421</t>
  </si>
  <si>
    <t>CUST-1323</t>
  </si>
  <si>
    <t>Muskan Verma</t>
  </si>
  <si>
    <t>ORD-2025422</t>
  </si>
  <si>
    <t>CUST-1023</t>
  </si>
  <si>
    <t>ORD-2025423</t>
  </si>
  <si>
    <t>ORD-2025424</t>
  </si>
  <si>
    <t>CUST-1114</t>
  </si>
  <si>
    <t>ORD-2025425</t>
  </si>
  <si>
    <t>CUST-1107</t>
  </si>
  <si>
    <t>ORD-2025426</t>
  </si>
  <si>
    <t>ORD-2025427</t>
  </si>
  <si>
    <t>ORD-2025428</t>
  </si>
  <si>
    <t>ORD-2025429</t>
  </si>
  <si>
    <t>CUST-1347</t>
  </si>
  <si>
    <t>Ankit Joshi</t>
  </si>
  <si>
    <t>ORD-2025430</t>
  </si>
  <si>
    <t>ORD-2025431</t>
  </si>
  <si>
    <t>ORD-2025432</t>
  </si>
  <si>
    <t>CUST-1011</t>
  </si>
  <si>
    <t>ORD-2025433</t>
  </si>
  <si>
    <t>CUST-1382</t>
  </si>
  <si>
    <t>ORD-2025434</t>
  </si>
  <si>
    <t>CUST-1168</t>
  </si>
  <si>
    <t>ORD-2025435</t>
  </si>
  <si>
    <t>CUST-1050</t>
  </si>
  <si>
    <t>Rohan Gupta</t>
  </si>
  <si>
    <t>ORD-2025436</t>
  </si>
  <si>
    <t>ORD-2025437</t>
  </si>
  <si>
    <t>CUST-1199</t>
  </si>
  <si>
    <t>ORD-2025438</t>
  </si>
  <si>
    <t>ORD-2025439</t>
  </si>
  <si>
    <t>CUST-1147</t>
  </si>
  <si>
    <t>ORD-2025440</t>
  </si>
  <si>
    <t>CUST-1397</t>
  </si>
  <si>
    <t>ORD-2025441</t>
  </si>
  <si>
    <t>CUST-1344</t>
  </si>
  <si>
    <t>ORD-2025442</t>
  </si>
  <si>
    <t>ORD-2025443</t>
  </si>
  <si>
    <t>ORD-2025444</t>
  </si>
  <si>
    <t>ORD-2025445</t>
  </si>
  <si>
    <t>CUST-1367</t>
  </si>
  <si>
    <t>ORD-2025446</t>
  </si>
  <si>
    <t>CUST-1101</t>
  </si>
  <si>
    <t>Sakshi Sharma</t>
  </si>
  <si>
    <t>ORD-2025447</t>
  </si>
  <si>
    <t>CUST-1380</t>
  </si>
  <si>
    <t>ORD-2025448</t>
  </si>
  <si>
    <t>CUST-1287</t>
  </si>
  <si>
    <t>ORD-2025449</t>
  </si>
  <si>
    <t>CUST-1069</t>
  </si>
  <si>
    <t>ORD-2025450</t>
  </si>
  <si>
    <t>ORD-2025451</t>
  </si>
  <si>
    <t>ORD-2025452</t>
  </si>
  <si>
    <t>ORD-2025453</t>
  </si>
  <si>
    <t>ORD-2025454</t>
  </si>
  <si>
    <t>CUST-1299</t>
  </si>
  <si>
    <t>ORD-2025455</t>
  </si>
  <si>
    <t>CUST-1194</t>
  </si>
  <si>
    <t>Muskan Sharma</t>
  </si>
  <si>
    <t>ORD-2025456</t>
  </si>
  <si>
    <t>ORD-2025457</t>
  </si>
  <si>
    <t>ORD-2025458</t>
  </si>
  <si>
    <t>ORD-2025459</t>
  </si>
  <si>
    <t>ORD-2025460</t>
  </si>
  <si>
    <t>ORD-2025461</t>
  </si>
  <si>
    <t>ORD-2025462</t>
  </si>
  <si>
    <t>ORD-2025463</t>
  </si>
  <si>
    <t>ORD-2025464</t>
  </si>
  <si>
    <t>ORD-2025465</t>
  </si>
  <si>
    <t>CUST-1263</t>
  </si>
  <si>
    <t>ORD-2025466</t>
  </si>
  <si>
    <t>ORD-2025467</t>
  </si>
  <si>
    <t>ORD-2025468</t>
  </si>
  <si>
    <t>CUST-1271</t>
  </si>
  <si>
    <t>Nandini Sharma</t>
  </si>
  <si>
    <t>ORD-2025469</t>
  </si>
  <si>
    <t>ORD-2025470</t>
  </si>
  <si>
    <t>ORD-2025471</t>
  </si>
  <si>
    <t>ORD-2025472</t>
  </si>
  <si>
    <t>ORD-2025473</t>
  </si>
  <si>
    <t>ORD-2025474</t>
  </si>
  <si>
    <t>ORD-2025475</t>
  </si>
  <si>
    <t>ORD-2025476</t>
  </si>
  <si>
    <t>CUST-1186</t>
  </si>
  <si>
    <t>ORD-2025477</t>
  </si>
  <si>
    <t>ORD-2025478</t>
  </si>
  <si>
    <t>ORD-2025479</t>
  </si>
  <si>
    <t>ORD-2025480</t>
  </si>
  <si>
    <t>ORD-2025481</t>
  </si>
  <si>
    <t>ORD-2025482</t>
  </si>
  <si>
    <t>ORD-2025483</t>
  </si>
  <si>
    <t>ORD-2025484</t>
  </si>
  <si>
    <t>CUST-1202</t>
  </si>
  <si>
    <t>ORD-2025485</t>
  </si>
  <si>
    <t>CUST-1217</t>
  </si>
  <si>
    <t>ORD-2025486</t>
  </si>
  <si>
    <t>ORD-2025487</t>
  </si>
  <si>
    <t>ORD-2025488</t>
  </si>
  <si>
    <t>CUST-1353</t>
  </si>
  <si>
    <t>ORD-2025489</t>
  </si>
  <si>
    <t>ORD-2025490</t>
  </si>
  <si>
    <t>ORD-2025491</t>
  </si>
  <si>
    <t>ORD-2025492</t>
  </si>
  <si>
    <t>CUST-1126</t>
  </si>
  <si>
    <t>ORD-2025493</t>
  </si>
  <si>
    <t>CUST-1014</t>
  </si>
  <si>
    <t>ORD-2025494</t>
  </si>
  <si>
    <t>ORD-2025495</t>
  </si>
  <si>
    <t>ORD-2025496</t>
  </si>
  <si>
    <t>ORD-2025497</t>
  </si>
  <si>
    <t>CUST-1144</t>
  </si>
  <si>
    <t>ORD-2025498</t>
  </si>
  <si>
    <t>ORD-2025499</t>
  </si>
  <si>
    <t>ORD-2025500</t>
  </si>
  <si>
    <t>ORD-2025501</t>
  </si>
  <si>
    <t>CUST-1087</t>
  </si>
  <si>
    <t>Kabir Verma</t>
  </si>
  <si>
    <t>ORD-2025502</t>
  </si>
  <si>
    <t>CUST-1051</t>
  </si>
  <si>
    <t>ORD-2025503</t>
  </si>
  <si>
    <t>CUST-1318</t>
  </si>
  <si>
    <t>ORD-2025504</t>
  </si>
  <si>
    <t>ORD-2025505</t>
  </si>
  <si>
    <t>CUST-1304</t>
  </si>
  <si>
    <t>ORD-2025506</t>
  </si>
  <si>
    <t>CUST-1269</t>
  </si>
  <si>
    <t>ORD-2025507</t>
  </si>
  <si>
    <t>ORD-2025508</t>
  </si>
  <si>
    <t>ORD-2025509</t>
  </si>
  <si>
    <t>CUST-1183</t>
  </si>
  <si>
    <t>ORD-2025510</t>
  </si>
  <si>
    <t>ORD-2025511</t>
  </si>
  <si>
    <t>ORD-2025512</t>
  </si>
  <si>
    <t>ORD-2025513</t>
  </si>
  <si>
    <t>ORD-2025514</t>
  </si>
  <si>
    <t>ORD-2025515</t>
  </si>
  <si>
    <t>ORD-2025516</t>
  </si>
  <si>
    <t>ORD-2025517</t>
  </si>
  <si>
    <t>ORD-2025518</t>
  </si>
  <si>
    <t>CUST-1113</t>
  </si>
  <si>
    <t>ORD-2025519</t>
  </si>
  <si>
    <t>ORD-2025520</t>
  </si>
  <si>
    <t>CUST-1031</t>
  </si>
  <si>
    <t>ORD-2025521</t>
  </si>
  <si>
    <t>ORD-2025522</t>
  </si>
  <si>
    <t>ORD-2025523</t>
  </si>
  <si>
    <t>ORD-2025524</t>
  </si>
  <si>
    <t>CUST-1160</t>
  </si>
  <si>
    <t>Komal Singh</t>
  </si>
  <si>
    <t>ORD-2025525</t>
  </si>
  <si>
    <t>CUST-1065</t>
  </si>
  <si>
    <t>Vivaan Patel</t>
  </si>
  <si>
    <t>ORD-2025526</t>
  </si>
  <si>
    <t>CUST-1229</t>
  </si>
  <si>
    <t>ORD-2025527</t>
  </si>
  <si>
    <t>CUST-1303</t>
  </si>
  <si>
    <t>ORD-2025528</t>
  </si>
  <si>
    <t>ORD-2025529</t>
  </si>
  <si>
    <t>ORD-2025530</t>
  </si>
  <si>
    <t>ORD-2025531</t>
  </si>
  <si>
    <t>ORD-2025532</t>
  </si>
  <si>
    <t>ORD-2025533</t>
  </si>
  <si>
    <t>ORD-2025534</t>
  </si>
  <si>
    <t>ORD-2025535</t>
  </si>
  <si>
    <t>CUST-1330</t>
  </si>
  <si>
    <t>ORD-2025536</t>
  </si>
  <si>
    <t>ORD-2025537</t>
  </si>
  <si>
    <t>29 Sat</t>
  </si>
  <si>
    <t>ORD-2025538</t>
  </si>
  <si>
    <t>ORD-2025539</t>
  </si>
  <si>
    <t>CUST-1179</t>
  </si>
  <si>
    <t>ORD-2025540</t>
  </si>
  <si>
    <t>CUST-1396</t>
  </si>
  <si>
    <t>ORD-2025541</t>
  </si>
  <si>
    <t>ORD-2025542</t>
  </si>
  <si>
    <t>ORD-2025543</t>
  </si>
  <si>
    <t>ORD-2025544</t>
  </si>
  <si>
    <t>30 Sun</t>
  </si>
  <si>
    <t>ORD-2025545</t>
  </si>
  <si>
    <t>ORD-2025546</t>
  </si>
  <si>
    <t>ORD-2025547</t>
  </si>
  <si>
    <t>ORD-2025548</t>
  </si>
  <si>
    <t>ORD-2025549</t>
  </si>
  <si>
    <t>CUST-1052</t>
  </si>
  <si>
    <t>ORD-2025550</t>
  </si>
  <si>
    <t>ORD-2025551</t>
  </si>
  <si>
    <t>31 Mon</t>
  </si>
  <si>
    <t>ORD-2025552</t>
  </si>
  <si>
    <t>ORD-2025553</t>
  </si>
  <si>
    <t>ORD-2025554</t>
  </si>
  <si>
    <t>ORD-2025555</t>
  </si>
  <si>
    <t>ORD-2025556</t>
  </si>
  <si>
    <t>ORD-2025557</t>
  </si>
  <si>
    <t>ORD-2025558</t>
  </si>
  <si>
    <t>ORD-2025559</t>
  </si>
  <si>
    <t>ORD-2025560</t>
  </si>
  <si>
    <t>1 Tue</t>
  </si>
  <si>
    <t>Apr</t>
  </si>
  <si>
    <t>ORD-2025561</t>
  </si>
  <si>
    <t>ORD-2025562</t>
  </si>
  <si>
    <t>ORD-2025563</t>
  </si>
  <si>
    <t>CUST-1230</t>
  </si>
  <si>
    <t>ORD-2025564</t>
  </si>
  <si>
    <t>ORD-2025565</t>
  </si>
  <si>
    <t>2 Wed</t>
  </si>
  <si>
    <t>ORD-2025566</t>
  </si>
  <si>
    <t>CUST-1354</t>
  </si>
  <si>
    <t>ORD-2025567</t>
  </si>
  <si>
    <t>ORD-2025568</t>
  </si>
  <si>
    <t>ORD-2025569</t>
  </si>
  <si>
    <t>CUST-1309</t>
  </si>
  <si>
    <t>ORD-2025570</t>
  </si>
  <si>
    <t>ORD-2025571</t>
  </si>
  <si>
    <t>ORD-2025572</t>
  </si>
  <si>
    <t>3 Thu</t>
  </si>
  <si>
    <t>ORD-2025573</t>
  </si>
  <si>
    <t>ORD-2025574</t>
  </si>
  <si>
    <t>CUST-1141</t>
  </si>
  <si>
    <t>ORD-2025575</t>
  </si>
  <si>
    <t>CUST-1152</t>
  </si>
  <si>
    <t>ORD-2025576</t>
  </si>
  <si>
    <t>ORD-2025577</t>
  </si>
  <si>
    <t>ORD-2025578</t>
  </si>
  <si>
    <t>ORD-2025579</t>
  </si>
  <si>
    <t>ORD-2025580</t>
  </si>
  <si>
    <t>ORD-2025581</t>
  </si>
  <si>
    <t>CUST-1336</t>
  </si>
  <si>
    <t>ORD-2025582</t>
  </si>
  <si>
    <t>ORD-2025583</t>
  </si>
  <si>
    <t>4 Fri</t>
  </si>
  <si>
    <t>CUST-1167</t>
  </si>
  <si>
    <t>ORD-2025584</t>
  </si>
  <si>
    <t>CUST-1045</t>
  </si>
  <si>
    <t>ORD-2025585</t>
  </si>
  <si>
    <t>ORD-2025586</t>
  </si>
  <si>
    <t>ORD-2025587</t>
  </si>
  <si>
    <t>ORD-2025588</t>
  </si>
  <si>
    <t>CUST-1146</t>
  </si>
  <si>
    <t>Tanya Patel</t>
  </si>
  <si>
    <t>ORD-2025589</t>
  </si>
  <si>
    <t>CUST-1150</t>
  </si>
  <si>
    <t>Isha Singh</t>
  </si>
  <si>
    <t>ORD-2025590</t>
  </si>
  <si>
    <t>5 Sat</t>
  </si>
  <si>
    <t>ORD-2025591</t>
  </si>
  <si>
    <t>ORD-2025592</t>
  </si>
  <si>
    <t>ORD-2025593</t>
  </si>
  <si>
    <t>ORD-2025594</t>
  </si>
  <si>
    <t>CUST-1034</t>
  </si>
  <si>
    <t>ORD-2025595</t>
  </si>
  <si>
    <t>ORD-2025596</t>
  </si>
  <si>
    <t>CUST-1097</t>
  </si>
  <si>
    <t>ORD-2025597</t>
  </si>
  <si>
    <t>ORD-2025598</t>
  </si>
  <si>
    <t>ORD-2025599</t>
  </si>
  <si>
    <t>CUST-1040</t>
  </si>
  <si>
    <t>ORD-2025600</t>
  </si>
  <si>
    <t>6 Sun</t>
  </si>
  <si>
    <t>ORD-2025601</t>
  </si>
  <si>
    <t>CUST-1255</t>
  </si>
  <si>
    <t>ORD-2025602</t>
  </si>
  <si>
    <t>7 Mon</t>
  </si>
  <si>
    <t>ORD-2025603</t>
  </si>
  <si>
    <t>ORD-2025604</t>
  </si>
  <si>
    <t>ORD-2025605</t>
  </si>
  <si>
    <t>8 Tue</t>
  </si>
  <si>
    <t>ORD-2025606</t>
  </si>
  <si>
    <t>ORD-2025607</t>
  </si>
  <si>
    <t>CUST-1240</t>
  </si>
  <si>
    <t>ORD-2025608</t>
  </si>
  <si>
    <t>ORD-2025609</t>
  </si>
  <si>
    <t>ORD-2025610</t>
  </si>
  <si>
    <t>ORD-2025611</t>
  </si>
  <si>
    <t>ORD-2025612</t>
  </si>
  <si>
    <t>9 Wed</t>
  </si>
  <si>
    <t>ORD-2025613</t>
  </si>
  <si>
    <t>ORD-2025614</t>
  </si>
  <si>
    <t>ORD-2025615</t>
  </si>
  <si>
    <t>ORD-2025616</t>
  </si>
  <si>
    <t>ORD-2025617</t>
  </si>
  <si>
    <t>ORD-2025618</t>
  </si>
  <si>
    <t>ORD-2025619</t>
  </si>
  <si>
    <t>ORD-2025620</t>
  </si>
  <si>
    <t>CUST-1360</t>
  </si>
  <si>
    <t>ORD-2025621</t>
  </si>
  <si>
    <t>ORD-2025622</t>
  </si>
  <si>
    <t>10 Thu</t>
  </si>
  <si>
    <t>ORD-2025623</t>
  </si>
  <si>
    <t>ORD-2025624</t>
  </si>
  <si>
    <t>ORD-2025625</t>
  </si>
  <si>
    <t>ORD-2025626</t>
  </si>
  <si>
    <t>CUST-1238</t>
  </si>
  <si>
    <t>ORD-2025627</t>
  </si>
  <si>
    <t>ORD-2025628</t>
  </si>
  <si>
    <t>CUST-1180</t>
  </si>
  <si>
    <t>ORD-2025629</t>
  </si>
  <si>
    <t>ORD-2025630</t>
  </si>
  <si>
    <t>11 Fri</t>
  </si>
  <si>
    <t>ORD-2025631</t>
  </si>
  <si>
    <t>ORD-2025632</t>
  </si>
  <si>
    <t>ORD-2025633</t>
  </si>
  <si>
    <t>ORD-2025634</t>
  </si>
  <si>
    <t>ORD-2025635</t>
  </si>
  <si>
    <t>12 Sat</t>
  </si>
  <si>
    <t>ORD-2025636</t>
  </si>
  <si>
    <t>ORD-2025637</t>
  </si>
  <si>
    <t>ORD-2025638</t>
  </si>
  <si>
    <t>ORD-2025639</t>
  </si>
  <si>
    <t>ORD-2025640</t>
  </si>
  <si>
    <t>ORD-2025641</t>
  </si>
  <si>
    <t>ORD-2025642</t>
  </si>
  <si>
    <t>CUST-1286</t>
  </si>
  <si>
    <t>ORD-2025643</t>
  </si>
  <si>
    <t>CUST-1376</t>
  </si>
  <si>
    <t>Kunal Kapoor</t>
  </si>
  <si>
    <t>ORD-2025644</t>
  </si>
  <si>
    <t>13 Sun</t>
  </si>
  <si>
    <t>ORD-2025645</t>
  </si>
  <si>
    <t>CUST-1266</t>
  </si>
  <si>
    <t>ORD-2025646</t>
  </si>
  <si>
    <t>ORD-2025647</t>
  </si>
  <si>
    <t>ORD-2025648</t>
  </si>
  <si>
    <t>14 Mon</t>
  </si>
  <si>
    <t>ORD-2025649</t>
  </si>
  <si>
    <t>CUST-1109</t>
  </si>
  <si>
    <t>ORD-2025650</t>
  </si>
  <si>
    <t>ORD-2025651</t>
  </si>
  <si>
    <t>ORD-2025652</t>
  </si>
  <si>
    <t>15 Tue</t>
  </si>
  <si>
    <t>ORD-2025653</t>
  </si>
  <si>
    <t>CUST-1311</t>
  </si>
  <si>
    <t>ORD-2025654</t>
  </si>
  <si>
    <t>16 Wed</t>
  </si>
  <si>
    <t>CUST-1276</t>
  </si>
  <si>
    <t>ORD-2025655</t>
  </si>
  <si>
    <t>ORD-2025656</t>
  </si>
  <si>
    <t>ORD-2025657</t>
  </si>
  <si>
    <t>ORD-2025658</t>
  </si>
  <si>
    <t>ORD-2025659</t>
  </si>
  <si>
    <t>ORD-2025660</t>
  </si>
  <si>
    <t>17 Thu</t>
  </si>
  <si>
    <t>ORD-2025661</t>
  </si>
  <si>
    <t>ORD-2025662</t>
  </si>
  <si>
    <t>CUST-1245</t>
  </si>
  <si>
    <t>ORD-2025663</t>
  </si>
  <si>
    <t>CUST-1251</t>
  </si>
  <si>
    <t>Aarav Singh</t>
  </si>
  <si>
    <t>ORD-2025664</t>
  </si>
  <si>
    <t>ORD-2025665</t>
  </si>
  <si>
    <t>ORD-2025666</t>
  </si>
  <si>
    <t>ORD-2025667</t>
  </si>
  <si>
    <t>ORD-2025668</t>
  </si>
  <si>
    <t>CUST-1275</t>
  </si>
  <si>
    <t>ORD-2025669</t>
  </si>
  <si>
    <t>18 Fri</t>
  </si>
  <si>
    <t>ORD-2025670</t>
  </si>
  <si>
    <t>ORD-2025671</t>
  </si>
  <si>
    <t>ORD-2025672</t>
  </si>
  <si>
    <t>ORD-2025673</t>
  </si>
  <si>
    <t>19 Sat</t>
  </si>
  <si>
    <t>ORD-2025674</t>
  </si>
  <si>
    <t>ORD-2025675</t>
  </si>
  <si>
    <t>ORD-2025676</t>
  </si>
  <si>
    <t>ORD-2025677</t>
  </si>
  <si>
    <t>ORD-2025678</t>
  </si>
  <si>
    <t>ORD-2025679</t>
  </si>
  <si>
    <t>CUST-1372</t>
  </si>
  <si>
    <t>ORD-2025680</t>
  </si>
  <si>
    <t>20 Sun</t>
  </si>
  <si>
    <t>ORD-2025681</t>
  </si>
  <si>
    <t>ORD-2025682</t>
  </si>
  <si>
    <t>ORD-2025683</t>
  </si>
  <si>
    <t>CUST-1099</t>
  </si>
  <si>
    <t>ORD-2025684</t>
  </si>
  <si>
    <t>ORD-2025685</t>
  </si>
  <si>
    <t>21 Mon</t>
  </si>
  <si>
    <t>ORD-2025686</t>
  </si>
  <si>
    <t>ORD-2025687</t>
  </si>
  <si>
    <t>ORD-2025688</t>
  </si>
  <si>
    <t>ORD-2025689</t>
  </si>
  <si>
    <t>ORD-2025690</t>
  </si>
  <si>
    <t>22 Tue</t>
  </si>
  <si>
    <t>ORD-2025691</t>
  </si>
  <si>
    <t>ORD-2025692</t>
  </si>
  <si>
    <t>ORD-2025693</t>
  </si>
  <si>
    <t>23 Wed</t>
  </si>
  <si>
    <t>ORD-2025694</t>
  </si>
  <si>
    <t>ORD-2025695</t>
  </si>
  <si>
    <t>ORD-2025696</t>
  </si>
  <si>
    <t>ORD-2025697</t>
  </si>
  <si>
    <t>24 Thu</t>
  </si>
  <si>
    <t>CUST-1293</t>
  </si>
  <si>
    <t>ORD-2025698</t>
  </si>
  <si>
    <t>ORD-2025699</t>
  </si>
  <si>
    <t>25 Fri</t>
  </si>
  <si>
    <t>ORD-2025700</t>
  </si>
  <si>
    <t>ORD-2025701</t>
  </si>
  <si>
    <t>ORD-2025702</t>
  </si>
  <si>
    <t>CUST-1281</t>
  </si>
  <si>
    <t>ORD-2025703</t>
  </si>
  <si>
    <t>ORD-2025704</t>
  </si>
  <si>
    <t>ORD-2025705</t>
  </si>
  <si>
    <t>ORD-2025706</t>
  </si>
  <si>
    <t>ORD-2025707</t>
  </si>
  <si>
    <t>26 Sat</t>
  </si>
  <si>
    <t>ORD-2025708</t>
  </si>
  <si>
    <t>ORD-2025709</t>
  </si>
  <si>
    <t>ORD-2025710</t>
  </si>
  <si>
    <t>ORD-2025711</t>
  </si>
  <si>
    <t>CUST-1181</t>
  </si>
  <si>
    <t>ORD-2025712</t>
  </si>
  <si>
    <t>ORD-2025713</t>
  </si>
  <si>
    <t>27 Sun</t>
  </si>
  <si>
    <t>ORD-2025714</t>
  </si>
  <si>
    <t>ORD-2025715</t>
  </si>
  <si>
    <t>ORD-2025716</t>
  </si>
  <si>
    <t>ORD-2025717</t>
  </si>
  <si>
    <t>ORD-2025718</t>
  </si>
  <si>
    <t>CUST-1182</t>
  </si>
  <si>
    <t>ORD-2025719</t>
  </si>
  <si>
    <t>ORD-2025720</t>
  </si>
  <si>
    <t>28 Mon</t>
  </si>
  <si>
    <t>ORD-2025721</t>
  </si>
  <si>
    <t>ORD-2025722</t>
  </si>
  <si>
    <t>ORD-2025723</t>
  </si>
  <si>
    <t>ORD-2025724</t>
  </si>
  <si>
    <t>ORD-2025725</t>
  </si>
  <si>
    <t>ORD-2025726</t>
  </si>
  <si>
    <t>ORD-2025727</t>
  </si>
  <si>
    <t>ORD-2025728</t>
  </si>
  <si>
    <t>ORD-2025729</t>
  </si>
  <si>
    <t>ORD-2025730</t>
  </si>
  <si>
    <t>ORD-2025731</t>
  </si>
  <si>
    <t>29 Tue</t>
  </si>
  <si>
    <t>ORD-2025732</t>
  </si>
  <si>
    <t>ORD-2025733</t>
  </si>
  <si>
    <t>CUST-1086</t>
  </si>
  <si>
    <t>ORD-2025734</t>
  </si>
  <si>
    <t>ORD-2025735</t>
  </si>
  <si>
    <t>CUST-1124</t>
  </si>
  <si>
    <t>ORD-2025736</t>
  </si>
  <si>
    <t>ORD-2025737</t>
  </si>
  <si>
    <t>ORD-2025738</t>
  </si>
  <si>
    <t>ORD-2025739</t>
  </si>
  <si>
    <t>ORD-2025740</t>
  </si>
  <si>
    <t>30 Wed</t>
  </si>
  <si>
    <t>CUST-1265</t>
  </si>
  <si>
    <t>ORD-2025741</t>
  </si>
  <si>
    <t>ORD-2025742</t>
  </si>
  <si>
    <t>CUST-1393</t>
  </si>
  <si>
    <t>Nandini Singh</t>
  </si>
  <si>
    <t>ORD-2025743</t>
  </si>
  <si>
    <t>ORD-2025744</t>
  </si>
  <si>
    <t>CUST-1060</t>
  </si>
  <si>
    <t>ORD-2025745</t>
  </si>
  <si>
    <t>ORD-2025746</t>
  </si>
  <si>
    <t>ORD-2025747</t>
  </si>
  <si>
    <t>ORD-2025748</t>
  </si>
  <si>
    <t>1 Thu</t>
  </si>
  <si>
    <t>May</t>
  </si>
  <si>
    <t>ORD-2025749</t>
  </si>
  <si>
    <t>CUST-1156</t>
  </si>
  <si>
    <t>ORD-2025750</t>
  </si>
  <si>
    <t>ORD-2025751</t>
  </si>
  <si>
    <t>ORD-2025752</t>
  </si>
  <si>
    <t>ORD-2025753</t>
  </si>
  <si>
    <t>ORD-2025754</t>
  </si>
  <si>
    <t>2 Fri</t>
  </si>
  <si>
    <t>ORD-2025755</t>
  </si>
  <si>
    <t>ORD-2025756</t>
  </si>
  <si>
    <t>ORD-2025757</t>
  </si>
  <si>
    <t>ORD-2025758</t>
  </si>
  <si>
    <t>ORD-2025759</t>
  </si>
  <si>
    <t>ORD-2025760</t>
  </si>
  <si>
    <t>CUST-1058</t>
  </si>
  <si>
    <t>ORD-2025761</t>
  </si>
  <si>
    <t>CUST-1216</t>
  </si>
  <si>
    <t>ORD-2025762</t>
  </si>
  <si>
    <t>3 Sat</t>
  </si>
  <si>
    <t>ORD-2025763</t>
  </si>
  <si>
    <t>ORD-2025764</t>
  </si>
  <si>
    <t>ORD-2025765</t>
  </si>
  <si>
    <t>CUST-1161</t>
  </si>
  <si>
    <t>ORD-2025766</t>
  </si>
  <si>
    <t>ORD-2025767</t>
  </si>
  <si>
    <t>ORD-2025768</t>
  </si>
  <si>
    <t>ORD-2025769</t>
  </si>
  <si>
    <t>ORD-2025770</t>
  </si>
  <si>
    <t>CUST-1153</t>
  </si>
  <si>
    <t>ORD-2025771</t>
  </si>
  <si>
    <t>4 Sun</t>
  </si>
  <si>
    <t>ORD-2025772</t>
  </si>
  <si>
    <t>ORD-2025773</t>
  </si>
  <si>
    <t>CUST-1370</t>
  </si>
  <si>
    <t>ORD-2025774</t>
  </si>
  <si>
    <t>ORD-2025775</t>
  </si>
  <si>
    <t>ORD-2025776</t>
  </si>
  <si>
    <t>ORD-2025777</t>
  </si>
  <si>
    <t>ORD-2025778</t>
  </si>
  <si>
    <t>5 Mon</t>
  </si>
  <si>
    <t>ORD-2025779</t>
  </si>
  <si>
    <t>ORD-2025780</t>
  </si>
  <si>
    <t>ORD-2025781</t>
  </si>
  <si>
    <t>ORD-2025782</t>
  </si>
  <si>
    <t>6 Tue</t>
  </si>
  <si>
    <t>ORD-2025783</t>
  </si>
  <si>
    <t>ORD-2025784</t>
  </si>
  <si>
    <t>ORD-2025785</t>
  </si>
  <si>
    <t>ORD-2025786</t>
  </si>
  <si>
    <t>7 Wed</t>
  </si>
  <si>
    <t>ORD-2025787</t>
  </si>
  <si>
    <t>ORD-2025788</t>
  </si>
  <si>
    <t>ORD-2025789</t>
  </si>
  <si>
    <t>ORD-2025790</t>
  </si>
  <si>
    <t>8 Thu</t>
  </si>
  <si>
    <t>ORD-2025791</t>
  </si>
  <si>
    <t>CUST-1310</t>
  </si>
  <si>
    <t>Meera Patel</t>
  </si>
  <si>
    <t>ORD-2025792</t>
  </si>
  <si>
    <t>CUST-1322</t>
  </si>
  <si>
    <t>Rahul Sharma</t>
  </si>
  <si>
    <t>ORD-2025793</t>
  </si>
  <si>
    <t>ORD-2025794</t>
  </si>
  <si>
    <t>ORD-2025795</t>
  </si>
  <si>
    <t>9 Fri</t>
  </si>
  <si>
    <t>ORD-2025796</t>
  </si>
  <si>
    <t>ORD-2025797</t>
  </si>
  <si>
    <t>CUST-1334</t>
  </si>
  <si>
    <t>ORD-2025798</t>
  </si>
  <si>
    <t>10 Sat</t>
  </si>
  <si>
    <t>ORD-2025799</t>
  </si>
  <si>
    <t>ORD-2025800</t>
  </si>
  <si>
    <t>ORD-2025801</t>
  </si>
  <si>
    <t>ORD-2025802</t>
  </si>
  <si>
    <t>ORD-2025803</t>
  </si>
  <si>
    <t>CUST-1057</t>
  </si>
  <si>
    <t>ORD-2025804</t>
  </si>
  <si>
    <t>ORD-2025805</t>
  </si>
  <si>
    <t>11 Sun</t>
  </si>
  <si>
    <t>ORD-2025806</t>
  </si>
  <si>
    <t>ORD-2025807</t>
  </si>
  <si>
    <t>ORD-2025808</t>
  </si>
  <si>
    <t>ORD-2025809</t>
  </si>
  <si>
    <t>ORD-2025810</t>
  </si>
  <si>
    <t>ORD-2025811</t>
  </si>
  <si>
    <t>ORD-2025812</t>
  </si>
  <si>
    <t>ORD-2025813</t>
  </si>
  <si>
    <t>ORD-2025814</t>
  </si>
  <si>
    <t>ORD-2025815</t>
  </si>
  <si>
    <t>ORD-2025816</t>
  </si>
  <si>
    <t>ORD-2025817</t>
  </si>
  <si>
    <t>ORD-2025818</t>
  </si>
  <si>
    <t>12 Mon</t>
  </si>
  <si>
    <t>CUST-1226</t>
  </si>
  <si>
    <t>ORD-2025819</t>
  </si>
  <si>
    <t>ORD-2025820</t>
  </si>
  <si>
    <t>ORD-2025821</t>
  </si>
  <si>
    <t>ORD-2025822</t>
  </si>
  <si>
    <t>ORD-2025823</t>
  </si>
  <si>
    <t>ORD-2025824</t>
  </si>
  <si>
    <t>ORD-2025825</t>
  </si>
  <si>
    <t>ORD-2025826</t>
  </si>
  <si>
    <t>13 Tue</t>
  </si>
  <si>
    <t>ORD-2025827</t>
  </si>
  <si>
    <t>ORD-2025828</t>
  </si>
  <si>
    <t>ORD-2025829</t>
  </si>
  <si>
    <t>ORD-2025830</t>
  </si>
  <si>
    <t>ORD-2025831</t>
  </si>
  <si>
    <t>ORD-2025832</t>
  </si>
  <si>
    <t>14 Wed</t>
  </si>
  <si>
    <t>ORD-2025833</t>
  </si>
  <si>
    <t>ORD-2025834</t>
  </si>
  <si>
    <t>ORD-2025835</t>
  </si>
  <si>
    <t>ORD-2025836</t>
  </si>
  <si>
    <t>15 Thu</t>
  </si>
  <si>
    <t>CUST-1285</t>
  </si>
  <si>
    <t>ORD-2025837</t>
  </si>
  <si>
    <t>ORD-2025838</t>
  </si>
  <si>
    <t>ORD-2025839</t>
  </si>
  <si>
    <t>ORD-2025840</t>
  </si>
  <si>
    <t>ORD-2025841</t>
  </si>
  <si>
    <t>ORD-2025842</t>
  </si>
  <si>
    <t>ORD-2025843</t>
  </si>
  <si>
    <t>ORD-2025844</t>
  </si>
  <si>
    <t>ORD-2025845</t>
  </si>
  <si>
    <t>ORD-2025846</t>
  </si>
  <si>
    <t>ORD-2025847</t>
  </si>
  <si>
    <t>16 Fri</t>
  </si>
  <si>
    <t>ORD-2025848</t>
  </si>
  <si>
    <t>ORD-2025849</t>
  </si>
  <si>
    <t>ORD-2025850</t>
  </si>
  <si>
    <t>ORD-2025851</t>
  </si>
  <si>
    <t>17 Sat</t>
  </si>
  <si>
    <t>ORD-2025852</t>
  </si>
  <si>
    <t>ORD-2025853</t>
  </si>
  <si>
    <t>ORD-2025854</t>
  </si>
  <si>
    <t>18 Sun</t>
  </si>
  <si>
    <t>ORD-2025855</t>
  </si>
  <si>
    <t>ORD-2025856</t>
  </si>
  <si>
    <t>ORD-2025857</t>
  </si>
  <si>
    <t>ORD-2025858</t>
  </si>
  <si>
    <t>ORD-2025859</t>
  </si>
  <si>
    <t>ORD-2025860</t>
  </si>
  <si>
    <t>CUST-1016</t>
  </si>
  <si>
    <t>ORD-2025861</t>
  </si>
  <si>
    <t>ORD-2025862</t>
  </si>
  <si>
    <t>19 Mon</t>
  </si>
  <si>
    <t>ORD-2025863</t>
  </si>
  <si>
    <t>CUST-1333</t>
  </si>
  <si>
    <t>ORD-2025864</t>
  </si>
  <si>
    <t>ORD-2025865</t>
  </si>
  <si>
    <t>ORD-2025866</t>
  </si>
  <si>
    <t>ORD-2025867</t>
  </si>
  <si>
    <t>ORD-2025868</t>
  </si>
  <si>
    <t>ORD-2025869</t>
  </si>
  <si>
    <t>ORD-2025870</t>
  </si>
  <si>
    <t>ORD-2025871</t>
  </si>
  <si>
    <t>20 Tue</t>
  </si>
  <si>
    <t>ORD-2025872</t>
  </si>
  <si>
    <t>ORD-2025873</t>
  </si>
  <si>
    <t>ORD-2025874</t>
  </si>
  <si>
    <t>CUST-1345</t>
  </si>
  <si>
    <t>ORD-2025875</t>
  </si>
  <si>
    <t>ORD-2025876</t>
  </si>
  <si>
    <t>21 Wed</t>
  </si>
  <si>
    <t>ORD-2025877</t>
  </si>
  <si>
    <t>ORD-2025878</t>
  </si>
  <si>
    <t>ORD-2025879</t>
  </si>
  <si>
    <t>ORD-2025880</t>
  </si>
  <si>
    <t>CUST-1193</t>
  </si>
  <si>
    <t>ORD-2025881</t>
  </si>
  <si>
    <t>ORD-2025882</t>
  </si>
  <si>
    <t>CUST-1388</t>
  </si>
  <si>
    <t>ORD-2025883</t>
  </si>
  <si>
    <t>ORD-2025884</t>
  </si>
  <si>
    <t>ORD-2025885</t>
  </si>
  <si>
    <t>ORD-2025886</t>
  </si>
  <si>
    <t>ORD-2025887</t>
  </si>
  <si>
    <t>ORD-2025888</t>
  </si>
  <si>
    <t>CUST-1008</t>
  </si>
  <si>
    <t>ORD-2025889</t>
  </si>
  <si>
    <t>22 Thu</t>
  </si>
  <si>
    <t>ORD-2025890</t>
  </si>
  <si>
    <t>ORD-2025891</t>
  </si>
  <si>
    <t>ORD-2025892</t>
  </si>
  <si>
    <t>ORD-2025893</t>
  </si>
  <si>
    <t>CUST-1381</t>
  </si>
  <si>
    <t>ORD-2025894</t>
  </si>
  <si>
    <t>ORD-2025895</t>
  </si>
  <si>
    <t>ORD-2025896</t>
  </si>
  <si>
    <t>ORD-2025897</t>
  </si>
  <si>
    <t>23 Fri</t>
  </si>
  <si>
    <t>ORD-2025898</t>
  </si>
  <si>
    <t>ORD-2025899</t>
  </si>
  <si>
    <t>ORD-2025900</t>
  </si>
  <si>
    <t>ORD-2025901</t>
  </si>
  <si>
    <t>ORD-2025902</t>
  </si>
  <si>
    <t>ORD-2025903</t>
  </si>
  <si>
    <t>ORD-2025904</t>
  </si>
  <si>
    <t>24 Sat</t>
  </si>
  <si>
    <t>ORD-2025905</t>
  </si>
  <si>
    <t>ORD-2025906</t>
  </si>
  <si>
    <t>ORD-2025907</t>
  </si>
  <si>
    <t>ORD-2025908</t>
  </si>
  <si>
    <t>ORD-2025909</t>
  </si>
  <si>
    <t>ORD-2025910</t>
  </si>
  <si>
    <t>ORD-2025911</t>
  </si>
  <si>
    <t>ORD-2025912</t>
  </si>
  <si>
    <t>25 Sun</t>
  </si>
  <si>
    <t>ORD-2025913</t>
  </si>
  <si>
    <t>ORD-2025914</t>
  </si>
  <si>
    <t>ORD-2025915</t>
  </si>
  <si>
    <t>ORD-2025916</t>
  </si>
  <si>
    <t>ORD-2025917</t>
  </si>
  <si>
    <t>CUST-1130</t>
  </si>
  <si>
    <t>ORD-2025918</t>
  </si>
  <si>
    <t>ORD-2025919</t>
  </si>
  <si>
    <t>CUST-1088</t>
  </si>
  <si>
    <t>Arjun Patel</t>
  </si>
  <si>
    <t>ORD-2025920</t>
  </si>
  <si>
    <t>26 Mon</t>
  </si>
  <si>
    <t>ORD-2025921</t>
  </si>
  <si>
    <t>ORD-2025922</t>
  </si>
  <si>
    <t>ORD-2025923</t>
  </si>
  <si>
    <t>ORD-2025924</t>
  </si>
  <si>
    <t>ORD-2025925</t>
  </si>
  <si>
    <t>ORD-2025926</t>
  </si>
  <si>
    <t>27 Tue</t>
  </si>
  <si>
    <t>ORD-2025927</t>
  </si>
  <si>
    <t>ORD-2025928</t>
  </si>
  <si>
    <t>ORD-2025929</t>
  </si>
  <si>
    <t>CUST-1117</t>
  </si>
  <si>
    <t>ORD-2025930</t>
  </si>
  <si>
    <t>ORD-2025931</t>
  </si>
  <si>
    <t>CUST-1308</t>
  </si>
  <si>
    <t>ORD-2025932</t>
  </si>
  <si>
    <t>ORD-2025933</t>
  </si>
  <si>
    <t>ORD-2025934</t>
  </si>
  <si>
    <t>ORD-2025935</t>
  </si>
  <si>
    <t>ORD-2025936</t>
  </si>
  <si>
    <t>ORD-2025937</t>
  </si>
  <si>
    <t>ORD-2025938</t>
  </si>
  <si>
    <t>28 Wed</t>
  </si>
  <si>
    <t>ORD-2025939</t>
  </si>
  <si>
    <t>ORD-2025940</t>
  </si>
  <si>
    <t>ORD-2025941</t>
  </si>
  <si>
    <t>ORD-2025942</t>
  </si>
  <si>
    <t>ORD-2025943</t>
  </si>
  <si>
    <t>ORD-2025944</t>
  </si>
  <si>
    <t>CUST-1295</t>
  </si>
  <si>
    <t>ORD-2025945</t>
  </si>
  <si>
    <t>ORD-2025946</t>
  </si>
  <si>
    <t>CUST-1236</t>
  </si>
  <si>
    <t>ORD-2025947</t>
  </si>
  <si>
    <t>ORD-2025948</t>
  </si>
  <si>
    <t>ORD-2025949</t>
  </si>
  <si>
    <t>ORD-2025950</t>
  </si>
  <si>
    <t>29 Thu</t>
  </si>
  <si>
    <t>ORD-2025951</t>
  </si>
  <si>
    <t>ORD-2025952</t>
  </si>
  <si>
    <t>ORD-2025953</t>
  </si>
  <si>
    <t>ORD-2025954</t>
  </si>
  <si>
    <t>ORD-2025955</t>
  </si>
  <si>
    <t>ORD-2025956</t>
  </si>
  <si>
    <t>30 Fri</t>
  </si>
  <si>
    <t>ORD-2025957</t>
  </si>
  <si>
    <t>ORD-2025958</t>
  </si>
  <si>
    <t>ORD-2025959</t>
  </si>
  <si>
    <t>CUST-1148</t>
  </si>
  <si>
    <t>ORD-2025960</t>
  </si>
  <si>
    <t>ORD-2025961</t>
  </si>
  <si>
    <t>ORD-2025962</t>
  </si>
  <si>
    <t>ORD-2025963</t>
  </si>
  <si>
    <t>31 Sat</t>
  </si>
  <si>
    <t>ORD-2025964</t>
  </si>
  <si>
    <t>ORD-2025965</t>
  </si>
  <si>
    <t>ORD-2025966</t>
  </si>
  <si>
    <t>ORD-2025967</t>
  </si>
  <si>
    <t>ORD-2025968</t>
  </si>
  <si>
    <t>CUST-1012</t>
  </si>
  <si>
    <t>ORD-2025969</t>
  </si>
  <si>
    <t>ORD-2025970</t>
  </si>
  <si>
    <t>ORD-2025971</t>
  </si>
  <si>
    <t>ORD-2025972</t>
  </si>
  <si>
    <t>ORD-2025973</t>
  </si>
  <si>
    <t>ORD-2025974</t>
  </si>
  <si>
    <t>1 Sun</t>
  </si>
  <si>
    <t>Jun</t>
  </si>
  <si>
    <t>ORD-2025975</t>
  </si>
  <si>
    <t>ORD-2025976</t>
  </si>
  <si>
    <t>ORD-2025977</t>
  </si>
  <si>
    <t>ORD-2025978</t>
  </si>
  <si>
    <t>ORD-2025979</t>
  </si>
  <si>
    <t>ORD-2025980</t>
  </si>
  <si>
    <t>ORD-2025981</t>
  </si>
  <si>
    <t>ORD-2025982</t>
  </si>
  <si>
    <t>ORD-2025983</t>
  </si>
  <si>
    <t>ORD-2025984</t>
  </si>
  <si>
    <t>ORD-2025985</t>
  </si>
  <si>
    <t>ORD-2025986</t>
  </si>
  <si>
    <t>ORD-2025987</t>
  </si>
  <si>
    <t>ORD-2025988</t>
  </si>
  <si>
    <t>2 Mon</t>
  </si>
  <si>
    <t>CUST-1222</t>
  </si>
  <si>
    <t>ORD-2025989</t>
  </si>
  <si>
    <t>CUST-1253</t>
  </si>
  <si>
    <t>Swati Malhotra</t>
  </si>
  <si>
    <t>ORD-2025990</t>
  </si>
  <si>
    <t>ORD-2025991</t>
  </si>
  <si>
    <t>ORD-2025992</t>
  </si>
  <si>
    <t>ORD-2025993</t>
  </si>
  <si>
    <t>3 Tue</t>
  </si>
  <si>
    <t>ORD-2025994</t>
  </si>
  <si>
    <t>ORD-2025995</t>
  </si>
  <si>
    <t>ORD-2025996</t>
  </si>
  <si>
    <t>ORD-2025997</t>
  </si>
  <si>
    <t>ORD-2025998</t>
  </si>
  <si>
    <t>ORD-2025999</t>
  </si>
  <si>
    <t>4 Wed</t>
  </si>
  <si>
    <t>ORD-2026000</t>
  </si>
  <si>
    <t>ORD-2026001</t>
  </si>
  <si>
    <t>ORD-2026002</t>
  </si>
  <si>
    <t>ORD-2026003</t>
  </si>
  <si>
    <t>ORD-2026004</t>
  </si>
  <si>
    <t>ORD-2026005</t>
  </si>
  <si>
    <t>ORD-2026006</t>
  </si>
  <si>
    <t>ORD-2026007</t>
  </si>
  <si>
    <t>ORD-2026008</t>
  </si>
  <si>
    <t>CUST-1139</t>
  </si>
  <si>
    <t>Aditya Sharma</t>
  </si>
  <si>
    <t>ORD-2026009</t>
  </si>
  <si>
    <t>ORD-2026010</t>
  </si>
  <si>
    <t>5 Thu</t>
  </si>
  <si>
    <t>ORD-2026011</t>
  </si>
  <si>
    <t>ORD-2026012</t>
  </si>
  <si>
    <t>CUST-1389</t>
  </si>
  <si>
    <t>ORD-2026013</t>
  </si>
  <si>
    <t>ORD-2026014</t>
  </si>
  <si>
    <t>CUST-1070</t>
  </si>
  <si>
    <t>ORD-2026015</t>
  </si>
  <si>
    <t>ORD-2026016</t>
  </si>
  <si>
    <t>CUST-1282</t>
  </si>
  <si>
    <t>ORD-2026017</t>
  </si>
  <si>
    <t>6 Fri</t>
  </si>
  <si>
    <t>ORD-2026018</t>
  </si>
  <si>
    <t>ORD-2026019</t>
  </si>
  <si>
    <t>ORD-2026020</t>
  </si>
  <si>
    <t>ORD-2026021</t>
  </si>
  <si>
    <t>ORD-2026022</t>
  </si>
  <si>
    <t>ORD-2026023</t>
  </si>
  <si>
    <t>ORD-2026024</t>
  </si>
  <si>
    <t>7 Sat</t>
  </si>
  <si>
    <t>ORD-2026025</t>
  </si>
  <si>
    <t>ORD-2026026</t>
  </si>
  <si>
    <t>ORD-2026027</t>
  </si>
  <si>
    <t>ORD-2026028</t>
  </si>
  <si>
    <t>ORD-2026029</t>
  </si>
  <si>
    <t>ORD-2026030</t>
  </si>
  <si>
    <t>ORD-2026031</t>
  </si>
  <si>
    <t>8 Sun</t>
  </si>
  <si>
    <t>ORD-2026032</t>
  </si>
  <si>
    <t>ORD-2026033</t>
  </si>
  <si>
    <t>ORD-2026034</t>
  </si>
  <si>
    <t>ORD-2026035</t>
  </si>
  <si>
    <t>ORD-2026036</t>
  </si>
  <si>
    <t>ORD-2026037</t>
  </si>
  <si>
    <t>CUST-1392</t>
  </si>
  <si>
    <t>ORD-2026038</t>
  </si>
  <si>
    <t>ORD-2026039</t>
  </si>
  <si>
    <t>ORD-2026040</t>
  </si>
  <si>
    <t>ORD-2026041</t>
  </si>
  <si>
    <t>ORD-2026042</t>
  </si>
  <si>
    <t>ORD-2026043</t>
  </si>
  <si>
    <t>9 Mon</t>
  </si>
  <si>
    <t>ORD-2026044</t>
  </si>
  <si>
    <t>ORD-2026045</t>
  </si>
  <si>
    <t>ORD-2026046</t>
  </si>
  <si>
    <t>CUST-1337</t>
  </si>
  <si>
    <t>ORD-2026047</t>
  </si>
  <si>
    <t>ORD-2026048</t>
  </si>
  <si>
    <t>ORD-2026049</t>
  </si>
  <si>
    <t>ORD-2026050</t>
  </si>
  <si>
    <t>ORD-2026051</t>
  </si>
  <si>
    <t>10 Tue</t>
  </si>
  <si>
    <t>ORD-2026052</t>
  </si>
  <si>
    <t>ORD-2026053</t>
  </si>
  <si>
    <t>ORD-2026054</t>
  </si>
  <si>
    <t>ORD-2026055</t>
  </si>
  <si>
    <t>ORD-2026056</t>
  </si>
  <si>
    <t>ORD-2026057</t>
  </si>
  <si>
    <t>ORD-2026058</t>
  </si>
  <si>
    <t>ORD-2026059</t>
  </si>
  <si>
    <t>11 Wed</t>
  </si>
  <si>
    <t>ORD-2026060</t>
  </si>
  <si>
    <t>ORD-2026061</t>
  </si>
  <si>
    <t>ORD-2026062</t>
  </si>
  <si>
    <t>ORD-2026063</t>
  </si>
  <si>
    <t>CUST-1341</t>
  </si>
  <si>
    <t>ORD-2026064</t>
  </si>
  <si>
    <t>ORD-2026065</t>
  </si>
  <si>
    <t>ORD-2026066</t>
  </si>
  <si>
    <t>ORD-2026067</t>
  </si>
  <si>
    <t>ORD-2026068</t>
  </si>
  <si>
    <t>ORD-2026069</t>
  </si>
  <si>
    <t>ORD-2026070</t>
  </si>
  <si>
    <t>ORD-2026071</t>
  </si>
  <si>
    <t>ORD-2026072</t>
  </si>
  <si>
    <t>12 Thu</t>
  </si>
  <si>
    <t>ORD-2026073</t>
  </si>
  <si>
    <t>ORD-2026074</t>
  </si>
  <si>
    <t>ORD-2026075</t>
  </si>
  <si>
    <t>ORD-2026076</t>
  </si>
  <si>
    <t>ORD-2026077</t>
  </si>
  <si>
    <t>ORD-2026078</t>
  </si>
  <si>
    <t>ORD-2026079</t>
  </si>
  <si>
    <t>ORD-2026080</t>
  </si>
  <si>
    <t>ORD-2026081</t>
  </si>
  <si>
    <t>ORD-2026082</t>
  </si>
  <si>
    <t>13 Fri</t>
  </si>
  <si>
    <t>ORD-2026083</t>
  </si>
  <si>
    <t>ORD-2026084</t>
  </si>
  <si>
    <t>ORD-2026085</t>
  </si>
  <si>
    <t>ORD-2026086</t>
  </si>
  <si>
    <t>ORD-2026087</t>
  </si>
  <si>
    <t>ORD-2026088</t>
  </si>
  <si>
    <t>ORD-2026089</t>
  </si>
  <si>
    <t>14 Sat</t>
  </si>
  <si>
    <t>ORD-2026090</t>
  </si>
  <si>
    <t>ORD-2026091</t>
  </si>
  <si>
    <t>ORD-2026092</t>
  </si>
  <si>
    <t>ORD-2026093</t>
  </si>
  <si>
    <t>ORD-2026094</t>
  </si>
  <si>
    <t>ORD-2026095</t>
  </si>
  <si>
    <t>ORD-2026096</t>
  </si>
  <si>
    <t>ORD-2026097</t>
  </si>
  <si>
    <t>ORD-2026098</t>
  </si>
  <si>
    <t>ORD-2026099</t>
  </si>
  <si>
    <t>ORD-2026100</t>
  </si>
  <si>
    <t>ORD-2026101</t>
  </si>
  <si>
    <t>ORD-2026102</t>
  </si>
  <si>
    <t>15 Sun</t>
  </si>
  <si>
    <t>ORD-2026103</t>
  </si>
  <si>
    <t>ORD-2026104</t>
  </si>
  <si>
    <t>ORD-2026105</t>
  </si>
  <si>
    <t>ORD-2026106</t>
  </si>
  <si>
    <t>ORD-2026107</t>
  </si>
  <si>
    <t>ORD-2026108</t>
  </si>
  <si>
    <t>ORD-2026109</t>
  </si>
  <si>
    <t>ORD-2026110</t>
  </si>
  <si>
    <t>16 Mon</t>
  </si>
  <si>
    <t>ORD-2026111</t>
  </si>
  <si>
    <t>ORD-2026112</t>
  </si>
  <si>
    <t>17 Tue</t>
  </si>
  <si>
    <t>ORD-2026113</t>
  </si>
  <si>
    <t>ORD-2026114</t>
  </si>
  <si>
    <t>CUST-1035</t>
  </si>
  <si>
    <t>Isha Joshi</t>
  </si>
  <si>
    <t>ORD-2026115</t>
  </si>
  <si>
    <t>ORD-2026116</t>
  </si>
  <si>
    <t>ORD-2026117</t>
  </si>
  <si>
    <t>ORD-2026118</t>
  </si>
  <si>
    <t>ORD-2026119</t>
  </si>
  <si>
    <t>ORD-2026120</t>
  </si>
  <si>
    <t>ORD-2026121</t>
  </si>
  <si>
    <t>18 Wed</t>
  </si>
  <si>
    <t>ORD-2026122</t>
  </si>
  <si>
    <t>ORD-2026123</t>
  </si>
  <si>
    <t>CUST-1241</t>
  </si>
  <si>
    <t>ORD-2026124</t>
  </si>
  <si>
    <t>ORD-2026125</t>
  </si>
  <si>
    <t>ORD-2026126</t>
  </si>
  <si>
    <t>ORD-2026127</t>
  </si>
  <si>
    <t>ORD-2026128</t>
  </si>
  <si>
    <t>ORD-2026129</t>
  </si>
  <si>
    <t>ORD-2026130</t>
  </si>
  <si>
    <t>ORD-2026131</t>
  </si>
  <si>
    <t>19 Thu</t>
  </si>
  <si>
    <t>ORD-2026132</t>
  </si>
  <si>
    <t>ORD-2026133</t>
  </si>
  <si>
    <t>ORD-2026134</t>
  </si>
  <si>
    <t>ORD-2026135</t>
  </si>
  <si>
    <t>ORD-2026136</t>
  </si>
  <si>
    <t>ORD-2026137</t>
  </si>
  <si>
    <t>ORD-2026138</t>
  </si>
  <si>
    <t>20 Fri</t>
  </si>
  <si>
    <t>ORD-2026139</t>
  </si>
  <si>
    <t>ORD-2026140</t>
  </si>
  <si>
    <t>ORD-2026141</t>
  </si>
  <si>
    <t>ORD-2026142</t>
  </si>
  <si>
    <t>ORD-2026143</t>
  </si>
  <si>
    <t>21 Sat</t>
  </si>
  <si>
    <t>ORD-2026144</t>
  </si>
  <si>
    <t>ORD-2026145</t>
  </si>
  <si>
    <t>ORD-2026146</t>
  </si>
  <si>
    <t>ORD-2026147</t>
  </si>
  <si>
    <t>ORD-2026148</t>
  </si>
  <si>
    <t>ORD-2026149</t>
  </si>
  <si>
    <t>ORD-2026150</t>
  </si>
  <si>
    <t>ORD-2026151</t>
  </si>
  <si>
    <t>ORD-2026152</t>
  </si>
  <si>
    <t>ORD-2026153</t>
  </si>
  <si>
    <t>ORD-2026154</t>
  </si>
  <si>
    <t>22 Sun</t>
  </si>
  <si>
    <t>ORD-2026155</t>
  </si>
  <si>
    <t>ORD-2026156</t>
  </si>
  <si>
    <t>ORD-2026157</t>
  </si>
  <si>
    <t>ORD-2026158</t>
  </si>
  <si>
    <t>CUST-1175</t>
  </si>
  <si>
    <t>ORD-2026159</t>
  </si>
  <si>
    <t>ORD-2026160</t>
  </si>
  <si>
    <t>ORD-2026161</t>
  </si>
  <si>
    <t>ORD-2026162</t>
  </si>
  <si>
    <t>ORD-2026163</t>
  </si>
  <si>
    <t>ORD-2026164</t>
  </si>
  <si>
    <t>ORD-2026165</t>
  </si>
  <si>
    <t>23 Mon</t>
  </si>
  <si>
    <t>ORD-2026166</t>
  </si>
  <si>
    <t>ORD-2026167</t>
  </si>
  <si>
    <t>ORD-2026168</t>
  </si>
  <si>
    <t>ORD-2026169</t>
  </si>
  <si>
    <t>ORD-2026170</t>
  </si>
  <si>
    <t>ORD-2026171</t>
  </si>
  <si>
    <t>ORD-2026172</t>
  </si>
  <si>
    <t>ORD-2026173</t>
  </si>
  <si>
    <t>ORD-2026174</t>
  </si>
  <si>
    <t>ORD-2026175</t>
  </si>
  <si>
    <t>ORD-2026176</t>
  </si>
  <si>
    <t>ORD-2026177</t>
  </si>
  <si>
    <t>ORD-2026178</t>
  </si>
  <si>
    <t>24 Tue</t>
  </si>
  <si>
    <t>ORD-2026179</t>
  </si>
  <si>
    <t>ORD-2026180</t>
  </si>
  <si>
    <t>ORD-2026181</t>
  </si>
  <si>
    <t>ORD-2026182</t>
  </si>
  <si>
    <t>ORD-2026183</t>
  </si>
  <si>
    <t>ORD-2026184</t>
  </si>
  <si>
    <t>ORD-2026185</t>
  </si>
  <si>
    <t>ORD-2026186</t>
  </si>
  <si>
    <t>ORD-2026187</t>
  </si>
  <si>
    <t>ORD-2026188</t>
  </si>
  <si>
    <t>CUST-1220</t>
  </si>
  <si>
    <t>ORD-2026189</t>
  </si>
  <si>
    <t>ORD-2026190</t>
  </si>
  <si>
    <t>ORD-2026191</t>
  </si>
  <si>
    <t>25 Wed</t>
  </si>
  <si>
    <t>ORD-2026192</t>
  </si>
  <si>
    <t>ORD-2026193</t>
  </si>
  <si>
    <t>ORD-2026194</t>
  </si>
  <si>
    <t>ORD-2026195</t>
  </si>
  <si>
    <t>ORD-2026196</t>
  </si>
  <si>
    <t>ORD-2026197</t>
  </si>
  <si>
    <t>ORD-2026198</t>
  </si>
  <si>
    <t>ORD-2026199</t>
  </si>
  <si>
    <t>26 Thu</t>
  </si>
  <si>
    <t>ORD-2026200</t>
  </si>
  <si>
    <t>ORD-2026201</t>
  </si>
  <si>
    <t>ORD-2026202</t>
  </si>
  <si>
    <t>CUST-1298</t>
  </si>
  <si>
    <t>ORD-2026203</t>
  </si>
  <si>
    <t>ORD-2026204</t>
  </si>
  <si>
    <t>ORD-2026205</t>
  </si>
  <si>
    <t>27 Fri</t>
  </si>
  <si>
    <t>ORD-2026206</t>
  </si>
  <si>
    <t>ORD-2026207</t>
  </si>
  <si>
    <t>ORD-2026208</t>
  </si>
  <si>
    <t>ORD-2026209</t>
  </si>
  <si>
    <t>ORD-2026210</t>
  </si>
  <si>
    <t>ORD-2026211</t>
  </si>
  <si>
    <t>ORD-2026212</t>
  </si>
  <si>
    <t>ORD-2026213</t>
  </si>
  <si>
    <t>28 Sat</t>
  </si>
  <si>
    <t>ORD-2026214</t>
  </si>
  <si>
    <t>ORD-2026215</t>
  </si>
  <si>
    <t>ORD-2026216</t>
  </si>
  <si>
    <t>ORD-2026217</t>
  </si>
  <si>
    <t>ORD-2026218</t>
  </si>
  <si>
    <t>ORD-2026219</t>
  </si>
  <si>
    <t>ORD-2026220</t>
  </si>
  <si>
    <t>ORD-2026221</t>
  </si>
  <si>
    <t>ORD-2026222</t>
  </si>
  <si>
    <t>ORD-2026223</t>
  </si>
  <si>
    <t>ORD-2026224</t>
  </si>
  <si>
    <t>ORD-2026225</t>
  </si>
  <si>
    <t>29 Sun</t>
  </si>
  <si>
    <t>ORD-2026226</t>
  </si>
  <si>
    <t>ORD-2026227</t>
  </si>
  <si>
    <t>ORD-2026228</t>
  </si>
  <si>
    <t>ORD-2026229</t>
  </si>
  <si>
    <t>ORD-2026230</t>
  </si>
  <si>
    <t>ORD-2026231</t>
  </si>
  <si>
    <t>ORD-2026232</t>
  </si>
  <si>
    <t>ORD-2026233</t>
  </si>
  <si>
    <t>ORD-2026234</t>
  </si>
  <si>
    <t>ORD-2026235</t>
  </si>
  <si>
    <t>ORD-2026236</t>
  </si>
  <si>
    <t>ORD-2026237</t>
  </si>
  <si>
    <t>ORD-2026238</t>
  </si>
  <si>
    <t>ORD-2026239</t>
  </si>
  <si>
    <t>ORD-2026240</t>
  </si>
  <si>
    <t>ORD-2026241</t>
  </si>
  <si>
    <t>30 Mon</t>
  </si>
  <si>
    <t>ORD-2026242</t>
  </si>
  <si>
    <t>ORD-2026243</t>
  </si>
  <si>
    <t>ORD-2026244</t>
  </si>
  <si>
    <t>ORD-2026245</t>
  </si>
  <si>
    <t>ORD-2026246</t>
  </si>
  <si>
    <t>ORD-2026247</t>
  </si>
  <si>
    <t>ORD-2026248</t>
  </si>
  <si>
    <t>ORD-2026249</t>
  </si>
  <si>
    <t>ORD-2026250</t>
  </si>
  <si>
    <t>ORD-2026251</t>
  </si>
  <si>
    <t>ORD-2026252</t>
  </si>
  <si>
    <t>Jul</t>
  </si>
  <si>
    <t>ORD-2026253</t>
  </si>
  <si>
    <t>ORD-2026254</t>
  </si>
  <si>
    <t>ORD-2026255</t>
  </si>
  <si>
    <t>ORD-2026256</t>
  </si>
  <si>
    <t>ORD-2026257</t>
  </si>
  <si>
    <t>CUST-1079</t>
  </si>
  <si>
    <t>Komal Mehta</t>
  </si>
  <si>
    <t>ORD-2026258</t>
  </si>
  <si>
    <t>ORD-2026259</t>
  </si>
  <si>
    <t>ORD-2026260</t>
  </si>
  <si>
    <t>ORD-2026261</t>
  </si>
  <si>
    <t>ORD-2026262</t>
  </si>
  <si>
    <t>ORD-2026263</t>
  </si>
  <si>
    <t>ORD-2026264</t>
  </si>
  <si>
    <t>ORD-2026265</t>
  </si>
  <si>
    <t>ORD-2026266</t>
  </si>
  <si>
    <t>ORD-2026267</t>
  </si>
  <si>
    <t>ORD-2026268</t>
  </si>
  <si>
    <t>ORD-2026269</t>
  </si>
  <si>
    <t>ORD-2026270</t>
  </si>
  <si>
    <t>CUST-1328</t>
  </si>
  <si>
    <t>ORD-2026271</t>
  </si>
  <si>
    <t>ORD-2026272</t>
  </si>
  <si>
    <t>CUST-1078</t>
  </si>
  <si>
    <t>ORD-2026273</t>
  </si>
  <si>
    <t>ORD-2026274</t>
  </si>
  <si>
    <t>ORD-2026275</t>
  </si>
  <si>
    <t>ORD-2026276</t>
  </si>
  <si>
    <t>ORD-2026277</t>
  </si>
  <si>
    <t>ORD-2026278</t>
  </si>
  <si>
    <t>ORD-2026279</t>
  </si>
  <si>
    <t>ORD-2026280</t>
  </si>
  <si>
    <t>ORD-2026281</t>
  </si>
  <si>
    <t>ORD-2026282</t>
  </si>
  <si>
    <t>ORD-2026283</t>
  </si>
  <si>
    <t>ORD-2026284</t>
  </si>
  <si>
    <t>ORD-2026285</t>
  </si>
  <si>
    <t>ORD-2026286</t>
  </si>
  <si>
    <t>ORD-2026287</t>
  </si>
  <si>
    <t>ORD-2026288</t>
  </si>
  <si>
    <t>ORD-2026289</t>
  </si>
  <si>
    <t>ORD-2026290</t>
  </si>
  <si>
    <t>CUST-1297</t>
  </si>
  <si>
    <t>Sakshi Kapoor</t>
  </si>
  <si>
    <t>ORD-2026291</t>
  </si>
  <si>
    <t>ORD-2026292</t>
  </si>
  <si>
    <t>ORD-2026293</t>
  </si>
  <si>
    <t>ORD-2026294</t>
  </si>
  <si>
    <t>ORD-2026295</t>
  </si>
  <si>
    <t>ORD-2026296</t>
  </si>
  <si>
    <t>ORD-2026297</t>
  </si>
  <si>
    <t>ORD-2026298</t>
  </si>
  <si>
    <t>ORD-2026299</t>
  </si>
  <si>
    <t>ORD-2026300</t>
  </si>
  <si>
    <t>ORD-2026301</t>
  </si>
  <si>
    <t>ORD-2026302</t>
  </si>
  <si>
    <t>ORD-2026303</t>
  </si>
  <si>
    <t>ORD-2026304</t>
  </si>
  <si>
    <t>ORD-2026305</t>
  </si>
  <si>
    <t>ORD-2026306</t>
  </si>
  <si>
    <t>ORD-2026307</t>
  </si>
  <si>
    <t>ORD-2026308</t>
  </si>
  <si>
    <t>ORD-2026309</t>
  </si>
  <si>
    <t>ORD-2026310</t>
  </si>
  <si>
    <t>ORD-2026311</t>
  </si>
  <si>
    <t>ORD-2026312</t>
  </si>
  <si>
    <t>ORD-2026313</t>
  </si>
  <si>
    <t>ORD-2026314</t>
  </si>
  <si>
    <t>ORD-2026315</t>
  </si>
  <si>
    <t>ORD-2026316</t>
  </si>
  <si>
    <t>ORD-2026317</t>
  </si>
  <si>
    <t>ORD-2026318</t>
  </si>
  <si>
    <t>ORD-2026319</t>
  </si>
  <si>
    <t>ORD-2026320</t>
  </si>
  <si>
    <t>ORD-2026321</t>
  </si>
  <si>
    <t>ORD-2026322</t>
  </si>
  <si>
    <t>ORD-2026323</t>
  </si>
  <si>
    <t>ORD-2026324</t>
  </si>
  <si>
    <t>ORD-2026325</t>
  </si>
  <si>
    <t>ORD-2026326</t>
  </si>
  <si>
    <t>ORD-2026327</t>
  </si>
  <si>
    <t>ORD-2026328</t>
  </si>
  <si>
    <t>ORD-2026329</t>
  </si>
  <si>
    <t>ORD-2026330</t>
  </si>
  <si>
    <t>ORD-2026331</t>
  </si>
  <si>
    <t>ORD-2026332</t>
  </si>
  <si>
    <t>ORD-2026333</t>
  </si>
  <si>
    <t>ORD-2026334</t>
  </si>
  <si>
    <t>ORD-2026335</t>
  </si>
  <si>
    <t>ORD-2026336</t>
  </si>
  <si>
    <t>ORD-2026337</t>
  </si>
  <si>
    <t>ORD-2026338</t>
  </si>
  <si>
    <t>ORD-2026339</t>
  </si>
  <si>
    <t>ORD-2026340</t>
  </si>
  <si>
    <t>ORD-2026341</t>
  </si>
  <si>
    <t>ORD-2026342</t>
  </si>
  <si>
    <t>ORD-2026343</t>
  </si>
  <si>
    <t>ORD-2026344</t>
  </si>
  <si>
    <t>ORD-2026345</t>
  </si>
  <si>
    <t>ORD-2026346</t>
  </si>
  <si>
    <t>ORD-2026347</t>
  </si>
  <si>
    <t>ORD-2026348</t>
  </si>
  <si>
    <t>ORD-2026349</t>
  </si>
  <si>
    <t>ORD-2026350</t>
  </si>
  <si>
    <t>ORD-2026351</t>
  </si>
  <si>
    <t>ORD-2026352</t>
  </si>
  <si>
    <t>ORD-2026353</t>
  </si>
  <si>
    <t>ORD-2026354</t>
  </si>
  <si>
    <t>ORD-2026355</t>
  </si>
  <si>
    <t>ORD-2026356</t>
  </si>
  <si>
    <t>ORD-2026357</t>
  </si>
  <si>
    <t>ORD-2026358</t>
  </si>
  <si>
    <t>ORD-2026359</t>
  </si>
  <si>
    <t>ORD-2026360</t>
  </si>
  <si>
    <t>ORD-2026361</t>
  </si>
  <si>
    <t>ORD-2026362</t>
  </si>
  <si>
    <t>ORD-2026363</t>
  </si>
  <si>
    <t>ORD-2026364</t>
  </si>
  <si>
    <t>ORD-2026365</t>
  </si>
  <si>
    <t>ORD-2026366</t>
  </si>
  <si>
    <t>ORD-2026367</t>
  </si>
  <si>
    <t>ORD-2026368</t>
  </si>
  <si>
    <t>ORD-2026369</t>
  </si>
  <si>
    <t>CUST-1246</t>
  </si>
  <si>
    <t>ORD-2026370</t>
  </si>
  <si>
    <t>ORD-2026371</t>
  </si>
  <si>
    <t>ORD-2026372</t>
  </si>
  <si>
    <t>ORD-2026373</t>
  </si>
  <si>
    <t>ORD-2026374</t>
  </si>
  <si>
    <t>ORD-2026375</t>
  </si>
  <si>
    <t>ORD-2026376</t>
  </si>
  <si>
    <t>ORD-2026377</t>
  </si>
  <si>
    <t>ORD-2026378</t>
  </si>
  <si>
    <t>ORD-2026379</t>
  </si>
  <si>
    <t>ORD-2026380</t>
  </si>
  <si>
    <t>ORD-2026381</t>
  </si>
  <si>
    <t>ORD-2026382</t>
  </si>
  <si>
    <t>ORD-2026383</t>
  </si>
  <si>
    <t>ORD-2026384</t>
  </si>
  <si>
    <t>ORD-2026385</t>
  </si>
  <si>
    <t>ORD-2026386</t>
  </si>
  <si>
    <t>ORD-2026387</t>
  </si>
  <si>
    <t>ORD-2026388</t>
  </si>
  <si>
    <t>ORD-2026389</t>
  </si>
  <si>
    <t>ORD-2026390</t>
  </si>
  <si>
    <t>ORD-2026391</t>
  </si>
  <si>
    <t>ORD-2026392</t>
  </si>
  <si>
    <t>ORD-2026393</t>
  </si>
  <si>
    <t>ORD-2026394</t>
  </si>
  <si>
    <t>ORD-2026395</t>
  </si>
  <si>
    <t>ORD-2026396</t>
  </si>
  <si>
    <t>ORD-2026397</t>
  </si>
  <si>
    <t>ORD-2026398</t>
  </si>
  <si>
    <t>ORD-2026399</t>
  </si>
  <si>
    <t>ORD-2026400</t>
  </si>
  <si>
    <t>ORD-2026401</t>
  </si>
  <si>
    <t>ORD-2026402</t>
  </si>
  <si>
    <t>ORD-2026403</t>
  </si>
  <si>
    <t>CUST-1120</t>
  </si>
  <si>
    <t>ORD-2026404</t>
  </si>
  <si>
    <t>ORD-2026405</t>
  </si>
  <si>
    <t>ORD-2026406</t>
  </si>
  <si>
    <t>ORD-2026407</t>
  </si>
  <si>
    <t>ORD-2026408</t>
  </si>
  <si>
    <t>ORD-2026409</t>
  </si>
  <si>
    <t>ORD-2026410</t>
  </si>
  <si>
    <t>ORD-2026411</t>
  </si>
  <si>
    <t>ORD-2026412</t>
  </si>
  <si>
    <t>ORD-2026413</t>
  </si>
  <si>
    <t>ORD-2026414</t>
  </si>
  <si>
    <t>ORD-2026415</t>
  </si>
  <si>
    <t>ORD-2026416</t>
  </si>
  <si>
    <t>ORD-2026417</t>
  </si>
  <si>
    <t>ORD-2026418</t>
  </si>
  <si>
    <t>ORD-2026419</t>
  </si>
  <si>
    <t>ORD-2026420</t>
  </si>
  <si>
    <t>ORD-2026421</t>
  </si>
  <si>
    <t>ORD-2026422</t>
  </si>
  <si>
    <t>ORD-2026423</t>
  </si>
  <si>
    <t>ORD-2026424</t>
  </si>
  <si>
    <t>ORD-2026425</t>
  </si>
  <si>
    <t>ORD-2026426</t>
  </si>
  <si>
    <t>ORD-2026427</t>
  </si>
  <si>
    <t>ORD-2026428</t>
  </si>
  <si>
    <t>ORD-2026429</t>
  </si>
  <si>
    <t>ORD-2026430</t>
  </si>
  <si>
    <t>ORD-2026431</t>
  </si>
  <si>
    <t>ORD-2026432</t>
  </si>
  <si>
    <t>CUST-1244</t>
  </si>
  <si>
    <t>Meera Gupta</t>
  </si>
  <si>
    <t>ORD-2026433</t>
  </si>
  <si>
    <t>ORD-2026434</t>
  </si>
  <si>
    <t>ORD-2026435</t>
  </si>
  <si>
    <t>ORD-2026436</t>
  </si>
  <si>
    <t>ORD-2026437</t>
  </si>
  <si>
    <t>ORD-2026438</t>
  </si>
  <si>
    <t>ORD-2026439</t>
  </si>
  <si>
    <t>ORD-2026440</t>
  </si>
  <si>
    <t>ORD-2026441</t>
  </si>
  <si>
    <t>ORD-2026442</t>
  </si>
  <si>
    <t>ORD-2026443</t>
  </si>
  <si>
    <t>ORD-2026444</t>
  </si>
  <si>
    <t>ORD-2026445</t>
  </si>
  <si>
    <t>ORD-2026446</t>
  </si>
  <si>
    <t>ORD-2026447</t>
  </si>
  <si>
    <t>ORD-2026448</t>
  </si>
  <si>
    <t>ORD-2026449</t>
  </si>
  <si>
    <t>ORD-2026450</t>
  </si>
  <si>
    <t>ORD-2026451</t>
  </si>
  <si>
    <t>ORD-2026452</t>
  </si>
  <si>
    <t>ORD-2026453</t>
  </si>
  <si>
    <t>ORD-2026454</t>
  </si>
  <si>
    <t>ORD-2026455</t>
  </si>
  <si>
    <t>31 Thu</t>
  </si>
  <si>
    <t>ORD-2026456</t>
  </si>
  <si>
    <t>ORD-2026457</t>
  </si>
  <si>
    <t>ORD-2026458</t>
  </si>
  <si>
    <t>ORD-2026459</t>
  </si>
  <si>
    <t>ORD-2026460</t>
  </si>
  <si>
    <t>ORD-2026461</t>
  </si>
  <si>
    <t>ORD-2026462</t>
  </si>
  <si>
    <t>ORD-2026463</t>
  </si>
  <si>
    <t>1 Fri</t>
  </si>
  <si>
    <t>Aug</t>
  </si>
  <si>
    <t>ORD-2026464</t>
  </si>
  <si>
    <t>ORD-2026465</t>
  </si>
  <si>
    <t>ORD-2026466</t>
  </si>
  <si>
    <t>ORD-2026467</t>
  </si>
  <si>
    <t>ORD-2026468</t>
  </si>
  <si>
    <t>ORD-2026469</t>
  </si>
  <si>
    <t>CUST-1197</t>
  </si>
  <si>
    <t>ORD-2026470</t>
  </si>
  <si>
    <t>2 Sat</t>
  </si>
  <si>
    <t>ORD-2026471</t>
  </si>
  <si>
    <t>ORD-2026472</t>
  </si>
  <si>
    <t>ORD-2026473</t>
  </si>
  <si>
    <t>ORD-2026474</t>
  </si>
  <si>
    <t>ORD-2026475</t>
  </si>
  <si>
    <t>ORD-2026476</t>
  </si>
  <si>
    <t>3 Sun</t>
  </si>
  <si>
    <t>ORD-2026477</t>
  </si>
  <si>
    <t>ORD-2026478</t>
  </si>
  <si>
    <t>ORD-2026479</t>
  </si>
  <si>
    <t>ORD-2026480</t>
  </si>
  <si>
    <t>4 Mon</t>
  </si>
  <si>
    <t>ORD-2026481</t>
  </si>
  <si>
    <t>ORD-2026482</t>
  </si>
  <si>
    <t>ORD-2026483</t>
  </si>
  <si>
    <t>ORD-2026484</t>
  </si>
  <si>
    <t>ORD-2026485</t>
  </si>
  <si>
    <t>ORD-2026486</t>
  </si>
  <si>
    <t>ORD-2026487</t>
  </si>
  <si>
    <t>ORD-2026488</t>
  </si>
  <si>
    <t>5 Tue</t>
  </si>
  <si>
    <t>ORD-2026489</t>
  </si>
  <si>
    <t>ORD-2026490</t>
  </si>
  <si>
    <t>ORD-2026491</t>
  </si>
  <si>
    <t>ORD-2026492</t>
  </si>
  <si>
    <t>ORD-2026493</t>
  </si>
  <si>
    <t>ORD-2026494</t>
  </si>
  <si>
    <t>ORD-2026495</t>
  </si>
  <si>
    <t>ORD-2026496</t>
  </si>
  <si>
    <t>ORD-2026497</t>
  </si>
  <si>
    <t>6 Wed</t>
  </si>
  <si>
    <t>ORD-2026498</t>
  </si>
  <si>
    <t>ORD-2026499</t>
  </si>
  <si>
    <t>7 Thu</t>
  </si>
  <si>
    <t>ORD-2026500</t>
  </si>
  <si>
    <t>ORD-2026501</t>
  </si>
  <si>
    <t>ORD-2026502</t>
  </si>
  <si>
    <t>8 Fri</t>
  </si>
  <si>
    <t>ORD-2026503</t>
  </si>
  <si>
    <t>ORD-2026504</t>
  </si>
  <si>
    <t>ORD-2026505</t>
  </si>
  <si>
    <t>9 Sat</t>
  </si>
  <si>
    <t>ORD-2026506</t>
  </si>
  <si>
    <t>ORD-2026507</t>
  </si>
  <si>
    <t>ORD-2026508</t>
  </si>
  <si>
    <t>ORD-2026509</t>
  </si>
  <si>
    <t>ORD-2026510</t>
  </si>
  <si>
    <t>ORD-2026511</t>
  </si>
  <si>
    <t>ORD-2026512</t>
  </si>
  <si>
    <t>10 Sun</t>
  </si>
  <si>
    <t>ORD-2026513</t>
  </si>
  <si>
    <t>ORD-2026514</t>
  </si>
  <si>
    <t>ORD-2026515</t>
  </si>
  <si>
    <t>ORD-2026516</t>
  </si>
  <si>
    <t>ORD-2026517</t>
  </si>
  <si>
    <t>ORD-2026518</t>
  </si>
  <si>
    <t>ORD-2026519</t>
  </si>
  <si>
    <t>11 Mon</t>
  </si>
  <si>
    <t>ORD-2026520</t>
  </si>
  <si>
    <t>ORD-2026521</t>
  </si>
  <si>
    <t>ORD-2026522</t>
  </si>
  <si>
    <t>ORD-2026523</t>
  </si>
  <si>
    <t>ORD-2026524</t>
  </si>
  <si>
    <t>ORD-2026525</t>
  </si>
  <si>
    <t>12 Tue</t>
  </si>
  <si>
    <t>ORD-2026526</t>
  </si>
  <si>
    <t>ORD-2026527</t>
  </si>
  <si>
    <t>ORD-2026528</t>
  </si>
  <si>
    <t>ORD-2026529</t>
  </si>
  <si>
    <t>ORD-2026530</t>
  </si>
  <si>
    <t>ORD-2026531</t>
  </si>
  <si>
    <t>ORD-2026532</t>
  </si>
  <si>
    <t>ORD-2026533</t>
  </si>
  <si>
    <t>ORD-2026534</t>
  </si>
  <si>
    <t>CUST-1262</t>
  </si>
  <si>
    <t>ORD-2026535</t>
  </si>
  <si>
    <t>ORD-2026536</t>
  </si>
  <si>
    <t>ORD-2026537</t>
  </si>
  <si>
    <t>ORD-2026538</t>
  </si>
  <si>
    <t>ORD-2026539</t>
  </si>
  <si>
    <t>13 Wed</t>
  </si>
  <si>
    <t>ORD-2026540</t>
  </si>
  <si>
    <t>ORD-2026541</t>
  </si>
  <si>
    <t>ORD-2026542</t>
  </si>
  <si>
    <t>14 Thu</t>
  </si>
  <si>
    <t>ORD-2026543</t>
  </si>
  <si>
    <t>ORD-2026544</t>
  </si>
  <si>
    <t>ORD-2026545</t>
  </si>
  <si>
    <t>ORD-2026546</t>
  </si>
  <si>
    <t>ORD-2026547</t>
  </si>
  <si>
    <t>ORD-2026548</t>
  </si>
  <si>
    <t>ORD-2026549</t>
  </si>
  <si>
    <t>ORD-2026550</t>
  </si>
  <si>
    <t>ORD-2026551</t>
  </si>
  <si>
    <t>15 Fri</t>
  </si>
  <si>
    <t>ORD-2026552</t>
  </si>
  <si>
    <t>ORD-2026553</t>
  </si>
  <si>
    <t>ORD-2026554</t>
  </si>
  <si>
    <t>ORD-2026555</t>
  </si>
  <si>
    <t>ORD-2026556</t>
  </si>
  <si>
    <t>ORD-2026557</t>
  </si>
  <si>
    <t>ORD-2026558</t>
  </si>
  <si>
    <t>ORD-2026559</t>
  </si>
  <si>
    <t>ORD-2026560</t>
  </si>
  <si>
    <t>ORD-2026561</t>
  </si>
  <si>
    <t>ORD-2026562</t>
  </si>
  <si>
    <t>ORD-2026563</t>
  </si>
  <si>
    <t>16 Sat</t>
  </si>
  <si>
    <t>ORD-2026564</t>
  </si>
  <si>
    <t>ORD-2026565</t>
  </si>
  <si>
    <t>ORD-2026566</t>
  </si>
  <si>
    <t>ORD-2026567</t>
  </si>
  <si>
    <t>ORD-2026568</t>
  </si>
  <si>
    <t>ORD-2026569</t>
  </si>
  <si>
    <t>17 Sun</t>
  </si>
  <si>
    <t>ORD-2026570</t>
  </si>
  <si>
    <t>ORD-2026571</t>
  </si>
  <si>
    <t>ORD-2026572</t>
  </si>
  <si>
    <t>ORD-2026573</t>
  </si>
  <si>
    <t>ORD-2026574</t>
  </si>
  <si>
    <t>ORD-2026575</t>
  </si>
  <si>
    <t>ORD-2026576</t>
  </si>
  <si>
    <t>ORD-2026577</t>
  </si>
  <si>
    <t>ORD-2026578</t>
  </si>
  <si>
    <t>ORD-2026579</t>
  </si>
  <si>
    <t>ORD-2026580</t>
  </si>
  <si>
    <t>18 Mon</t>
  </si>
  <si>
    <t>ORD-2026581</t>
  </si>
  <si>
    <t>ORD-2026582</t>
  </si>
  <si>
    <t>ORD-2026583</t>
  </si>
  <si>
    <t>ORD-2026584</t>
  </si>
  <si>
    <t>ORD-2026585</t>
  </si>
  <si>
    <t>ORD-2026586</t>
  </si>
  <si>
    <t>ORD-2026587</t>
  </si>
  <si>
    <t>ORD-2026588</t>
  </si>
  <si>
    <t>ORD-2026589</t>
  </si>
  <si>
    <t>19 Tue</t>
  </si>
  <si>
    <t>ORD-2026590</t>
  </si>
  <si>
    <t>ORD-2026591</t>
  </si>
  <si>
    <t>ORD-2026592</t>
  </si>
  <si>
    <t>ORD-2026593</t>
  </si>
  <si>
    <t>ORD-2026594</t>
  </si>
  <si>
    <t>20 Wed</t>
  </si>
  <si>
    <t>ORD-2026595</t>
  </si>
  <si>
    <t>ORD-2026596</t>
  </si>
  <si>
    <t>ORD-2026597</t>
  </si>
  <si>
    <t>ORD-2026598</t>
  </si>
  <si>
    <t>ORD-2026599</t>
  </si>
  <si>
    <t>21 Thu</t>
  </si>
  <si>
    <t>ORD-2026600</t>
  </si>
  <si>
    <t>ORD-2026601</t>
  </si>
  <si>
    <t>ORD-2026602</t>
  </si>
  <si>
    <t>ORD-2026603</t>
  </si>
  <si>
    <t>ORD-2026604</t>
  </si>
  <si>
    <t>ORD-2026605</t>
  </si>
  <si>
    <t>22 Fri</t>
  </si>
  <si>
    <t>ORD-2026606</t>
  </si>
  <si>
    <t>ORD-2026607</t>
  </si>
  <si>
    <t>ORD-2026608</t>
  </si>
  <si>
    <t>ORD-2026609</t>
  </si>
  <si>
    <t>ORD-2026610</t>
  </si>
  <si>
    <t>23 Sat</t>
  </si>
  <si>
    <t>ORD-2026611</t>
  </si>
  <si>
    <t>ORD-2026612</t>
  </si>
  <si>
    <t>ORD-2026613</t>
  </si>
  <si>
    <t>ORD-2026614</t>
  </si>
  <si>
    <t>ORD-2026615</t>
  </si>
  <si>
    <t>ORD-2026616</t>
  </si>
  <si>
    <t>ORD-2026617</t>
  </si>
  <si>
    <t>ORD-2026618</t>
  </si>
  <si>
    <t>ORD-2026619</t>
  </si>
  <si>
    <t>ORD-2026620</t>
  </si>
  <si>
    <t>ORD-2026621</t>
  </si>
  <si>
    <t>ORD-2026622</t>
  </si>
  <si>
    <t>24 Sun</t>
  </si>
  <si>
    <t>ORD-2026623</t>
  </si>
  <si>
    <t>ORD-2026624</t>
  </si>
  <si>
    <t>ORD-2026625</t>
  </si>
  <si>
    <t>ORD-2026626</t>
  </si>
  <si>
    <t>ORD-2026627</t>
  </si>
  <si>
    <t>ORD-2026628</t>
  </si>
  <si>
    <t>ORD-2026629</t>
  </si>
  <si>
    <t>ORD-2026630</t>
  </si>
  <si>
    <t>ORD-2026631</t>
  </si>
  <si>
    <t>ORD-2026632</t>
  </si>
  <si>
    <t>ORD-2026633</t>
  </si>
  <si>
    <t>ORD-2026634</t>
  </si>
  <si>
    <t>ORD-2026635</t>
  </si>
  <si>
    <t>25 Mon</t>
  </si>
  <si>
    <t>ORD-2026636</t>
  </si>
  <si>
    <t>ORD-2026637</t>
  </si>
  <si>
    <t>ORD-2026638</t>
  </si>
  <si>
    <t>26 Tue</t>
  </si>
  <si>
    <t>ORD-2026639</t>
  </si>
  <si>
    <t>27 Wed</t>
  </si>
  <si>
    <t>ORD-2026640</t>
  </si>
  <si>
    <t>ORD-2026641</t>
  </si>
  <si>
    <t>ORD-2026642</t>
  </si>
  <si>
    <t>ORD-2026643</t>
  </si>
  <si>
    <t>ORD-2026644</t>
  </si>
  <si>
    <t>ORD-2026645</t>
  </si>
  <si>
    <t>ORD-2026646</t>
  </si>
  <si>
    <t>ORD-2026647</t>
  </si>
  <si>
    <t>ORD-2026648</t>
  </si>
  <si>
    <t>28 Thu</t>
  </si>
  <si>
    <t>ORD-2026649</t>
  </si>
  <si>
    <t>ORD-2026650</t>
  </si>
  <si>
    <t>ORD-2026651</t>
  </si>
  <si>
    <t>ORD-2026652</t>
  </si>
  <si>
    <t>ORD-2026653</t>
  </si>
  <si>
    <t>ORD-2026654</t>
  </si>
  <si>
    <t>29 Fri</t>
  </si>
  <si>
    <t>ORD-2026655</t>
  </si>
  <si>
    <t>ORD-2026656</t>
  </si>
  <si>
    <t>ORD-2026657</t>
  </si>
  <si>
    <t>30 Sat</t>
  </si>
  <si>
    <t>ORD-2026658</t>
  </si>
  <si>
    <t>ORD-2026659</t>
  </si>
  <si>
    <t>ORD-2026660</t>
  </si>
  <si>
    <t>ORD-2026661</t>
  </si>
  <si>
    <t>ORD-2026662</t>
  </si>
  <si>
    <t>31 Sun</t>
  </si>
  <si>
    <t>ORD-2026663</t>
  </si>
  <si>
    <t>ORD-2026664</t>
  </si>
  <si>
    <t>ORD-2026665</t>
  </si>
  <si>
    <t>ORD-2026666</t>
  </si>
  <si>
    <t>ORD-2026667</t>
  </si>
  <si>
    <t>1 Mon</t>
  </si>
  <si>
    <t>Sep</t>
  </si>
  <si>
    <t>ORD-2026668</t>
  </si>
  <si>
    <t>ORD-2026669</t>
  </si>
  <si>
    <t>2 Tue</t>
  </si>
  <si>
    <t>ORD-2026670</t>
  </si>
  <si>
    <t>ORD-2026671</t>
  </si>
  <si>
    <t>ORD-2026672</t>
  </si>
  <si>
    <t>ORD-2026673</t>
  </si>
  <si>
    <t>3 Wed</t>
  </si>
  <si>
    <t>ORD-2026674</t>
  </si>
  <si>
    <t>ORD-2026675</t>
  </si>
  <si>
    <t>ORD-2026676</t>
  </si>
  <si>
    <t>ORD-2026677</t>
  </si>
  <si>
    <t>ORD-2026678</t>
  </si>
  <si>
    <t>ORD-2026679</t>
  </si>
  <si>
    <t>ORD-2026680</t>
  </si>
  <si>
    <t>ORD-2026681</t>
  </si>
  <si>
    <t>4 Thu</t>
  </si>
  <si>
    <t>ORD-2026682</t>
  </si>
  <si>
    <t>ORD-2026683</t>
  </si>
  <si>
    <t>ORD-2026684</t>
  </si>
  <si>
    <t>ORD-2026685</t>
  </si>
  <si>
    <t>ORD-2026686</t>
  </si>
  <si>
    <t>ORD-2026687</t>
  </si>
  <si>
    <t>ORD-2026688</t>
  </si>
  <si>
    <t>ORD-2026689</t>
  </si>
  <si>
    <t>5 Fri</t>
  </si>
  <si>
    <t>ORD-2026690</t>
  </si>
  <si>
    <t>ORD-2026691</t>
  </si>
  <si>
    <t>ORD-2026692</t>
  </si>
  <si>
    <t>ORD-2026693</t>
  </si>
  <si>
    <t>ORD-2026694</t>
  </si>
  <si>
    <t>ORD-2026695</t>
  </si>
  <si>
    <t>ORD-2026696</t>
  </si>
  <si>
    <t>6 Sat</t>
  </si>
  <si>
    <t>ORD-2026697</t>
  </si>
  <si>
    <t>ORD-2026698</t>
  </si>
  <si>
    <t>ORD-2026699</t>
  </si>
  <si>
    <t>CUST-1339</t>
  </si>
  <si>
    <t>ORD-2026700</t>
  </si>
  <si>
    <t>ORD-2026701</t>
  </si>
  <si>
    <t>ORD-2026702</t>
  </si>
  <si>
    <t>ORD-2026703</t>
  </si>
  <si>
    <t>7 Sun</t>
  </si>
  <si>
    <t>ORD-2026704</t>
  </si>
  <si>
    <t>ORD-2026705</t>
  </si>
  <si>
    <t>ORD-2026706</t>
  </si>
  <si>
    <t>ORD-2026707</t>
  </si>
  <si>
    <t>ORD-2026708</t>
  </si>
  <si>
    <t>ORD-2026709</t>
  </si>
  <si>
    <t>ORD-2026710</t>
  </si>
  <si>
    <t>ORD-2026711</t>
  </si>
  <si>
    <t>ORD-2026712</t>
  </si>
  <si>
    <t>ORD-2026713</t>
  </si>
  <si>
    <t>ORD-2026714</t>
  </si>
  <si>
    <t>ORD-2026715</t>
  </si>
  <si>
    <t>8 Mon</t>
  </si>
  <si>
    <t>ORD-2026716</t>
  </si>
  <si>
    <t>ORD-2026717</t>
  </si>
  <si>
    <t>ORD-2026718</t>
  </si>
  <si>
    <t>ORD-2026719</t>
  </si>
  <si>
    <t>ORD-2026720</t>
  </si>
  <si>
    <t>ORD-2026721</t>
  </si>
  <si>
    <t>9 Tue</t>
  </si>
  <si>
    <t>ORD-2026722</t>
  </si>
  <si>
    <t>ORD-2026723</t>
  </si>
  <si>
    <t>ORD-2026724</t>
  </si>
  <si>
    <t>ORD-2026725</t>
  </si>
  <si>
    <t>ORD-2026726</t>
  </si>
  <si>
    <t>ORD-2026727</t>
  </si>
  <si>
    <t>ORD-2026728</t>
  </si>
  <si>
    <t>ORD-2026729</t>
  </si>
  <si>
    <t>ORD-2026730</t>
  </si>
  <si>
    <t>ORD-2026731</t>
  </si>
  <si>
    <t>ORD-2026732</t>
  </si>
  <si>
    <t>10 Wed</t>
  </si>
  <si>
    <t>ORD-2026733</t>
  </si>
  <si>
    <t>ORD-2026734</t>
  </si>
  <si>
    <t>ORD-2026735</t>
  </si>
  <si>
    <t>ORD-2026736</t>
  </si>
  <si>
    <t>ORD-2026737</t>
  </si>
  <si>
    <t>ORD-2026738</t>
  </si>
  <si>
    <t>11 Thu</t>
  </si>
  <si>
    <t>ORD-2026739</t>
  </si>
  <si>
    <t>ORD-2026740</t>
  </si>
  <si>
    <t>ORD-2026741</t>
  </si>
  <si>
    <t>ORD-2026742</t>
  </si>
  <si>
    <t>ORD-2026743</t>
  </si>
  <si>
    <t>12 Fri</t>
  </si>
  <si>
    <t>ORD-2026744</t>
  </si>
  <si>
    <t>ORD-2026745</t>
  </si>
  <si>
    <t>ORD-2026746</t>
  </si>
  <si>
    <t>ORD-2026747</t>
  </si>
  <si>
    <t>13 Sat</t>
  </si>
  <si>
    <t>ORD-2026748</t>
  </si>
  <si>
    <t>ORD-2026749</t>
  </si>
  <si>
    <t>ORD-2026750</t>
  </si>
  <si>
    <t>ORD-2026751</t>
  </si>
  <si>
    <t>ORD-2026752</t>
  </si>
  <si>
    <t>ORD-2026753</t>
  </si>
  <si>
    <t>ORD-2026754</t>
  </si>
  <si>
    <t>ORD-2026755</t>
  </si>
  <si>
    <t>14 Sun</t>
  </si>
  <si>
    <t>ORD-2026756</t>
  </si>
  <si>
    <t>ORD-2026757</t>
  </si>
  <si>
    <t>ORD-2026758</t>
  </si>
  <si>
    <t>ORD-2026759</t>
  </si>
  <si>
    <t>ORD-2026760</t>
  </si>
  <si>
    <t>ORD-2026761</t>
  </si>
  <si>
    <t>ORD-2026762</t>
  </si>
  <si>
    <t>15 Mon</t>
  </si>
  <si>
    <t>ORD-2026763</t>
  </si>
  <si>
    <t>ORD-2026764</t>
  </si>
  <si>
    <t>ORD-2026765</t>
  </si>
  <si>
    <t>ORD-2026766</t>
  </si>
  <si>
    <t>ORD-2026767</t>
  </si>
  <si>
    <t>ORD-2026768</t>
  </si>
  <si>
    <t>ORD-2026769</t>
  </si>
  <si>
    <t>ORD-2026770</t>
  </si>
  <si>
    <t>16 Tue</t>
  </si>
  <si>
    <t>ORD-2026771</t>
  </si>
  <si>
    <t>ORD-2026772</t>
  </si>
  <si>
    <t>ORD-2026773</t>
  </si>
  <si>
    <t>ORD-2026774</t>
  </si>
  <si>
    <t>ORD-2026775</t>
  </si>
  <si>
    <t>ORD-2026776</t>
  </si>
  <si>
    <t>ORD-2026777</t>
  </si>
  <si>
    <t>ORD-2026778</t>
  </si>
  <si>
    <t>ORD-2026779</t>
  </si>
  <si>
    <t>ORD-2026780</t>
  </si>
  <si>
    <t>ORD-2026781</t>
  </si>
  <si>
    <t>ORD-2026782</t>
  </si>
  <si>
    <t>17 Wed</t>
  </si>
  <si>
    <t>ORD-2026783</t>
  </si>
  <si>
    <t>ORD-2026784</t>
  </si>
  <si>
    <t>ORD-2026785</t>
  </si>
  <si>
    <t>ORD-2026786</t>
  </si>
  <si>
    <t>ORD-2026787</t>
  </si>
  <si>
    <t>ORD-2026788</t>
  </si>
  <si>
    <t>ORD-2026789</t>
  </si>
  <si>
    <t>18 Thu</t>
  </si>
  <si>
    <t>ORD-2026790</t>
  </si>
  <si>
    <t>ORD-2026791</t>
  </si>
  <si>
    <t>ORD-2026792</t>
  </si>
  <si>
    <t>ORD-2026793</t>
  </si>
  <si>
    <t>ORD-2026794</t>
  </si>
  <si>
    <t>19 Fri</t>
  </si>
  <si>
    <t>ORD-2026795</t>
  </si>
  <si>
    <t>ORD-2026796</t>
  </si>
  <si>
    <t>ORD-2026797</t>
  </si>
  <si>
    <t>ORD-2026798</t>
  </si>
  <si>
    <t>ORD-2026799</t>
  </si>
  <si>
    <t>ORD-2026800</t>
  </si>
  <si>
    <t>ORD-2026801</t>
  </si>
  <si>
    <t>ORD-2026802</t>
  </si>
  <si>
    <t>ORD-2026803</t>
  </si>
  <si>
    <t>ORD-2026804</t>
  </si>
  <si>
    <t>ORD-2026805</t>
  </si>
  <si>
    <t>20 Sat</t>
  </si>
  <si>
    <t>ORD-2026806</t>
  </si>
  <si>
    <t>ORD-2026807</t>
  </si>
  <si>
    <t>CUST-1315</t>
  </si>
  <si>
    <t>ORD-2026808</t>
  </si>
  <si>
    <t>ORD-2026809</t>
  </si>
  <si>
    <t>ORD-2026810</t>
  </si>
  <si>
    <t>ORD-2026811</t>
  </si>
  <si>
    <t>ORD-2026812</t>
  </si>
  <si>
    <t>ORD-2026813</t>
  </si>
  <si>
    <t>ORD-2026814</t>
  </si>
  <si>
    <t>ORD-2026815</t>
  </si>
  <si>
    <t>ORD-2026816</t>
  </si>
  <si>
    <t>ORD-2026817</t>
  </si>
  <si>
    <t>ORD-2026818</t>
  </si>
  <si>
    <t>21 Sun</t>
  </si>
  <si>
    <t>ORD-2026819</t>
  </si>
  <si>
    <t>ORD-2026820</t>
  </si>
  <si>
    <t>ORD-2026821</t>
  </si>
  <si>
    <t>ORD-2026822</t>
  </si>
  <si>
    <t>ORD-2026823</t>
  </si>
  <si>
    <t>ORD-2026824</t>
  </si>
  <si>
    <t>ORD-2026825</t>
  </si>
  <si>
    <t>ORD-2026826</t>
  </si>
  <si>
    <t>ORD-2026827</t>
  </si>
  <si>
    <t>ORD-2026828</t>
  </si>
  <si>
    <t>ORD-2026829</t>
  </si>
  <si>
    <t>ORD-2026830</t>
  </si>
  <si>
    <t>ORD-2026831</t>
  </si>
  <si>
    <t>22 Mon</t>
  </si>
  <si>
    <t>ORD-2026832</t>
  </si>
  <si>
    <t>ORD-2026833</t>
  </si>
  <si>
    <t>ORD-2026834</t>
  </si>
  <si>
    <t>ORD-2026835</t>
  </si>
  <si>
    <t>ORD-2026836</t>
  </si>
  <si>
    <t>ORD-2026837</t>
  </si>
  <si>
    <t>23 Tue</t>
  </si>
  <si>
    <t>ORD-2026838</t>
  </si>
  <si>
    <t>ORD-2026839</t>
  </si>
  <si>
    <t>ORD-2026840</t>
  </si>
  <si>
    <t>ORD-2026841</t>
  </si>
  <si>
    <t>ORD-2026842</t>
  </si>
  <si>
    <t>ORD-2026843</t>
  </si>
  <si>
    <t>ORD-2026844</t>
  </si>
  <si>
    <t>24 Wed</t>
  </si>
  <si>
    <t>ORD-2026845</t>
  </si>
  <si>
    <t>ORD-2026846</t>
  </si>
  <si>
    <t>ORD-2026847</t>
  </si>
  <si>
    <t>ORD-2026848</t>
  </si>
  <si>
    <t>ORD-2026849</t>
  </si>
  <si>
    <t>CUST-1204</t>
  </si>
  <si>
    <t>ORD-2026850</t>
  </si>
  <si>
    <t>ORD-2026851</t>
  </si>
  <si>
    <t>25 Thu</t>
  </si>
  <si>
    <t>ORD-2026852</t>
  </si>
  <si>
    <t>ORD-2026853</t>
  </si>
  <si>
    <t>ORD-2026854</t>
  </si>
  <si>
    <t>ORD-2026855</t>
  </si>
  <si>
    <t>ORD-2026856</t>
  </si>
  <si>
    <t>ORD-2026857</t>
  </si>
  <si>
    <t>ORD-2026858</t>
  </si>
  <si>
    <t>ORD-2026859</t>
  </si>
  <si>
    <t>26 Fri</t>
  </si>
  <si>
    <t>ORD-2026860</t>
  </si>
  <si>
    <t>ORD-2026861</t>
  </si>
  <si>
    <t>ORD-2026862</t>
  </si>
  <si>
    <t>ORD-2026863</t>
  </si>
  <si>
    <t>ORD-2026864</t>
  </si>
  <si>
    <t>ORD-2026865</t>
  </si>
  <si>
    <t>ORD-2026866</t>
  </si>
  <si>
    <t>ORD-2026867</t>
  </si>
  <si>
    <t>ORD-2026868</t>
  </si>
  <si>
    <t>ORD-2026869</t>
  </si>
  <si>
    <t>ORD-2026870</t>
  </si>
  <si>
    <t>ORD-2026871</t>
  </si>
  <si>
    <t>27 Sat</t>
  </si>
  <si>
    <t>ORD-2026872</t>
  </si>
  <si>
    <t>ORD-2026873</t>
  </si>
  <si>
    <t>ORD-2026874</t>
  </si>
  <si>
    <t>ORD-2026875</t>
  </si>
  <si>
    <t>ORD-2026876</t>
  </si>
  <si>
    <t>ORD-2026877</t>
  </si>
  <si>
    <t>ORD-2026878</t>
  </si>
  <si>
    <t>ORD-2026879</t>
  </si>
  <si>
    <t>ORD-2026880</t>
  </si>
  <si>
    <t>ORD-2026881</t>
  </si>
  <si>
    <t>28 Sun</t>
  </si>
  <si>
    <t>ORD-2026882</t>
  </si>
  <si>
    <t>ORD-2026883</t>
  </si>
  <si>
    <t>ORD-2026884</t>
  </si>
  <si>
    <t>ORD-2026885</t>
  </si>
  <si>
    <t>ORD-2026886</t>
  </si>
  <si>
    <t>ORD-2026887</t>
  </si>
  <si>
    <t>ORD-2026888</t>
  </si>
  <si>
    <t>ORD-2026889</t>
  </si>
  <si>
    <t>ORD-2026890</t>
  </si>
  <si>
    <t>ORD-2026891</t>
  </si>
  <si>
    <t>ORD-2026892</t>
  </si>
  <si>
    <t>ORD-2026893</t>
  </si>
  <si>
    <t>29 Mon</t>
  </si>
  <si>
    <t>ORD-2026894</t>
  </si>
  <si>
    <t>ORD-2026895</t>
  </si>
  <si>
    <t>ORD-2026896</t>
  </si>
  <si>
    <t>ORD-2026897</t>
  </si>
  <si>
    <t>ORD-2026898</t>
  </si>
  <si>
    <t>ORD-2026899</t>
  </si>
  <si>
    <t>ORD-2026900</t>
  </si>
  <si>
    <t>30 Tue</t>
  </si>
  <si>
    <t>ORD-2026901</t>
  </si>
  <si>
    <t>ORD-2026902</t>
  </si>
  <si>
    <t>ORD-2026903</t>
  </si>
  <si>
    <t>ORD-2026904</t>
  </si>
  <si>
    <t>ORD-2026905</t>
  </si>
  <si>
    <t>ORD-2026906</t>
  </si>
  <si>
    <t>Oct</t>
  </si>
  <si>
    <t>CUST-1003</t>
  </si>
  <si>
    <t>ORD-2026907</t>
  </si>
  <si>
    <t>ORD-2026908</t>
  </si>
  <si>
    <t>ORD-2026909</t>
  </si>
  <si>
    <t>ORD-2026910</t>
  </si>
  <si>
    <t>ORD-2026911</t>
  </si>
  <si>
    <t>ORD-2026912</t>
  </si>
  <si>
    <t>ORD-2026913</t>
  </si>
  <si>
    <t>ORD-2026914</t>
  </si>
  <si>
    <t>ORD-2026915</t>
  </si>
  <si>
    <t>ORD-2026916</t>
  </si>
  <si>
    <t>ORD-2026917</t>
  </si>
  <si>
    <t>ORD-2026918</t>
  </si>
  <si>
    <t>ORD-2026919</t>
  </si>
  <si>
    <t>ORD-2026920</t>
  </si>
  <si>
    <t>ORD-2026921</t>
  </si>
  <si>
    <t>ORD-2026922</t>
  </si>
  <si>
    <t>ORD-2026923</t>
  </si>
  <si>
    <t>ORD-2026924</t>
  </si>
  <si>
    <t>ORD-2026925</t>
  </si>
  <si>
    <t>ORD-2026926</t>
  </si>
  <si>
    <t>ORD-2026927</t>
  </si>
  <si>
    <t>ORD-2026928</t>
  </si>
  <si>
    <t>ORD-2026929</t>
  </si>
  <si>
    <t>ORD-2026930</t>
  </si>
  <si>
    <t>ORD-2026931</t>
  </si>
  <si>
    <t>ORD-2026932</t>
  </si>
  <si>
    <t>ORD-2026933</t>
  </si>
  <si>
    <t>ORD-2026934</t>
  </si>
  <si>
    <t>ORD-2026935</t>
  </si>
  <si>
    <t>ORD-2026936</t>
  </si>
  <si>
    <t>ORD-2026937</t>
  </si>
  <si>
    <t>ORD-2026938</t>
  </si>
  <si>
    <t>ORD-2026939</t>
  </si>
  <si>
    <t>ORD-2026940</t>
  </si>
  <si>
    <t>ORD-2026941</t>
  </si>
  <si>
    <t>ORD-2026942</t>
  </si>
  <si>
    <t>ORD-2026943</t>
  </si>
  <si>
    <t>ORD-2026944</t>
  </si>
  <si>
    <t>ORD-2026945</t>
  </si>
  <si>
    <t>ORD-2026946</t>
  </si>
  <si>
    <t>ORD-2026947</t>
  </si>
  <si>
    <t>ORD-2026948</t>
  </si>
  <si>
    <t>ORD-2026949</t>
  </si>
  <si>
    <t>ORD-2026950</t>
  </si>
  <si>
    <t>ORD-2026951</t>
  </si>
  <si>
    <t>ORD-2026952</t>
  </si>
  <si>
    <t>ORD-2026953</t>
  </si>
  <si>
    <t>ORD-2026954</t>
  </si>
  <si>
    <t>ORD-2026955</t>
  </si>
  <si>
    <t>ORD-2026956</t>
  </si>
  <si>
    <t>ORD-2026957</t>
  </si>
  <si>
    <t>ORD-2026958</t>
  </si>
  <si>
    <t>ORD-2026959</t>
  </si>
  <si>
    <t>ORD-2026960</t>
  </si>
  <si>
    <t>ORD-2026961</t>
  </si>
  <si>
    <t>ORD-2026962</t>
  </si>
  <si>
    <t>ORD-2026963</t>
  </si>
  <si>
    <t>ORD-2026964</t>
  </si>
  <si>
    <t>ORD-2026965</t>
  </si>
  <si>
    <t>ORD-2026966</t>
  </si>
  <si>
    <t>ORD-2026967</t>
  </si>
  <si>
    <t>ORD-2026968</t>
  </si>
  <si>
    <t>ORD-2026969</t>
  </si>
  <si>
    <t>ORD-2026970</t>
  </si>
  <si>
    <t>ORD-2026971</t>
  </si>
  <si>
    <t>ORD-2026972</t>
  </si>
  <si>
    <t>ORD-2026973</t>
  </si>
  <si>
    <t>ORD-2026974</t>
  </si>
  <si>
    <t>ORD-2026975</t>
  </si>
  <si>
    <t>ORD-2026976</t>
  </si>
  <si>
    <t>ORD-2026977</t>
  </si>
  <si>
    <t>ORD-2026978</t>
  </si>
  <si>
    <t>ORD-2026979</t>
  </si>
  <si>
    <t>ORD-2026980</t>
  </si>
  <si>
    <t>ORD-2026981</t>
  </si>
  <si>
    <t>ORD-2026982</t>
  </si>
  <si>
    <t>ORD-2026983</t>
  </si>
  <si>
    <t>ORD-2026984</t>
  </si>
  <si>
    <t>ORD-2026985</t>
  </si>
  <si>
    <t>ORD-2026986</t>
  </si>
  <si>
    <t>ORD-2026987</t>
  </si>
  <si>
    <t>ORD-2026988</t>
  </si>
  <si>
    <t>ORD-2026989</t>
  </si>
  <si>
    <t>ORD-2026990</t>
  </si>
  <si>
    <t>ORD-2026991</t>
  </si>
  <si>
    <t>ORD-2026992</t>
  </si>
  <si>
    <t>ORD-2026993</t>
  </si>
  <si>
    <t>ORD-2026994</t>
  </si>
  <si>
    <t>ORD-2026995</t>
  </si>
  <si>
    <t>ORD-2026996</t>
  </si>
  <si>
    <t>ORD-2026997</t>
  </si>
  <si>
    <t>ORD-2026998</t>
  </si>
  <si>
    <t>ORD-2026999</t>
  </si>
  <si>
    <t>ORD-2027000</t>
  </si>
  <si>
    <t>ORD-2027001</t>
  </si>
  <si>
    <t>ORD-2027002</t>
  </si>
  <si>
    <t>ORD-2027003</t>
  </si>
  <si>
    <t>ORD-2027004</t>
  </si>
  <si>
    <t>ORD-2027005</t>
  </si>
  <si>
    <t>ORD-2027006</t>
  </si>
  <si>
    <t>ORD-2027007</t>
  </si>
  <si>
    <t>ORD-2027008</t>
  </si>
  <si>
    <t>ORD-2027009</t>
  </si>
  <si>
    <t>ORD-2027010</t>
  </si>
  <si>
    <t>ORD-2027011</t>
  </si>
  <si>
    <t>ORD-2027012</t>
  </si>
  <si>
    <t>CUST-1137</t>
  </si>
  <si>
    <t>Nandini Kapoor</t>
  </si>
  <si>
    <t>ORD-2027013</t>
  </si>
  <si>
    <t>ORD-2027014</t>
  </si>
  <si>
    <t>ORD-2027015</t>
  </si>
  <si>
    <t>CUST-1155</t>
  </si>
  <si>
    <t>ORD-2027016</t>
  </si>
  <si>
    <t>ORD-2027017</t>
  </si>
  <si>
    <t>ORD-2027018</t>
  </si>
  <si>
    <t>ORD-2027019</t>
  </si>
  <si>
    <t>ORD-2027020</t>
  </si>
  <si>
    <t>ORD-2027021</t>
  </si>
  <si>
    <t>ORD-2027022</t>
  </si>
  <si>
    <t>ORD-2027023</t>
  </si>
  <si>
    <t>ORD-2027024</t>
  </si>
  <si>
    <t>ORD-2027025</t>
  </si>
  <si>
    <t>ORD-2027026</t>
  </si>
  <si>
    <t>ORD-2027027</t>
  </si>
  <si>
    <t>ORD-2027028</t>
  </si>
  <si>
    <t>ORD-2027029</t>
  </si>
  <si>
    <t>ORD-2027030</t>
  </si>
  <si>
    <t>ORD-2027031</t>
  </si>
  <si>
    <t>ORD-2027032</t>
  </si>
  <si>
    <t>ORD-2027033</t>
  </si>
  <si>
    <t>ORD-2027034</t>
  </si>
  <si>
    <t>ORD-2027035</t>
  </si>
  <si>
    <t>ORD-2027036</t>
  </si>
  <si>
    <t>ORD-2027037</t>
  </si>
  <si>
    <t>ORD-2027038</t>
  </si>
  <si>
    <t>ORD-2027039</t>
  </si>
  <si>
    <t>ORD-2027040</t>
  </si>
  <si>
    <t>ORD-2027041</t>
  </si>
  <si>
    <t>ORD-2027042</t>
  </si>
  <si>
    <t>ORD-2027043</t>
  </si>
  <si>
    <t>ORD-2027044</t>
  </si>
  <si>
    <t>ORD-2027045</t>
  </si>
  <si>
    <t>ORD-2027046</t>
  </si>
  <si>
    <t>ORD-2027047</t>
  </si>
  <si>
    <t>ORD-2027048</t>
  </si>
  <si>
    <t>ORD-2027049</t>
  </si>
  <si>
    <t>ORD-2027050</t>
  </si>
  <si>
    <t>ORD-2027051</t>
  </si>
  <si>
    <t>ORD-2027052</t>
  </si>
  <si>
    <t>ORD-2027053</t>
  </si>
  <si>
    <t>ORD-2027054</t>
  </si>
  <si>
    <t>ORD-2027055</t>
  </si>
  <si>
    <t>ORD-2027056</t>
  </si>
  <si>
    <t>ORD-2027057</t>
  </si>
  <si>
    <t>ORD-2027058</t>
  </si>
  <si>
    <t>ORD-2027059</t>
  </si>
  <si>
    <t>ORD-2027060</t>
  </si>
  <si>
    <t>ORD-2027061</t>
  </si>
  <si>
    <t>ORD-2027062</t>
  </si>
  <si>
    <t>ORD-2027063</t>
  </si>
  <si>
    <t>ORD-2027064</t>
  </si>
  <si>
    <t>ORD-2027065</t>
  </si>
  <si>
    <t>ORD-2027066</t>
  </si>
  <si>
    <t>ORD-2027067</t>
  </si>
  <si>
    <t>ORD-2027068</t>
  </si>
  <si>
    <t>ORD-2027069</t>
  </si>
  <si>
    <t>ORD-2027070</t>
  </si>
  <si>
    <t>ORD-2027071</t>
  </si>
  <si>
    <t>ORD-2027072</t>
  </si>
  <si>
    <t>ORD-2027073</t>
  </si>
  <si>
    <t>ORD-2027074</t>
  </si>
  <si>
    <t>ORD-2027075</t>
  </si>
  <si>
    <t>ORD-2027076</t>
  </si>
  <si>
    <t>ORD-2027077</t>
  </si>
  <si>
    <t>ORD-2027078</t>
  </si>
  <si>
    <t>ORD-2027079</t>
  </si>
  <si>
    <t>ORD-2027080</t>
  </si>
  <si>
    <t>ORD-2027081</t>
  </si>
  <si>
    <t>ORD-2027082</t>
  </si>
  <si>
    <t>ORD-2027083</t>
  </si>
  <si>
    <t>ORD-2027084</t>
  </si>
  <si>
    <t>ORD-2027085</t>
  </si>
  <si>
    <t>ORD-2027086</t>
  </si>
  <si>
    <t>ORD-2027087</t>
  </si>
  <si>
    <t>ORD-2027088</t>
  </si>
  <si>
    <t>ORD-2027089</t>
  </si>
  <si>
    <t>ORD-2027090</t>
  </si>
  <si>
    <t>ORD-2027091</t>
  </si>
  <si>
    <t>ORD-2027092</t>
  </si>
  <si>
    <t>ORD-2027093</t>
  </si>
  <si>
    <t>ORD-2027094</t>
  </si>
  <si>
    <t>ORD-2027095</t>
  </si>
  <si>
    <t>ORD-2027096</t>
  </si>
  <si>
    <t>ORD-2027097</t>
  </si>
  <si>
    <t>ORD-2027098</t>
  </si>
  <si>
    <t>ORD-2027099</t>
  </si>
  <si>
    <t>ORD-2027100</t>
  </si>
  <si>
    <t>ORD-2027101</t>
  </si>
  <si>
    <t>ORD-2027102</t>
  </si>
  <si>
    <t>ORD-2027103</t>
  </si>
  <si>
    <t>ORD-2027104</t>
  </si>
  <si>
    <t>ORD-2027105</t>
  </si>
  <si>
    <t>ORD-2027106</t>
  </si>
  <si>
    <t>ORD-2027107</t>
  </si>
  <si>
    <t>ORD-2027108</t>
  </si>
  <si>
    <t>ORD-2027109</t>
  </si>
  <si>
    <t>ORD-2027110</t>
  </si>
  <si>
    <t>ORD-2027111</t>
  </si>
  <si>
    <t>ORD-2027112</t>
  </si>
  <si>
    <t>ORD-2027113</t>
  </si>
  <si>
    <t>ORD-2027114</t>
  </si>
  <si>
    <t>ORD-2027115</t>
  </si>
  <si>
    <t>ORD-2027116</t>
  </si>
  <si>
    <t>ORD-2027117</t>
  </si>
  <si>
    <t>ORD-2027118</t>
  </si>
  <si>
    <t>ORD-2027119</t>
  </si>
  <si>
    <t>ORD-2027120</t>
  </si>
  <si>
    <t>ORD-2027121</t>
  </si>
  <si>
    <t>ORD-2027122</t>
  </si>
  <si>
    <t>ORD-2027123</t>
  </si>
  <si>
    <t>ORD-2027124</t>
  </si>
  <si>
    <t>ORD-2027125</t>
  </si>
  <si>
    <t>ORD-2027126</t>
  </si>
  <si>
    <t>ORD-2027127</t>
  </si>
  <si>
    <t>ORD-2027128</t>
  </si>
  <si>
    <t>ORD-2027129</t>
  </si>
  <si>
    <t>ORD-2027130</t>
  </si>
  <si>
    <t>ORD-2027131</t>
  </si>
  <si>
    <t>ORD-2027132</t>
  </si>
  <si>
    <t>ORD-2027133</t>
  </si>
  <si>
    <t>ORD-2027134</t>
  </si>
  <si>
    <t>ORD-2027135</t>
  </si>
  <si>
    <t>ORD-2027136</t>
  </si>
  <si>
    <t>ORD-2027137</t>
  </si>
  <si>
    <t>ORD-2027138</t>
  </si>
  <si>
    <t>ORD-2027139</t>
  </si>
  <si>
    <t>ORD-2027140</t>
  </si>
  <si>
    <t>ORD-2027141</t>
  </si>
  <si>
    <t>ORD-2027142</t>
  </si>
  <si>
    <t>ORD-2027143</t>
  </si>
  <si>
    <t>ORD-2027144</t>
  </si>
  <si>
    <t>ORD-2027145</t>
  </si>
  <si>
    <t>ORD-2027146</t>
  </si>
  <si>
    <t>ORD-2027147</t>
  </si>
  <si>
    <t>ORD-2027148</t>
  </si>
  <si>
    <t>ORD-2027149</t>
  </si>
  <si>
    <t>ORD-2027150</t>
  </si>
  <si>
    <t>ORD-2027151</t>
  </si>
  <si>
    <t>ORD-2027152</t>
  </si>
  <si>
    <t>ORD-2027153</t>
  </si>
  <si>
    <t>ORD-2027154</t>
  </si>
  <si>
    <t>ORD-2027155</t>
  </si>
  <si>
    <t>ORD-2027156</t>
  </si>
  <si>
    <t>ORD-2027157</t>
  </si>
  <si>
    <t>ORD-2027158</t>
  </si>
  <si>
    <t>ORD-2027159</t>
  </si>
  <si>
    <t>ORD-2027160</t>
  </si>
  <si>
    <t>ORD-2027161</t>
  </si>
  <si>
    <t>ORD-2027162</t>
  </si>
  <si>
    <t>ORD-2027163</t>
  </si>
  <si>
    <t>ORD-2027164</t>
  </si>
  <si>
    <t>ORD-2027165</t>
  </si>
  <si>
    <t>ORD-2027166</t>
  </si>
  <si>
    <t>ORD-2027167</t>
  </si>
  <si>
    <t>ORD-2027168</t>
  </si>
  <si>
    <t>ORD-2027169</t>
  </si>
  <si>
    <t>ORD-2027170</t>
  </si>
  <si>
    <t>ORD-2027171</t>
  </si>
  <si>
    <t>ORD-2027172</t>
  </si>
  <si>
    <t>ORD-2027173</t>
  </si>
  <si>
    <t>ORD-2027174</t>
  </si>
  <si>
    <t>ORD-2027175</t>
  </si>
  <si>
    <t>ORD-2027176</t>
  </si>
  <si>
    <t>ORD-2027177</t>
  </si>
  <si>
    <t>ORD-2027178</t>
  </si>
  <si>
    <t>ORD-2027179</t>
  </si>
  <si>
    <t>ORD-2027180</t>
  </si>
  <si>
    <t>ORD-2027181</t>
  </si>
  <si>
    <t>ORD-2027182</t>
  </si>
  <si>
    <t>ORD-2027183</t>
  </si>
  <si>
    <t>ORD-2027184</t>
  </si>
  <si>
    <t>ORD-2027185</t>
  </si>
  <si>
    <t>ORD-2027186</t>
  </si>
  <si>
    <t>ORD-2027187</t>
  </si>
  <si>
    <t>ORD-2027188</t>
  </si>
  <si>
    <t>ORD-2027189</t>
  </si>
  <si>
    <t>ORD-2027190</t>
  </si>
  <si>
    <t>ORD-2027191</t>
  </si>
  <si>
    <t>ORD-2027192</t>
  </si>
  <si>
    <t>ORD-2027193</t>
  </si>
  <si>
    <t>ORD-2027194</t>
  </si>
  <si>
    <t>ORD-2027195</t>
  </si>
  <si>
    <t>ORD-2027196</t>
  </si>
  <si>
    <t>ORD-2027197</t>
  </si>
  <si>
    <t>ORD-2027198</t>
  </si>
  <si>
    <t>ORD-2027199</t>
  </si>
  <si>
    <t>ORD-2027200</t>
  </si>
  <si>
    <t>ORD-2027201</t>
  </si>
  <si>
    <t>ORD-2027202</t>
  </si>
  <si>
    <t>ORD-2027203</t>
  </si>
  <si>
    <t>ORD-2027204</t>
  </si>
  <si>
    <t>ORD-2027205</t>
  </si>
  <si>
    <t>ORD-2027206</t>
  </si>
  <si>
    <t>ORD-2027207</t>
  </si>
  <si>
    <t>ORD-2027208</t>
  </si>
  <si>
    <t>ORD-2027209</t>
  </si>
  <si>
    <t>ORD-2027210</t>
  </si>
  <si>
    <t>ORD-2027211</t>
  </si>
  <si>
    <t>ORD-2027212</t>
  </si>
  <si>
    <t>ORD-2027213</t>
  </si>
  <si>
    <t>ORD-2027214</t>
  </si>
  <si>
    <t>ORD-2027215</t>
  </si>
  <si>
    <t>ORD-2027216</t>
  </si>
  <si>
    <t>ORD-2027217</t>
  </si>
  <si>
    <t>ORD-2027218</t>
  </si>
  <si>
    <t>ORD-2027219</t>
  </si>
  <si>
    <t>ORD-2027220</t>
  </si>
  <si>
    <t>ORD-2027221</t>
  </si>
  <si>
    <t>ORD-2027222</t>
  </si>
  <si>
    <t>ORD-2027223</t>
  </si>
  <si>
    <t>ORD-2027224</t>
  </si>
  <si>
    <t>ORD-2027225</t>
  </si>
  <si>
    <t>ORD-2027226</t>
  </si>
  <si>
    <t>ORD-2027227</t>
  </si>
  <si>
    <t>ORD-2027228</t>
  </si>
  <si>
    <t>ORD-2027229</t>
  </si>
  <si>
    <t>ORD-2027230</t>
  </si>
  <si>
    <t>ORD-2027231</t>
  </si>
  <si>
    <t>ORD-2027232</t>
  </si>
  <si>
    <t>ORD-2027233</t>
  </si>
  <si>
    <t>ORD-2027234</t>
  </si>
  <si>
    <t>ORD-2027235</t>
  </si>
  <si>
    <t>ORD-2027236</t>
  </si>
  <si>
    <t>ORD-2027237</t>
  </si>
  <si>
    <t>ORD-2027238</t>
  </si>
  <si>
    <t>ORD-2027239</t>
  </si>
  <si>
    <t>Nov</t>
  </si>
  <si>
    <t>ORD-2027240</t>
  </si>
  <si>
    <t>ORD-2027241</t>
  </si>
  <si>
    <t>ORD-2027242</t>
  </si>
  <si>
    <t>ORD-2027243</t>
  </si>
  <si>
    <t>ORD-2027244</t>
  </si>
  <si>
    <t>ORD-2027245</t>
  </si>
  <si>
    <t>ORD-2027246</t>
  </si>
  <si>
    <t>ORD-2027247</t>
  </si>
  <si>
    <t>ORD-2027248</t>
  </si>
  <si>
    <t>ORD-2027249</t>
  </si>
  <si>
    <t>ORD-2027250</t>
  </si>
  <si>
    <t>ORD-2027251</t>
  </si>
  <si>
    <t>ORD-2027252</t>
  </si>
  <si>
    <t>ORD-2027253</t>
  </si>
  <si>
    <t>ORD-2027254</t>
  </si>
  <si>
    <t>ORD-2027255</t>
  </si>
  <si>
    <t>ORD-2027256</t>
  </si>
  <si>
    <t>ORD-2027257</t>
  </si>
  <si>
    <t>ORD-2027258</t>
  </si>
  <si>
    <t>ORD-2027259</t>
  </si>
  <si>
    <t>ORD-2027260</t>
  </si>
  <si>
    <t>ORD-2027261</t>
  </si>
  <si>
    <t>ORD-2027262</t>
  </si>
  <si>
    <t>ORD-2027263</t>
  </si>
  <si>
    <t>ORD-2027264</t>
  </si>
  <si>
    <t>ORD-2027265</t>
  </si>
  <si>
    <t>ORD-2027266</t>
  </si>
  <si>
    <t>ORD-2027267</t>
  </si>
  <si>
    <t>ORD-2027268</t>
  </si>
  <si>
    <t>ORD-2027269</t>
  </si>
  <si>
    <t>ORD-2027270</t>
  </si>
  <si>
    <t>ORD-2027271</t>
  </si>
  <si>
    <t>ORD-2027272</t>
  </si>
  <si>
    <t>ORD-2027273</t>
  </si>
  <si>
    <t>ORD-2027274</t>
  </si>
  <si>
    <t>ORD-2027275</t>
  </si>
  <si>
    <t>ORD-2027276</t>
  </si>
  <si>
    <t>ORD-2027277</t>
  </si>
  <si>
    <t>ORD-2027278</t>
  </si>
  <si>
    <t>ORD-2027279</t>
  </si>
  <si>
    <t>ORD-2027280</t>
  </si>
  <si>
    <t>ORD-2027281</t>
  </si>
  <si>
    <t>ORD-2027282</t>
  </si>
  <si>
    <t>ORD-2027283</t>
  </si>
  <si>
    <t>ORD-2027284</t>
  </si>
  <si>
    <t>ORD-2027285</t>
  </si>
  <si>
    <t>ORD-2027286</t>
  </si>
  <si>
    <t>ORD-2027287</t>
  </si>
  <si>
    <t>ORD-2027288</t>
  </si>
  <si>
    <t>ORD-2027289</t>
  </si>
  <si>
    <t>ORD-2027290</t>
  </si>
  <si>
    <t>ORD-2027291</t>
  </si>
  <si>
    <t>ORD-2027292</t>
  </si>
  <si>
    <t>ORD-2027293</t>
  </si>
  <si>
    <t>ORD-2027294</t>
  </si>
  <si>
    <t>ORD-2027295</t>
  </si>
  <si>
    <t>ORD-2027296</t>
  </si>
  <si>
    <t>ORD-2027297</t>
  </si>
  <si>
    <t>ORD-2027298</t>
  </si>
  <si>
    <t>ORD-2027299</t>
  </si>
  <si>
    <t>ORD-2027300</t>
  </si>
  <si>
    <t>ORD-2027301</t>
  </si>
  <si>
    <t>ORD-2027302</t>
  </si>
  <si>
    <t>ORD-2027303</t>
  </si>
  <si>
    <t>ORD-2027304</t>
  </si>
  <si>
    <t>ORD-2027305</t>
  </si>
  <si>
    <t>ORD-2027306</t>
  </si>
  <si>
    <t>ORD-2027307</t>
  </si>
  <si>
    <t>ORD-2027308</t>
  </si>
  <si>
    <t>ORD-2027309</t>
  </si>
  <si>
    <t>ORD-2027310</t>
  </si>
  <si>
    <t>ORD-2027311</t>
  </si>
  <si>
    <t>ORD-2027312</t>
  </si>
  <si>
    <t>ORD-2027313</t>
  </si>
  <si>
    <t>ORD-2027314</t>
  </si>
  <si>
    <t>ORD-2027315</t>
  </si>
  <si>
    <t>ORD-2027316</t>
  </si>
  <si>
    <t>ORD-2027317</t>
  </si>
  <si>
    <t>ORD-2027318</t>
  </si>
  <si>
    <t>ORD-2027319</t>
  </si>
  <si>
    <t>ORD-2027320</t>
  </si>
  <si>
    <t>ORD-2027321</t>
  </si>
  <si>
    <t>ORD-2027322</t>
  </si>
  <si>
    <t>ORD-2027323</t>
  </si>
  <si>
    <t>ORD-2027324</t>
  </si>
  <si>
    <t>ORD-2027325</t>
  </si>
  <si>
    <t>ORD-2027326</t>
  </si>
  <si>
    <t>ORD-2027327</t>
  </si>
  <si>
    <t>ORD-2027328</t>
  </si>
  <si>
    <t>ORD-2027329</t>
  </si>
  <si>
    <t>ORD-2027330</t>
  </si>
  <si>
    <t>ORD-2027331</t>
  </si>
  <si>
    <t>ORD-2027332</t>
  </si>
  <si>
    <t>ORD-2027333</t>
  </si>
  <si>
    <t>ORD-2027334</t>
  </si>
  <si>
    <t>ORD-2027335</t>
  </si>
  <si>
    <t>ORD-2027336</t>
  </si>
  <si>
    <t>ORD-2027337</t>
  </si>
  <si>
    <t>ORD-2027338</t>
  </si>
  <si>
    <t>ORD-2027339</t>
  </si>
  <si>
    <t>ORD-2027340</t>
  </si>
  <si>
    <t>ORD-2027341</t>
  </si>
  <si>
    <t>ORD-2027342</t>
  </si>
  <si>
    <t>ORD-2027343</t>
  </si>
  <si>
    <t>ORD-2027344</t>
  </si>
  <si>
    <t>ORD-2027345</t>
  </si>
  <si>
    <t>ORD-2027346</t>
  </si>
  <si>
    <t>ORD-2027347</t>
  </si>
  <si>
    <t>ORD-2027348</t>
  </si>
  <si>
    <t>ORD-2027349</t>
  </si>
  <si>
    <t>ORD-2027350</t>
  </si>
  <si>
    <t>ORD-2027351</t>
  </si>
  <si>
    <t>ORD-2027352</t>
  </si>
  <si>
    <t>ORD-2027353</t>
  </si>
  <si>
    <t>ORD-2027354</t>
  </si>
  <si>
    <t>ORD-2027355</t>
  </si>
  <si>
    <t>ORD-2027356</t>
  </si>
  <si>
    <t>ORD-2027357</t>
  </si>
  <si>
    <t>ORD-2027358</t>
  </si>
  <si>
    <t>ORD-2027359</t>
  </si>
  <si>
    <t>ORD-2027360</t>
  </si>
  <si>
    <t>ORD-2027361</t>
  </si>
  <si>
    <t>ORD-2027362</t>
  </si>
  <si>
    <t>ORD-2027363</t>
  </si>
  <si>
    <t>ORD-2027364</t>
  </si>
  <si>
    <t>ORD-2027365</t>
  </si>
  <si>
    <t>ORD-2027366</t>
  </si>
  <si>
    <t>ORD-2027367</t>
  </si>
  <si>
    <t>ORD-2027368</t>
  </si>
  <si>
    <t>ORD-2027369</t>
  </si>
  <si>
    <t>ORD-2027370</t>
  </si>
  <si>
    <t>ORD-2027371</t>
  </si>
  <si>
    <t>ORD-2027372</t>
  </si>
  <si>
    <t>ORD-2027373</t>
  </si>
  <si>
    <t>ORD-2027374</t>
  </si>
  <si>
    <t>ORD-2027375</t>
  </si>
  <si>
    <t>ORD-2027376</t>
  </si>
  <si>
    <t>ORD-2027377</t>
  </si>
  <si>
    <t>ORD-2027378</t>
  </si>
  <si>
    <t>ORD-2027379</t>
  </si>
  <si>
    <t>ORD-2027380</t>
  </si>
  <si>
    <t>ORD-2027381</t>
  </si>
  <si>
    <t>ORD-2027382</t>
  </si>
  <si>
    <t>ORD-2027383</t>
  </si>
  <si>
    <t>ORD-2027384</t>
  </si>
  <si>
    <t>ORD-2027385</t>
  </si>
  <si>
    <t>ORD-2027386</t>
  </si>
  <si>
    <t>ORD-2027387</t>
  </si>
  <si>
    <t>ORD-2027388</t>
  </si>
  <si>
    <t>ORD-2027389</t>
  </si>
  <si>
    <t>ORD-2027390</t>
  </si>
  <si>
    <t>ORD-2027391</t>
  </si>
  <si>
    <t>ORD-2027392</t>
  </si>
  <si>
    <t>ORD-2027393</t>
  </si>
  <si>
    <t>ORD-2027394</t>
  </si>
  <si>
    <t>ORD-2027395</t>
  </si>
  <si>
    <t>ORD-2027396</t>
  </si>
  <si>
    <t>ORD-2027397</t>
  </si>
  <si>
    <t>ORD-2027398</t>
  </si>
  <si>
    <t>ORD-2027399</t>
  </si>
  <si>
    <t>ORD-2027400</t>
  </si>
  <si>
    <t>ORD-2027401</t>
  </si>
  <si>
    <t>ORD-2027402</t>
  </si>
  <si>
    <t>ORD-2027403</t>
  </si>
  <si>
    <t>ORD-2027404</t>
  </si>
  <si>
    <t>ORD-2027405</t>
  </si>
  <si>
    <t>ORD-2027406</t>
  </si>
  <si>
    <t>ORD-2027407</t>
  </si>
  <si>
    <t>ORD-2027408</t>
  </si>
  <si>
    <t>ORD-2027409</t>
  </si>
  <si>
    <t>ORD-2027410</t>
  </si>
  <si>
    <t>ORD-2027411</t>
  </si>
  <si>
    <t>ORD-2027412</t>
  </si>
  <si>
    <t>ORD-2027413</t>
  </si>
  <si>
    <t>ORD-2027414</t>
  </si>
  <si>
    <t>ORD-2027415</t>
  </si>
  <si>
    <t>ORD-2027416</t>
  </si>
  <si>
    <t>ORD-2027417</t>
  </si>
  <si>
    <t>ORD-2027418</t>
  </si>
  <si>
    <t>ORD-2027419</t>
  </si>
  <si>
    <t>ORD-2027420</t>
  </si>
  <si>
    <t>ORD-2027421</t>
  </si>
  <si>
    <t>ORD-2027422</t>
  </si>
  <si>
    <t>ORD-2027423</t>
  </si>
  <si>
    <t>ORD-2027424</t>
  </si>
  <si>
    <t>ORD-2027425</t>
  </si>
  <si>
    <t>ORD-2027426</t>
  </si>
  <si>
    <t>ORD-2027427</t>
  </si>
  <si>
    <t>ORD-2027428</t>
  </si>
  <si>
    <t>ORD-2027429</t>
  </si>
  <si>
    <t>ORD-2027430</t>
  </si>
  <si>
    <t>ORD-2027431</t>
  </si>
  <si>
    <t>ORD-2027432</t>
  </si>
  <si>
    <t>ORD-2027433</t>
  </si>
  <si>
    <t>ORD-2027434</t>
  </si>
  <si>
    <t>ORD-2027435</t>
  </si>
  <si>
    <t>ORD-2027436</t>
  </si>
  <si>
    <t>ORD-2027437</t>
  </si>
  <si>
    <t>ORD-2027438</t>
  </si>
  <si>
    <t>ORD-2027439</t>
  </si>
  <si>
    <t>ORD-2027440</t>
  </si>
  <si>
    <t>ORD-2027441</t>
  </si>
  <si>
    <t>ORD-2027442</t>
  </si>
  <si>
    <t>ORD-2027443</t>
  </si>
  <si>
    <t>ORD-2027444</t>
  </si>
  <si>
    <t>ORD-2027445</t>
  </si>
  <si>
    <t>ORD-2027446</t>
  </si>
  <si>
    <t>ORD-2027447</t>
  </si>
  <si>
    <t>ORD-2027448</t>
  </si>
  <si>
    <t>CUST-1170</t>
  </si>
  <si>
    <t>ORD-2027449</t>
  </si>
  <si>
    <t>ORD-2027450</t>
  </si>
  <si>
    <t>ORD-2027451</t>
  </si>
  <si>
    <t>ORD-2027452</t>
  </si>
  <si>
    <t>ORD-2027453</t>
  </si>
  <si>
    <t>ORD-2027454</t>
  </si>
  <si>
    <t>ORD-2027455</t>
  </si>
  <si>
    <t>ORD-2027456</t>
  </si>
  <si>
    <t>ORD-2027457</t>
  </si>
  <si>
    <t>ORD-2027458</t>
  </si>
  <si>
    <t>ORD-2027459</t>
  </si>
  <si>
    <t>ORD-2027460</t>
  </si>
  <si>
    <t>ORD-2027461</t>
  </si>
  <si>
    <t>ORD-2027462</t>
  </si>
  <si>
    <t>ORD-2027463</t>
  </si>
  <si>
    <t>ORD-2027464</t>
  </si>
  <si>
    <t>ORD-2027465</t>
  </si>
  <si>
    <t>ORD-2027466</t>
  </si>
  <si>
    <t>ORD-2027467</t>
  </si>
  <si>
    <t>ORD-2027468</t>
  </si>
  <si>
    <t>ORD-2027469</t>
  </si>
  <si>
    <t>ORD-2027470</t>
  </si>
  <si>
    <t>ORD-2027471</t>
  </si>
  <si>
    <t>ORD-2027472</t>
  </si>
  <si>
    <t>ORD-2027473</t>
  </si>
  <si>
    <t>ORD-2027474</t>
  </si>
  <si>
    <t>ORD-2027475</t>
  </si>
  <si>
    <t>ORD-2027476</t>
  </si>
  <si>
    <t>ORD-2027477</t>
  </si>
  <si>
    <t>ORD-2027478</t>
  </si>
  <si>
    <t>ORD-2027479</t>
  </si>
  <si>
    <t>ORD-2027480</t>
  </si>
  <si>
    <t>ORD-2027481</t>
  </si>
  <si>
    <t>ORD-2027482</t>
  </si>
  <si>
    <t>ORD-2027483</t>
  </si>
  <si>
    <t>ORD-2027484</t>
  </si>
  <si>
    <t>ORD-2027485</t>
  </si>
  <si>
    <t>ORD-2027486</t>
  </si>
  <si>
    <t>ORD-2027487</t>
  </si>
  <si>
    <t>ORD-2027488</t>
  </si>
  <si>
    <t>ORD-2027489</t>
  </si>
  <si>
    <t>ORD-2027490</t>
  </si>
  <si>
    <t>ORD-2027491</t>
  </si>
  <si>
    <t>ORD-2027492</t>
  </si>
  <si>
    <t>ORD-2027493</t>
  </si>
  <si>
    <t>ORD-2027494</t>
  </si>
  <si>
    <t>ORD-2027495</t>
  </si>
  <si>
    <t>ORD-2027496</t>
  </si>
  <si>
    <t>ORD-2027497</t>
  </si>
  <si>
    <t>ORD-2027498</t>
  </si>
  <si>
    <t>ORD-2027499</t>
  </si>
  <si>
    <t>ORD-2027500</t>
  </si>
  <si>
    <t>ORD-2027501</t>
  </si>
  <si>
    <t>ORD-2027502</t>
  </si>
  <si>
    <t>ORD-2027503</t>
  </si>
  <si>
    <t>ORD-2027504</t>
  </si>
  <si>
    <t>ORD-2027505</t>
  </si>
  <si>
    <t>ORD-2027506</t>
  </si>
  <si>
    <t>ORD-2027507</t>
  </si>
  <si>
    <t>ORD-2027508</t>
  </si>
  <si>
    <t>ORD-2027509</t>
  </si>
  <si>
    <t>ORD-2027510</t>
  </si>
  <si>
    <t>ORD-2027511</t>
  </si>
  <si>
    <t>ORD-2027512</t>
  </si>
  <si>
    <t>ORD-2027513</t>
  </si>
  <si>
    <t>ORD-2027514</t>
  </si>
  <si>
    <t>ORD-2027515</t>
  </si>
  <si>
    <t>ORD-2027516</t>
  </si>
  <si>
    <t>ORD-2027517</t>
  </si>
  <si>
    <t>ORD-2027518</t>
  </si>
  <si>
    <t>ORD-2027519</t>
  </si>
  <si>
    <t>ORD-2027520</t>
  </si>
  <si>
    <t>ORD-2027521</t>
  </si>
  <si>
    <t>ORD-2027522</t>
  </si>
  <si>
    <t>ORD-2027523</t>
  </si>
  <si>
    <t>ORD-2027524</t>
  </si>
  <si>
    <t>ORD-2027525</t>
  </si>
  <si>
    <t>ORD-2027526</t>
  </si>
  <si>
    <t>ORD-2027527</t>
  </si>
  <si>
    <t>ORD-2027528</t>
  </si>
  <si>
    <t>ORD-2027529</t>
  </si>
  <si>
    <t>ORD-2027530</t>
  </si>
  <si>
    <t>ORD-2027531</t>
  </si>
  <si>
    <t>ORD-2027532</t>
  </si>
  <si>
    <t>ORD-2027533</t>
  </si>
  <si>
    <t>ORD-2027534</t>
  </si>
  <si>
    <t>ORD-2027535</t>
  </si>
  <si>
    <t>ORD-2027536</t>
  </si>
  <si>
    <t>ORD-2027537</t>
  </si>
  <si>
    <t>ORD-2027538</t>
  </si>
  <si>
    <t>ORD-2027539</t>
  </si>
  <si>
    <t>ORD-2027540</t>
  </si>
  <si>
    <t>ORD-2027541</t>
  </si>
  <si>
    <t>ORD-2027542</t>
  </si>
  <si>
    <t>ORD-2027543</t>
  </si>
  <si>
    <t>ORD-2027544</t>
  </si>
  <si>
    <t>ORD-2027545</t>
  </si>
  <si>
    <t>ORD-2027546</t>
  </si>
  <si>
    <t>ORD-2027547</t>
  </si>
  <si>
    <t>ORD-2027548</t>
  </si>
  <si>
    <t>ORD-2027549</t>
  </si>
  <si>
    <t>ORD-2027550</t>
  </si>
  <si>
    <t>ORD-2027551</t>
  </si>
  <si>
    <t>ORD-2027552</t>
  </si>
  <si>
    <t>ORD-2027553</t>
  </si>
  <si>
    <t>ORD-2027554</t>
  </si>
  <si>
    <t>ORD-2027555</t>
  </si>
  <si>
    <t>ORD-2027556</t>
  </si>
  <si>
    <t>ORD-2027557</t>
  </si>
  <si>
    <t>ORD-2027558</t>
  </si>
  <si>
    <t>ORD-2027559</t>
  </si>
  <si>
    <t>ORD-2027560</t>
  </si>
  <si>
    <t>ORD-2027561</t>
  </si>
  <si>
    <t>ORD-2027562</t>
  </si>
  <si>
    <t>ORD-2027563</t>
  </si>
  <si>
    <t>ORD-2027564</t>
  </si>
  <si>
    <t>ORD-2027565</t>
  </si>
  <si>
    <t>ORD-2027566</t>
  </si>
  <si>
    <t>ORD-2027567</t>
  </si>
  <si>
    <t>ORD-2027568</t>
  </si>
  <si>
    <t>ORD-2027569</t>
  </si>
  <si>
    <t>ORD-2027570</t>
  </si>
  <si>
    <t>ORD-2027571</t>
  </si>
  <si>
    <t>ORD-2027572</t>
  </si>
  <si>
    <t>ORD-2027573</t>
  </si>
  <si>
    <t>ORD-2027574</t>
  </si>
  <si>
    <t>ORD-2027575</t>
  </si>
  <si>
    <t>ORD-2027576</t>
  </si>
  <si>
    <t>ORD-2027577</t>
  </si>
  <si>
    <t>ORD-2027578</t>
  </si>
  <si>
    <t>Dec</t>
  </si>
  <si>
    <t>ORD-2027579</t>
  </si>
  <si>
    <t>ORD-2027580</t>
  </si>
  <si>
    <t>ORD-2027581</t>
  </si>
  <si>
    <t>ORD-2027582</t>
  </si>
  <si>
    <t>ORD-2027583</t>
  </si>
  <si>
    <t>ORD-2027584</t>
  </si>
  <si>
    <t>ORD-2027585</t>
  </si>
  <si>
    <t>ORD-2027586</t>
  </si>
  <si>
    <t>ORD-2027587</t>
  </si>
  <si>
    <t>ORD-2027588</t>
  </si>
  <si>
    <t>ORD-2027589</t>
  </si>
  <si>
    <t>ORD-2027590</t>
  </si>
  <si>
    <t>ORD-2027591</t>
  </si>
  <si>
    <t>ORD-2027592</t>
  </si>
  <si>
    <t>ORD-2027593</t>
  </si>
  <si>
    <t>ORD-2027594</t>
  </si>
  <si>
    <t>ORD-2027595</t>
  </si>
  <si>
    <t>ORD-2027596</t>
  </si>
  <si>
    <t>ORD-2027597</t>
  </si>
  <si>
    <t>ORD-2027598</t>
  </si>
  <si>
    <t>ORD-2027599</t>
  </si>
  <si>
    <t>ORD-2027600</t>
  </si>
  <si>
    <t>ORD-2027601</t>
  </si>
  <si>
    <t>CUST-1267</t>
  </si>
  <si>
    <t>ORD-2027602</t>
  </si>
  <si>
    <t>ORD-2027603</t>
  </si>
  <si>
    <t>ORD-2027604</t>
  </si>
  <si>
    <t>ORD-2027605</t>
  </si>
  <si>
    <t>ORD-2027606</t>
  </si>
  <si>
    <t>ORD-2027607</t>
  </si>
  <si>
    <t>ORD-2027608</t>
  </si>
  <si>
    <t>ORD-2027609</t>
  </si>
  <si>
    <t>ORD-2027610</t>
  </si>
  <si>
    <t>ORD-2027611</t>
  </si>
  <si>
    <t>ORD-2027612</t>
  </si>
  <si>
    <t>ORD-2027613</t>
  </si>
  <si>
    <t>ORD-2027614</t>
  </si>
  <si>
    <t>ORD-2027615</t>
  </si>
  <si>
    <t>ORD-2027616</t>
  </si>
  <si>
    <t>ORD-2027617</t>
  </si>
  <si>
    <t>ORD-2027618</t>
  </si>
  <si>
    <t>ORD-2027619</t>
  </si>
  <si>
    <t>ORD-2027620</t>
  </si>
  <si>
    <t>ORD-2027621</t>
  </si>
  <si>
    <t>ORD-2027622</t>
  </si>
  <si>
    <t>ORD-2027623</t>
  </si>
  <si>
    <t>ORD-2027624</t>
  </si>
  <si>
    <t>ORD-2027625</t>
  </si>
  <si>
    <t>ORD-2027626</t>
  </si>
  <si>
    <t>ORD-2027627</t>
  </si>
  <si>
    <t>ORD-2027628</t>
  </si>
  <si>
    <t>ORD-2027629</t>
  </si>
  <si>
    <t>ORD-2027630</t>
  </si>
  <si>
    <t>ORD-2027631</t>
  </si>
  <si>
    <t>ORD-2027632</t>
  </si>
  <si>
    <t>ORD-2027633</t>
  </si>
  <si>
    <t>ORD-2027634</t>
  </si>
  <si>
    <t>ORD-2027635</t>
  </si>
  <si>
    <t>ORD-2027636</t>
  </si>
  <si>
    <t>ORD-2027637</t>
  </si>
  <si>
    <t>ORD-2027638</t>
  </si>
  <si>
    <t>ORD-2027639</t>
  </si>
  <si>
    <t>ORD-2027640</t>
  </si>
  <si>
    <t>ORD-2027641</t>
  </si>
  <si>
    <t>ORD-2027642</t>
  </si>
  <si>
    <t>ORD-2027643</t>
  </si>
  <si>
    <t>ORD-2027644</t>
  </si>
  <si>
    <t>ORD-2027645</t>
  </si>
  <si>
    <t>ORD-2027646</t>
  </si>
  <si>
    <t>ORD-2027647</t>
  </si>
  <si>
    <t>ORD-2027648</t>
  </si>
  <si>
    <t>ORD-2027649</t>
  </si>
  <si>
    <t>ORD-2027650</t>
  </si>
  <si>
    <t>ORD-2027651</t>
  </si>
  <si>
    <t>ORD-2027652</t>
  </si>
  <si>
    <t>ORD-2027653</t>
  </si>
  <si>
    <t>ORD-2027654</t>
  </si>
  <si>
    <t>ORD-2027655</t>
  </si>
  <si>
    <t>ORD-2027656</t>
  </si>
  <si>
    <t>ORD-2027657</t>
  </si>
  <si>
    <t>ORD-2027658</t>
  </si>
  <si>
    <t>ORD-2027659</t>
  </si>
  <si>
    <t>ORD-2027660</t>
  </si>
  <si>
    <t>ORD-2027661</t>
  </si>
  <si>
    <t>ORD-2027662</t>
  </si>
  <si>
    <t>ORD-2027663</t>
  </si>
  <si>
    <t>ORD-2027664</t>
  </si>
  <si>
    <t>ORD-2027665</t>
  </si>
  <si>
    <t>ORD-2027666</t>
  </si>
  <si>
    <t>ORD-2027667</t>
  </si>
  <si>
    <t>ORD-2027668</t>
  </si>
  <si>
    <t>ORD-2027669</t>
  </si>
  <si>
    <t>ORD-2027670</t>
  </si>
  <si>
    <t>ORD-2027671</t>
  </si>
  <si>
    <t>ORD-2027672</t>
  </si>
  <si>
    <t>ORD-2027673</t>
  </si>
  <si>
    <t>ORD-2027674</t>
  </si>
  <si>
    <t>ORD-2027675</t>
  </si>
  <si>
    <t>ORD-2027676</t>
  </si>
  <si>
    <t>ORD-2027677</t>
  </si>
  <si>
    <t>ORD-2027678</t>
  </si>
  <si>
    <t>ORD-2027679</t>
  </si>
  <si>
    <t>ORD-2027680</t>
  </si>
  <si>
    <t>ORD-2027681</t>
  </si>
  <si>
    <t>ORD-2027682</t>
  </si>
  <si>
    <t>ORD-2027683</t>
  </si>
  <si>
    <t>ORD-2027684</t>
  </si>
  <si>
    <t>ORD-2027685</t>
  </si>
  <si>
    <t>ORD-2027686</t>
  </si>
  <si>
    <t>ORD-2027687</t>
  </si>
  <si>
    <t>ORD-2027688</t>
  </si>
  <si>
    <t>ORD-2027689</t>
  </si>
  <si>
    <t>ORD-2027690</t>
  </si>
  <si>
    <t>ORD-2027691</t>
  </si>
  <si>
    <t>ORD-2027692</t>
  </si>
  <si>
    <t>ORD-2027693</t>
  </si>
  <si>
    <t>ORD-2027694</t>
  </si>
  <si>
    <t>ORD-2027695</t>
  </si>
  <si>
    <t>ORD-2027696</t>
  </si>
  <si>
    <t>ORD-2027697</t>
  </si>
  <si>
    <t>ORD-2027698</t>
  </si>
  <si>
    <t>ORD-2027699</t>
  </si>
  <si>
    <t>ORD-2027700</t>
  </si>
  <si>
    <t>ORD-2027701</t>
  </si>
  <si>
    <t>ORD-2027702</t>
  </si>
  <si>
    <t>ORD-2027703</t>
  </si>
  <si>
    <t>ORD-2027704</t>
  </si>
  <si>
    <t>ORD-2027705</t>
  </si>
  <si>
    <t>ORD-2027706</t>
  </si>
  <si>
    <t>ORD-2027707</t>
  </si>
  <si>
    <t>ORD-2027708</t>
  </si>
  <si>
    <t>ORD-2027709</t>
  </si>
  <si>
    <t>ORD-2027710</t>
  </si>
  <si>
    <t>ORD-2027711</t>
  </si>
  <si>
    <t>ORD-2027712</t>
  </si>
  <si>
    <t>ORD-2027713</t>
  </si>
  <si>
    <t>ORD-2027714</t>
  </si>
  <si>
    <t>ORD-2027715</t>
  </si>
  <si>
    <t>ORD-2027716</t>
  </si>
  <si>
    <t>ORD-2027717</t>
  </si>
  <si>
    <t>ORD-2027718</t>
  </si>
  <si>
    <t>ORD-2027719</t>
  </si>
  <si>
    <t>ORD-2027720</t>
  </si>
  <si>
    <t>ORD-2027721</t>
  </si>
  <si>
    <t>ORD-2027722</t>
  </si>
  <si>
    <t>ORD-2027723</t>
  </si>
  <si>
    <t>ORD-2027724</t>
  </si>
  <si>
    <t>ORD-2027725</t>
  </si>
  <si>
    <t>ORD-2027726</t>
  </si>
  <si>
    <t>ORD-2027727</t>
  </si>
  <si>
    <t>ORD-2027728</t>
  </si>
  <si>
    <t>ORD-2027729</t>
  </si>
  <si>
    <t>ORD-2027730</t>
  </si>
  <si>
    <t>ORD-2027731</t>
  </si>
  <si>
    <t>ORD-2027732</t>
  </si>
  <si>
    <t>ORD-2027733</t>
  </si>
  <si>
    <t>ORD-2027734</t>
  </si>
  <si>
    <t>ORD-2027735</t>
  </si>
  <si>
    <t>ORD-2027736</t>
  </si>
  <si>
    <t>ORD-2027737</t>
  </si>
  <si>
    <t>ORD-2027738</t>
  </si>
  <si>
    <t>ORD-2027739</t>
  </si>
  <si>
    <t>ORD-2027740</t>
  </si>
  <si>
    <t>ORD-2027741</t>
  </si>
  <si>
    <t>ORD-2027742</t>
  </si>
  <si>
    <t>ORD-2027743</t>
  </si>
  <si>
    <t>ORD-2027744</t>
  </si>
  <si>
    <t>ORD-2027745</t>
  </si>
  <si>
    <t>ORD-2027746</t>
  </si>
  <si>
    <t>ORD-2027747</t>
  </si>
  <si>
    <t>ORD-2027748</t>
  </si>
  <si>
    <t>ORD-2027749</t>
  </si>
  <si>
    <t>ORD-2027750</t>
  </si>
  <si>
    <t>ORD-2027751</t>
  </si>
  <si>
    <t>ORD-2027752</t>
  </si>
  <si>
    <t>ORD-2027753</t>
  </si>
  <si>
    <t>ORD-2027754</t>
  </si>
  <si>
    <t>ORD-2027755</t>
  </si>
  <si>
    <t>ORD-2027756</t>
  </si>
  <si>
    <t>ORD-2027757</t>
  </si>
  <si>
    <t>ORD-2027758</t>
  </si>
  <si>
    <t>ORD-2027759</t>
  </si>
  <si>
    <t>ORD-2027760</t>
  </si>
  <si>
    <t>ORD-2027761</t>
  </si>
  <si>
    <t>ORD-2027762</t>
  </si>
  <si>
    <t>ORD-2027763</t>
  </si>
  <si>
    <t>ORD-2027764</t>
  </si>
  <si>
    <t>ORD-2027765</t>
  </si>
  <si>
    <t>ORD-2027766</t>
  </si>
  <si>
    <t>ORD-2027767</t>
  </si>
  <si>
    <t>ORD-2027768</t>
  </si>
  <si>
    <t>ORD-2027769</t>
  </si>
  <si>
    <t>ORD-2027770</t>
  </si>
  <si>
    <t>ORD-2027771</t>
  </si>
  <si>
    <t>ORD-2027772</t>
  </si>
  <si>
    <t>ORD-2027773</t>
  </si>
  <si>
    <t>ORD-2027774</t>
  </si>
  <si>
    <t>ORD-2027775</t>
  </si>
  <si>
    <t>ORD-2027776</t>
  </si>
  <si>
    <t>ORD-2027777</t>
  </si>
  <si>
    <t>ORD-2027778</t>
  </si>
  <si>
    <t>ORD-2027779</t>
  </si>
  <si>
    <t>ORD-2027780</t>
  </si>
  <si>
    <t>ORD-2027781</t>
  </si>
  <si>
    <t>ORD-2027782</t>
  </si>
  <si>
    <t>ORD-2027783</t>
  </si>
  <si>
    <t>ORD-2027784</t>
  </si>
  <si>
    <t>ORD-2027785</t>
  </si>
  <si>
    <t>ORD-2027786</t>
  </si>
  <si>
    <t>ORD-2027787</t>
  </si>
  <si>
    <t>ORD-2027788</t>
  </si>
  <si>
    <t>ORD-2027789</t>
  </si>
  <si>
    <t>ORD-2027790</t>
  </si>
  <si>
    <t>ORD-2027791</t>
  </si>
  <si>
    <t>ORD-2027792</t>
  </si>
  <si>
    <t>ORD-2027793</t>
  </si>
  <si>
    <t>ORD-2027794</t>
  </si>
  <si>
    <t>ORD-2027795</t>
  </si>
  <si>
    <t>ORD-2027796</t>
  </si>
  <si>
    <t>ORD-2027797</t>
  </si>
  <si>
    <t>ORD-2027798</t>
  </si>
  <si>
    <t>ORD-2027799</t>
  </si>
  <si>
    <t>ORD-2027800</t>
  </si>
  <si>
    <t>ORD-2027801</t>
  </si>
  <si>
    <t>ORD-2027802</t>
  </si>
  <si>
    <t>ORD-2027803</t>
  </si>
  <si>
    <t>ORD-2027804</t>
  </si>
  <si>
    <t>ORD-2027805</t>
  </si>
  <si>
    <t>ORD-2027806</t>
  </si>
  <si>
    <t>ORD-2027807</t>
  </si>
  <si>
    <t>ORD-2027808</t>
  </si>
  <si>
    <t>ORD-2027809</t>
  </si>
  <si>
    <t>ORD-2027810</t>
  </si>
  <si>
    <t>ORD-2027811</t>
  </si>
  <si>
    <t>ORD-2027812</t>
  </si>
  <si>
    <t>ORD-2027813</t>
  </si>
  <si>
    <t>ORD-2027814</t>
  </si>
  <si>
    <t>ORD-2027815</t>
  </si>
  <si>
    <t>ORD-2027816</t>
  </si>
  <si>
    <t>ORD-2027817</t>
  </si>
  <si>
    <t>ORD-2027818</t>
  </si>
  <si>
    <t>ORD-2027819</t>
  </si>
  <si>
    <t>ORD-2027820</t>
  </si>
  <si>
    <t>ORD-2027821</t>
  </si>
  <si>
    <t>ORD-2027822</t>
  </si>
  <si>
    <t>ORD-2027823</t>
  </si>
  <si>
    <t>ORD-2027824</t>
  </si>
  <si>
    <t>ORD-2027825</t>
  </si>
  <si>
    <t>ORD-2027826</t>
  </si>
  <si>
    <t>ORD-2027827</t>
  </si>
  <si>
    <t>ORD-2027828</t>
  </si>
  <si>
    <t>ORD-2027829</t>
  </si>
  <si>
    <t>ORD-2027830</t>
  </si>
  <si>
    <t>ORD-2027831</t>
  </si>
  <si>
    <t>ORD-2027832</t>
  </si>
  <si>
    <t>ORD-2027833</t>
  </si>
  <si>
    <t>ORD-2027834</t>
  </si>
  <si>
    <t>ORD-2027835</t>
  </si>
  <si>
    <t>ORD-2027836</t>
  </si>
  <si>
    <t>ORD-2027837</t>
  </si>
  <si>
    <t>ORD-2027838</t>
  </si>
  <si>
    <t>ORD-2027839</t>
  </si>
  <si>
    <t>ORD-2027840</t>
  </si>
  <si>
    <t>ORD-2027841</t>
  </si>
  <si>
    <t>ORD-2027842</t>
  </si>
  <si>
    <t>ORD-2027843</t>
  </si>
  <si>
    <t>ORD-2027844</t>
  </si>
  <si>
    <t>ORD-2027845</t>
  </si>
  <si>
    <t>ORD-2027846</t>
  </si>
  <si>
    <t>ORD-2027847</t>
  </si>
  <si>
    <t>ORD-2027848</t>
  </si>
  <si>
    <t>ORD-2027849</t>
  </si>
  <si>
    <t>ORD-2027850</t>
  </si>
  <si>
    <t>ORD-2027851</t>
  </si>
  <si>
    <t>ORD-2027852</t>
  </si>
  <si>
    <t>ORD-2027853</t>
  </si>
  <si>
    <t>ORD-2027854</t>
  </si>
  <si>
    <t>ORD-2027855</t>
  </si>
  <si>
    <t>ORD-2027856</t>
  </si>
  <si>
    <t>ORD-2027857</t>
  </si>
  <si>
    <t>ORD-2027858</t>
  </si>
  <si>
    <t>ORD-2027859</t>
  </si>
  <si>
    <t>ORD-2027860</t>
  </si>
  <si>
    <t>ORD-2027861</t>
  </si>
  <si>
    <t>ORD-2027862</t>
  </si>
  <si>
    <t>ORD-2027863</t>
  </si>
  <si>
    <t>ORD-2027864</t>
  </si>
  <si>
    <t>ORD-2027865</t>
  </si>
  <si>
    <t>ORD-2027866</t>
  </si>
  <si>
    <t>ORD-2027867</t>
  </si>
  <si>
    <t>ORD-2027868</t>
  </si>
  <si>
    <t>ORD-2027869</t>
  </si>
  <si>
    <t>ORD-2027870</t>
  </si>
  <si>
    <t>ORD-2027871</t>
  </si>
  <si>
    <t>ORD-2027872</t>
  </si>
  <si>
    <t>ORD-2027873</t>
  </si>
  <si>
    <t>ORD-2027874</t>
  </si>
  <si>
    <t>ORD-2027875</t>
  </si>
  <si>
    <t>ORD-2027876</t>
  </si>
  <si>
    <t>ORD-2027877</t>
  </si>
  <si>
    <t>ORD-2027878</t>
  </si>
  <si>
    <t>ORD-2027879</t>
  </si>
  <si>
    <t>ORD-2027880</t>
  </si>
  <si>
    <t>ORD-2027881</t>
  </si>
  <si>
    <t>ORD-2027882</t>
  </si>
  <si>
    <t>ORD-2027883</t>
  </si>
  <si>
    <t>ORD-2027884</t>
  </si>
  <si>
    <t>ORD-2027885</t>
  </si>
  <si>
    <t>ORD-2027886</t>
  </si>
  <si>
    <t>ORD-2027887</t>
  </si>
  <si>
    <t>ORD-2027888</t>
  </si>
  <si>
    <t>ORD-2027889</t>
  </si>
  <si>
    <t>ORD-2027890</t>
  </si>
  <si>
    <t>ORD-2027891</t>
  </si>
  <si>
    <t>ORD-2027892</t>
  </si>
  <si>
    <t>ORD-2027893</t>
  </si>
  <si>
    <t>ORD-2027894</t>
  </si>
  <si>
    <t>ORD-2027895</t>
  </si>
  <si>
    <t>ORD-2027896</t>
  </si>
  <si>
    <t>ORD-2027897</t>
  </si>
  <si>
    <t>ORD-2027898</t>
  </si>
  <si>
    <t>ORD-2027899</t>
  </si>
  <si>
    <t>ORD-2027900</t>
  </si>
  <si>
    <t>ORD-2027901</t>
  </si>
  <si>
    <t>ORD-2027902</t>
  </si>
  <si>
    <t>ORD-2027903</t>
  </si>
  <si>
    <t>ORD-2027904</t>
  </si>
  <si>
    <t>ORD-2027905</t>
  </si>
  <si>
    <t>ORD-2027906</t>
  </si>
  <si>
    <t>ORD-2027907</t>
  </si>
  <si>
    <t>ORD-2027908</t>
  </si>
  <si>
    <t>ORD-2027909</t>
  </si>
  <si>
    <t>ORD-2027910</t>
  </si>
  <si>
    <t>ORD-2027911</t>
  </si>
  <si>
    <t>ORD-2027912</t>
  </si>
  <si>
    <t>ORD-2027913</t>
  </si>
  <si>
    <t>ORD-2027914</t>
  </si>
  <si>
    <t>ORD-2027915</t>
  </si>
  <si>
    <t>ORD-2027916</t>
  </si>
  <si>
    <t>ORD-2027917</t>
  </si>
  <si>
    <t>ORD-2027918</t>
  </si>
  <si>
    <t>ORD-2027919</t>
  </si>
  <si>
    <t>ORD-2027920</t>
  </si>
  <si>
    <t>ORD-2027921</t>
  </si>
  <si>
    <t>ORD-2027922</t>
  </si>
  <si>
    <t>ORD-2027923</t>
  </si>
  <si>
    <t>ORD-2027924</t>
  </si>
  <si>
    <t>ORD-2027925</t>
  </si>
  <si>
    <t>ORD-2027926</t>
  </si>
  <si>
    <t>ORD-2027927</t>
  </si>
  <si>
    <t>ORD-2027928</t>
  </si>
  <si>
    <t>ORD-2027929</t>
  </si>
  <si>
    <t>ORD-2027930</t>
  </si>
  <si>
    <t>ORD-2027931</t>
  </si>
  <si>
    <t>ORD-2027932</t>
  </si>
  <si>
    <t>ORD-2027933</t>
  </si>
  <si>
    <t>ORD-2027934</t>
  </si>
  <si>
    <t>ORD-2027935</t>
  </si>
  <si>
    <t>ORD-2027936</t>
  </si>
  <si>
    <t>ORD-2027937</t>
  </si>
  <si>
    <t>ORD-2027938</t>
  </si>
  <si>
    <t>ORD-2027939</t>
  </si>
  <si>
    <t>ORD-2027940</t>
  </si>
  <si>
    <t>ORD-2027941</t>
  </si>
  <si>
    <t>ORD-2027942</t>
  </si>
  <si>
    <t>ORD-2027943</t>
  </si>
  <si>
    <t>ORD-2027944</t>
  </si>
  <si>
    <t>ORD-2027945</t>
  </si>
  <si>
    <t>ORD-2027946</t>
  </si>
  <si>
    <t>ORD-2027947</t>
  </si>
  <si>
    <t>ORD-2027948</t>
  </si>
  <si>
    <t>ORD-2027949</t>
  </si>
  <si>
    <t>ORD-2027950</t>
  </si>
  <si>
    <t>ORD-2027951</t>
  </si>
  <si>
    <t>ORD-2027952</t>
  </si>
  <si>
    <t>ORD-2027953</t>
  </si>
  <si>
    <t>ORD-2027954</t>
  </si>
  <si>
    <t>ORD-2027955</t>
  </si>
  <si>
    <t>ORD-2027956</t>
  </si>
  <si>
    <t>ORD-2027957</t>
  </si>
  <si>
    <t>ORD-2027958</t>
  </si>
  <si>
    <t>ORD-2027959</t>
  </si>
  <si>
    <t>ORD-2027960</t>
  </si>
  <si>
    <t>ORD-2027961</t>
  </si>
  <si>
    <t>ORD-2027962</t>
  </si>
  <si>
    <t>ORD-2027963</t>
  </si>
  <si>
    <t>ORD-2027964</t>
  </si>
  <si>
    <t>ORD-2027965</t>
  </si>
  <si>
    <t>ORD-2027966</t>
  </si>
  <si>
    <t>ORD-2027967</t>
  </si>
  <si>
    <t>ORD-2027968</t>
  </si>
  <si>
    <t>ORD-2027969</t>
  </si>
  <si>
    <t>ORD-2027970</t>
  </si>
  <si>
    <t>ORD-2027971</t>
  </si>
  <si>
    <t>ORD-2027972</t>
  </si>
  <si>
    <t>ORD-2027973</t>
  </si>
  <si>
    <t>ORD-2027974</t>
  </si>
  <si>
    <t>ORD-2027975</t>
  </si>
  <si>
    <t>ORD-2027976</t>
  </si>
  <si>
    <t>ORD-2027977</t>
  </si>
  <si>
    <t>ORD-2027978</t>
  </si>
  <si>
    <t>31 Wed</t>
  </si>
  <si>
    <t>ORD-2027979</t>
  </si>
  <si>
    <t>ORD-2027980</t>
  </si>
  <si>
    <t>ORD-2027981</t>
  </si>
  <si>
    <t>ORD-2027982</t>
  </si>
  <si>
    <t>ORD-2027983</t>
  </si>
  <si>
    <t>ORD-2027984</t>
  </si>
  <si>
    <t>ORD-2027985</t>
  </si>
  <si>
    <t>ORD-2027986</t>
  </si>
  <si>
    <t>ORD-2027987</t>
  </si>
  <si>
    <t>ORD-2027988</t>
  </si>
  <si>
    <t>SUMMARY</t>
  </si>
  <si>
    <t>VALUE</t>
  </si>
  <si>
    <t>Total Revenue</t>
  </si>
  <si>
    <t>Total Orders</t>
  </si>
  <si>
    <t>Total Customers</t>
  </si>
  <si>
    <t>Average Revenue Per Customer</t>
  </si>
  <si>
    <t>Average Order Per Customer</t>
  </si>
  <si>
    <t>Average Order Value</t>
  </si>
  <si>
    <t>Average Discount_Percentage</t>
  </si>
  <si>
    <t>Average Discount_amount</t>
  </si>
  <si>
    <t>Highest Order Value</t>
  </si>
  <si>
    <t>Highest order product Name</t>
  </si>
  <si>
    <t>Lowest Order Value</t>
  </si>
  <si>
    <t>Lowest order product Name</t>
  </si>
  <si>
    <t>New Customer Revenue</t>
  </si>
  <si>
    <t>Returning Customer Revenue</t>
  </si>
  <si>
    <t>Total Discount Given</t>
  </si>
  <si>
    <t>Discount as Per Revenue</t>
  </si>
  <si>
    <r>
      <rPr>
        <sz val="11"/>
        <color rgb="FF000000"/>
        <rFont val="Calibri"/>
      </rPr>
      <t xml:space="preserve"> </t>
    </r>
    <r>
      <rPr>
        <sz val="36"/>
        <color rgb="FF000000"/>
        <rFont val="Calibri"/>
      </rPr>
      <t>BrightRetail FY2025</t>
    </r>
  </si>
  <si>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>Monthly-Wise_Sales Summary</t>
    </r>
  </si>
  <si>
    <t>Region-wise Performance</t>
  </si>
  <si>
    <t>Category-wise Analysis</t>
  </si>
  <si>
    <t>Top 10 Products by Revenue</t>
  </si>
  <si>
    <t>Customer Analysis</t>
  </si>
  <si>
    <t>Sum of TotalAmount</t>
  </si>
  <si>
    <t>Average of TotalAmount2</t>
  </si>
  <si>
    <t>Count of OrderID</t>
  </si>
  <si>
    <t>Average of Disc_amount</t>
  </si>
  <si>
    <t>Sum of Quantity</t>
  </si>
  <si>
    <t>Values</t>
  </si>
  <si>
    <t>Total Count of OrderID</t>
  </si>
  <si>
    <t>Total Sum of TotalAmount</t>
  </si>
  <si>
    <t>Grand Total</t>
  </si>
  <si>
    <t>Payment Method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</si>
</sst>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₹-439]#,##0"/>
    <numFmt numFmtId="165" formatCode="0.0"/>
    <numFmt numFmtId="166" formatCode="_ [$₹-4009]\ * #,##0.0_ ;_ [$₹-4009]\ * \-#,##0.0_ ;_ [$₹-4009]\ * &quot;-&quot;?_ ;_ @_ "/>
    <numFmt numFmtId="167" formatCode="_ [$₹-4009]\ * #,##0.00_ ;_ [$₹-4009]\ * \-#,##0.00_ ;_ [$₹-4009]\ * &quot;-&quot;??_ ;_ @_ "/>
    <numFmt numFmtId="168" formatCode="0.0%"/>
  </numFmts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2"/>
      <color rgb="FF000000"/>
      <name val="Calibri"/>
    </font>
    <font>
      <b/>
      <sz val="11"/>
      <color rgb="FF000000"/>
      <name val="Quote-Cjk-Patch"/>
    </font>
    <font>
      <sz val="11"/>
      <color theme="1"/>
      <name val="Quote-Cjk-Patch"/>
      <charset val="1"/>
    </font>
    <font>
      <b/>
      <sz val="11"/>
      <color theme="1"/>
      <name val="Calibri"/>
      <scheme val="minor"/>
    </font>
    <font>
      <b/>
      <sz val="11"/>
      <color rgb="FF242424"/>
      <name val="Calibri"/>
      <scheme val="minor"/>
    </font>
    <font>
      <sz val="18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1"/>
      <color rgb="FF242424"/>
      <name val="Aptos Narrow"/>
    </font>
    <font>
      <sz val="36"/>
      <color rgb="FF000000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17" fillId="0" borderId="0" xfId="0" applyFont="1"/>
    <xf numFmtId="0" fontId="0" fillId="0" borderId="0" xfId="0" applyNumberFormat="1"/>
    <xf numFmtId="0" fontId="0" fillId="0" borderId="0" xfId="0" pivotButton="1"/>
    <xf numFmtId="164" fontId="17" fillId="0" borderId="0" xfId="0" applyNumberFormat="1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2" fillId="0" borderId="0" xfId="0" applyFont="1"/>
    <xf numFmtId="10" fontId="0" fillId="0" borderId="0" xfId="0" applyNumberFormat="1"/>
    <xf numFmtId="0" fontId="26" fillId="0" borderId="0" xfId="0" applyFont="1"/>
    <xf numFmtId="0" fontId="27" fillId="0" borderId="0" xfId="0" applyFont="1"/>
    <xf numFmtId="0" fontId="28" fillId="0" borderId="0" xfId="0" applyFont="1"/>
    <xf numFmtId="167" fontId="0" fillId="0" borderId="0" xfId="0" applyNumberFormat="1"/>
    <xf numFmtId="167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 wrapText="1" inden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 vertical="center"/>
    </xf>
    <xf numFmtId="0" fontId="29" fillId="34" borderId="0" xfId="0" applyFont="1" applyFill="1"/>
    <xf numFmtId="0" fontId="30" fillId="34" borderId="0" xfId="0" applyFont="1" applyFill="1"/>
    <xf numFmtId="0" fontId="31" fillId="0" borderId="0" xfId="0" applyFont="1"/>
    <xf numFmtId="1" fontId="0" fillId="0" borderId="0" xfId="0" applyNumberFormat="1"/>
    <xf numFmtId="2" fontId="25" fillId="0" borderId="0" xfId="0" applyNumberFormat="1" applyFont="1"/>
    <xf numFmtId="0" fontId="32" fillId="0" borderId="0" xfId="0" applyFont="1"/>
    <xf numFmtId="168" fontId="0" fillId="0" borderId="0" xfId="0" applyNumberFormat="1" applyAlignment="1">
      <alignment horizontal="right"/>
    </xf>
    <xf numFmtId="1" fontId="17" fillId="0" borderId="0" xfId="0" applyNumberFormat="1" applyFont="1"/>
    <xf numFmtId="0" fontId="19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24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9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3" fillId="33" borderId="0" xfId="0" applyFont="1" applyFill="1" applyAlignment="1">
      <alignment horizontal="center"/>
    </xf>
    <xf numFmtId="0" fontId="22" fillId="33" borderId="0" xfId="0" applyFont="1" applyFill="1" applyAlignment="1">
      <alignment horizontal="center"/>
    </xf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164" formatCode="[$₹-439]#,##0"/>
    </dxf>
    <dxf>
      <numFmt numFmtId="0" formatCode="General"/>
    </dxf>
    <dxf>
      <numFmt numFmtId="1" formatCode="0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165" formatCode="0.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[BrightRetail_FY2025_Sales.xlsx]Pivot_Table!PivotTable1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Monthly Revenue Trend — FY2025</a:t>
            </a:r>
          </a:p>
        </c:rich>
      </c:tx>
      <c:overlay val="0"/>
      <c:spPr>
        <a:solidFill>
          <a:srgbClr val="FFC000"/>
        </a:solidFill>
        <a:ln>
          <a:solidFill>
            <a:srgbClr val="C6591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203764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ED7D3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0376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Pivot_Table!$B$3:$B$15</c:f>
              <c:numCache>
                <c:formatCode>General</c:formatCode>
                <c:ptCount val="12"/>
                <c:pt idx="0">
                  <c:v>316312.84999999992</c:v>
                </c:pt>
                <c:pt idx="1">
                  <c:v>252626.39999999991</c:v>
                </c:pt>
                <c:pt idx="2">
                  <c:v>314403</c:v>
                </c:pt>
                <c:pt idx="3">
                  <c:v>291536.19999999995</c:v>
                </c:pt>
                <c:pt idx="4">
                  <c:v>348393.7</c:v>
                </c:pt>
                <c:pt idx="5">
                  <c:v>450418.24999999988</c:v>
                </c:pt>
                <c:pt idx="6">
                  <c:v>292230.84999999998</c:v>
                </c:pt>
                <c:pt idx="7">
                  <c:v>338460.65000000014</c:v>
                </c:pt>
                <c:pt idx="8">
                  <c:v>400044.95000000013</c:v>
                </c:pt>
                <c:pt idx="9">
                  <c:v>459198.54999999946</c:v>
                </c:pt>
                <c:pt idx="10">
                  <c:v>517464.39999999985</c:v>
                </c:pt>
                <c:pt idx="11">
                  <c:v>602515.29999999993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18-47A4-B772-62D07D01B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922568"/>
        <c:axId val="1025925128"/>
      </c:lineChart>
      <c:catAx>
        <c:axId val="1025922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25128"/>
        <c:crosses val="autoZero"/>
        <c:auto val="1"/>
        <c:lblAlgn val="ctr"/>
        <c:lblOffset val="100"/>
        <c:noMultiLvlLbl val="0"/>
      </c:catAx>
      <c:valAx>
        <c:axId val="102592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22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[BrightRetail_FY2025_Sales.xlsx]Pivot_Table!PivotTable3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Revenue by Category</a:t>
            </a:r>
          </a:p>
        </c:rich>
      </c:tx>
      <c:overlay val="0"/>
      <c:spPr>
        <a:solidFill>
          <a:srgbClr val="F4B08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Pivot_Table!$J$2</c:f>
              <c:strCache>
                <c:ptCount val="1"/>
                <c:pt idx="0">
                  <c:v>Sum of TotalAmount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Pivot_Table!$I$3:$I$10</c:f>
              <c:strCache>
                <c:ptCount val="7"/>
                <c:pt idx="0">
                  <c:v>Stationery</c:v>
                </c:pt>
                <c:pt idx="1">
                  <c:v>Beauty</c:v>
                </c:pt>
                <c:pt idx="2">
                  <c:v>Groceries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Apparel</c:v>
                </c:pt>
                <c:pt idx="6">
                  <c:v>Electronics</c:v>
                </c:pt>
              </c:strCache>
            </c:strRef>
          </c:cat>
          <c:val>
            <c:numRef>
              <c:f>Pivot_Table!$J$3:$J$10</c:f>
              <c:numCache>
                <c:formatCode>0.00</c:formatCode>
                <c:ptCount val="7"/>
                <c:pt idx="0">
                  <c:v>106236.45000000013</c:v>
                </c:pt>
                <c:pt idx="1">
                  <c:v>170091.59999999995</c:v>
                </c:pt>
                <c:pt idx="2">
                  <c:v>270868.5500000001</c:v>
                </c:pt>
                <c:pt idx="3">
                  <c:v>612745.10000000021</c:v>
                </c:pt>
                <c:pt idx="4">
                  <c:v>737788.2500000007</c:v>
                </c:pt>
                <c:pt idx="5">
                  <c:v>970794.20000000088</c:v>
                </c:pt>
                <c:pt idx="6">
                  <c:v>1715080.9500000018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47-45EB-9365-87CFC0B9D9CA}"/>
            </c:ext>
          </c:extLst>
        </c:ser>
        <c:ser>
          <c:idx val="1"/>
          <c:order val="1"/>
          <c:tx>
            <c:strRef>
              <c:f>Pivot_Table!$K$2</c:f>
              <c:strCache>
                <c:ptCount val="1"/>
                <c:pt idx="0">
                  <c:v>Average of Disc_amount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Pivot_Table!$I$3:$I$10</c:f>
              <c:strCache>
                <c:ptCount val="7"/>
                <c:pt idx="0">
                  <c:v>Stationery</c:v>
                </c:pt>
                <c:pt idx="1">
                  <c:v>Beauty</c:v>
                </c:pt>
                <c:pt idx="2">
                  <c:v>Groceries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Apparel</c:v>
                </c:pt>
                <c:pt idx="6">
                  <c:v>Electronics</c:v>
                </c:pt>
              </c:strCache>
            </c:strRef>
          </c:cat>
          <c:val>
            <c:numRef>
              <c:f>Pivot_Table!$K$3:$K$10</c:f>
              <c:numCache>
                <c:formatCode>0.0</c:formatCode>
                <c:ptCount val="7"/>
                <c:pt idx="0">
                  <c:v>32.497688564476881</c:v>
                </c:pt>
                <c:pt idx="1">
                  <c:v>53.885399449035837</c:v>
                </c:pt>
                <c:pt idx="2">
                  <c:v>87.726750700280135</c:v>
                </c:pt>
                <c:pt idx="3">
                  <c:v>196.08282548476436</c:v>
                </c:pt>
                <c:pt idx="4">
                  <c:v>222.82712082262199</c:v>
                </c:pt>
                <c:pt idx="5">
                  <c:v>232.74962406015035</c:v>
                </c:pt>
                <c:pt idx="6">
                  <c:v>351.40182608695648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47-45EB-9365-87CFC0B9D9CA}"/>
            </c:ext>
          </c:extLst>
        </c:ser>
        <c:ser>
          <c:idx val="2"/>
          <c:order val="2"/>
          <c:tx>
            <c:strRef>
              <c:f>Pivot_Table!$L$2</c:f>
              <c:strCache>
                <c:ptCount val="1"/>
                <c:pt idx="0">
                  <c:v>Average of TotalAmount2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Pivot_Table!$I$3:$I$10</c:f>
              <c:strCache>
                <c:ptCount val="7"/>
                <c:pt idx="0">
                  <c:v>Stationery</c:v>
                </c:pt>
                <c:pt idx="1">
                  <c:v>Beauty</c:v>
                </c:pt>
                <c:pt idx="2">
                  <c:v>Groceries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Apparel</c:v>
                </c:pt>
                <c:pt idx="6">
                  <c:v>Electronics</c:v>
                </c:pt>
              </c:strCache>
            </c:strRef>
          </c:cat>
          <c:val>
            <c:numRef>
              <c:f>Pivot_Table!$L$3:$L$10</c:f>
              <c:numCache>
                <c:formatCode>0.00</c:formatCode>
                <c:ptCount val="7"/>
                <c:pt idx="0">
                  <c:v>258.48284671532878</c:v>
                </c:pt>
                <c:pt idx="1">
                  <c:v>468.57190082644615</c:v>
                </c:pt>
                <c:pt idx="2">
                  <c:v>758.73543417366977</c:v>
                </c:pt>
                <c:pt idx="3">
                  <c:v>1697.35484764543</c:v>
                </c:pt>
                <c:pt idx="4">
                  <c:v>1896.62789203085</c:v>
                </c:pt>
                <c:pt idx="5">
                  <c:v>1824.8011278195506</c:v>
                </c:pt>
                <c:pt idx="6">
                  <c:v>2982.7494782608728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47-45EB-9365-87CFC0B9D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2146093575"/>
        <c:axId val="2146095623"/>
      </c:barChart>
      <c:catAx>
        <c:axId val="2146093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95623"/>
        <c:crosses val="autoZero"/>
        <c:auto val="1"/>
        <c:lblAlgn val="ctr"/>
        <c:lblOffset val="100"/>
        <c:noMultiLvlLbl val="0"/>
      </c:catAx>
      <c:valAx>
        <c:axId val="2146095623"/>
        <c:scaling>
          <c:orientation val="minMax"/>
          <c:min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93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[BrightRetail_FY2025_Sales.xlsx]Pivot_Table!PivotTable2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Revenue by Region</a:t>
            </a:r>
          </a:p>
        </c:rich>
      </c:tx>
      <c:overlay val="0"/>
      <c:spPr>
        <a:solidFill>
          <a:srgbClr val="54823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Pivot_Table!$E$2</c:f>
              <c:strCache>
                <c:ptCount val="1"/>
                <c:pt idx="0">
                  <c:v>Sum of TotalAmount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Pivot_Table!$D$3:$D$8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Pivot_Table!$E$3:$E$8</c:f>
              <c:numCache>
                <c:formatCode>0.0</c:formatCode>
                <c:ptCount val="5"/>
                <c:pt idx="0" formatCode="General">
                  <c:v>995121.80000000075</c:v>
                </c:pt>
                <c:pt idx="1">
                  <c:v>938746.65000000084</c:v>
                </c:pt>
                <c:pt idx="2" formatCode="General">
                  <c:v>933396.60000000056</c:v>
                </c:pt>
                <c:pt idx="3" formatCode="General">
                  <c:v>882788.50000000058</c:v>
                </c:pt>
                <c:pt idx="4">
                  <c:v>833551.55000000016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3F-4985-B236-09479155E42F}"/>
            </c:ext>
          </c:extLst>
        </c:ser>
        <c:ser>
          <c:idx val="1"/>
          <c:order val="1"/>
          <c:tx>
            <c:strRef>
              <c:f>Pivot_Table!$F$2</c:f>
              <c:strCache>
                <c:ptCount val="1"/>
                <c:pt idx="0">
                  <c:v>Average of TotalAmount2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Pivot_Table!$D$3:$D$8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Pivot_Table!$F$3:$F$8</c:f>
              <c:numCache>
                <c:formatCode>0.00</c:formatCode>
                <c:ptCount val="5"/>
                <c:pt idx="0">
                  <c:v>1523.9231240428801</c:v>
                </c:pt>
                <c:pt idx="1">
                  <c:v>1641.1654720279735</c:v>
                </c:pt>
                <c:pt idx="2">
                  <c:v>1566.1016778523499</c:v>
                </c:pt>
                <c:pt idx="3">
                  <c:v>1543.3365384615395</c:v>
                </c:pt>
                <c:pt idx="4">
                  <c:v>1400.9269747899161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3F-4985-B236-09479155E42F}"/>
            </c:ext>
          </c:extLst>
        </c:ser>
        <c:ser>
          <c:idx val="2"/>
          <c:order val="2"/>
          <c:tx>
            <c:strRef>
              <c:f>Pivot_Table!$G$2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Pivot_Table!$D$3:$D$8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Pivot_Table!$G$3:$G$8</c:f>
              <c:numCache>
                <c:formatCode>General</c:formatCode>
                <c:ptCount val="5"/>
                <c:pt idx="0">
                  <c:v>653</c:v>
                </c:pt>
                <c:pt idx="1">
                  <c:v>572</c:v>
                </c:pt>
                <c:pt idx="2">
                  <c:v>596</c:v>
                </c:pt>
                <c:pt idx="3">
                  <c:v>572</c:v>
                </c:pt>
                <c:pt idx="4">
                  <c:v>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3F-4985-B236-09479155E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3009672"/>
        <c:axId val="193041416"/>
      </c:barChart>
      <c:catAx>
        <c:axId val="193009672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mic Sans MS"/>
                    <a:ea typeface="Comic Sans MS"/>
                    <a:cs typeface="Comic Sans M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mic Sans MS"/>
                  <a:ea typeface="Comic Sans MS"/>
                  <a:cs typeface="Comic Sans M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41416"/>
        <c:crosses val="autoZero"/>
        <c:auto val="1"/>
        <c:lblAlgn val="ctr"/>
        <c:lblOffset val="100"/>
        <c:noMultiLvlLbl val="0"/>
      </c:catAx>
      <c:valAx>
        <c:axId val="193041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9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[BrightRetail_FY2025_Sales.xlsx]Pivot_Table!PivotTable4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Payment Method Distribution</a:t>
            </a:r>
          </a:p>
        </c:rich>
      </c:tx>
      <c:overlay val="0"/>
      <c:spPr>
        <a:solidFill>
          <a:srgbClr val="F8CBAD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Pivot_Table!$E$12</c:f>
              <c:strCache>
                <c:ptCount val="1"/>
                <c:pt idx="0">
                  <c:v>Sum of TotalAmount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59-4700-A80A-AA9F4DD138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59-4700-A80A-AA9F4DD138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59-4700-A80A-AA9F4DD138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59-4700-A80A-AA9F4DD138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59-4700-A80A-AA9F4DD138D8}"/>
              </c:ext>
            </c:extLst>
          </c:dPt>
          <c:cat>
            <c:strRef>
              <c:f>Pivot_Table!$D$13:$D$18</c:f>
              <c:strCache>
                <c:ptCount val="5"/>
                <c:pt idx="0">
                  <c:v>UPI</c:v>
                </c:pt>
                <c:pt idx="1">
                  <c:v>Debit Card</c:v>
                </c:pt>
                <c:pt idx="2">
                  <c:v>Credit Card</c:v>
                </c:pt>
                <c:pt idx="3">
                  <c:v>Cash</c:v>
                </c:pt>
                <c:pt idx="4">
                  <c:v>Net Banking</c:v>
                </c:pt>
              </c:strCache>
            </c:strRef>
          </c:cat>
          <c:val>
            <c:numRef>
              <c:f>Pivot_Table!$E$13:$E$18</c:f>
              <c:numCache>
                <c:formatCode>0.0</c:formatCode>
                <c:ptCount val="5"/>
                <c:pt idx="0" formatCode="General">
                  <c:v>1200164.4000000008</c:v>
                </c:pt>
                <c:pt idx="1">
                  <c:v>1156478.6500000004</c:v>
                </c:pt>
                <c:pt idx="2" formatCode="General">
                  <c:v>1024706.5000000008</c:v>
                </c:pt>
                <c:pt idx="3">
                  <c:v>701030.25000000023</c:v>
                </c:pt>
                <c:pt idx="4" formatCode="General">
                  <c:v>501225.29999999987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E1-4C79-AD7C-69910E03FE01}"/>
            </c:ext>
          </c:extLst>
        </c:ser>
        <c:ser>
          <c:idx val="1"/>
          <c:order val="1"/>
          <c:tx>
            <c:strRef>
              <c:f>Pivot_Table!$F$12</c:f>
              <c:strCache>
                <c:ptCount val="1"/>
                <c:pt idx="0">
                  <c:v>Count of OrderID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59-4700-A80A-AA9F4DD138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59-4700-A80A-AA9F4DD138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E59-4700-A80A-AA9F4DD138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E59-4700-A80A-AA9F4DD138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E59-4700-A80A-AA9F4DD138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Pivot_Table!$D$13:$D$18</c:f>
              <c:strCache>
                <c:ptCount val="5"/>
                <c:pt idx="0">
                  <c:v>UPI</c:v>
                </c:pt>
                <c:pt idx="1">
                  <c:v>Debit Card</c:v>
                </c:pt>
                <c:pt idx="2">
                  <c:v>Credit Card</c:v>
                </c:pt>
                <c:pt idx="3">
                  <c:v>Cash</c:v>
                </c:pt>
                <c:pt idx="4">
                  <c:v>Net Banking</c:v>
                </c:pt>
              </c:strCache>
            </c:strRef>
          </c:cat>
          <c:val>
            <c:numRef>
              <c:f>Pivot_Table!$F$13:$F$18</c:f>
              <c:numCache>
                <c:formatCode>General</c:formatCode>
                <c:ptCount val="5"/>
                <c:pt idx="0">
                  <c:v>728</c:v>
                </c:pt>
                <c:pt idx="1">
                  <c:v>755</c:v>
                </c:pt>
                <c:pt idx="2">
                  <c:v>753</c:v>
                </c:pt>
                <c:pt idx="3">
                  <c:v>436</c:v>
                </c:pt>
                <c:pt idx="4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E1-4C79-AD7C-69910E03F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8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[BrightRetail_FY2025_Sales.xlsx]Pivot_Table!PivotTable5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Top 5 Products by Revenue</a:t>
            </a:r>
          </a:p>
        </c:rich>
      </c:tx>
      <c:overlay val="0"/>
      <c:spPr>
        <a:solidFill>
          <a:srgbClr val="70AD47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Pivot_Table!$O$2</c:f>
              <c:strCache>
                <c:ptCount val="1"/>
                <c:pt idx="0">
                  <c:v>Sum of TotalAmount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Pivot_Table!$N$3:$N$13</c:f>
              <c:strCache>
                <c:ptCount val="10"/>
                <c:pt idx="0">
                  <c:v>Smartwatch</c:v>
                </c:pt>
                <c:pt idx="1">
                  <c:v>Denim Jacket</c:v>
                </c:pt>
                <c:pt idx="2">
                  <c:v>Bluetooth Headphones</c:v>
                </c:pt>
                <c:pt idx="3">
                  <c:v>Cricket Bat</c:v>
                </c:pt>
                <c:pt idx="4">
                  <c:v>Non-stick Pan Set</c:v>
                </c:pt>
                <c:pt idx="5">
                  <c:v>Formal Shirt</c:v>
                </c:pt>
                <c:pt idx="6">
                  <c:v>LED Desk Lamp</c:v>
                </c:pt>
                <c:pt idx="7">
                  <c:v>Yoga Mat</c:v>
                </c:pt>
                <c:pt idx="8">
                  <c:v>Wireless Mouse</c:v>
                </c:pt>
                <c:pt idx="9">
                  <c:v>Basmati Rice 5kg</c:v>
                </c:pt>
              </c:strCache>
            </c:strRef>
          </c:cat>
          <c:val>
            <c:numRef>
              <c:f>Pivot_Table!$O$3:$O$13</c:f>
              <c:numCache>
                <c:formatCode>General</c:formatCode>
                <c:ptCount val="10"/>
                <c:pt idx="0">
                  <c:v>984721.64999999944</c:v>
                </c:pt>
                <c:pt idx="1">
                  <c:v>556821.44999999995</c:v>
                </c:pt>
                <c:pt idx="2">
                  <c:v>537541.19999999984</c:v>
                </c:pt>
                <c:pt idx="3">
                  <c:v>522251.59999999969</c:v>
                </c:pt>
                <c:pt idx="4">
                  <c:v>346638.15</c:v>
                </c:pt>
                <c:pt idx="5">
                  <c:v>266193.89999999991</c:v>
                </c:pt>
                <c:pt idx="6">
                  <c:v>266106.9499999999</c:v>
                </c:pt>
                <c:pt idx="7">
                  <c:v>215536.64999999979</c:v>
                </c:pt>
                <c:pt idx="8">
                  <c:v>192818.09999999992</c:v>
                </c:pt>
                <c:pt idx="9">
                  <c:v>174527.10000000006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CB-4C67-9B60-6911F5DF589C}"/>
            </c:ext>
          </c:extLst>
        </c:ser>
        <c:ser>
          <c:idx val="1"/>
          <c:order val="1"/>
          <c:tx>
            <c:strRef>
              <c:f>Pivot_Table!$P$2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Pivot_Table!$N$3:$N$13</c:f>
              <c:strCache>
                <c:ptCount val="10"/>
                <c:pt idx="0">
                  <c:v>Smartwatch</c:v>
                </c:pt>
                <c:pt idx="1">
                  <c:v>Denim Jacket</c:v>
                </c:pt>
                <c:pt idx="2">
                  <c:v>Bluetooth Headphones</c:v>
                </c:pt>
                <c:pt idx="3">
                  <c:v>Cricket Bat</c:v>
                </c:pt>
                <c:pt idx="4">
                  <c:v>Non-stick Pan Set</c:v>
                </c:pt>
                <c:pt idx="5">
                  <c:v>Formal Shirt</c:v>
                </c:pt>
                <c:pt idx="6">
                  <c:v>LED Desk Lamp</c:v>
                </c:pt>
                <c:pt idx="7">
                  <c:v>Yoga Mat</c:v>
                </c:pt>
                <c:pt idx="8">
                  <c:v>Wireless Mouse</c:v>
                </c:pt>
                <c:pt idx="9">
                  <c:v>Basmati Rice 5kg</c:v>
                </c:pt>
              </c:strCache>
            </c:strRef>
          </c:cat>
          <c:val>
            <c:numRef>
              <c:f>Pivot_Table!$P$3:$P$13</c:f>
              <c:numCache>
                <c:formatCode>General</c:formatCode>
                <c:ptCount val="10"/>
                <c:pt idx="0">
                  <c:v>366</c:v>
                </c:pt>
                <c:pt idx="1">
                  <c:v>315</c:v>
                </c:pt>
                <c:pt idx="2">
                  <c:v>335</c:v>
                </c:pt>
                <c:pt idx="3">
                  <c:v>391</c:v>
                </c:pt>
                <c:pt idx="4">
                  <c:v>298</c:v>
                </c:pt>
                <c:pt idx="5">
                  <c:v>329</c:v>
                </c:pt>
                <c:pt idx="6">
                  <c:v>371</c:v>
                </c:pt>
                <c:pt idx="7">
                  <c:v>341</c:v>
                </c:pt>
                <c:pt idx="8">
                  <c:v>362</c:v>
                </c:pt>
                <c:pt idx="9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CB-4C67-9B60-6911F5DF5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0"/>
        <c:axId val="1591703048"/>
        <c:axId val="1672867848"/>
      </c:barChart>
      <c:catAx>
        <c:axId val="1591703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867848"/>
        <c:crosses val="autoZero"/>
        <c:auto val="1"/>
        <c:lblAlgn val="ctr"/>
        <c:lblOffset val="100"/>
        <c:noMultiLvlLbl val="0"/>
      </c:catAx>
      <c:valAx>
        <c:axId val="1672867848"/>
        <c:scaling>
          <c:orientation val="minMax"/>
          <c:min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03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[BrightRetail_FY2025_Sales.xlsx]Pivot_Table!PivotTable7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New vs Returning Customers by Region</a:t>
            </a:r>
          </a:p>
        </c:rich>
      </c:tx>
      <c:overlay val="0"/>
      <c:spPr>
        <a:solidFill>
          <a:srgbClr val="00B0F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6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Pivot_Table!$S$2:$S$4</c:f>
              <c:strCache>
                <c:ptCount val="1"/>
                <c:pt idx="0">
                  <c:v>New - 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Pivot_Table!$R$5:$R$10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Pivot_Table!$S$5:$S$10</c:f>
              <c:numCache>
                <c:formatCode>General</c:formatCode>
                <c:ptCount val="5"/>
                <c:pt idx="0">
                  <c:v>215</c:v>
                </c:pt>
                <c:pt idx="1">
                  <c:v>234</c:v>
                </c:pt>
                <c:pt idx="2">
                  <c:v>204</c:v>
                </c:pt>
                <c:pt idx="3">
                  <c:v>195</c:v>
                </c:pt>
                <c:pt idx="4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B4-4350-B493-D64D3699D5FA}"/>
            </c:ext>
          </c:extLst>
        </c:ser>
        <c:ser>
          <c:idx val="1"/>
          <c:order val="1"/>
          <c:tx>
            <c:strRef>
              <c:f>Pivot_Table!$T$2:$T$4</c:f>
              <c:strCache>
                <c:ptCount val="1"/>
                <c:pt idx="0">
                  <c:v>New - Sum of TotalAmount</c:v>
                </c:pt>
              </c:strCache>
            </c:strRef>
          </c:tx>
          <c:spPr>
            <a:solidFill>
              <a:srgbClr val="806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Pivot_Table!$R$5:$R$10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Pivot_Table!$T$5:$T$10</c:f>
              <c:numCache>
                <c:formatCode>[$₹-439]#,##0</c:formatCode>
                <c:ptCount val="5"/>
                <c:pt idx="0">
                  <c:v>344976.69999999984</c:v>
                </c:pt>
                <c:pt idx="1">
                  <c:v>377547.29999999976</c:v>
                </c:pt>
                <c:pt idx="2">
                  <c:v>283236.59999999998</c:v>
                </c:pt>
                <c:pt idx="3">
                  <c:v>344311.10000000003</c:v>
                </c:pt>
                <c:pt idx="4">
                  <c:v>314800.94999999995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B4-4350-B493-D64D3699D5FA}"/>
            </c:ext>
          </c:extLst>
        </c:ser>
        <c:ser>
          <c:idx val="2"/>
          <c:order val="2"/>
          <c:tx>
            <c:strRef>
              <c:f>Pivot_Table!$U$2:$U$4</c:f>
              <c:strCache>
                <c:ptCount val="1"/>
                <c:pt idx="0">
                  <c:v>Returning - Count of OrderID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Pivot_Table!$R$5:$R$10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Pivot_Table!$U$5:$U$10</c:f>
              <c:numCache>
                <c:formatCode>General</c:formatCode>
                <c:ptCount val="5"/>
                <c:pt idx="0">
                  <c:v>381</c:v>
                </c:pt>
                <c:pt idx="1">
                  <c:v>419</c:v>
                </c:pt>
                <c:pt idx="2">
                  <c:v>391</c:v>
                </c:pt>
                <c:pt idx="3">
                  <c:v>377</c:v>
                </c:pt>
                <c:pt idx="4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B4-4350-B493-D64D3699D5FA}"/>
            </c:ext>
          </c:extLst>
        </c:ser>
        <c:ser>
          <c:idx val="3"/>
          <c:order val="3"/>
          <c:tx>
            <c:strRef>
              <c:f>Pivot_Table!$V$2:$V$4</c:f>
              <c:strCache>
                <c:ptCount val="1"/>
                <c:pt idx="0">
                  <c:v>Returning - Sum of TotalAmount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Pivot_Table!$R$5:$R$10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Pivot_Table!$V$5:$V$10</c:f>
              <c:numCache>
                <c:formatCode>[$₹-439]#,##0</c:formatCode>
                <c:ptCount val="5"/>
                <c:pt idx="0">
                  <c:v>588419.90000000026</c:v>
                </c:pt>
                <c:pt idx="1">
                  <c:v>617574.50000000012</c:v>
                </c:pt>
                <c:pt idx="2">
                  <c:v>550314.94999999995</c:v>
                </c:pt>
                <c:pt idx="3">
                  <c:v>538477.39999999991</c:v>
                </c:pt>
                <c:pt idx="4">
                  <c:v>623945.70000000019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B4-4350-B493-D64D3699D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3053704"/>
        <c:axId val="1673055752"/>
      </c:barChart>
      <c:catAx>
        <c:axId val="1673053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55752"/>
        <c:crosses val="autoZero"/>
        <c:auto val="1"/>
        <c:lblAlgn val="ctr"/>
        <c:lblOffset val="100"/>
        <c:noMultiLvlLbl val="0"/>
      </c:catAx>
      <c:valAx>
        <c:axId val="1673055752"/>
        <c:scaling>
          <c:orientation val="minMax"/>
          <c:min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Sum of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53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600075</xdr:colOff>
      <xdr:row>19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B58DE-61A5-273C-2795-FED749787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581025</xdr:colOff>
      <xdr:row>3</xdr:row>
      <xdr:rowOff>0</xdr:rowOff>
    </xdr:from>
    <xdr:to>
      <xdr:col>19</xdr:col>
      <xdr:colOff>95250</xdr:colOff>
      <xdr:row>19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4C9EC2-32A3-0036-03B1-03F9282026A4}"/>
            </a:ext>
            <a:ext uri="{147F2762-F138-4A5C-976F-8EAC2B608ADB}">
              <a16:predDERef xmlns:a16="http://schemas.microsoft.com/office/drawing/2014/main" pred="{A68B58DE-61A5-273C-2795-FED749787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180975</xdr:rowOff>
    </xdr:from>
    <xdr:to>
      <xdr:col>9</xdr:col>
      <xdr:colOff>0</xdr:colOff>
      <xdr:row>37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4058B3-AB63-2149-B005-8B1C8E701236}"/>
            </a:ext>
            <a:ext uri="{147F2762-F138-4A5C-976F-8EAC2B608ADB}">
              <a16:predDERef xmlns:a16="http://schemas.microsoft.com/office/drawing/2014/main" pred="{A64C9EC2-32A3-0036-03B1-03F928202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590550</xdr:colOff>
      <xdr:row>20</xdr:row>
      <xdr:rowOff>152400</xdr:rowOff>
    </xdr:from>
    <xdr:to>
      <xdr:col>19</xdr:col>
      <xdr:colOff>85725</xdr:colOff>
      <xdr:row>37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BAAB94-17E3-4DAE-58FB-36E1C9A82609}"/>
            </a:ext>
            <a:ext uri="{147F2762-F138-4A5C-976F-8EAC2B608ADB}">
              <a16:predDERef xmlns:a16="http://schemas.microsoft.com/office/drawing/2014/main" pred="{B24058B3-AB63-2149-B005-8B1C8E701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39</xdr:row>
      <xdr:rowOff>9525</xdr:rowOff>
    </xdr:from>
    <xdr:to>
      <xdr:col>9</xdr:col>
      <xdr:colOff>28575</xdr:colOff>
      <xdr:row>56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ADB634-6EAF-8170-27CD-AB0014A75DCF}"/>
            </a:ext>
            <a:ext uri="{147F2762-F138-4A5C-976F-8EAC2B608ADB}">
              <a16:predDERef xmlns:a16="http://schemas.microsoft.com/office/drawing/2014/main" pred="{D8BAAB94-17E3-4DAE-58FB-36E1C9A82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552450</xdr:colOff>
      <xdr:row>38</xdr:row>
      <xdr:rowOff>171450</xdr:rowOff>
    </xdr:from>
    <xdr:to>
      <xdr:col>19</xdr:col>
      <xdr:colOff>114300</xdr:colOff>
      <xdr:row>56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C7054C-A611-3930-43C4-854AB3BDA2B7}"/>
            </a:ext>
            <a:ext uri="{147F2762-F138-4A5C-976F-8EAC2B608ADB}">
              <a16:predDERef xmlns:a16="http://schemas.microsoft.com/office/drawing/2014/main" pred="{30ADB634-6EAF-8170-27CD-AB0014A75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8.804348726851" createdVersion="8" refreshedVersion="8" minRefreshableVersion="3" recordCount="2989" xr:uid="{FA0ACB3E-CC53-43BA-9C7A-BD2C11B5A5EB}">
  <cacheSource type="worksheet">
    <worksheetSource ref="A1:Q1048576" sheet="Main"/>
  </cacheSource>
  <cacheFields count="17">
    <cacheField name="OrderID" numFmtId="0">
      <sharedItems containsBlank="1" count="2989">
        <s v="ORD-2025001"/>
        <s v="ORD-2025002"/>
        <s v="ORD-2025003"/>
        <s v="ORD-2025004"/>
        <s v="ORD-2025005"/>
        <s v="ORD-2025006"/>
        <s v="ORD-2025007"/>
        <s v="ORD-2025008"/>
        <s v="ORD-2025009"/>
        <s v="ORD-2025010"/>
        <s v="ORD-2025011"/>
        <s v="ORD-2025012"/>
        <s v="ORD-2025013"/>
        <s v="ORD-2025014"/>
        <s v="ORD-2025015"/>
        <s v="ORD-2025016"/>
        <s v="ORD-2025017"/>
        <s v="ORD-2025018"/>
        <s v="ORD-2025019"/>
        <s v="ORD-2025020"/>
        <s v="ORD-2025021"/>
        <s v="ORD-2025022"/>
        <s v="ORD-2025023"/>
        <s v="ORD-2025024"/>
        <s v="ORD-2025025"/>
        <s v="ORD-2025026"/>
        <s v="ORD-2025027"/>
        <s v="ORD-2025028"/>
        <s v="ORD-2025029"/>
        <s v="ORD-2025030"/>
        <s v="ORD-2025031"/>
        <s v="ORD-2025032"/>
        <s v="ORD-2025033"/>
        <s v="ORD-2025034"/>
        <s v="ORD-2025035"/>
        <s v="ORD-2025036"/>
        <s v="ORD-2025037"/>
        <s v="ORD-2025038"/>
        <s v="ORD-2025039"/>
        <s v="ORD-2025040"/>
        <s v="ORD-2025041"/>
        <s v="ORD-2025042"/>
        <s v="ORD-2025043"/>
        <s v="ORD-2025044"/>
        <s v="ORD-2025045"/>
        <s v="ORD-2025046"/>
        <s v="ORD-2025047"/>
        <s v="ORD-2025048"/>
        <s v="ORD-2025049"/>
        <s v="ORD-2025050"/>
        <s v="ORD-2025051"/>
        <s v="ORD-2025052"/>
        <s v="ORD-2025053"/>
        <s v="ORD-2025054"/>
        <s v="ORD-2025055"/>
        <s v="ORD-2025056"/>
        <s v="ORD-2025057"/>
        <s v="ORD-2025058"/>
        <s v="ORD-2025059"/>
        <s v="ORD-2025060"/>
        <s v="ORD-2025061"/>
        <s v="ORD-2025062"/>
        <s v="ORD-2025063"/>
        <s v="ORD-2025064"/>
        <s v="ORD-2025065"/>
        <s v="ORD-2025066"/>
        <s v="ORD-2025067"/>
        <s v="ORD-2025068"/>
        <s v="ORD-2025069"/>
        <s v="ORD-2025070"/>
        <s v="ORD-2025071"/>
        <s v="ORD-2025072"/>
        <s v="ORD-2025073"/>
        <s v="ORD-2025074"/>
        <s v="ORD-2025075"/>
        <s v="ORD-2025076"/>
        <s v="ORD-2025077"/>
        <s v="ORD-2025078"/>
        <s v="ORD-2025079"/>
        <s v="ORD-2025080"/>
        <s v="ORD-2025081"/>
        <s v="ORD-2025082"/>
        <s v="ORD-2025083"/>
        <s v="ORD-2025084"/>
        <s v="ORD-2025085"/>
        <s v="ORD-2025086"/>
        <s v="ORD-2025087"/>
        <s v="ORD-2025088"/>
        <s v="ORD-2025089"/>
        <s v="ORD-2025090"/>
        <s v="ORD-2025091"/>
        <s v="ORD-2025092"/>
        <s v="ORD-2025093"/>
        <s v="ORD-2025094"/>
        <s v="ORD-2025095"/>
        <s v="ORD-2025096"/>
        <s v="ORD-2025097"/>
        <s v="ORD-2025098"/>
        <s v="ORD-2025099"/>
        <s v="ORD-2025100"/>
        <s v="ORD-2025101"/>
        <s v="ORD-2025102"/>
        <s v="ORD-2025103"/>
        <s v="ORD-2025104"/>
        <s v="ORD-2025105"/>
        <s v="ORD-2025106"/>
        <s v="ORD-2025107"/>
        <s v="ORD-2025108"/>
        <s v="ORD-2025109"/>
        <s v="ORD-2025110"/>
        <s v="ORD-2025111"/>
        <s v="ORD-2025112"/>
        <s v="ORD-2025113"/>
        <s v="ORD-2025114"/>
        <s v="ORD-2025115"/>
        <s v="ORD-2025116"/>
        <s v="ORD-2025117"/>
        <s v="ORD-2025118"/>
        <s v="ORD-2025119"/>
        <s v="ORD-2025120"/>
        <s v="ORD-2025121"/>
        <s v="ORD-2025122"/>
        <s v="ORD-2025123"/>
        <s v="ORD-2025124"/>
        <s v="ORD-2025125"/>
        <s v="ORD-2025126"/>
        <s v="ORD-2025127"/>
        <s v="ORD-2025128"/>
        <s v="ORD-2025129"/>
        <s v="ORD-2025130"/>
        <s v="ORD-2025131"/>
        <s v="ORD-2025132"/>
        <s v="ORD-2025133"/>
        <s v="ORD-2025134"/>
        <s v="ORD-2025135"/>
        <s v="ORD-2025136"/>
        <s v="ORD-2025137"/>
        <s v="ORD-2025138"/>
        <s v="ORD-2025139"/>
        <s v="ORD-2025140"/>
        <s v="ORD-2025141"/>
        <s v="ORD-2025142"/>
        <s v="ORD-2025143"/>
        <s v="ORD-2025144"/>
        <s v="ORD-2025145"/>
        <s v="ORD-2025146"/>
        <s v="ORD-2025147"/>
        <s v="ORD-2025148"/>
        <s v="ORD-2025149"/>
        <s v="ORD-2025150"/>
        <s v="ORD-2025151"/>
        <s v="ORD-2025152"/>
        <s v="ORD-2025153"/>
        <s v="ORD-2025154"/>
        <s v="ORD-2025155"/>
        <s v="ORD-2025156"/>
        <s v="ORD-2025157"/>
        <s v="ORD-2025158"/>
        <s v="ORD-2025159"/>
        <s v="ORD-2025160"/>
        <s v="ORD-2025161"/>
        <s v="ORD-2025162"/>
        <s v="ORD-2025163"/>
        <s v="ORD-2025164"/>
        <s v="ORD-2025165"/>
        <s v="ORD-2025166"/>
        <s v="ORD-2025167"/>
        <s v="ORD-2025168"/>
        <s v="ORD-2025169"/>
        <s v="ORD-2025170"/>
        <s v="ORD-2025171"/>
        <s v="ORD-2025172"/>
        <s v="ORD-2025173"/>
        <s v="ORD-2025174"/>
        <s v="ORD-2025175"/>
        <s v="ORD-2025176"/>
        <s v="ORD-2025177"/>
        <s v="ORD-2025178"/>
        <s v="ORD-2025179"/>
        <s v="ORD-2025180"/>
        <s v="ORD-2025181"/>
        <s v="ORD-2025182"/>
        <s v="ORD-2025183"/>
        <s v="ORD-2025184"/>
        <s v="ORD-2025185"/>
        <s v="ORD-2025186"/>
        <s v="ORD-2025187"/>
        <s v="ORD-2025188"/>
        <s v="ORD-2025189"/>
        <s v="ORD-2025190"/>
        <s v="ORD-2025191"/>
        <s v="ORD-2025192"/>
        <s v="ORD-2025193"/>
        <s v="ORD-2025194"/>
        <s v="ORD-2025195"/>
        <s v="ORD-2025196"/>
        <s v="ORD-2025197"/>
        <s v="ORD-2025198"/>
        <s v="ORD-2025199"/>
        <s v="ORD-2025200"/>
        <s v="ORD-2025201"/>
        <s v="ORD-2025202"/>
        <s v="ORD-2025203"/>
        <s v="ORD-2025204"/>
        <s v="ORD-2025205"/>
        <s v="ORD-2025206"/>
        <s v="ORD-2025207"/>
        <s v="ORD-2025208"/>
        <s v="ORD-2025209"/>
        <s v="ORD-2025210"/>
        <s v="ORD-2025211"/>
        <s v="ORD-2025212"/>
        <s v="ORD-2025213"/>
        <s v="ORD-2025214"/>
        <s v="ORD-2025215"/>
        <s v="ORD-2025216"/>
        <s v="ORD-2025217"/>
        <s v="ORD-2025218"/>
        <s v="ORD-2025219"/>
        <s v="ORD-2025220"/>
        <s v="ORD-2025221"/>
        <s v="ORD-2025222"/>
        <s v="ORD-2025223"/>
        <s v="ORD-2025224"/>
        <s v="ORD-2025225"/>
        <s v="ORD-2025226"/>
        <s v="ORD-2025227"/>
        <s v="ORD-2025228"/>
        <s v="ORD-2025229"/>
        <s v="ORD-2025230"/>
        <s v="ORD-2025231"/>
        <s v="ORD-2025232"/>
        <s v="ORD-2025233"/>
        <s v="ORD-2025234"/>
        <s v="ORD-2025235"/>
        <s v="ORD-2025236"/>
        <s v="ORD-2025237"/>
        <s v="ORD-2025238"/>
        <s v="ORD-2025239"/>
        <s v="ORD-2025240"/>
        <s v="ORD-2025241"/>
        <s v="ORD-2025242"/>
        <s v="ORD-2025243"/>
        <s v="ORD-2025244"/>
        <s v="ORD-2025245"/>
        <s v="ORD-2025246"/>
        <s v="ORD-2025247"/>
        <s v="ORD-2025248"/>
        <s v="ORD-2025249"/>
        <s v="ORD-2025250"/>
        <s v="ORD-2025251"/>
        <s v="ORD-2025252"/>
        <s v="ORD-2025253"/>
        <s v="ORD-2025254"/>
        <s v="ORD-2025255"/>
        <s v="ORD-2025256"/>
        <s v="ORD-2025257"/>
        <s v="ORD-2025258"/>
        <s v="ORD-2025259"/>
        <s v="ORD-2025260"/>
        <s v="ORD-2025261"/>
        <s v="ORD-2025262"/>
        <s v="ORD-2025263"/>
        <s v="ORD-2025264"/>
        <s v="ORD-2025265"/>
        <s v="ORD-2025266"/>
        <s v="ORD-2025267"/>
        <s v="ORD-2025268"/>
        <s v="ORD-2025269"/>
        <s v="ORD-2025270"/>
        <s v="ORD-2025271"/>
        <s v="ORD-2025272"/>
        <s v="ORD-2025273"/>
        <s v="ORD-2025274"/>
        <s v="ORD-2025275"/>
        <s v="ORD-2025276"/>
        <s v="ORD-2025277"/>
        <s v="ORD-2025278"/>
        <s v="ORD-2025279"/>
        <s v="ORD-2025280"/>
        <s v="ORD-2025281"/>
        <s v="ORD-2025282"/>
        <s v="ORD-2025283"/>
        <s v="ORD-2025284"/>
        <s v="ORD-2025285"/>
        <s v="ORD-2025286"/>
        <s v="ORD-2025287"/>
        <s v="ORD-2025288"/>
        <s v="ORD-2025289"/>
        <s v="ORD-2025290"/>
        <s v="ORD-2025291"/>
        <s v="ORD-2025292"/>
        <s v="ORD-2025293"/>
        <s v="ORD-2025294"/>
        <s v="ORD-2025295"/>
        <s v="ORD-2025296"/>
        <s v="ORD-2025297"/>
        <s v="ORD-2025298"/>
        <s v="ORD-2025299"/>
        <s v="ORD-2025300"/>
        <s v="ORD-2025301"/>
        <s v="ORD-2025302"/>
        <s v="ORD-2025303"/>
        <s v="ORD-2025304"/>
        <s v="ORD-2025305"/>
        <s v="ORD-2025306"/>
        <s v="ORD-2025307"/>
        <s v="ORD-2025308"/>
        <s v="ORD-2025309"/>
        <s v="ORD-2025310"/>
        <s v="ORD-2025311"/>
        <s v="ORD-2025312"/>
        <s v="ORD-2025313"/>
        <s v="ORD-2025314"/>
        <s v="ORD-2025315"/>
        <s v="ORD-2025316"/>
        <s v="ORD-2025317"/>
        <s v="ORD-2025318"/>
        <s v="ORD-2025319"/>
        <s v="ORD-2025320"/>
        <s v="ORD-2025321"/>
        <s v="ORD-2025322"/>
        <s v="ORD-2025323"/>
        <s v="ORD-2025324"/>
        <s v="ORD-2025325"/>
        <s v="ORD-2025326"/>
        <s v="ORD-2025327"/>
        <s v="ORD-2025328"/>
        <s v="ORD-2025329"/>
        <s v="ORD-2025330"/>
        <s v="ORD-2025331"/>
        <s v="ORD-2025332"/>
        <s v="ORD-2025333"/>
        <s v="ORD-2025334"/>
        <s v="ORD-2025335"/>
        <s v="ORD-2025336"/>
        <s v="ORD-2025337"/>
        <s v="ORD-2025338"/>
        <s v="ORD-2025339"/>
        <s v="ORD-2025340"/>
        <s v="ORD-2025341"/>
        <s v="ORD-2025342"/>
        <s v="ORD-2025343"/>
        <s v="ORD-2025344"/>
        <s v="ORD-2025345"/>
        <s v="ORD-2025346"/>
        <s v="ORD-2025347"/>
        <s v="ORD-2025348"/>
        <s v="ORD-2025349"/>
        <s v="ORD-2025350"/>
        <s v="ORD-2025351"/>
        <s v="ORD-2025352"/>
        <s v="ORD-2025353"/>
        <s v="ORD-2025354"/>
        <s v="ORD-2025355"/>
        <s v="ORD-2025356"/>
        <s v="ORD-2025357"/>
        <s v="ORD-2025358"/>
        <s v="ORD-2025359"/>
        <s v="ORD-2025360"/>
        <s v="ORD-2025361"/>
        <s v="ORD-2025362"/>
        <s v="ORD-2025363"/>
        <s v="ORD-2025364"/>
        <s v="ORD-2025365"/>
        <s v="ORD-2025366"/>
        <s v="ORD-2025367"/>
        <s v="ORD-2025368"/>
        <s v="ORD-2025369"/>
        <s v="ORD-2025370"/>
        <s v="ORD-2025371"/>
        <s v="ORD-2025372"/>
        <s v="ORD-2025373"/>
        <s v="ORD-2025374"/>
        <s v="ORD-2025375"/>
        <s v="ORD-2025376"/>
        <s v="ORD-2025377"/>
        <s v="ORD-2025378"/>
        <s v="ORD-2025379"/>
        <s v="ORD-2025380"/>
        <s v="ORD-2025381"/>
        <s v="ORD-2025382"/>
        <s v="ORD-2025383"/>
        <s v="ORD-2025384"/>
        <s v="ORD-2025385"/>
        <s v="ORD-2025386"/>
        <s v="ORD-2025387"/>
        <s v="ORD-2025388"/>
        <s v="ORD-2025389"/>
        <s v="ORD-2025390"/>
        <s v="ORD-2025391"/>
        <s v="ORD-2025392"/>
        <s v="ORD-2025393"/>
        <s v="ORD-2025394"/>
        <s v="ORD-2025395"/>
        <s v="ORD-2025396"/>
        <s v="ORD-2025397"/>
        <s v="ORD-2025398"/>
        <s v="ORD-2025399"/>
        <s v="ORD-2025400"/>
        <s v="ORD-2025401"/>
        <s v="ORD-2025402"/>
        <s v="ORD-2025403"/>
        <s v="ORD-2025404"/>
        <s v="ORD-2025405"/>
        <s v="ORD-2025406"/>
        <s v="ORD-2025407"/>
        <s v="ORD-2025408"/>
        <s v="ORD-2025409"/>
        <s v="ORD-2025410"/>
        <s v="ORD-2025411"/>
        <s v="ORD-2025412"/>
        <s v="ORD-2025413"/>
        <s v="ORD-2025414"/>
        <s v="ORD-2025415"/>
        <s v="ORD-2025416"/>
        <s v="ORD-2025417"/>
        <s v="ORD-2025418"/>
        <s v="ORD-2025419"/>
        <s v="ORD-2025420"/>
        <s v="ORD-2025421"/>
        <s v="ORD-2025422"/>
        <s v="ORD-2025423"/>
        <s v="ORD-2025424"/>
        <s v="ORD-2025425"/>
        <s v="ORD-2025426"/>
        <s v="ORD-2025427"/>
        <s v="ORD-2025428"/>
        <s v="ORD-2025429"/>
        <s v="ORD-2025430"/>
        <s v="ORD-2025431"/>
        <s v="ORD-2025432"/>
        <s v="ORD-2025433"/>
        <s v="ORD-2025434"/>
        <s v="ORD-2025435"/>
        <s v="ORD-2025436"/>
        <s v="ORD-2025437"/>
        <s v="ORD-2025438"/>
        <s v="ORD-2025439"/>
        <s v="ORD-2025440"/>
        <s v="ORD-2025441"/>
        <s v="ORD-2025442"/>
        <s v="ORD-2025443"/>
        <s v="ORD-2025444"/>
        <s v="ORD-2025445"/>
        <s v="ORD-2025446"/>
        <s v="ORD-2025447"/>
        <s v="ORD-2025448"/>
        <s v="ORD-2025449"/>
        <s v="ORD-2025450"/>
        <s v="ORD-2025451"/>
        <s v="ORD-2025452"/>
        <s v="ORD-2025453"/>
        <s v="ORD-2025454"/>
        <s v="ORD-2025455"/>
        <s v="ORD-2025456"/>
        <s v="ORD-2025457"/>
        <s v="ORD-2025458"/>
        <s v="ORD-2025459"/>
        <s v="ORD-2025460"/>
        <s v="ORD-2025461"/>
        <s v="ORD-2025462"/>
        <s v="ORD-2025463"/>
        <s v="ORD-2025464"/>
        <s v="ORD-2025465"/>
        <s v="ORD-2025466"/>
        <s v="ORD-2025467"/>
        <s v="ORD-2025468"/>
        <s v="ORD-2025469"/>
        <s v="ORD-2025470"/>
        <s v="ORD-2025471"/>
        <s v="ORD-2025472"/>
        <s v="ORD-2025473"/>
        <s v="ORD-2025474"/>
        <s v="ORD-2025475"/>
        <s v="ORD-2025476"/>
        <s v="ORD-2025477"/>
        <s v="ORD-2025478"/>
        <s v="ORD-2025479"/>
        <s v="ORD-2025480"/>
        <s v="ORD-2025481"/>
        <s v="ORD-2025482"/>
        <s v="ORD-2025483"/>
        <s v="ORD-2025484"/>
        <s v="ORD-2025485"/>
        <s v="ORD-2025486"/>
        <s v="ORD-2025487"/>
        <s v="ORD-2025488"/>
        <s v="ORD-2025489"/>
        <s v="ORD-2025490"/>
        <s v="ORD-2025491"/>
        <s v="ORD-2025492"/>
        <s v="ORD-2025493"/>
        <s v="ORD-2025494"/>
        <s v="ORD-2025495"/>
        <s v="ORD-2025496"/>
        <s v="ORD-2025497"/>
        <s v="ORD-2025498"/>
        <s v="ORD-2025499"/>
        <s v="ORD-2025500"/>
        <s v="ORD-2025501"/>
        <s v="ORD-2025502"/>
        <s v="ORD-2025503"/>
        <s v="ORD-2025504"/>
        <s v="ORD-2025505"/>
        <s v="ORD-2025506"/>
        <s v="ORD-2025507"/>
        <s v="ORD-2025508"/>
        <s v="ORD-2025509"/>
        <s v="ORD-2025510"/>
        <s v="ORD-2025511"/>
        <s v="ORD-2025512"/>
        <s v="ORD-2025513"/>
        <s v="ORD-2025514"/>
        <s v="ORD-2025515"/>
        <s v="ORD-2025516"/>
        <s v="ORD-2025517"/>
        <s v="ORD-2025518"/>
        <s v="ORD-2025519"/>
        <s v="ORD-2025520"/>
        <s v="ORD-2025521"/>
        <s v="ORD-2025522"/>
        <s v="ORD-2025523"/>
        <s v="ORD-2025524"/>
        <s v="ORD-2025525"/>
        <s v="ORD-2025526"/>
        <s v="ORD-2025527"/>
        <s v="ORD-2025528"/>
        <s v="ORD-2025529"/>
        <s v="ORD-2025530"/>
        <s v="ORD-2025531"/>
        <s v="ORD-2025532"/>
        <s v="ORD-2025533"/>
        <s v="ORD-2025534"/>
        <s v="ORD-2025535"/>
        <s v="ORD-2025536"/>
        <s v="ORD-2025537"/>
        <s v="ORD-2025538"/>
        <s v="ORD-2025539"/>
        <s v="ORD-2025540"/>
        <s v="ORD-2025541"/>
        <s v="ORD-2025542"/>
        <s v="ORD-2025543"/>
        <s v="ORD-2025544"/>
        <s v="ORD-2025545"/>
        <s v="ORD-2025546"/>
        <s v="ORD-2025547"/>
        <s v="ORD-2025548"/>
        <s v="ORD-2025549"/>
        <s v="ORD-2025550"/>
        <s v="ORD-2025551"/>
        <s v="ORD-2025552"/>
        <s v="ORD-2025553"/>
        <s v="ORD-2025554"/>
        <s v="ORD-2025555"/>
        <s v="ORD-2025556"/>
        <s v="ORD-2025557"/>
        <s v="ORD-2025558"/>
        <s v="ORD-2025559"/>
        <s v="ORD-2025560"/>
        <s v="ORD-2025561"/>
        <s v="ORD-2025562"/>
        <s v="ORD-2025563"/>
        <s v="ORD-2025564"/>
        <s v="ORD-2025565"/>
        <s v="ORD-2025566"/>
        <s v="ORD-2025567"/>
        <s v="ORD-2025568"/>
        <s v="ORD-2025569"/>
        <s v="ORD-2025570"/>
        <s v="ORD-2025571"/>
        <s v="ORD-2025572"/>
        <s v="ORD-2025573"/>
        <s v="ORD-2025574"/>
        <s v="ORD-2025575"/>
        <s v="ORD-2025576"/>
        <s v="ORD-2025577"/>
        <s v="ORD-2025578"/>
        <s v="ORD-2025579"/>
        <s v="ORD-2025580"/>
        <s v="ORD-2025581"/>
        <s v="ORD-2025582"/>
        <s v="ORD-2025583"/>
        <s v="ORD-2025584"/>
        <s v="ORD-2025585"/>
        <s v="ORD-2025586"/>
        <s v="ORD-2025587"/>
        <s v="ORD-2025588"/>
        <s v="ORD-2025589"/>
        <s v="ORD-2025590"/>
        <s v="ORD-2025591"/>
        <s v="ORD-2025592"/>
        <s v="ORD-2025593"/>
        <s v="ORD-2025594"/>
        <s v="ORD-2025595"/>
        <s v="ORD-2025596"/>
        <s v="ORD-2025597"/>
        <s v="ORD-2025598"/>
        <s v="ORD-2025599"/>
        <s v="ORD-2025600"/>
        <s v="ORD-2025601"/>
        <s v="ORD-2025602"/>
        <s v="ORD-2025603"/>
        <s v="ORD-2025604"/>
        <s v="ORD-2025605"/>
        <s v="ORD-2025606"/>
        <s v="ORD-2025607"/>
        <s v="ORD-2025608"/>
        <s v="ORD-2025609"/>
        <s v="ORD-2025610"/>
        <s v="ORD-2025611"/>
        <s v="ORD-2025612"/>
        <s v="ORD-2025613"/>
        <s v="ORD-2025614"/>
        <s v="ORD-2025615"/>
        <s v="ORD-2025616"/>
        <s v="ORD-2025617"/>
        <s v="ORD-2025618"/>
        <s v="ORD-2025619"/>
        <s v="ORD-2025620"/>
        <s v="ORD-2025621"/>
        <s v="ORD-2025622"/>
        <s v="ORD-2025623"/>
        <s v="ORD-2025624"/>
        <s v="ORD-2025625"/>
        <s v="ORD-2025626"/>
        <s v="ORD-2025627"/>
        <s v="ORD-2025628"/>
        <s v="ORD-2025629"/>
        <s v="ORD-2025630"/>
        <s v="ORD-2025631"/>
        <s v="ORD-2025632"/>
        <s v="ORD-2025633"/>
        <s v="ORD-2025634"/>
        <s v="ORD-2025635"/>
        <s v="ORD-2025636"/>
        <s v="ORD-2025637"/>
        <s v="ORD-2025638"/>
        <s v="ORD-2025639"/>
        <s v="ORD-2025640"/>
        <s v="ORD-2025641"/>
        <s v="ORD-2025642"/>
        <s v="ORD-2025643"/>
        <s v="ORD-2025644"/>
        <s v="ORD-2025645"/>
        <s v="ORD-2025646"/>
        <s v="ORD-2025647"/>
        <s v="ORD-2025648"/>
        <s v="ORD-2025649"/>
        <s v="ORD-2025650"/>
        <s v="ORD-2025651"/>
        <s v="ORD-2025652"/>
        <s v="ORD-2025653"/>
        <s v="ORD-2025654"/>
        <s v="ORD-2025655"/>
        <s v="ORD-2025656"/>
        <s v="ORD-2025657"/>
        <s v="ORD-2025658"/>
        <s v="ORD-2025659"/>
        <s v="ORD-2025660"/>
        <s v="ORD-2025661"/>
        <s v="ORD-2025662"/>
        <s v="ORD-2025663"/>
        <s v="ORD-2025664"/>
        <s v="ORD-2025665"/>
        <s v="ORD-2025666"/>
        <s v="ORD-2025667"/>
        <s v="ORD-2025668"/>
        <s v="ORD-2025669"/>
        <s v="ORD-2025670"/>
        <s v="ORD-2025671"/>
        <s v="ORD-2025672"/>
        <s v="ORD-2025673"/>
        <s v="ORD-2025674"/>
        <s v="ORD-2025675"/>
        <s v="ORD-2025676"/>
        <s v="ORD-2025677"/>
        <s v="ORD-2025678"/>
        <s v="ORD-2025679"/>
        <s v="ORD-2025680"/>
        <s v="ORD-2025681"/>
        <s v="ORD-2025682"/>
        <s v="ORD-2025683"/>
        <s v="ORD-2025684"/>
        <s v="ORD-2025685"/>
        <s v="ORD-2025686"/>
        <s v="ORD-2025687"/>
        <s v="ORD-2025688"/>
        <s v="ORD-2025689"/>
        <s v="ORD-2025690"/>
        <s v="ORD-2025691"/>
        <s v="ORD-2025692"/>
        <s v="ORD-2025693"/>
        <s v="ORD-2025694"/>
        <s v="ORD-2025695"/>
        <s v="ORD-2025696"/>
        <s v="ORD-2025697"/>
        <s v="ORD-2025698"/>
        <s v="ORD-2025699"/>
        <s v="ORD-2025700"/>
        <s v="ORD-2025701"/>
        <s v="ORD-2025702"/>
        <s v="ORD-2025703"/>
        <s v="ORD-2025704"/>
        <s v="ORD-2025705"/>
        <s v="ORD-2025706"/>
        <s v="ORD-2025707"/>
        <s v="ORD-2025708"/>
        <s v="ORD-2025709"/>
        <s v="ORD-2025710"/>
        <s v="ORD-2025711"/>
        <s v="ORD-2025712"/>
        <s v="ORD-2025713"/>
        <s v="ORD-2025714"/>
        <s v="ORD-2025715"/>
        <s v="ORD-2025716"/>
        <s v="ORD-2025717"/>
        <s v="ORD-2025718"/>
        <s v="ORD-2025719"/>
        <s v="ORD-2025720"/>
        <s v="ORD-2025721"/>
        <s v="ORD-2025722"/>
        <s v="ORD-2025723"/>
        <s v="ORD-2025724"/>
        <s v="ORD-2025725"/>
        <s v="ORD-2025726"/>
        <s v="ORD-2025727"/>
        <s v="ORD-2025728"/>
        <s v="ORD-2025729"/>
        <s v="ORD-2025730"/>
        <s v="ORD-2025731"/>
        <s v="ORD-2025732"/>
        <s v="ORD-2025733"/>
        <s v="ORD-2025734"/>
        <s v="ORD-2025735"/>
        <s v="ORD-2025736"/>
        <s v="ORD-2025737"/>
        <s v="ORD-2025738"/>
        <s v="ORD-2025739"/>
        <s v="ORD-2025740"/>
        <s v="ORD-2025741"/>
        <s v="ORD-2025742"/>
        <s v="ORD-2025743"/>
        <s v="ORD-2025744"/>
        <s v="ORD-2025745"/>
        <s v="ORD-2025746"/>
        <s v="ORD-2025747"/>
        <s v="ORD-2025748"/>
        <s v="ORD-2025749"/>
        <s v="ORD-2025750"/>
        <s v="ORD-2025751"/>
        <s v="ORD-2025752"/>
        <s v="ORD-2025753"/>
        <s v="ORD-2025754"/>
        <s v="ORD-2025755"/>
        <s v="ORD-2025756"/>
        <s v="ORD-2025757"/>
        <s v="ORD-2025758"/>
        <s v="ORD-2025759"/>
        <s v="ORD-2025760"/>
        <s v="ORD-2025761"/>
        <s v="ORD-2025762"/>
        <s v="ORD-2025763"/>
        <s v="ORD-2025764"/>
        <s v="ORD-2025765"/>
        <s v="ORD-2025766"/>
        <s v="ORD-2025767"/>
        <s v="ORD-2025768"/>
        <s v="ORD-2025769"/>
        <s v="ORD-2025770"/>
        <s v="ORD-2025771"/>
        <s v="ORD-2025772"/>
        <s v="ORD-2025773"/>
        <s v="ORD-2025774"/>
        <s v="ORD-2025775"/>
        <s v="ORD-2025776"/>
        <s v="ORD-2025777"/>
        <s v="ORD-2025778"/>
        <s v="ORD-2025779"/>
        <s v="ORD-2025780"/>
        <s v="ORD-2025781"/>
        <s v="ORD-2025782"/>
        <s v="ORD-2025783"/>
        <s v="ORD-2025784"/>
        <s v="ORD-2025785"/>
        <s v="ORD-2025786"/>
        <s v="ORD-2025787"/>
        <s v="ORD-2025788"/>
        <s v="ORD-2025789"/>
        <s v="ORD-2025790"/>
        <s v="ORD-2025791"/>
        <s v="ORD-2025792"/>
        <s v="ORD-2025793"/>
        <s v="ORD-2025794"/>
        <s v="ORD-2025795"/>
        <s v="ORD-2025796"/>
        <s v="ORD-2025797"/>
        <s v="ORD-2025798"/>
        <s v="ORD-2025799"/>
        <s v="ORD-2025800"/>
        <s v="ORD-2025801"/>
        <s v="ORD-2025802"/>
        <s v="ORD-2025803"/>
        <s v="ORD-2025804"/>
        <s v="ORD-2025805"/>
        <s v="ORD-2025806"/>
        <s v="ORD-2025807"/>
        <s v="ORD-2025808"/>
        <s v="ORD-2025809"/>
        <s v="ORD-2025810"/>
        <s v="ORD-2025811"/>
        <s v="ORD-2025812"/>
        <s v="ORD-2025813"/>
        <s v="ORD-2025814"/>
        <s v="ORD-2025815"/>
        <s v="ORD-2025816"/>
        <s v="ORD-2025817"/>
        <s v="ORD-2025818"/>
        <s v="ORD-2025819"/>
        <s v="ORD-2025820"/>
        <s v="ORD-2025821"/>
        <s v="ORD-2025822"/>
        <s v="ORD-2025823"/>
        <s v="ORD-2025824"/>
        <s v="ORD-2025825"/>
        <s v="ORD-2025826"/>
        <s v="ORD-2025827"/>
        <s v="ORD-2025828"/>
        <s v="ORD-2025829"/>
        <s v="ORD-2025830"/>
        <s v="ORD-2025831"/>
        <s v="ORD-2025832"/>
        <s v="ORD-2025833"/>
        <s v="ORD-2025834"/>
        <s v="ORD-2025835"/>
        <s v="ORD-2025836"/>
        <s v="ORD-2025837"/>
        <s v="ORD-2025838"/>
        <s v="ORD-2025839"/>
        <s v="ORD-2025840"/>
        <s v="ORD-2025841"/>
        <s v="ORD-2025842"/>
        <s v="ORD-2025843"/>
        <s v="ORD-2025844"/>
        <s v="ORD-2025845"/>
        <s v="ORD-2025846"/>
        <s v="ORD-2025847"/>
        <s v="ORD-2025848"/>
        <s v="ORD-2025849"/>
        <s v="ORD-2025850"/>
        <s v="ORD-2025851"/>
        <s v="ORD-2025852"/>
        <s v="ORD-2025853"/>
        <s v="ORD-2025854"/>
        <s v="ORD-2025855"/>
        <s v="ORD-2025856"/>
        <s v="ORD-2025857"/>
        <s v="ORD-2025858"/>
        <s v="ORD-2025859"/>
        <s v="ORD-2025860"/>
        <s v="ORD-2025861"/>
        <s v="ORD-2025862"/>
        <s v="ORD-2025863"/>
        <s v="ORD-2025864"/>
        <s v="ORD-2025865"/>
        <s v="ORD-2025866"/>
        <s v="ORD-2025867"/>
        <s v="ORD-2025868"/>
        <s v="ORD-2025869"/>
        <s v="ORD-2025870"/>
        <s v="ORD-2025871"/>
        <s v="ORD-2025872"/>
        <s v="ORD-2025873"/>
        <s v="ORD-2025874"/>
        <s v="ORD-2025875"/>
        <s v="ORD-2025876"/>
        <s v="ORD-2025877"/>
        <s v="ORD-2025878"/>
        <s v="ORD-2025879"/>
        <s v="ORD-2025880"/>
        <s v="ORD-2025881"/>
        <s v="ORD-2025882"/>
        <s v="ORD-2025883"/>
        <s v="ORD-2025884"/>
        <s v="ORD-2025885"/>
        <s v="ORD-2025886"/>
        <s v="ORD-2025887"/>
        <s v="ORD-2025888"/>
        <s v="ORD-2025889"/>
        <s v="ORD-2025890"/>
        <s v="ORD-2025891"/>
        <s v="ORD-2025892"/>
        <s v="ORD-2025893"/>
        <s v="ORD-2025894"/>
        <s v="ORD-2025895"/>
        <s v="ORD-2025896"/>
        <s v="ORD-2025897"/>
        <s v="ORD-2025898"/>
        <s v="ORD-2025899"/>
        <s v="ORD-2025900"/>
        <s v="ORD-2025901"/>
        <s v="ORD-2025902"/>
        <s v="ORD-2025903"/>
        <s v="ORD-2025904"/>
        <s v="ORD-2025905"/>
        <s v="ORD-2025906"/>
        <s v="ORD-2025907"/>
        <s v="ORD-2025908"/>
        <s v="ORD-2025909"/>
        <s v="ORD-2025910"/>
        <s v="ORD-2025911"/>
        <s v="ORD-2025912"/>
        <s v="ORD-2025913"/>
        <s v="ORD-2025914"/>
        <s v="ORD-2025915"/>
        <s v="ORD-2025916"/>
        <s v="ORD-2025917"/>
        <s v="ORD-2025918"/>
        <s v="ORD-2025919"/>
        <s v="ORD-2025920"/>
        <s v="ORD-2025921"/>
        <s v="ORD-2025922"/>
        <s v="ORD-2025923"/>
        <s v="ORD-2025924"/>
        <s v="ORD-2025925"/>
        <s v="ORD-2025926"/>
        <s v="ORD-2025927"/>
        <s v="ORD-2025928"/>
        <s v="ORD-2025929"/>
        <s v="ORD-2025930"/>
        <s v="ORD-2025931"/>
        <s v="ORD-2025932"/>
        <s v="ORD-2025933"/>
        <s v="ORD-2025934"/>
        <s v="ORD-2025935"/>
        <s v="ORD-2025936"/>
        <s v="ORD-2025937"/>
        <s v="ORD-2025938"/>
        <s v="ORD-2025939"/>
        <s v="ORD-2025940"/>
        <s v="ORD-2025941"/>
        <s v="ORD-2025942"/>
        <s v="ORD-2025943"/>
        <s v="ORD-2025944"/>
        <s v="ORD-2025945"/>
        <s v="ORD-2025946"/>
        <s v="ORD-2025947"/>
        <s v="ORD-2025948"/>
        <s v="ORD-2025949"/>
        <s v="ORD-2025950"/>
        <s v="ORD-2025951"/>
        <s v="ORD-2025952"/>
        <s v="ORD-2025953"/>
        <s v="ORD-2025954"/>
        <s v="ORD-2025955"/>
        <s v="ORD-2025956"/>
        <s v="ORD-2025957"/>
        <s v="ORD-2025958"/>
        <s v="ORD-2025959"/>
        <s v="ORD-2025960"/>
        <s v="ORD-2025961"/>
        <s v="ORD-2025962"/>
        <s v="ORD-2025963"/>
        <s v="ORD-2025964"/>
        <s v="ORD-2025965"/>
        <s v="ORD-2025966"/>
        <s v="ORD-2025967"/>
        <s v="ORD-2025968"/>
        <s v="ORD-2025969"/>
        <s v="ORD-2025970"/>
        <s v="ORD-2025971"/>
        <s v="ORD-2025972"/>
        <s v="ORD-2025973"/>
        <s v="ORD-2025974"/>
        <s v="ORD-2025975"/>
        <s v="ORD-2025976"/>
        <s v="ORD-2025977"/>
        <s v="ORD-2025978"/>
        <s v="ORD-2025979"/>
        <s v="ORD-2025980"/>
        <s v="ORD-2025981"/>
        <s v="ORD-2025982"/>
        <s v="ORD-2025983"/>
        <s v="ORD-2025984"/>
        <s v="ORD-2025985"/>
        <s v="ORD-2025986"/>
        <s v="ORD-2025987"/>
        <s v="ORD-2025988"/>
        <s v="ORD-2025989"/>
        <s v="ORD-2025990"/>
        <s v="ORD-2025991"/>
        <s v="ORD-2025992"/>
        <s v="ORD-2025993"/>
        <s v="ORD-2025994"/>
        <s v="ORD-2025995"/>
        <s v="ORD-2025996"/>
        <s v="ORD-2025997"/>
        <s v="ORD-2025998"/>
        <s v="ORD-2025999"/>
        <s v="ORD-2026000"/>
        <s v="ORD-2026001"/>
        <s v="ORD-2026002"/>
        <s v="ORD-2026003"/>
        <s v="ORD-2026004"/>
        <s v="ORD-2026005"/>
        <s v="ORD-2026006"/>
        <s v="ORD-2026007"/>
        <s v="ORD-2026008"/>
        <s v="ORD-2026009"/>
        <s v="ORD-2026010"/>
        <s v="ORD-2026011"/>
        <s v="ORD-2026012"/>
        <s v="ORD-2026013"/>
        <s v="ORD-2026014"/>
        <s v="ORD-2026015"/>
        <s v="ORD-2026016"/>
        <s v="ORD-2026017"/>
        <s v="ORD-2026018"/>
        <s v="ORD-2026019"/>
        <s v="ORD-2026020"/>
        <s v="ORD-2026021"/>
        <s v="ORD-2026022"/>
        <s v="ORD-2026023"/>
        <s v="ORD-2026024"/>
        <s v="ORD-2026025"/>
        <s v="ORD-2026026"/>
        <s v="ORD-2026027"/>
        <s v="ORD-2026028"/>
        <s v="ORD-2026029"/>
        <s v="ORD-2026030"/>
        <s v="ORD-2026031"/>
        <s v="ORD-2026032"/>
        <s v="ORD-2026033"/>
        <s v="ORD-2026034"/>
        <s v="ORD-2026035"/>
        <s v="ORD-2026036"/>
        <s v="ORD-2026037"/>
        <s v="ORD-2026038"/>
        <s v="ORD-2026039"/>
        <s v="ORD-2026040"/>
        <s v="ORD-2026041"/>
        <s v="ORD-2026042"/>
        <s v="ORD-2026043"/>
        <s v="ORD-2026044"/>
        <s v="ORD-2026045"/>
        <s v="ORD-2026046"/>
        <s v="ORD-2026047"/>
        <s v="ORD-2026048"/>
        <s v="ORD-2026049"/>
        <s v="ORD-2026050"/>
        <s v="ORD-2026051"/>
        <s v="ORD-2026052"/>
        <s v="ORD-2026053"/>
        <s v="ORD-2026054"/>
        <s v="ORD-2026055"/>
        <s v="ORD-2026056"/>
        <s v="ORD-2026057"/>
        <s v="ORD-2026058"/>
        <s v="ORD-2026059"/>
        <s v="ORD-2026060"/>
        <s v="ORD-2026061"/>
        <s v="ORD-2026062"/>
        <s v="ORD-2026063"/>
        <s v="ORD-2026064"/>
        <s v="ORD-2026065"/>
        <s v="ORD-2026066"/>
        <s v="ORD-2026067"/>
        <s v="ORD-2026068"/>
        <s v="ORD-2026069"/>
        <s v="ORD-2026070"/>
        <s v="ORD-2026071"/>
        <s v="ORD-2026072"/>
        <s v="ORD-2026073"/>
        <s v="ORD-2026074"/>
        <s v="ORD-2026075"/>
        <s v="ORD-2026076"/>
        <s v="ORD-2026077"/>
        <s v="ORD-2026078"/>
        <s v="ORD-2026079"/>
        <s v="ORD-2026080"/>
        <s v="ORD-2026081"/>
        <s v="ORD-2026082"/>
        <s v="ORD-2026083"/>
        <s v="ORD-2026084"/>
        <s v="ORD-2026085"/>
        <s v="ORD-2026086"/>
        <s v="ORD-2026087"/>
        <s v="ORD-2026088"/>
        <s v="ORD-2026089"/>
        <s v="ORD-2026090"/>
        <s v="ORD-2026091"/>
        <s v="ORD-2026092"/>
        <s v="ORD-2026093"/>
        <s v="ORD-2026094"/>
        <s v="ORD-2026095"/>
        <s v="ORD-2026096"/>
        <s v="ORD-2026097"/>
        <s v="ORD-2026098"/>
        <s v="ORD-2026099"/>
        <s v="ORD-2026100"/>
        <s v="ORD-2026101"/>
        <s v="ORD-2026102"/>
        <s v="ORD-2026103"/>
        <s v="ORD-2026104"/>
        <s v="ORD-2026105"/>
        <s v="ORD-2026106"/>
        <s v="ORD-2026107"/>
        <s v="ORD-2026108"/>
        <s v="ORD-2026109"/>
        <s v="ORD-2026110"/>
        <s v="ORD-2026111"/>
        <s v="ORD-2026112"/>
        <s v="ORD-2026113"/>
        <s v="ORD-2026114"/>
        <s v="ORD-2026115"/>
        <s v="ORD-2026116"/>
        <s v="ORD-2026117"/>
        <s v="ORD-2026118"/>
        <s v="ORD-2026119"/>
        <s v="ORD-2026120"/>
        <s v="ORD-2026121"/>
        <s v="ORD-2026122"/>
        <s v="ORD-2026123"/>
        <s v="ORD-2026124"/>
        <s v="ORD-2026125"/>
        <s v="ORD-2026126"/>
        <s v="ORD-2026127"/>
        <s v="ORD-2026128"/>
        <s v="ORD-2026129"/>
        <s v="ORD-2026130"/>
        <s v="ORD-2026131"/>
        <s v="ORD-2026132"/>
        <s v="ORD-2026133"/>
        <s v="ORD-2026134"/>
        <s v="ORD-2026135"/>
        <s v="ORD-2026136"/>
        <s v="ORD-2026137"/>
        <s v="ORD-2026138"/>
        <s v="ORD-2026139"/>
        <s v="ORD-2026140"/>
        <s v="ORD-2026141"/>
        <s v="ORD-2026142"/>
        <s v="ORD-2026143"/>
        <s v="ORD-2026144"/>
        <s v="ORD-2026145"/>
        <s v="ORD-2026146"/>
        <s v="ORD-2026147"/>
        <s v="ORD-2026148"/>
        <s v="ORD-2026149"/>
        <s v="ORD-2026150"/>
        <s v="ORD-2026151"/>
        <s v="ORD-2026152"/>
        <s v="ORD-2026153"/>
        <s v="ORD-2026154"/>
        <s v="ORD-2026155"/>
        <s v="ORD-2026156"/>
        <s v="ORD-2026157"/>
        <s v="ORD-2026158"/>
        <s v="ORD-2026159"/>
        <s v="ORD-2026160"/>
        <s v="ORD-2026161"/>
        <s v="ORD-2026162"/>
        <s v="ORD-2026163"/>
        <s v="ORD-2026164"/>
        <s v="ORD-2026165"/>
        <s v="ORD-2026166"/>
        <s v="ORD-2026167"/>
        <s v="ORD-2026168"/>
        <s v="ORD-2026169"/>
        <s v="ORD-2026170"/>
        <s v="ORD-2026171"/>
        <s v="ORD-2026172"/>
        <s v="ORD-2026173"/>
        <s v="ORD-2026174"/>
        <s v="ORD-2026175"/>
        <s v="ORD-2026176"/>
        <s v="ORD-2026177"/>
        <s v="ORD-2026178"/>
        <s v="ORD-2026179"/>
        <s v="ORD-2026180"/>
        <s v="ORD-2026181"/>
        <s v="ORD-2026182"/>
        <s v="ORD-2026183"/>
        <s v="ORD-2026184"/>
        <s v="ORD-2026185"/>
        <s v="ORD-2026186"/>
        <s v="ORD-2026187"/>
        <s v="ORD-2026188"/>
        <s v="ORD-2026189"/>
        <s v="ORD-2026190"/>
        <s v="ORD-2026191"/>
        <s v="ORD-2026192"/>
        <s v="ORD-2026193"/>
        <s v="ORD-2026194"/>
        <s v="ORD-2026195"/>
        <s v="ORD-2026196"/>
        <s v="ORD-2026197"/>
        <s v="ORD-2026198"/>
        <s v="ORD-2026199"/>
        <s v="ORD-2026200"/>
        <s v="ORD-2026201"/>
        <s v="ORD-2026202"/>
        <s v="ORD-2026203"/>
        <s v="ORD-2026204"/>
        <s v="ORD-2026205"/>
        <s v="ORD-2026206"/>
        <s v="ORD-2026207"/>
        <s v="ORD-2026208"/>
        <s v="ORD-2026209"/>
        <s v="ORD-2026210"/>
        <s v="ORD-2026211"/>
        <s v="ORD-2026212"/>
        <s v="ORD-2026213"/>
        <s v="ORD-2026214"/>
        <s v="ORD-2026215"/>
        <s v="ORD-2026216"/>
        <s v="ORD-2026217"/>
        <s v="ORD-2026218"/>
        <s v="ORD-2026219"/>
        <s v="ORD-2026220"/>
        <s v="ORD-2026221"/>
        <s v="ORD-2026222"/>
        <s v="ORD-2026223"/>
        <s v="ORD-2026224"/>
        <s v="ORD-2026225"/>
        <s v="ORD-2026226"/>
        <s v="ORD-2026227"/>
        <s v="ORD-2026228"/>
        <s v="ORD-2026229"/>
        <s v="ORD-2026230"/>
        <s v="ORD-2026231"/>
        <s v="ORD-2026232"/>
        <s v="ORD-2026233"/>
        <s v="ORD-2026234"/>
        <s v="ORD-2026235"/>
        <s v="ORD-2026236"/>
        <s v="ORD-2026237"/>
        <s v="ORD-2026238"/>
        <s v="ORD-2026239"/>
        <s v="ORD-2026240"/>
        <s v="ORD-2026241"/>
        <s v="ORD-2026242"/>
        <s v="ORD-2026243"/>
        <s v="ORD-2026244"/>
        <s v="ORD-2026245"/>
        <s v="ORD-2026246"/>
        <s v="ORD-2026247"/>
        <s v="ORD-2026248"/>
        <s v="ORD-2026249"/>
        <s v="ORD-2026250"/>
        <s v="ORD-2026251"/>
        <s v="ORD-2026252"/>
        <s v="ORD-2026253"/>
        <s v="ORD-2026254"/>
        <s v="ORD-2026255"/>
        <s v="ORD-2026256"/>
        <s v="ORD-2026257"/>
        <s v="ORD-2026258"/>
        <s v="ORD-2026259"/>
        <s v="ORD-2026260"/>
        <s v="ORD-2026261"/>
        <s v="ORD-2026262"/>
        <s v="ORD-2026263"/>
        <s v="ORD-2026264"/>
        <s v="ORD-2026265"/>
        <s v="ORD-2026266"/>
        <s v="ORD-2026267"/>
        <s v="ORD-2026268"/>
        <s v="ORD-2026269"/>
        <s v="ORD-2026270"/>
        <s v="ORD-2026271"/>
        <s v="ORD-2026272"/>
        <s v="ORD-2026273"/>
        <s v="ORD-2026274"/>
        <s v="ORD-2026275"/>
        <s v="ORD-2026276"/>
        <s v="ORD-2026277"/>
        <s v="ORD-2026278"/>
        <s v="ORD-2026279"/>
        <s v="ORD-2026280"/>
        <s v="ORD-2026281"/>
        <s v="ORD-2026282"/>
        <s v="ORD-2026283"/>
        <s v="ORD-2026284"/>
        <s v="ORD-2026285"/>
        <s v="ORD-2026286"/>
        <s v="ORD-2026287"/>
        <s v="ORD-2026288"/>
        <s v="ORD-2026289"/>
        <s v="ORD-2026290"/>
        <s v="ORD-2026291"/>
        <s v="ORD-2026292"/>
        <s v="ORD-2026293"/>
        <s v="ORD-2026294"/>
        <s v="ORD-2026295"/>
        <s v="ORD-2026296"/>
        <s v="ORD-2026297"/>
        <s v="ORD-2026298"/>
        <s v="ORD-2026299"/>
        <s v="ORD-2026300"/>
        <s v="ORD-2026301"/>
        <s v="ORD-2026302"/>
        <s v="ORD-2026303"/>
        <s v="ORD-2026304"/>
        <s v="ORD-2026305"/>
        <s v="ORD-2026306"/>
        <s v="ORD-2026307"/>
        <s v="ORD-2026308"/>
        <s v="ORD-2026309"/>
        <s v="ORD-2026310"/>
        <s v="ORD-2026311"/>
        <s v="ORD-2026312"/>
        <s v="ORD-2026313"/>
        <s v="ORD-2026314"/>
        <s v="ORD-2026315"/>
        <s v="ORD-2026316"/>
        <s v="ORD-2026317"/>
        <s v="ORD-2026318"/>
        <s v="ORD-2026319"/>
        <s v="ORD-2026320"/>
        <s v="ORD-2026321"/>
        <s v="ORD-2026322"/>
        <s v="ORD-2026323"/>
        <s v="ORD-2026324"/>
        <s v="ORD-2026325"/>
        <s v="ORD-2026326"/>
        <s v="ORD-2026327"/>
        <s v="ORD-2026328"/>
        <s v="ORD-2026329"/>
        <s v="ORD-2026330"/>
        <s v="ORD-2026331"/>
        <s v="ORD-2026332"/>
        <s v="ORD-2026333"/>
        <s v="ORD-2026334"/>
        <s v="ORD-2026335"/>
        <s v="ORD-2026336"/>
        <s v="ORD-2026337"/>
        <s v="ORD-2026338"/>
        <s v="ORD-2026339"/>
        <s v="ORD-2026340"/>
        <s v="ORD-2026341"/>
        <s v="ORD-2026342"/>
        <s v="ORD-2026343"/>
        <s v="ORD-2026344"/>
        <s v="ORD-2026345"/>
        <s v="ORD-2026346"/>
        <s v="ORD-2026347"/>
        <s v="ORD-2026348"/>
        <s v="ORD-2026349"/>
        <s v="ORD-2026350"/>
        <s v="ORD-2026351"/>
        <s v="ORD-2026352"/>
        <s v="ORD-2026353"/>
        <s v="ORD-2026354"/>
        <s v="ORD-2026355"/>
        <s v="ORD-2026356"/>
        <s v="ORD-2026357"/>
        <s v="ORD-2026358"/>
        <s v="ORD-2026359"/>
        <s v="ORD-2026360"/>
        <s v="ORD-2026361"/>
        <s v="ORD-2026362"/>
        <s v="ORD-2026363"/>
        <s v="ORD-2026364"/>
        <s v="ORD-2026365"/>
        <s v="ORD-2026366"/>
        <s v="ORD-2026367"/>
        <s v="ORD-2026368"/>
        <s v="ORD-2026369"/>
        <s v="ORD-2026370"/>
        <s v="ORD-2026371"/>
        <s v="ORD-2026372"/>
        <s v="ORD-2026373"/>
        <s v="ORD-2026374"/>
        <s v="ORD-2026375"/>
        <s v="ORD-2026376"/>
        <s v="ORD-2026377"/>
        <s v="ORD-2026378"/>
        <s v="ORD-2026379"/>
        <s v="ORD-2026380"/>
        <s v="ORD-2026381"/>
        <s v="ORD-2026382"/>
        <s v="ORD-2026383"/>
        <s v="ORD-2026384"/>
        <s v="ORD-2026385"/>
        <s v="ORD-2026386"/>
        <s v="ORD-2026387"/>
        <s v="ORD-2026388"/>
        <s v="ORD-2026389"/>
        <s v="ORD-2026390"/>
        <s v="ORD-2026391"/>
        <s v="ORD-2026392"/>
        <s v="ORD-2026393"/>
        <s v="ORD-2026394"/>
        <s v="ORD-2026395"/>
        <s v="ORD-2026396"/>
        <s v="ORD-2026397"/>
        <s v="ORD-2026398"/>
        <s v="ORD-2026399"/>
        <s v="ORD-2026400"/>
        <s v="ORD-2026401"/>
        <s v="ORD-2026402"/>
        <s v="ORD-2026403"/>
        <s v="ORD-2026404"/>
        <s v="ORD-2026405"/>
        <s v="ORD-2026406"/>
        <s v="ORD-2026407"/>
        <s v="ORD-2026408"/>
        <s v="ORD-2026409"/>
        <s v="ORD-2026410"/>
        <s v="ORD-2026411"/>
        <s v="ORD-2026412"/>
        <s v="ORD-2026413"/>
        <s v="ORD-2026414"/>
        <s v="ORD-2026415"/>
        <s v="ORD-2026416"/>
        <s v="ORD-2026417"/>
        <s v="ORD-2026418"/>
        <s v="ORD-2026419"/>
        <s v="ORD-2026420"/>
        <s v="ORD-2026421"/>
        <s v="ORD-2026422"/>
        <s v="ORD-2026423"/>
        <s v="ORD-2026424"/>
        <s v="ORD-2026425"/>
        <s v="ORD-2026426"/>
        <s v="ORD-2026427"/>
        <s v="ORD-2026428"/>
        <s v="ORD-2026429"/>
        <s v="ORD-2026430"/>
        <s v="ORD-2026431"/>
        <s v="ORD-2026432"/>
        <s v="ORD-2026433"/>
        <s v="ORD-2026434"/>
        <s v="ORD-2026435"/>
        <s v="ORD-2026436"/>
        <s v="ORD-2026437"/>
        <s v="ORD-2026438"/>
        <s v="ORD-2026439"/>
        <s v="ORD-2026440"/>
        <s v="ORD-2026441"/>
        <s v="ORD-2026442"/>
        <s v="ORD-2026443"/>
        <s v="ORD-2026444"/>
        <s v="ORD-2026445"/>
        <s v="ORD-2026446"/>
        <s v="ORD-2026447"/>
        <s v="ORD-2026448"/>
        <s v="ORD-2026449"/>
        <s v="ORD-2026450"/>
        <s v="ORD-2026451"/>
        <s v="ORD-2026452"/>
        <s v="ORD-2026453"/>
        <s v="ORD-2026454"/>
        <s v="ORD-2026455"/>
        <s v="ORD-2026456"/>
        <s v="ORD-2026457"/>
        <s v="ORD-2026458"/>
        <s v="ORD-2026459"/>
        <s v="ORD-2026460"/>
        <s v="ORD-2026461"/>
        <s v="ORD-2026462"/>
        <s v="ORD-2026463"/>
        <s v="ORD-2026464"/>
        <s v="ORD-2026465"/>
        <s v="ORD-2026466"/>
        <s v="ORD-2026467"/>
        <s v="ORD-2026468"/>
        <s v="ORD-2026469"/>
        <s v="ORD-2026470"/>
        <s v="ORD-2026471"/>
        <s v="ORD-2026472"/>
        <s v="ORD-2026473"/>
        <s v="ORD-2026474"/>
        <s v="ORD-2026475"/>
        <s v="ORD-2026476"/>
        <s v="ORD-2026477"/>
        <s v="ORD-2026478"/>
        <s v="ORD-2026479"/>
        <s v="ORD-2026480"/>
        <s v="ORD-2026481"/>
        <s v="ORD-2026482"/>
        <s v="ORD-2026483"/>
        <s v="ORD-2026484"/>
        <s v="ORD-2026485"/>
        <s v="ORD-2026486"/>
        <s v="ORD-2026487"/>
        <s v="ORD-2026488"/>
        <s v="ORD-2026489"/>
        <s v="ORD-2026490"/>
        <s v="ORD-2026491"/>
        <s v="ORD-2026492"/>
        <s v="ORD-2026493"/>
        <s v="ORD-2026494"/>
        <s v="ORD-2026495"/>
        <s v="ORD-2026496"/>
        <s v="ORD-2026497"/>
        <s v="ORD-2026498"/>
        <s v="ORD-2026499"/>
        <s v="ORD-2026500"/>
        <s v="ORD-2026501"/>
        <s v="ORD-2026502"/>
        <s v="ORD-2026503"/>
        <s v="ORD-2026504"/>
        <s v="ORD-2026505"/>
        <s v="ORD-2026506"/>
        <s v="ORD-2026507"/>
        <s v="ORD-2026508"/>
        <s v="ORD-2026509"/>
        <s v="ORD-2026510"/>
        <s v="ORD-2026511"/>
        <s v="ORD-2026512"/>
        <s v="ORD-2026513"/>
        <s v="ORD-2026514"/>
        <s v="ORD-2026515"/>
        <s v="ORD-2026516"/>
        <s v="ORD-2026517"/>
        <s v="ORD-2026518"/>
        <s v="ORD-2026519"/>
        <s v="ORD-2026520"/>
        <s v="ORD-2026521"/>
        <s v="ORD-2026522"/>
        <s v="ORD-2026523"/>
        <s v="ORD-2026524"/>
        <s v="ORD-2026525"/>
        <s v="ORD-2026526"/>
        <s v="ORD-2026527"/>
        <s v="ORD-2026528"/>
        <s v="ORD-2026529"/>
        <s v="ORD-2026530"/>
        <s v="ORD-2026531"/>
        <s v="ORD-2026532"/>
        <s v="ORD-2026533"/>
        <s v="ORD-2026534"/>
        <s v="ORD-2026535"/>
        <s v="ORD-2026536"/>
        <s v="ORD-2026537"/>
        <s v="ORD-2026538"/>
        <s v="ORD-2026539"/>
        <s v="ORD-2026540"/>
        <s v="ORD-2026541"/>
        <s v="ORD-2026542"/>
        <s v="ORD-2026543"/>
        <s v="ORD-2026544"/>
        <s v="ORD-2026545"/>
        <s v="ORD-2026546"/>
        <s v="ORD-2026547"/>
        <s v="ORD-2026548"/>
        <s v="ORD-2026549"/>
        <s v="ORD-2026550"/>
        <s v="ORD-2026551"/>
        <s v="ORD-2026552"/>
        <s v="ORD-2026553"/>
        <s v="ORD-2026554"/>
        <s v="ORD-2026555"/>
        <s v="ORD-2026556"/>
        <s v="ORD-2026557"/>
        <s v="ORD-2026558"/>
        <s v="ORD-2026559"/>
        <s v="ORD-2026560"/>
        <s v="ORD-2026561"/>
        <s v="ORD-2026562"/>
        <s v="ORD-2026563"/>
        <s v="ORD-2026564"/>
        <s v="ORD-2026565"/>
        <s v="ORD-2026566"/>
        <s v="ORD-2026567"/>
        <s v="ORD-2026568"/>
        <s v="ORD-2026569"/>
        <s v="ORD-2026570"/>
        <s v="ORD-2026571"/>
        <s v="ORD-2026572"/>
        <s v="ORD-2026573"/>
        <s v="ORD-2026574"/>
        <s v="ORD-2026575"/>
        <s v="ORD-2026576"/>
        <s v="ORD-2026577"/>
        <s v="ORD-2026578"/>
        <s v="ORD-2026579"/>
        <s v="ORD-2026580"/>
        <s v="ORD-2026581"/>
        <s v="ORD-2026582"/>
        <s v="ORD-2026583"/>
        <s v="ORD-2026584"/>
        <s v="ORD-2026585"/>
        <s v="ORD-2026586"/>
        <s v="ORD-2026587"/>
        <s v="ORD-2026588"/>
        <s v="ORD-2026589"/>
        <s v="ORD-2026590"/>
        <s v="ORD-2026591"/>
        <s v="ORD-2026592"/>
        <s v="ORD-2026593"/>
        <s v="ORD-2026594"/>
        <s v="ORD-2026595"/>
        <s v="ORD-2026596"/>
        <s v="ORD-2026597"/>
        <s v="ORD-2026598"/>
        <s v="ORD-2026599"/>
        <s v="ORD-2026600"/>
        <s v="ORD-2026601"/>
        <s v="ORD-2026602"/>
        <s v="ORD-2026603"/>
        <s v="ORD-2026604"/>
        <s v="ORD-2026605"/>
        <s v="ORD-2026606"/>
        <s v="ORD-2026607"/>
        <s v="ORD-2026608"/>
        <s v="ORD-2026609"/>
        <s v="ORD-2026610"/>
        <s v="ORD-2026611"/>
        <s v="ORD-2026612"/>
        <s v="ORD-2026613"/>
        <s v="ORD-2026614"/>
        <s v="ORD-2026615"/>
        <s v="ORD-2026616"/>
        <s v="ORD-2026617"/>
        <s v="ORD-2026618"/>
        <s v="ORD-2026619"/>
        <s v="ORD-2026620"/>
        <s v="ORD-2026621"/>
        <s v="ORD-2026622"/>
        <s v="ORD-2026623"/>
        <s v="ORD-2026624"/>
        <s v="ORD-2026625"/>
        <s v="ORD-2026626"/>
        <s v="ORD-2026627"/>
        <s v="ORD-2026628"/>
        <s v="ORD-2026629"/>
        <s v="ORD-2026630"/>
        <s v="ORD-2026631"/>
        <s v="ORD-2026632"/>
        <s v="ORD-2026633"/>
        <s v="ORD-2026634"/>
        <s v="ORD-2026635"/>
        <s v="ORD-2026636"/>
        <s v="ORD-2026637"/>
        <s v="ORD-2026638"/>
        <s v="ORD-2026639"/>
        <s v="ORD-2026640"/>
        <s v="ORD-2026641"/>
        <s v="ORD-2026642"/>
        <s v="ORD-2026643"/>
        <s v="ORD-2026644"/>
        <s v="ORD-2026645"/>
        <s v="ORD-2026646"/>
        <s v="ORD-2026647"/>
        <s v="ORD-2026648"/>
        <s v="ORD-2026649"/>
        <s v="ORD-2026650"/>
        <s v="ORD-2026651"/>
        <s v="ORD-2026652"/>
        <s v="ORD-2026653"/>
        <s v="ORD-2026654"/>
        <s v="ORD-2026655"/>
        <s v="ORD-2026656"/>
        <s v="ORD-2026657"/>
        <s v="ORD-2026658"/>
        <s v="ORD-2026659"/>
        <s v="ORD-2026660"/>
        <s v="ORD-2026661"/>
        <s v="ORD-2026662"/>
        <s v="ORD-2026663"/>
        <s v="ORD-2026664"/>
        <s v="ORD-2026665"/>
        <s v="ORD-2026666"/>
        <s v="ORD-2026667"/>
        <s v="ORD-2026668"/>
        <s v="ORD-2026669"/>
        <s v="ORD-2026670"/>
        <s v="ORD-2026671"/>
        <s v="ORD-2026672"/>
        <s v="ORD-2026673"/>
        <s v="ORD-2026674"/>
        <s v="ORD-2026675"/>
        <s v="ORD-2026676"/>
        <s v="ORD-2026677"/>
        <s v="ORD-2026678"/>
        <s v="ORD-2026679"/>
        <s v="ORD-2026680"/>
        <s v="ORD-2026681"/>
        <s v="ORD-2026682"/>
        <s v="ORD-2026683"/>
        <s v="ORD-2026684"/>
        <s v="ORD-2026685"/>
        <s v="ORD-2026686"/>
        <s v="ORD-2026687"/>
        <s v="ORD-2026688"/>
        <s v="ORD-2026689"/>
        <s v="ORD-2026690"/>
        <s v="ORD-2026691"/>
        <s v="ORD-2026692"/>
        <s v="ORD-2026693"/>
        <s v="ORD-2026694"/>
        <s v="ORD-2026695"/>
        <s v="ORD-2026696"/>
        <s v="ORD-2026697"/>
        <s v="ORD-2026698"/>
        <s v="ORD-2026699"/>
        <s v="ORD-2026700"/>
        <s v="ORD-2026701"/>
        <s v="ORD-2026702"/>
        <s v="ORD-2026703"/>
        <s v="ORD-2026704"/>
        <s v="ORD-2026705"/>
        <s v="ORD-2026706"/>
        <s v="ORD-2026707"/>
        <s v="ORD-2026708"/>
        <s v="ORD-2026709"/>
        <s v="ORD-2026710"/>
        <s v="ORD-2026711"/>
        <s v="ORD-2026712"/>
        <s v="ORD-2026713"/>
        <s v="ORD-2026714"/>
        <s v="ORD-2026715"/>
        <s v="ORD-2026716"/>
        <s v="ORD-2026717"/>
        <s v="ORD-2026718"/>
        <s v="ORD-2026719"/>
        <s v="ORD-2026720"/>
        <s v="ORD-2026721"/>
        <s v="ORD-2026722"/>
        <s v="ORD-2026723"/>
        <s v="ORD-2026724"/>
        <s v="ORD-2026725"/>
        <s v="ORD-2026726"/>
        <s v="ORD-2026727"/>
        <s v="ORD-2026728"/>
        <s v="ORD-2026729"/>
        <s v="ORD-2026730"/>
        <s v="ORD-2026731"/>
        <s v="ORD-2026732"/>
        <s v="ORD-2026733"/>
        <s v="ORD-2026734"/>
        <s v="ORD-2026735"/>
        <s v="ORD-2026736"/>
        <s v="ORD-2026737"/>
        <s v="ORD-2026738"/>
        <s v="ORD-2026739"/>
        <s v="ORD-2026740"/>
        <s v="ORD-2026741"/>
        <s v="ORD-2026742"/>
        <s v="ORD-2026743"/>
        <s v="ORD-2026744"/>
        <s v="ORD-2026745"/>
        <s v="ORD-2026746"/>
        <s v="ORD-2026747"/>
        <s v="ORD-2026748"/>
        <s v="ORD-2026749"/>
        <s v="ORD-2026750"/>
        <s v="ORD-2026751"/>
        <s v="ORD-2026752"/>
        <s v="ORD-2026753"/>
        <s v="ORD-2026754"/>
        <s v="ORD-2026755"/>
        <s v="ORD-2026756"/>
        <s v="ORD-2026757"/>
        <s v="ORD-2026758"/>
        <s v="ORD-2026759"/>
        <s v="ORD-2026760"/>
        <s v="ORD-2026761"/>
        <s v="ORD-2026762"/>
        <s v="ORD-2026763"/>
        <s v="ORD-2026764"/>
        <s v="ORD-2026765"/>
        <s v="ORD-2026766"/>
        <s v="ORD-2026767"/>
        <s v="ORD-2026768"/>
        <s v="ORD-2026769"/>
        <s v="ORD-2026770"/>
        <s v="ORD-2026771"/>
        <s v="ORD-2026772"/>
        <s v="ORD-2026773"/>
        <s v="ORD-2026774"/>
        <s v="ORD-2026775"/>
        <s v="ORD-2026776"/>
        <s v="ORD-2026777"/>
        <s v="ORD-2026778"/>
        <s v="ORD-2026779"/>
        <s v="ORD-2026780"/>
        <s v="ORD-2026781"/>
        <s v="ORD-2026782"/>
        <s v="ORD-2026783"/>
        <s v="ORD-2026784"/>
        <s v="ORD-2026785"/>
        <s v="ORD-2026786"/>
        <s v="ORD-2026787"/>
        <s v="ORD-2026788"/>
        <s v="ORD-2026789"/>
        <s v="ORD-2026790"/>
        <s v="ORD-2026791"/>
        <s v="ORD-2026792"/>
        <s v="ORD-2026793"/>
        <s v="ORD-2026794"/>
        <s v="ORD-2026795"/>
        <s v="ORD-2026796"/>
        <s v="ORD-2026797"/>
        <s v="ORD-2026798"/>
        <s v="ORD-2026799"/>
        <s v="ORD-2026800"/>
        <s v="ORD-2026801"/>
        <s v="ORD-2026802"/>
        <s v="ORD-2026803"/>
        <s v="ORD-2026804"/>
        <s v="ORD-2026805"/>
        <s v="ORD-2026806"/>
        <s v="ORD-2026807"/>
        <s v="ORD-2026808"/>
        <s v="ORD-2026809"/>
        <s v="ORD-2026810"/>
        <s v="ORD-2026811"/>
        <s v="ORD-2026812"/>
        <s v="ORD-2026813"/>
        <s v="ORD-2026814"/>
        <s v="ORD-2026815"/>
        <s v="ORD-2026816"/>
        <s v="ORD-2026817"/>
        <s v="ORD-2026818"/>
        <s v="ORD-2026819"/>
        <s v="ORD-2026820"/>
        <s v="ORD-2026821"/>
        <s v="ORD-2026822"/>
        <s v="ORD-2026823"/>
        <s v="ORD-2026824"/>
        <s v="ORD-2026825"/>
        <s v="ORD-2026826"/>
        <s v="ORD-2026827"/>
        <s v="ORD-2026828"/>
        <s v="ORD-2026829"/>
        <s v="ORD-2026830"/>
        <s v="ORD-2026831"/>
        <s v="ORD-2026832"/>
        <s v="ORD-2026833"/>
        <s v="ORD-2026834"/>
        <s v="ORD-2026835"/>
        <s v="ORD-2026836"/>
        <s v="ORD-2026837"/>
        <s v="ORD-2026838"/>
        <s v="ORD-2026839"/>
        <s v="ORD-2026840"/>
        <s v="ORD-2026841"/>
        <s v="ORD-2026842"/>
        <s v="ORD-2026843"/>
        <s v="ORD-2026844"/>
        <s v="ORD-2026845"/>
        <s v="ORD-2026846"/>
        <s v="ORD-2026847"/>
        <s v="ORD-2026848"/>
        <s v="ORD-2026849"/>
        <s v="ORD-2026850"/>
        <s v="ORD-2026851"/>
        <s v="ORD-2026852"/>
        <s v="ORD-2026853"/>
        <s v="ORD-2026854"/>
        <s v="ORD-2026855"/>
        <s v="ORD-2026856"/>
        <s v="ORD-2026857"/>
        <s v="ORD-2026858"/>
        <s v="ORD-2026859"/>
        <s v="ORD-2026860"/>
        <s v="ORD-2026861"/>
        <s v="ORD-2026862"/>
        <s v="ORD-2026863"/>
        <s v="ORD-2026864"/>
        <s v="ORD-2026865"/>
        <s v="ORD-2026866"/>
        <s v="ORD-2026867"/>
        <s v="ORD-2026868"/>
        <s v="ORD-2026869"/>
        <s v="ORD-2026870"/>
        <s v="ORD-2026871"/>
        <s v="ORD-2026872"/>
        <s v="ORD-2026873"/>
        <s v="ORD-2026874"/>
        <s v="ORD-2026875"/>
        <s v="ORD-2026876"/>
        <s v="ORD-2026877"/>
        <s v="ORD-2026878"/>
        <s v="ORD-2026879"/>
        <s v="ORD-2026880"/>
        <s v="ORD-2026881"/>
        <s v="ORD-2026882"/>
        <s v="ORD-2026883"/>
        <s v="ORD-2026884"/>
        <s v="ORD-2026885"/>
        <s v="ORD-2026886"/>
        <s v="ORD-2026887"/>
        <s v="ORD-2026888"/>
        <s v="ORD-2026889"/>
        <s v="ORD-2026890"/>
        <s v="ORD-2026891"/>
        <s v="ORD-2026892"/>
        <s v="ORD-2026893"/>
        <s v="ORD-2026894"/>
        <s v="ORD-2026895"/>
        <s v="ORD-2026896"/>
        <s v="ORD-2026897"/>
        <s v="ORD-2026898"/>
        <s v="ORD-2026899"/>
        <s v="ORD-2026900"/>
        <s v="ORD-2026901"/>
        <s v="ORD-2026902"/>
        <s v="ORD-2026903"/>
        <s v="ORD-2026904"/>
        <s v="ORD-2026905"/>
        <s v="ORD-2026906"/>
        <s v="ORD-2026907"/>
        <s v="ORD-2026908"/>
        <s v="ORD-2026909"/>
        <s v="ORD-2026910"/>
        <s v="ORD-2026911"/>
        <s v="ORD-2026912"/>
        <s v="ORD-2026913"/>
        <s v="ORD-2026914"/>
        <s v="ORD-2026915"/>
        <s v="ORD-2026916"/>
        <s v="ORD-2026917"/>
        <s v="ORD-2026918"/>
        <s v="ORD-2026919"/>
        <s v="ORD-2026920"/>
        <s v="ORD-2026921"/>
        <s v="ORD-2026922"/>
        <s v="ORD-2026923"/>
        <s v="ORD-2026924"/>
        <s v="ORD-2026925"/>
        <s v="ORD-2026926"/>
        <s v="ORD-2026927"/>
        <s v="ORD-2026928"/>
        <s v="ORD-2026929"/>
        <s v="ORD-2026930"/>
        <s v="ORD-2026931"/>
        <s v="ORD-2026932"/>
        <s v="ORD-2026933"/>
        <s v="ORD-2026934"/>
        <s v="ORD-2026935"/>
        <s v="ORD-2026936"/>
        <s v="ORD-2026937"/>
        <s v="ORD-2026938"/>
        <s v="ORD-2026939"/>
        <s v="ORD-2026940"/>
        <s v="ORD-2026941"/>
        <s v="ORD-2026942"/>
        <s v="ORD-2026943"/>
        <s v="ORD-2026944"/>
        <s v="ORD-2026945"/>
        <s v="ORD-2026946"/>
        <s v="ORD-2026947"/>
        <s v="ORD-2026948"/>
        <s v="ORD-2026949"/>
        <s v="ORD-2026950"/>
        <s v="ORD-2026951"/>
        <s v="ORD-2026952"/>
        <s v="ORD-2026953"/>
        <s v="ORD-2026954"/>
        <s v="ORD-2026955"/>
        <s v="ORD-2026956"/>
        <s v="ORD-2026957"/>
        <s v="ORD-2026958"/>
        <s v="ORD-2026959"/>
        <s v="ORD-2026960"/>
        <s v="ORD-2026961"/>
        <s v="ORD-2026962"/>
        <s v="ORD-2026963"/>
        <s v="ORD-2026964"/>
        <s v="ORD-2026965"/>
        <s v="ORD-2026966"/>
        <s v="ORD-2026967"/>
        <s v="ORD-2026968"/>
        <s v="ORD-2026969"/>
        <s v="ORD-2026970"/>
        <s v="ORD-2026971"/>
        <s v="ORD-2026972"/>
        <s v="ORD-2026973"/>
        <s v="ORD-2026974"/>
        <s v="ORD-2026975"/>
        <s v="ORD-2026976"/>
        <s v="ORD-2026977"/>
        <s v="ORD-2026978"/>
        <s v="ORD-2026979"/>
        <s v="ORD-2026980"/>
        <s v="ORD-2026981"/>
        <s v="ORD-2026982"/>
        <s v="ORD-2026983"/>
        <s v="ORD-2026984"/>
        <s v="ORD-2026985"/>
        <s v="ORD-2026986"/>
        <s v="ORD-2026987"/>
        <s v="ORD-2026988"/>
        <s v="ORD-2026989"/>
        <s v="ORD-2026990"/>
        <s v="ORD-2026991"/>
        <s v="ORD-2026992"/>
        <s v="ORD-2026993"/>
        <s v="ORD-2026994"/>
        <s v="ORD-2026995"/>
        <s v="ORD-2026996"/>
        <s v="ORD-2026997"/>
        <s v="ORD-2026998"/>
        <s v="ORD-2026999"/>
        <s v="ORD-2027000"/>
        <s v="ORD-2027001"/>
        <s v="ORD-2027002"/>
        <s v="ORD-2027003"/>
        <s v="ORD-2027004"/>
        <s v="ORD-2027005"/>
        <s v="ORD-2027006"/>
        <s v="ORD-2027007"/>
        <s v="ORD-2027008"/>
        <s v="ORD-2027009"/>
        <s v="ORD-2027010"/>
        <s v="ORD-2027011"/>
        <s v="ORD-2027012"/>
        <s v="ORD-2027013"/>
        <s v="ORD-2027014"/>
        <s v="ORD-2027015"/>
        <s v="ORD-2027016"/>
        <s v="ORD-2027017"/>
        <s v="ORD-2027018"/>
        <s v="ORD-2027019"/>
        <s v="ORD-2027020"/>
        <s v="ORD-2027021"/>
        <s v="ORD-2027022"/>
        <s v="ORD-2027023"/>
        <s v="ORD-2027024"/>
        <s v="ORD-2027025"/>
        <s v="ORD-2027026"/>
        <s v="ORD-2027027"/>
        <s v="ORD-2027028"/>
        <s v="ORD-2027029"/>
        <s v="ORD-2027030"/>
        <s v="ORD-2027031"/>
        <s v="ORD-2027032"/>
        <s v="ORD-2027033"/>
        <s v="ORD-2027034"/>
        <s v="ORD-2027035"/>
        <s v="ORD-2027036"/>
        <s v="ORD-2027037"/>
        <s v="ORD-2027038"/>
        <s v="ORD-2027039"/>
        <s v="ORD-2027040"/>
        <s v="ORD-2027041"/>
        <s v="ORD-2027042"/>
        <s v="ORD-2027043"/>
        <s v="ORD-2027044"/>
        <s v="ORD-2027045"/>
        <s v="ORD-2027046"/>
        <s v="ORD-2027047"/>
        <s v="ORD-2027048"/>
        <s v="ORD-2027049"/>
        <s v="ORD-2027050"/>
        <s v="ORD-2027051"/>
        <s v="ORD-2027052"/>
        <s v="ORD-2027053"/>
        <s v="ORD-2027054"/>
        <s v="ORD-2027055"/>
        <s v="ORD-2027056"/>
        <s v="ORD-2027057"/>
        <s v="ORD-2027058"/>
        <s v="ORD-2027059"/>
        <s v="ORD-2027060"/>
        <s v="ORD-2027061"/>
        <s v="ORD-2027062"/>
        <s v="ORD-2027063"/>
        <s v="ORD-2027064"/>
        <s v="ORD-2027065"/>
        <s v="ORD-2027066"/>
        <s v="ORD-2027067"/>
        <s v="ORD-2027068"/>
        <s v="ORD-2027069"/>
        <s v="ORD-2027070"/>
        <s v="ORD-2027071"/>
        <s v="ORD-2027072"/>
        <s v="ORD-2027073"/>
        <s v="ORD-2027074"/>
        <s v="ORD-2027075"/>
        <s v="ORD-2027076"/>
        <s v="ORD-2027077"/>
        <s v="ORD-2027078"/>
        <s v="ORD-2027079"/>
        <s v="ORD-2027080"/>
        <s v="ORD-2027081"/>
        <s v="ORD-2027082"/>
        <s v="ORD-2027083"/>
        <s v="ORD-2027084"/>
        <s v="ORD-2027085"/>
        <s v="ORD-2027086"/>
        <s v="ORD-2027087"/>
        <s v="ORD-2027088"/>
        <s v="ORD-2027089"/>
        <s v="ORD-2027090"/>
        <s v="ORD-2027091"/>
        <s v="ORD-2027092"/>
        <s v="ORD-2027093"/>
        <s v="ORD-2027094"/>
        <s v="ORD-2027095"/>
        <s v="ORD-2027096"/>
        <s v="ORD-2027097"/>
        <s v="ORD-2027098"/>
        <s v="ORD-2027099"/>
        <s v="ORD-2027100"/>
        <s v="ORD-2027101"/>
        <s v="ORD-2027102"/>
        <s v="ORD-2027103"/>
        <s v="ORD-2027104"/>
        <s v="ORD-2027105"/>
        <s v="ORD-2027106"/>
        <s v="ORD-2027107"/>
        <s v="ORD-2027108"/>
        <s v="ORD-2027109"/>
        <s v="ORD-2027110"/>
        <s v="ORD-2027111"/>
        <s v="ORD-2027112"/>
        <s v="ORD-2027113"/>
        <s v="ORD-2027114"/>
        <s v="ORD-2027115"/>
        <s v="ORD-2027116"/>
        <s v="ORD-2027117"/>
        <s v="ORD-2027118"/>
        <s v="ORD-2027119"/>
        <s v="ORD-2027120"/>
        <s v="ORD-2027121"/>
        <s v="ORD-2027122"/>
        <s v="ORD-2027123"/>
        <s v="ORD-2027124"/>
        <s v="ORD-2027125"/>
        <s v="ORD-2027126"/>
        <s v="ORD-2027127"/>
        <s v="ORD-2027128"/>
        <s v="ORD-2027129"/>
        <s v="ORD-2027130"/>
        <s v="ORD-2027131"/>
        <s v="ORD-2027132"/>
        <s v="ORD-2027133"/>
        <s v="ORD-2027134"/>
        <s v="ORD-2027135"/>
        <s v="ORD-2027136"/>
        <s v="ORD-2027137"/>
        <s v="ORD-2027138"/>
        <s v="ORD-2027139"/>
        <s v="ORD-2027140"/>
        <s v="ORD-2027141"/>
        <s v="ORD-2027142"/>
        <s v="ORD-2027143"/>
        <s v="ORD-2027144"/>
        <s v="ORD-2027145"/>
        <s v="ORD-2027146"/>
        <s v="ORD-2027147"/>
        <s v="ORD-2027148"/>
        <s v="ORD-2027149"/>
        <s v="ORD-2027150"/>
        <s v="ORD-2027151"/>
        <s v="ORD-2027152"/>
        <s v="ORD-2027153"/>
        <s v="ORD-2027154"/>
        <s v="ORD-2027155"/>
        <s v="ORD-2027156"/>
        <s v="ORD-2027157"/>
        <s v="ORD-2027158"/>
        <s v="ORD-2027159"/>
        <s v="ORD-2027160"/>
        <s v="ORD-2027161"/>
        <s v="ORD-2027162"/>
        <s v="ORD-2027163"/>
        <s v="ORD-2027164"/>
        <s v="ORD-2027165"/>
        <s v="ORD-2027166"/>
        <s v="ORD-2027167"/>
        <s v="ORD-2027168"/>
        <s v="ORD-2027169"/>
        <s v="ORD-2027170"/>
        <s v="ORD-2027171"/>
        <s v="ORD-2027172"/>
        <s v="ORD-2027173"/>
        <s v="ORD-2027174"/>
        <s v="ORD-2027175"/>
        <s v="ORD-2027176"/>
        <s v="ORD-2027177"/>
        <s v="ORD-2027178"/>
        <s v="ORD-2027179"/>
        <s v="ORD-2027180"/>
        <s v="ORD-2027181"/>
        <s v="ORD-2027182"/>
        <s v="ORD-2027183"/>
        <s v="ORD-2027184"/>
        <s v="ORD-2027185"/>
        <s v="ORD-2027186"/>
        <s v="ORD-2027187"/>
        <s v="ORD-2027188"/>
        <s v="ORD-2027189"/>
        <s v="ORD-2027190"/>
        <s v="ORD-2027191"/>
        <s v="ORD-2027192"/>
        <s v="ORD-2027193"/>
        <s v="ORD-2027194"/>
        <s v="ORD-2027195"/>
        <s v="ORD-2027196"/>
        <s v="ORD-2027197"/>
        <s v="ORD-2027198"/>
        <s v="ORD-2027199"/>
        <s v="ORD-2027200"/>
        <s v="ORD-2027201"/>
        <s v="ORD-2027202"/>
        <s v="ORD-2027203"/>
        <s v="ORD-2027204"/>
        <s v="ORD-2027205"/>
        <s v="ORD-2027206"/>
        <s v="ORD-2027207"/>
        <s v="ORD-2027208"/>
        <s v="ORD-2027209"/>
        <s v="ORD-2027210"/>
        <s v="ORD-2027211"/>
        <s v="ORD-2027212"/>
        <s v="ORD-2027213"/>
        <s v="ORD-2027214"/>
        <s v="ORD-2027215"/>
        <s v="ORD-2027216"/>
        <s v="ORD-2027217"/>
        <s v="ORD-2027218"/>
        <s v="ORD-2027219"/>
        <s v="ORD-2027220"/>
        <s v="ORD-2027221"/>
        <s v="ORD-2027222"/>
        <s v="ORD-2027223"/>
        <s v="ORD-2027224"/>
        <s v="ORD-2027225"/>
        <s v="ORD-2027226"/>
        <s v="ORD-2027227"/>
        <s v="ORD-2027228"/>
        <s v="ORD-2027229"/>
        <s v="ORD-2027230"/>
        <s v="ORD-2027231"/>
        <s v="ORD-2027232"/>
        <s v="ORD-2027233"/>
        <s v="ORD-2027234"/>
        <s v="ORD-2027235"/>
        <s v="ORD-2027236"/>
        <s v="ORD-2027237"/>
        <s v="ORD-2027238"/>
        <s v="ORD-2027239"/>
        <s v="ORD-2027240"/>
        <s v="ORD-2027241"/>
        <s v="ORD-2027242"/>
        <s v="ORD-2027243"/>
        <s v="ORD-2027244"/>
        <s v="ORD-2027245"/>
        <s v="ORD-2027246"/>
        <s v="ORD-2027247"/>
        <s v="ORD-2027248"/>
        <s v="ORD-2027249"/>
        <s v="ORD-2027250"/>
        <s v="ORD-2027251"/>
        <s v="ORD-2027252"/>
        <s v="ORD-2027253"/>
        <s v="ORD-2027254"/>
        <s v="ORD-2027255"/>
        <s v="ORD-2027256"/>
        <s v="ORD-2027257"/>
        <s v="ORD-2027258"/>
        <s v="ORD-2027259"/>
        <s v="ORD-2027260"/>
        <s v="ORD-2027261"/>
        <s v="ORD-2027262"/>
        <s v="ORD-2027263"/>
        <s v="ORD-2027264"/>
        <s v="ORD-2027265"/>
        <s v="ORD-2027266"/>
        <s v="ORD-2027267"/>
        <s v="ORD-2027268"/>
        <s v="ORD-2027269"/>
        <s v="ORD-2027270"/>
        <s v="ORD-2027271"/>
        <s v="ORD-2027272"/>
        <s v="ORD-2027273"/>
        <s v="ORD-2027274"/>
        <s v="ORD-2027275"/>
        <s v="ORD-2027276"/>
        <s v="ORD-2027277"/>
        <s v="ORD-2027278"/>
        <s v="ORD-2027279"/>
        <s v="ORD-2027280"/>
        <s v="ORD-2027281"/>
        <s v="ORD-2027282"/>
        <s v="ORD-2027283"/>
        <s v="ORD-2027284"/>
        <s v="ORD-2027285"/>
        <s v="ORD-2027286"/>
        <s v="ORD-2027287"/>
        <s v="ORD-2027288"/>
        <s v="ORD-2027289"/>
        <s v="ORD-2027290"/>
        <s v="ORD-2027291"/>
        <s v="ORD-2027292"/>
        <s v="ORD-2027293"/>
        <s v="ORD-2027294"/>
        <s v="ORD-2027295"/>
        <s v="ORD-2027296"/>
        <s v="ORD-2027297"/>
        <s v="ORD-2027298"/>
        <s v="ORD-2027299"/>
        <s v="ORD-2027300"/>
        <s v="ORD-2027301"/>
        <s v="ORD-2027302"/>
        <s v="ORD-2027303"/>
        <s v="ORD-2027304"/>
        <s v="ORD-2027305"/>
        <s v="ORD-2027306"/>
        <s v="ORD-2027307"/>
        <s v="ORD-2027308"/>
        <s v="ORD-2027309"/>
        <s v="ORD-2027310"/>
        <s v="ORD-2027311"/>
        <s v="ORD-2027312"/>
        <s v="ORD-2027313"/>
        <s v="ORD-2027314"/>
        <s v="ORD-2027315"/>
        <s v="ORD-2027316"/>
        <s v="ORD-2027317"/>
        <s v="ORD-2027318"/>
        <s v="ORD-2027319"/>
        <s v="ORD-2027320"/>
        <s v="ORD-2027321"/>
        <s v="ORD-2027322"/>
        <s v="ORD-2027323"/>
        <s v="ORD-2027324"/>
        <s v="ORD-2027325"/>
        <s v="ORD-2027326"/>
        <s v="ORD-2027327"/>
        <s v="ORD-2027328"/>
        <s v="ORD-2027329"/>
        <s v="ORD-2027330"/>
        <s v="ORD-2027331"/>
        <s v="ORD-2027332"/>
        <s v="ORD-2027333"/>
        <s v="ORD-2027334"/>
        <s v="ORD-2027335"/>
        <s v="ORD-2027336"/>
        <s v="ORD-2027337"/>
        <s v="ORD-2027338"/>
        <s v="ORD-2027339"/>
        <s v="ORD-2027340"/>
        <s v="ORD-2027341"/>
        <s v="ORD-2027342"/>
        <s v="ORD-2027343"/>
        <s v="ORD-2027344"/>
        <s v="ORD-2027345"/>
        <s v="ORD-2027346"/>
        <s v="ORD-2027347"/>
        <s v="ORD-2027348"/>
        <s v="ORD-2027349"/>
        <s v="ORD-2027350"/>
        <s v="ORD-2027351"/>
        <s v="ORD-2027352"/>
        <s v="ORD-2027353"/>
        <s v="ORD-2027354"/>
        <s v="ORD-2027355"/>
        <s v="ORD-2027356"/>
        <s v="ORD-2027357"/>
        <s v="ORD-2027358"/>
        <s v="ORD-2027359"/>
        <s v="ORD-2027360"/>
        <s v="ORD-2027361"/>
        <s v="ORD-2027362"/>
        <s v="ORD-2027363"/>
        <s v="ORD-2027364"/>
        <s v="ORD-2027365"/>
        <s v="ORD-2027366"/>
        <s v="ORD-2027367"/>
        <s v="ORD-2027368"/>
        <s v="ORD-2027369"/>
        <s v="ORD-2027370"/>
        <s v="ORD-2027371"/>
        <s v="ORD-2027372"/>
        <s v="ORD-2027373"/>
        <s v="ORD-2027374"/>
        <s v="ORD-2027375"/>
        <s v="ORD-2027376"/>
        <s v="ORD-2027377"/>
        <s v="ORD-2027378"/>
        <s v="ORD-2027379"/>
        <s v="ORD-2027380"/>
        <s v="ORD-2027381"/>
        <s v="ORD-2027382"/>
        <s v="ORD-2027383"/>
        <s v="ORD-2027384"/>
        <s v="ORD-2027385"/>
        <s v="ORD-2027386"/>
        <s v="ORD-2027387"/>
        <s v="ORD-2027388"/>
        <s v="ORD-2027389"/>
        <s v="ORD-2027390"/>
        <s v="ORD-2027391"/>
        <s v="ORD-2027392"/>
        <s v="ORD-2027393"/>
        <s v="ORD-2027394"/>
        <s v="ORD-2027395"/>
        <s v="ORD-2027396"/>
        <s v="ORD-2027397"/>
        <s v="ORD-2027398"/>
        <s v="ORD-2027399"/>
        <s v="ORD-2027400"/>
        <s v="ORD-2027401"/>
        <s v="ORD-2027402"/>
        <s v="ORD-2027403"/>
        <s v="ORD-2027404"/>
        <s v="ORD-2027405"/>
        <s v="ORD-2027406"/>
        <s v="ORD-2027407"/>
        <s v="ORD-2027408"/>
        <s v="ORD-2027409"/>
        <s v="ORD-2027410"/>
        <s v="ORD-2027411"/>
        <s v="ORD-2027412"/>
        <s v="ORD-2027413"/>
        <s v="ORD-2027414"/>
        <s v="ORD-2027415"/>
        <s v="ORD-2027416"/>
        <s v="ORD-2027417"/>
        <s v="ORD-2027418"/>
        <s v="ORD-2027419"/>
        <s v="ORD-2027420"/>
        <s v="ORD-2027421"/>
        <s v="ORD-2027422"/>
        <s v="ORD-2027423"/>
        <s v="ORD-2027424"/>
        <s v="ORD-2027425"/>
        <s v="ORD-2027426"/>
        <s v="ORD-2027427"/>
        <s v="ORD-2027428"/>
        <s v="ORD-2027429"/>
        <s v="ORD-2027430"/>
        <s v="ORD-2027431"/>
        <s v="ORD-2027432"/>
        <s v="ORD-2027433"/>
        <s v="ORD-2027434"/>
        <s v="ORD-2027435"/>
        <s v="ORD-2027436"/>
        <s v="ORD-2027437"/>
        <s v="ORD-2027438"/>
        <s v="ORD-2027439"/>
        <s v="ORD-2027440"/>
        <s v="ORD-2027441"/>
        <s v="ORD-2027442"/>
        <s v="ORD-2027443"/>
        <s v="ORD-2027444"/>
        <s v="ORD-2027445"/>
        <s v="ORD-2027446"/>
        <s v="ORD-2027447"/>
        <s v="ORD-2027448"/>
        <s v="ORD-2027449"/>
        <s v="ORD-2027450"/>
        <s v="ORD-2027451"/>
        <s v="ORD-2027452"/>
        <s v="ORD-2027453"/>
        <s v="ORD-2027454"/>
        <s v="ORD-2027455"/>
        <s v="ORD-2027456"/>
        <s v="ORD-2027457"/>
        <s v="ORD-2027458"/>
        <s v="ORD-2027459"/>
        <s v="ORD-2027460"/>
        <s v="ORD-2027461"/>
        <s v="ORD-2027462"/>
        <s v="ORD-2027463"/>
        <s v="ORD-2027464"/>
        <s v="ORD-2027465"/>
        <s v="ORD-2027466"/>
        <s v="ORD-2027467"/>
        <s v="ORD-2027468"/>
        <s v="ORD-2027469"/>
        <s v="ORD-2027470"/>
        <s v="ORD-2027471"/>
        <s v="ORD-2027472"/>
        <s v="ORD-2027473"/>
        <s v="ORD-2027474"/>
        <s v="ORD-2027475"/>
        <s v="ORD-2027476"/>
        <s v="ORD-2027477"/>
        <s v="ORD-2027478"/>
        <s v="ORD-2027479"/>
        <s v="ORD-2027480"/>
        <s v="ORD-2027481"/>
        <s v="ORD-2027482"/>
        <s v="ORD-2027483"/>
        <s v="ORD-2027484"/>
        <s v="ORD-2027485"/>
        <s v="ORD-2027486"/>
        <s v="ORD-2027487"/>
        <s v="ORD-2027488"/>
        <s v="ORD-2027489"/>
        <s v="ORD-2027490"/>
        <s v="ORD-2027491"/>
        <s v="ORD-2027492"/>
        <s v="ORD-2027493"/>
        <s v="ORD-2027494"/>
        <s v="ORD-2027495"/>
        <s v="ORD-2027496"/>
        <s v="ORD-2027497"/>
        <s v="ORD-2027498"/>
        <s v="ORD-2027499"/>
        <s v="ORD-2027500"/>
        <s v="ORD-2027501"/>
        <s v="ORD-2027502"/>
        <s v="ORD-2027503"/>
        <s v="ORD-2027504"/>
        <s v="ORD-2027505"/>
        <s v="ORD-2027506"/>
        <s v="ORD-2027507"/>
        <s v="ORD-2027508"/>
        <s v="ORD-2027509"/>
        <s v="ORD-2027510"/>
        <s v="ORD-2027511"/>
        <s v="ORD-2027512"/>
        <s v="ORD-2027513"/>
        <s v="ORD-2027514"/>
        <s v="ORD-2027515"/>
        <s v="ORD-2027516"/>
        <s v="ORD-2027517"/>
        <s v="ORD-2027518"/>
        <s v="ORD-2027519"/>
        <s v="ORD-2027520"/>
        <s v="ORD-2027521"/>
        <s v="ORD-2027522"/>
        <s v="ORD-2027523"/>
        <s v="ORD-2027524"/>
        <s v="ORD-2027525"/>
        <s v="ORD-2027526"/>
        <s v="ORD-2027527"/>
        <s v="ORD-2027528"/>
        <s v="ORD-2027529"/>
        <s v="ORD-2027530"/>
        <s v="ORD-2027531"/>
        <s v="ORD-2027532"/>
        <s v="ORD-2027533"/>
        <s v="ORD-2027534"/>
        <s v="ORD-2027535"/>
        <s v="ORD-2027536"/>
        <s v="ORD-2027537"/>
        <s v="ORD-2027538"/>
        <s v="ORD-2027539"/>
        <s v="ORD-2027540"/>
        <s v="ORD-2027541"/>
        <s v="ORD-2027542"/>
        <s v="ORD-2027543"/>
        <s v="ORD-2027544"/>
        <s v="ORD-2027545"/>
        <s v="ORD-2027546"/>
        <s v="ORD-2027547"/>
        <s v="ORD-2027548"/>
        <s v="ORD-2027549"/>
        <s v="ORD-2027550"/>
        <s v="ORD-2027551"/>
        <s v="ORD-2027552"/>
        <s v="ORD-2027553"/>
        <s v="ORD-2027554"/>
        <s v="ORD-2027555"/>
        <s v="ORD-2027556"/>
        <s v="ORD-2027557"/>
        <s v="ORD-2027558"/>
        <s v="ORD-2027559"/>
        <s v="ORD-2027560"/>
        <s v="ORD-2027561"/>
        <s v="ORD-2027562"/>
        <s v="ORD-2027563"/>
        <s v="ORD-2027564"/>
        <s v="ORD-2027565"/>
        <s v="ORD-2027566"/>
        <s v="ORD-2027567"/>
        <s v="ORD-2027568"/>
        <s v="ORD-2027569"/>
        <s v="ORD-2027570"/>
        <s v="ORD-2027571"/>
        <s v="ORD-2027572"/>
        <s v="ORD-2027573"/>
        <s v="ORD-2027574"/>
        <s v="ORD-2027575"/>
        <s v="ORD-2027576"/>
        <s v="ORD-2027577"/>
        <s v="ORD-2027578"/>
        <s v="ORD-2027579"/>
        <s v="ORD-2027580"/>
        <s v="ORD-2027581"/>
        <s v="ORD-2027582"/>
        <s v="ORD-2027583"/>
        <s v="ORD-2027584"/>
        <s v="ORD-2027585"/>
        <s v="ORD-2027586"/>
        <s v="ORD-2027587"/>
        <s v="ORD-2027588"/>
        <s v="ORD-2027589"/>
        <s v="ORD-2027590"/>
        <s v="ORD-2027591"/>
        <s v="ORD-2027592"/>
        <s v="ORD-2027593"/>
        <s v="ORD-2027594"/>
        <s v="ORD-2027595"/>
        <s v="ORD-2027596"/>
        <s v="ORD-2027597"/>
        <s v="ORD-2027598"/>
        <s v="ORD-2027599"/>
        <s v="ORD-2027600"/>
        <s v="ORD-2027601"/>
        <s v="ORD-2027602"/>
        <s v="ORD-2027603"/>
        <s v="ORD-2027604"/>
        <s v="ORD-2027605"/>
        <s v="ORD-2027606"/>
        <s v="ORD-2027607"/>
        <s v="ORD-2027608"/>
        <s v="ORD-2027609"/>
        <s v="ORD-2027610"/>
        <s v="ORD-2027611"/>
        <s v="ORD-2027612"/>
        <s v="ORD-2027613"/>
        <s v="ORD-2027614"/>
        <s v="ORD-2027615"/>
        <s v="ORD-2027616"/>
        <s v="ORD-2027617"/>
        <s v="ORD-2027618"/>
        <s v="ORD-2027619"/>
        <s v="ORD-2027620"/>
        <s v="ORD-2027621"/>
        <s v="ORD-2027622"/>
        <s v="ORD-2027623"/>
        <s v="ORD-2027624"/>
        <s v="ORD-2027625"/>
        <s v="ORD-2027626"/>
        <s v="ORD-2027627"/>
        <s v="ORD-2027628"/>
        <s v="ORD-2027629"/>
        <s v="ORD-2027630"/>
        <s v="ORD-2027631"/>
        <s v="ORD-2027632"/>
        <s v="ORD-2027633"/>
        <s v="ORD-2027634"/>
        <s v="ORD-2027635"/>
        <s v="ORD-2027636"/>
        <s v="ORD-2027637"/>
        <s v="ORD-2027638"/>
        <s v="ORD-2027639"/>
        <s v="ORD-2027640"/>
        <s v="ORD-2027641"/>
        <s v="ORD-2027642"/>
        <s v="ORD-2027643"/>
        <s v="ORD-2027644"/>
        <s v="ORD-2027645"/>
        <s v="ORD-2027646"/>
        <s v="ORD-2027647"/>
        <s v="ORD-2027648"/>
        <s v="ORD-2027649"/>
        <s v="ORD-2027650"/>
        <s v="ORD-2027651"/>
        <s v="ORD-2027652"/>
        <s v="ORD-2027653"/>
        <s v="ORD-2027654"/>
        <s v="ORD-2027655"/>
        <s v="ORD-2027656"/>
        <s v="ORD-2027657"/>
        <s v="ORD-2027658"/>
        <s v="ORD-2027659"/>
        <s v="ORD-2027660"/>
        <s v="ORD-2027661"/>
        <s v="ORD-2027662"/>
        <s v="ORD-2027663"/>
        <s v="ORD-2027664"/>
        <s v="ORD-2027665"/>
        <s v="ORD-2027666"/>
        <s v="ORD-2027667"/>
        <s v="ORD-2027668"/>
        <s v="ORD-2027669"/>
        <s v="ORD-2027670"/>
        <s v="ORD-2027671"/>
        <s v="ORD-2027672"/>
        <s v="ORD-2027673"/>
        <s v="ORD-2027674"/>
        <s v="ORD-2027675"/>
        <s v="ORD-2027676"/>
        <s v="ORD-2027677"/>
        <s v="ORD-2027678"/>
        <s v="ORD-2027679"/>
        <s v="ORD-2027680"/>
        <s v="ORD-2027681"/>
        <s v="ORD-2027682"/>
        <s v="ORD-2027683"/>
        <s v="ORD-2027684"/>
        <s v="ORD-2027685"/>
        <s v="ORD-2027686"/>
        <s v="ORD-2027687"/>
        <s v="ORD-2027688"/>
        <s v="ORD-2027689"/>
        <s v="ORD-2027690"/>
        <s v="ORD-2027691"/>
        <s v="ORD-2027692"/>
        <s v="ORD-2027693"/>
        <s v="ORD-2027694"/>
        <s v="ORD-2027695"/>
        <s v="ORD-2027696"/>
        <s v="ORD-2027697"/>
        <s v="ORD-2027698"/>
        <s v="ORD-2027699"/>
        <s v="ORD-2027700"/>
        <s v="ORD-2027701"/>
        <s v="ORD-2027702"/>
        <s v="ORD-2027703"/>
        <s v="ORD-2027704"/>
        <s v="ORD-2027705"/>
        <s v="ORD-2027706"/>
        <s v="ORD-2027707"/>
        <s v="ORD-2027708"/>
        <s v="ORD-2027709"/>
        <s v="ORD-2027710"/>
        <s v="ORD-2027711"/>
        <s v="ORD-2027712"/>
        <s v="ORD-2027713"/>
        <s v="ORD-2027714"/>
        <s v="ORD-2027715"/>
        <s v="ORD-2027716"/>
        <s v="ORD-2027717"/>
        <s v="ORD-2027718"/>
        <s v="ORD-2027719"/>
        <s v="ORD-2027720"/>
        <s v="ORD-2027721"/>
        <s v="ORD-2027722"/>
        <s v="ORD-2027723"/>
        <s v="ORD-2027724"/>
        <s v="ORD-2027725"/>
        <s v="ORD-2027726"/>
        <s v="ORD-2027727"/>
        <s v="ORD-2027728"/>
        <s v="ORD-2027729"/>
        <s v="ORD-2027730"/>
        <s v="ORD-2027731"/>
        <s v="ORD-2027732"/>
        <s v="ORD-2027733"/>
        <s v="ORD-2027734"/>
        <s v="ORD-2027735"/>
        <s v="ORD-2027736"/>
        <s v="ORD-2027737"/>
        <s v="ORD-2027738"/>
        <s v="ORD-2027739"/>
        <s v="ORD-2027740"/>
        <s v="ORD-2027741"/>
        <s v="ORD-2027742"/>
        <s v="ORD-2027743"/>
        <s v="ORD-2027744"/>
        <s v="ORD-2027745"/>
        <s v="ORD-2027746"/>
        <s v="ORD-2027747"/>
        <s v="ORD-2027748"/>
        <s v="ORD-2027749"/>
        <s v="ORD-2027750"/>
        <s v="ORD-2027751"/>
        <s v="ORD-2027752"/>
        <s v="ORD-2027753"/>
        <s v="ORD-2027754"/>
        <s v="ORD-2027755"/>
        <s v="ORD-2027756"/>
        <s v="ORD-2027757"/>
        <s v="ORD-2027758"/>
        <s v="ORD-2027759"/>
        <s v="ORD-2027760"/>
        <s v="ORD-2027761"/>
        <s v="ORD-2027762"/>
        <s v="ORD-2027763"/>
        <s v="ORD-2027764"/>
        <s v="ORD-2027765"/>
        <s v="ORD-2027766"/>
        <s v="ORD-2027767"/>
        <s v="ORD-2027768"/>
        <s v="ORD-2027769"/>
        <s v="ORD-2027770"/>
        <s v="ORD-2027771"/>
        <s v="ORD-2027772"/>
        <s v="ORD-2027773"/>
        <s v="ORD-2027774"/>
        <s v="ORD-2027775"/>
        <s v="ORD-2027776"/>
        <s v="ORD-2027777"/>
        <s v="ORD-2027778"/>
        <s v="ORD-2027779"/>
        <s v="ORD-2027780"/>
        <s v="ORD-2027781"/>
        <s v="ORD-2027782"/>
        <s v="ORD-2027783"/>
        <s v="ORD-2027784"/>
        <s v="ORD-2027785"/>
        <s v="ORD-2027786"/>
        <s v="ORD-2027787"/>
        <s v="ORD-2027788"/>
        <s v="ORD-2027789"/>
        <s v="ORD-2027790"/>
        <s v="ORD-2027791"/>
        <s v="ORD-2027792"/>
        <s v="ORD-2027793"/>
        <s v="ORD-2027794"/>
        <s v="ORD-2027795"/>
        <s v="ORD-2027796"/>
        <s v="ORD-2027797"/>
        <s v="ORD-2027798"/>
        <s v="ORD-2027799"/>
        <s v="ORD-2027800"/>
        <s v="ORD-2027801"/>
        <s v="ORD-2027802"/>
        <s v="ORD-2027803"/>
        <s v="ORD-2027804"/>
        <s v="ORD-2027805"/>
        <s v="ORD-2027806"/>
        <s v="ORD-2027807"/>
        <s v="ORD-2027808"/>
        <s v="ORD-2027809"/>
        <s v="ORD-2027810"/>
        <s v="ORD-2027811"/>
        <s v="ORD-2027812"/>
        <s v="ORD-2027813"/>
        <s v="ORD-2027814"/>
        <s v="ORD-2027815"/>
        <s v="ORD-2027816"/>
        <s v="ORD-2027817"/>
        <s v="ORD-2027818"/>
        <s v="ORD-2027819"/>
        <s v="ORD-2027820"/>
        <s v="ORD-2027821"/>
        <s v="ORD-2027822"/>
        <s v="ORD-2027823"/>
        <s v="ORD-2027824"/>
        <s v="ORD-2027825"/>
        <s v="ORD-2027826"/>
        <s v="ORD-2027827"/>
        <s v="ORD-2027828"/>
        <s v="ORD-2027829"/>
        <s v="ORD-2027830"/>
        <s v="ORD-2027831"/>
        <s v="ORD-2027832"/>
        <s v="ORD-2027833"/>
        <s v="ORD-2027834"/>
        <s v="ORD-2027835"/>
        <s v="ORD-2027836"/>
        <s v="ORD-2027837"/>
        <s v="ORD-2027838"/>
        <s v="ORD-2027839"/>
        <s v="ORD-2027840"/>
        <s v="ORD-2027841"/>
        <s v="ORD-2027842"/>
        <s v="ORD-2027843"/>
        <s v="ORD-2027844"/>
        <s v="ORD-2027845"/>
        <s v="ORD-2027846"/>
        <s v="ORD-2027847"/>
        <s v="ORD-2027848"/>
        <s v="ORD-2027849"/>
        <s v="ORD-2027850"/>
        <s v="ORD-2027851"/>
        <s v="ORD-2027852"/>
        <s v="ORD-2027853"/>
        <s v="ORD-2027854"/>
        <s v="ORD-2027855"/>
        <s v="ORD-2027856"/>
        <s v="ORD-2027857"/>
        <s v="ORD-2027858"/>
        <s v="ORD-2027859"/>
        <s v="ORD-2027860"/>
        <s v="ORD-2027861"/>
        <s v="ORD-2027862"/>
        <s v="ORD-2027863"/>
        <s v="ORD-2027864"/>
        <s v="ORD-2027865"/>
        <s v="ORD-2027866"/>
        <s v="ORD-2027867"/>
        <s v="ORD-2027868"/>
        <s v="ORD-2027869"/>
        <s v="ORD-2027870"/>
        <s v="ORD-2027871"/>
        <s v="ORD-2027872"/>
        <s v="ORD-2027873"/>
        <s v="ORD-2027874"/>
        <s v="ORD-2027875"/>
        <s v="ORD-2027876"/>
        <s v="ORD-2027877"/>
        <s v="ORD-2027878"/>
        <s v="ORD-2027879"/>
        <s v="ORD-2027880"/>
        <s v="ORD-2027881"/>
        <s v="ORD-2027882"/>
        <s v="ORD-2027883"/>
        <s v="ORD-2027884"/>
        <s v="ORD-2027885"/>
        <s v="ORD-2027886"/>
        <s v="ORD-2027887"/>
        <s v="ORD-2027888"/>
        <s v="ORD-2027889"/>
        <s v="ORD-2027890"/>
        <s v="ORD-2027891"/>
        <s v="ORD-2027892"/>
        <s v="ORD-2027893"/>
        <s v="ORD-2027894"/>
        <s v="ORD-2027895"/>
        <s v="ORD-2027896"/>
        <s v="ORD-2027897"/>
        <s v="ORD-2027898"/>
        <s v="ORD-2027899"/>
        <s v="ORD-2027900"/>
        <s v="ORD-2027901"/>
        <s v="ORD-2027902"/>
        <s v="ORD-2027903"/>
        <s v="ORD-2027904"/>
        <s v="ORD-2027905"/>
        <s v="ORD-2027906"/>
        <s v="ORD-2027907"/>
        <s v="ORD-2027908"/>
        <s v="ORD-2027909"/>
        <s v="ORD-2027910"/>
        <s v="ORD-2027911"/>
        <s v="ORD-2027912"/>
        <s v="ORD-2027913"/>
        <s v="ORD-2027914"/>
        <s v="ORD-2027915"/>
        <s v="ORD-2027916"/>
        <s v="ORD-2027917"/>
        <s v="ORD-2027918"/>
        <s v="ORD-2027919"/>
        <s v="ORD-2027920"/>
        <s v="ORD-2027921"/>
        <s v="ORD-2027922"/>
        <s v="ORD-2027923"/>
        <s v="ORD-2027924"/>
        <s v="ORD-2027925"/>
        <s v="ORD-2027926"/>
        <s v="ORD-2027927"/>
        <s v="ORD-2027928"/>
        <s v="ORD-2027929"/>
        <s v="ORD-2027930"/>
        <s v="ORD-2027931"/>
        <s v="ORD-2027932"/>
        <s v="ORD-2027933"/>
        <s v="ORD-2027934"/>
        <s v="ORD-2027935"/>
        <s v="ORD-2027936"/>
        <s v="ORD-2027937"/>
        <s v="ORD-2027938"/>
        <s v="ORD-2027939"/>
        <s v="ORD-2027940"/>
        <s v="ORD-2027941"/>
        <s v="ORD-2027942"/>
        <s v="ORD-2027943"/>
        <s v="ORD-2027944"/>
        <s v="ORD-2027945"/>
        <s v="ORD-2027946"/>
        <s v="ORD-2027947"/>
        <s v="ORD-2027948"/>
        <s v="ORD-2027949"/>
        <s v="ORD-2027950"/>
        <s v="ORD-2027951"/>
        <s v="ORD-2027952"/>
        <s v="ORD-2027953"/>
        <s v="ORD-2027954"/>
        <s v="ORD-2027955"/>
        <s v="ORD-2027956"/>
        <s v="ORD-2027957"/>
        <s v="ORD-2027958"/>
        <s v="ORD-2027959"/>
        <s v="ORD-2027960"/>
        <s v="ORD-2027961"/>
        <s v="ORD-2027962"/>
        <s v="ORD-2027963"/>
        <s v="ORD-2027964"/>
        <s v="ORD-2027965"/>
        <s v="ORD-2027966"/>
        <s v="ORD-2027967"/>
        <s v="ORD-2027968"/>
        <s v="ORD-2027969"/>
        <s v="ORD-2027970"/>
        <s v="ORD-2027971"/>
        <s v="ORD-2027972"/>
        <s v="ORD-2027973"/>
        <s v="ORD-2027974"/>
        <s v="ORD-2027975"/>
        <s v="ORD-2027976"/>
        <s v="ORD-2027977"/>
        <s v="ORD-2027978"/>
        <s v="ORD-2027979"/>
        <s v="ORD-2027980"/>
        <s v="ORD-2027981"/>
        <s v="ORD-2027982"/>
        <s v="ORD-2027983"/>
        <s v="ORD-2027984"/>
        <s v="ORD-2027985"/>
        <s v="ORD-2027986"/>
        <s v="ORD-2027987"/>
        <s v="ORD-2027988"/>
        <m/>
      </sharedItems>
    </cacheField>
    <cacheField name="Day" numFmtId="0">
      <sharedItems containsBlank="1"/>
    </cacheField>
    <cacheField name="Month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  <cacheField name="Year" numFmtId="0">
      <sharedItems containsBlank="1" count="2">
        <s v="2025"/>
        <m/>
      </sharedItems>
    </cacheField>
    <cacheField name="CustomerID" numFmtId="0">
      <sharedItems containsBlank="1"/>
    </cacheField>
    <cacheField name="CustomerName" numFmtId="0">
      <sharedItems containsBlank="1"/>
    </cacheField>
    <cacheField name="Region" numFmtId="0">
      <sharedItems containsBlank="1" count="6">
        <s v="North"/>
        <s v="East"/>
        <s v="West"/>
        <s v="South"/>
        <s v="Central"/>
        <m/>
      </sharedItems>
    </cacheField>
    <cacheField name="Category" numFmtId="0">
      <sharedItems containsBlank="1" count="8">
        <s v="Stationery"/>
        <s v="Electronics"/>
        <s v="Beauty"/>
        <s v="Home &amp; Kitchen"/>
        <s v="Apparel"/>
        <s v="Groceries"/>
        <s v="Sports"/>
        <m/>
      </sharedItems>
    </cacheField>
    <cacheField name="ProductName" numFmtId="0">
      <sharedItems containsBlank="1" count="17">
        <s v="Gel Pen Pack"/>
        <s v="Notebook Set"/>
        <s v="Wireless Mouse"/>
        <s v="Herbal Shampoo"/>
        <s v="Smartwatch"/>
        <s v="Non-stick Pan Set"/>
        <s v="LED Desk Lamp"/>
        <s v="Denim Jacket"/>
        <s v="Organic Honey 500g"/>
        <s v="Basmati Rice 5kg"/>
        <s v="Formal Shirt"/>
        <s v="Cotton T-Shirt"/>
        <s v="Cricket Bat"/>
        <s v="Yoga Mat"/>
        <s v="Bluetooth Headphones"/>
        <s v="Face Wash 100ml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containsInteger="1" minValue="99" maxValue="2999"/>
    </cacheField>
    <cacheField name="Revenue" numFmtId="0">
      <sharedItems containsString="0" containsBlank="1" containsNumber="1" containsInteger="1" minValue="99" maxValue="14995"/>
    </cacheField>
    <cacheField name="Discount%" numFmtId="0">
      <sharedItems containsString="0" containsBlank="1" containsNumber="1" containsInteger="1" minValue="0" maxValue="30" count="8">
        <n v="0"/>
        <n v="15"/>
        <n v="5"/>
        <n v="20"/>
        <n v="10"/>
        <n v="25"/>
        <n v="30"/>
        <m/>
      </sharedItems>
    </cacheField>
    <cacheField name="Disc_amount" numFmtId="0">
      <sharedItems containsString="0" containsBlank="1" containsNumber="1" minValue="0" maxValue="3598.8"/>
    </cacheField>
    <cacheField name="TotalAmount" numFmtId="164">
      <sharedItems containsString="0" containsBlank="1" containsNumber="1" minValue="69.3" maxValue="13495.5"/>
    </cacheField>
    <cacheField name="PaymentMethod" numFmtId="0">
      <sharedItems containsBlank="1" count="6">
        <s v="Credit Card"/>
        <s v="Debit Card"/>
        <s v="UPI"/>
        <s v="Cash"/>
        <s v="Net Banking"/>
        <m/>
      </sharedItems>
    </cacheField>
    <cacheField name="CustomerType" numFmtId="0">
      <sharedItems containsBlank="1" count="3">
        <s v="Returning"/>
        <s v="New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9.296327314813" createdVersion="8" refreshedVersion="8" minRefreshableVersion="3" recordCount="2988" xr:uid="{2F9FA5C8-4BB4-4CDD-B298-9CF289B0AD95}">
  <cacheSource type="worksheet">
    <worksheetSource name="Table1"/>
  </cacheSource>
  <cacheFields count="17">
    <cacheField name="OrderID" numFmtId="0">
      <sharedItems/>
    </cacheField>
    <cacheField name="Day" numFmtId="14">
      <sharedItems/>
    </cacheField>
    <cacheField name="Month" numFmtId="14">
      <sharedItems/>
    </cacheField>
    <cacheField name="Year" numFmtId="14">
      <sharedItems/>
    </cacheField>
    <cacheField name="CustomerID" numFmtId="0">
      <sharedItems/>
    </cacheField>
    <cacheField name="CustomerName" numFmtId="0">
      <sharedItems/>
    </cacheField>
    <cacheField name="Region" numFmtId="0">
      <sharedItems count="5">
        <s v="North"/>
        <s v="East"/>
        <s v="West"/>
        <s v="South"/>
        <s v="Central"/>
      </sharedItems>
    </cacheField>
    <cacheField name="Category" numFmtId="0">
      <sharedItems/>
    </cacheField>
    <cacheField name="ProductName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containsInteger="1" minValue="99" maxValue="2999"/>
    </cacheField>
    <cacheField name="Revenue" numFmtId="0">
      <sharedItems containsSemiMixedTypes="0" containsString="0" containsNumber="1" containsInteger="1" minValue="99" maxValue="14995"/>
    </cacheField>
    <cacheField name="Discount%" numFmtId="0">
      <sharedItems containsSemiMixedTypes="0" containsString="0" containsNumber="1" containsInteger="1" minValue="0" maxValue="30"/>
    </cacheField>
    <cacheField name="Disc_amount" numFmtId="0">
      <sharedItems containsSemiMixedTypes="0" containsString="0" containsNumber="1" minValue="0" maxValue="3598.8"/>
    </cacheField>
    <cacheField name="TotalAmount" numFmtId="164">
      <sharedItems containsSemiMixedTypes="0" containsString="0" containsNumber="1" minValue="69.3" maxValue="13495.5"/>
    </cacheField>
    <cacheField name="PaymentMethod" numFmtId="0">
      <sharedItems/>
    </cacheField>
    <cacheField name="CustomerType" numFmtId="0">
      <sharedItems count="2">
        <s v="Returning"/>
        <s v="N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9">
  <r>
    <x v="0"/>
    <s v="1 Wed"/>
    <x v="0"/>
    <x v="0"/>
    <s v="CUST-1039"/>
    <s v="Aarav Joshi"/>
    <x v="0"/>
    <x v="0"/>
    <x v="0"/>
    <n v="2"/>
    <n v="99"/>
    <n v="198"/>
    <x v="0"/>
    <n v="0"/>
    <n v="198"/>
    <x v="0"/>
    <x v="0"/>
  </r>
  <r>
    <x v="1"/>
    <s v="1 Wed"/>
    <x v="0"/>
    <x v="0"/>
    <s v="CUST-1212"/>
    <s v="Komal Joshi"/>
    <x v="1"/>
    <x v="0"/>
    <x v="1"/>
    <n v="3"/>
    <n v="199"/>
    <n v="597"/>
    <x v="1"/>
    <n v="89.55"/>
    <n v="507.45"/>
    <x v="1"/>
    <x v="1"/>
  </r>
  <r>
    <x v="2"/>
    <s v="1 Wed"/>
    <x v="0"/>
    <x v="0"/>
    <s v="CUST-1132"/>
    <s v="Shreya Sharma"/>
    <x v="2"/>
    <x v="1"/>
    <x v="2"/>
    <n v="1"/>
    <n v="599"/>
    <n v="599"/>
    <x v="0"/>
    <n v="0"/>
    <n v="599"/>
    <x v="2"/>
    <x v="1"/>
  </r>
  <r>
    <x v="3"/>
    <s v="1 Wed"/>
    <x v="0"/>
    <x v="0"/>
    <s v="CUST-1272"/>
    <s v="Aarav Saxena"/>
    <x v="3"/>
    <x v="2"/>
    <x v="3"/>
    <n v="1"/>
    <n v="249"/>
    <n v="249"/>
    <x v="1"/>
    <n v="37.35"/>
    <n v="211.65"/>
    <x v="0"/>
    <x v="0"/>
  </r>
  <r>
    <x v="4"/>
    <s v="1 Wed"/>
    <x v="0"/>
    <x v="0"/>
    <s v="CUST-1083"/>
    <s v="Komal Kapoor"/>
    <x v="1"/>
    <x v="1"/>
    <x v="4"/>
    <n v="1"/>
    <n v="2999"/>
    <n v="2999"/>
    <x v="0"/>
    <n v="0"/>
    <n v="2999"/>
    <x v="3"/>
    <x v="0"/>
  </r>
  <r>
    <x v="5"/>
    <s v="1 Wed"/>
    <x v="0"/>
    <x v="0"/>
    <s v="CUST-1013"/>
    <s v="Divya Joshi"/>
    <x v="4"/>
    <x v="3"/>
    <x v="5"/>
    <n v="1"/>
    <n v="1299"/>
    <n v="1299"/>
    <x v="0"/>
    <n v="0"/>
    <n v="1299"/>
    <x v="0"/>
    <x v="0"/>
  </r>
  <r>
    <x v="6"/>
    <s v="1 Wed"/>
    <x v="0"/>
    <x v="0"/>
    <s v="CUST-1166"/>
    <s v="Divya Mehta"/>
    <x v="3"/>
    <x v="3"/>
    <x v="6"/>
    <n v="2"/>
    <n v="799"/>
    <n v="1598"/>
    <x v="0"/>
    <n v="0"/>
    <n v="1598"/>
    <x v="1"/>
    <x v="1"/>
  </r>
  <r>
    <x v="7"/>
    <s v="2 Thu"/>
    <x v="0"/>
    <x v="0"/>
    <s v="CUST-1212"/>
    <s v="Komal Joshi"/>
    <x v="1"/>
    <x v="4"/>
    <x v="7"/>
    <n v="1"/>
    <n v="1999"/>
    <n v="1999"/>
    <x v="0"/>
    <n v="0"/>
    <n v="1999"/>
    <x v="2"/>
    <x v="0"/>
  </r>
  <r>
    <x v="8"/>
    <s v="2 Thu"/>
    <x v="0"/>
    <x v="0"/>
    <s v="CUST-1125"/>
    <s v="Muskan Malhotra"/>
    <x v="0"/>
    <x v="5"/>
    <x v="8"/>
    <n v="1"/>
    <n v="349"/>
    <n v="349"/>
    <x v="0"/>
    <n v="0"/>
    <n v="349"/>
    <x v="0"/>
    <x v="0"/>
  </r>
  <r>
    <x v="9"/>
    <s v="2 Thu"/>
    <x v="0"/>
    <x v="0"/>
    <s v="CUST-1317"/>
    <s v="Aditya Kapoor"/>
    <x v="0"/>
    <x v="3"/>
    <x v="5"/>
    <n v="4"/>
    <n v="1299"/>
    <n v="5196"/>
    <x v="2"/>
    <n v="259.8"/>
    <n v="4936.2"/>
    <x v="1"/>
    <x v="0"/>
  </r>
  <r>
    <x v="10"/>
    <s v="2 Thu"/>
    <x v="0"/>
    <x v="0"/>
    <s v="CUST-1369"/>
    <s v="Rohan Sharma"/>
    <x v="3"/>
    <x v="4"/>
    <x v="7"/>
    <n v="2"/>
    <n v="1999"/>
    <n v="3998"/>
    <x v="0"/>
    <n v="0"/>
    <n v="3998"/>
    <x v="2"/>
    <x v="0"/>
  </r>
  <r>
    <x v="11"/>
    <s v="2 Thu"/>
    <x v="0"/>
    <x v="0"/>
    <s v="CUST-1250"/>
    <s v="Shreya Saxena"/>
    <x v="4"/>
    <x v="1"/>
    <x v="4"/>
    <n v="4"/>
    <n v="2999"/>
    <n v="11996"/>
    <x v="0"/>
    <n v="0"/>
    <n v="11996"/>
    <x v="2"/>
    <x v="0"/>
  </r>
  <r>
    <x v="12"/>
    <s v="2 Thu"/>
    <x v="0"/>
    <x v="0"/>
    <s v="CUST-1159"/>
    <s v="Isha Kapoor"/>
    <x v="0"/>
    <x v="1"/>
    <x v="2"/>
    <n v="2"/>
    <n v="599"/>
    <n v="1198"/>
    <x v="1"/>
    <n v="179.7"/>
    <n v="1018.3"/>
    <x v="1"/>
    <x v="0"/>
  </r>
  <r>
    <x v="13"/>
    <s v="2 Thu"/>
    <x v="0"/>
    <x v="0"/>
    <s v="CUST-1047"/>
    <s v="Isha Kapoor"/>
    <x v="2"/>
    <x v="1"/>
    <x v="4"/>
    <n v="2"/>
    <n v="2999"/>
    <n v="5998"/>
    <x v="0"/>
    <n v="0"/>
    <n v="5998"/>
    <x v="4"/>
    <x v="0"/>
  </r>
  <r>
    <x v="14"/>
    <s v="3 Fri"/>
    <x v="0"/>
    <x v="0"/>
    <s v="CUST-1290"/>
    <s v="Kabir Mehta"/>
    <x v="3"/>
    <x v="5"/>
    <x v="9"/>
    <n v="1"/>
    <n v="549"/>
    <n v="549"/>
    <x v="3"/>
    <n v="109.8"/>
    <n v="439.2"/>
    <x v="4"/>
    <x v="1"/>
  </r>
  <r>
    <x v="15"/>
    <s v="3 Fri"/>
    <x v="0"/>
    <x v="0"/>
    <s v="CUST-1211"/>
    <s v="Rohan Sharma"/>
    <x v="3"/>
    <x v="4"/>
    <x v="10"/>
    <n v="2"/>
    <n v="899"/>
    <n v="1798"/>
    <x v="4"/>
    <n v="179.8"/>
    <n v="1618.2"/>
    <x v="0"/>
    <x v="0"/>
  </r>
  <r>
    <x v="16"/>
    <s v="3 Fri"/>
    <x v="0"/>
    <x v="0"/>
    <s v="CUST-1274"/>
    <s v="Muskan Singh"/>
    <x v="1"/>
    <x v="4"/>
    <x v="11"/>
    <n v="2"/>
    <n v="499"/>
    <n v="998"/>
    <x v="0"/>
    <n v="0"/>
    <n v="998"/>
    <x v="1"/>
    <x v="0"/>
  </r>
  <r>
    <x v="17"/>
    <s v="3 Fri"/>
    <x v="0"/>
    <x v="0"/>
    <s v="CUST-1242"/>
    <s v="Sakshi Malhotra"/>
    <x v="1"/>
    <x v="0"/>
    <x v="1"/>
    <n v="1"/>
    <n v="199"/>
    <n v="199"/>
    <x v="3"/>
    <n v="39.799999999999997"/>
    <n v="159.19999999999999"/>
    <x v="0"/>
    <x v="0"/>
  </r>
  <r>
    <x v="18"/>
    <s v="3 Fri"/>
    <x v="0"/>
    <x v="0"/>
    <s v="CUST-1352"/>
    <s v="Nandini Mehta"/>
    <x v="3"/>
    <x v="5"/>
    <x v="9"/>
    <n v="2"/>
    <n v="549"/>
    <n v="1098"/>
    <x v="0"/>
    <n v="0"/>
    <n v="1098"/>
    <x v="1"/>
    <x v="0"/>
  </r>
  <r>
    <x v="19"/>
    <s v="3 Fri"/>
    <x v="0"/>
    <x v="0"/>
    <s v="CUST-1324"/>
    <s v="Rahul Verma"/>
    <x v="3"/>
    <x v="6"/>
    <x v="12"/>
    <n v="3"/>
    <n v="1499"/>
    <n v="4497"/>
    <x v="3"/>
    <n v="899.4"/>
    <n v="3597.6"/>
    <x v="0"/>
    <x v="0"/>
  </r>
  <r>
    <x v="20"/>
    <s v="3 Fri"/>
    <x v="0"/>
    <x v="0"/>
    <s v="CUST-1371"/>
    <s v="Rahul Verma"/>
    <x v="0"/>
    <x v="4"/>
    <x v="7"/>
    <n v="1"/>
    <n v="1999"/>
    <n v="1999"/>
    <x v="3"/>
    <n v="399.8"/>
    <n v="1599.2"/>
    <x v="2"/>
    <x v="0"/>
  </r>
  <r>
    <x v="21"/>
    <s v="4 Sat"/>
    <x v="0"/>
    <x v="0"/>
    <s v="CUST-1258"/>
    <s v="Muskan Joshi"/>
    <x v="3"/>
    <x v="5"/>
    <x v="9"/>
    <n v="1"/>
    <n v="549"/>
    <n v="549"/>
    <x v="3"/>
    <n v="109.8"/>
    <n v="439.2"/>
    <x v="1"/>
    <x v="0"/>
  </r>
  <r>
    <x v="22"/>
    <s v="4 Sat"/>
    <x v="0"/>
    <x v="0"/>
    <s v="CUST-1289"/>
    <s v="Kunal Verma"/>
    <x v="1"/>
    <x v="4"/>
    <x v="11"/>
    <n v="4"/>
    <n v="499"/>
    <n v="1996"/>
    <x v="0"/>
    <n v="0"/>
    <n v="1996"/>
    <x v="4"/>
    <x v="1"/>
  </r>
  <r>
    <x v="23"/>
    <s v="4 Sat"/>
    <x v="0"/>
    <x v="0"/>
    <s v="CUST-1395"/>
    <s v="Rahul Verma"/>
    <x v="4"/>
    <x v="1"/>
    <x v="2"/>
    <n v="2"/>
    <n v="599"/>
    <n v="1198"/>
    <x v="3"/>
    <n v="239.6"/>
    <n v="958.4"/>
    <x v="2"/>
    <x v="1"/>
  </r>
  <r>
    <x v="24"/>
    <s v="4 Sat"/>
    <x v="0"/>
    <x v="0"/>
    <s v="CUST-1351"/>
    <s v="Tanya Mehta"/>
    <x v="2"/>
    <x v="6"/>
    <x v="12"/>
    <n v="3"/>
    <n v="1499"/>
    <n v="4497"/>
    <x v="2"/>
    <n v="224.85"/>
    <n v="4272.1499999999996"/>
    <x v="0"/>
    <x v="0"/>
  </r>
  <r>
    <x v="25"/>
    <s v="5 Sun"/>
    <x v="0"/>
    <x v="0"/>
    <s v="CUST-1214"/>
    <s v="Rohan Sharma"/>
    <x v="2"/>
    <x v="5"/>
    <x v="8"/>
    <n v="1"/>
    <n v="349"/>
    <n v="349"/>
    <x v="1"/>
    <n v="52.35"/>
    <n v="296.64999999999998"/>
    <x v="2"/>
    <x v="1"/>
  </r>
  <r>
    <x v="26"/>
    <s v="5 Sun"/>
    <x v="0"/>
    <x v="0"/>
    <s v="CUST-1145"/>
    <s v="Kunal Joshi"/>
    <x v="2"/>
    <x v="6"/>
    <x v="13"/>
    <n v="2"/>
    <n v="699"/>
    <n v="1398"/>
    <x v="0"/>
    <n v="0"/>
    <n v="1398"/>
    <x v="3"/>
    <x v="0"/>
  </r>
  <r>
    <x v="27"/>
    <s v="5 Sun"/>
    <x v="0"/>
    <x v="0"/>
    <s v="CUST-1272"/>
    <s v="Aarav Saxena"/>
    <x v="1"/>
    <x v="2"/>
    <x v="3"/>
    <n v="1"/>
    <n v="249"/>
    <n v="249"/>
    <x v="0"/>
    <n v="0"/>
    <n v="249"/>
    <x v="0"/>
    <x v="1"/>
  </r>
  <r>
    <x v="28"/>
    <s v="5 Sun"/>
    <x v="0"/>
    <x v="0"/>
    <s v="CUST-1053"/>
    <s v="Vivaan Malhotra"/>
    <x v="3"/>
    <x v="3"/>
    <x v="6"/>
    <n v="1"/>
    <n v="799"/>
    <n v="799"/>
    <x v="3"/>
    <n v="159.80000000000001"/>
    <n v="639.20000000000005"/>
    <x v="4"/>
    <x v="1"/>
  </r>
  <r>
    <x v="29"/>
    <s v="5 Sun"/>
    <x v="0"/>
    <x v="0"/>
    <s v="CUST-1305"/>
    <s v="Muskan Joshi"/>
    <x v="1"/>
    <x v="4"/>
    <x v="7"/>
    <n v="2"/>
    <n v="1999"/>
    <n v="3998"/>
    <x v="1"/>
    <n v="599.70000000000005"/>
    <n v="3398.3"/>
    <x v="1"/>
    <x v="1"/>
  </r>
  <r>
    <x v="30"/>
    <s v="5 Sun"/>
    <x v="0"/>
    <x v="0"/>
    <s v="CUST-1291"/>
    <s v="Arjun Saxena"/>
    <x v="2"/>
    <x v="1"/>
    <x v="14"/>
    <n v="2"/>
    <n v="1799"/>
    <n v="3598"/>
    <x v="0"/>
    <n v="0"/>
    <n v="3598"/>
    <x v="4"/>
    <x v="0"/>
  </r>
  <r>
    <x v="31"/>
    <s v="5 Sun"/>
    <x v="0"/>
    <x v="0"/>
    <s v="CUST-1022"/>
    <s v="Tanya Verma"/>
    <x v="2"/>
    <x v="5"/>
    <x v="8"/>
    <n v="5"/>
    <n v="349"/>
    <n v="1745"/>
    <x v="0"/>
    <n v="0"/>
    <n v="1745"/>
    <x v="0"/>
    <x v="0"/>
  </r>
  <r>
    <x v="32"/>
    <s v="6 Mon"/>
    <x v="0"/>
    <x v="0"/>
    <s v="CUST-1207"/>
    <s v="Rohan Malhotra"/>
    <x v="3"/>
    <x v="0"/>
    <x v="1"/>
    <n v="3"/>
    <n v="199"/>
    <n v="597"/>
    <x v="2"/>
    <n v="29.85"/>
    <n v="567.15"/>
    <x v="0"/>
    <x v="0"/>
  </r>
  <r>
    <x v="33"/>
    <s v="6 Mon"/>
    <x v="0"/>
    <x v="0"/>
    <s v="CUST-1092"/>
    <s v="Arjun Mehta"/>
    <x v="4"/>
    <x v="3"/>
    <x v="5"/>
    <n v="1"/>
    <n v="1299"/>
    <n v="1299"/>
    <x v="0"/>
    <n v="0"/>
    <n v="1299"/>
    <x v="3"/>
    <x v="0"/>
  </r>
  <r>
    <x v="34"/>
    <s v="6 Mon"/>
    <x v="0"/>
    <x v="0"/>
    <s v="CUST-1206"/>
    <s v="Aditya Gupta"/>
    <x v="4"/>
    <x v="2"/>
    <x v="15"/>
    <n v="3"/>
    <n v="299"/>
    <n v="897"/>
    <x v="2"/>
    <n v="44.85"/>
    <n v="852.15"/>
    <x v="0"/>
    <x v="0"/>
  </r>
  <r>
    <x v="35"/>
    <s v="6 Mon"/>
    <x v="0"/>
    <x v="0"/>
    <s v="CUST-1385"/>
    <s v="Aman Kapoor"/>
    <x v="0"/>
    <x v="6"/>
    <x v="13"/>
    <n v="3"/>
    <n v="699"/>
    <n v="2097"/>
    <x v="4"/>
    <n v="209.7"/>
    <n v="1887.3"/>
    <x v="1"/>
    <x v="1"/>
  </r>
  <r>
    <x v="36"/>
    <s v="6 Mon"/>
    <x v="0"/>
    <x v="0"/>
    <s v="CUST-1164"/>
    <s v="Kabir Malhotra"/>
    <x v="0"/>
    <x v="0"/>
    <x v="0"/>
    <n v="3"/>
    <n v="99"/>
    <n v="297"/>
    <x v="2"/>
    <n v="14.85"/>
    <n v="282.14999999999998"/>
    <x v="0"/>
    <x v="0"/>
  </r>
  <r>
    <x v="37"/>
    <s v="6 Mon"/>
    <x v="0"/>
    <x v="0"/>
    <s v="CUST-1317"/>
    <s v="Aditya Kapoor"/>
    <x v="1"/>
    <x v="0"/>
    <x v="0"/>
    <n v="3"/>
    <n v="99"/>
    <n v="297"/>
    <x v="2"/>
    <n v="14.85"/>
    <n v="282.14999999999998"/>
    <x v="0"/>
    <x v="0"/>
  </r>
  <r>
    <x v="38"/>
    <s v="7 Tue"/>
    <x v="0"/>
    <x v="0"/>
    <s v="CUST-1242"/>
    <s v="Sakshi Malhotra"/>
    <x v="3"/>
    <x v="5"/>
    <x v="9"/>
    <n v="1"/>
    <n v="549"/>
    <n v="549"/>
    <x v="4"/>
    <n v="54.9"/>
    <n v="494.1"/>
    <x v="2"/>
    <x v="0"/>
  </r>
  <r>
    <x v="39"/>
    <s v="7 Tue"/>
    <x v="0"/>
    <x v="0"/>
    <s v="CUST-1176"/>
    <s v="Meera Sharma"/>
    <x v="2"/>
    <x v="6"/>
    <x v="12"/>
    <n v="3"/>
    <n v="1499"/>
    <n v="4497"/>
    <x v="3"/>
    <n v="899.4"/>
    <n v="3597.6"/>
    <x v="0"/>
    <x v="0"/>
  </r>
  <r>
    <x v="40"/>
    <s v="7 Tue"/>
    <x v="0"/>
    <x v="0"/>
    <s v="CUST-1351"/>
    <s v="Tanya Mehta"/>
    <x v="1"/>
    <x v="5"/>
    <x v="8"/>
    <n v="1"/>
    <n v="349"/>
    <n v="349"/>
    <x v="1"/>
    <n v="52.35"/>
    <n v="296.64999999999998"/>
    <x v="3"/>
    <x v="1"/>
  </r>
  <r>
    <x v="41"/>
    <s v="7 Tue"/>
    <x v="0"/>
    <x v="0"/>
    <s v="CUST-1335"/>
    <s v="Divya Saxena"/>
    <x v="2"/>
    <x v="4"/>
    <x v="11"/>
    <n v="1"/>
    <n v="499"/>
    <n v="499"/>
    <x v="3"/>
    <n v="99.8"/>
    <n v="399.2"/>
    <x v="2"/>
    <x v="0"/>
  </r>
  <r>
    <x v="42"/>
    <s v="7 Tue"/>
    <x v="0"/>
    <x v="0"/>
    <s v="CUST-1270"/>
    <s v="Nandini Verma"/>
    <x v="3"/>
    <x v="6"/>
    <x v="13"/>
    <n v="1"/>
    <n v="699"/>
    <n v="699"/>
    <x v="3"/>
    <n v="139.80000000000001"/>
    <n v="559.20000000000005"/>
    <x v="2"/>
    <x v="1"/>
  </r>
  <r>
    <x v="43"/>
    <s v="7 Tue"/>
    <x v="0"/>
    <x v="0"/>
    <s v="CUST-1191"/>
    <s v="Nandini Malhotra"/>
    <x v="3"/>
    <x v="1"/>
    <x v="4"/>
    <n v="2"/>
    <n v="2999"/>
    <n v="5998"/>
    <x v="4"/>
    <n v="599.79999999999995"/>
    <n v="5398.2"/>
    <x v="1"/>
    <x v="0"/>
  </r>
  <r>
    <x v="44"/>
    <s v="7 Tue"/>
    <x v="0"/>
    <x v="0"/>
    <s v="CUST-1055"/>
    <s v="Rohan Saxena"/>
    <x v="2"/>
    <x v="6"/>
    <x v="13"/>
    <n v="4"/>
    <n v="699"/>
    <n v="2796"/>
    <x v="3"/>
    <n v="559.20000000000005"/>
    <n v="2236.8000000000002"/>
    <x v="4"/>
    <x v="1"/>
  </r>
  <r>
    <x v="45"/>
    <s v="8 Wed"/>
    <x v="0"/>
    <x v="0"/>
    <s v="CUST-1098"/>
    <s v="Rohan Patel"/>
    <x v="2"/>
    <x v="6"/>
    <x v="13"/>
    <n v="1"/>
    <n v="699"/>
    <n v="699"/>
    <x v="0"/>
    <n v="0"/>
    <n v="699"/>
    <x v="0"/>
    <x v="0"/>
  </r>
  <r>
    <x v="46"/>
    <s v="9 Thu"/>
    <x v="0"/>
    <x v="0"/>
    <s v="CUST-1171"/>
    <s v="Ankit Verma"/>
    <x v="0"/>
    <x v="3"/>
    <x v="5"/>
    <n v="2"/>
    <n v="1299"/>
    <n v="2598"/>
    <x v="4"/>
    <n v="259.8"/>
    <n v="2338.1999999999998"/>
    <x v="2"/>
    <x v="1"/>
  </r>
  <r>
    <x v="47"/>
    <s v="9 Thu"/>
    <x v="0"/>
    <x v="0"/>
    <s v="CUST-1145"/>
    <s v="Kunal Joshi"/>
    <x v="2"/>
    <x v="4"/>
    <x v="11"/>
    <n v="3"/>
    <n v="499"/>
    <n v="1497"/>
    <x v="3"/>
    <n v="299.39999999999998"/>
    <n v="1197.5999999999999"/>
    <x v="1"/>
    <x v="1"/>
  </r>
  <r>
    <x v="48"/>
    <s v="9 Thu"/>
    <x v="0"/>
    <x v="0"/>
    <s v="CUST-1249"/>
    <s v="Kabir Sharma"/>
    <x v="3"/>
    <x v="1"/>
    <x v="14"/>
    <n v="3"/>
    <n v="1799"/>
    <n v="5397"/>
    <x v="2"/>
    <n v="269.85000000000002"/>
    <n v="5127.1499999999996"/>
    <x v="0"/>
    <x v="0"/>
  </r>
  <r>
    <x v="49"/>
    <s v="9 Thu"/>
    <x v="0"/>
    <x v="0"/>
    <s v="CUST-1013"/>
    <s v="Divya Joshi"/>
    <x v="1"/>
    <x v="0"/>
    <x v="0"/>
    <n v="1"/>
    <n v="99"/>
    <n v="99"/>
    <x v="0"/>
    <n v="0"/>
    <n v="99"/>
    <x v="3"/>
    <x v="0"/>
  </r>
  <r>
    <x v="50"/>
    <s v="9 Thu"/>
    <x v="0"/>
    <x v="0"/>
    <s v="CUST-1362"/>
    <s v="Shreya Malhotra"/>
    <x v="1"/>
    <x v="6"/>
    <x v="13"/>
    <n v="1"/>
    <n v="699"/>
    <n v="699"/>
    <x v="3"/>
    <n v="139.80000000000001"/>
    <n v="559.20000000000005"/>
    <x v="4"/>
    <x v="0"/>
  </r>
  <r>
    <x v="51"/>
    <s v="9 Thu"/>
    <x v="0"/>
    <x v="0"/>
    <s v="CUST-1135"/>
    <s v="Shreya Joshi"/>
    <x v="0"/>
    <x v="5"/>
    <x v="9"/>
    <n v="2"/>
    <n v="549"/>
    <n v="1098"/>
    <x v="0"/>
    <n v="0"/>
    <n v="1098"/>
    <x v="0"/>
    <x v="1"/>
  </r>
  <r>
    <x v="52"/>
    <s v="9 Thu"/>
    <x v="0"/>
    <x v="0"/>
    <s v="CUST-1019"/>
    <s v="Aarav Joshi"/>
    <x v="4"/>
    <x v="4"/>
    <x v="7"/>
    <n v="3"/>
    <n v="1999"/>
    <n v="5997"/>
    <x v="4"/>
    <n v="599.70000000000005"/>
    <n v="5397.3"/>
    <x v="2"/>
    <x v="0"/>
  </r>
  <r>
    <x v="53"/>
    <s v="9 Thu"/>
    <x v="0"/>
    <x v="0"/>
    <s v="CUST-1043"/>
    <s v="Divya Kapoor"/>
    <x v="0"/>
    <x v="3"/>
    <x v="6"/>
    <n v="1"/>
    <n v="799"/>
    <n v="799"/>
    <x v="1"/>
    <n v="119.85"/>
    <n v="679.15"/>
    <x v="1"/>
    <x v="1"/>
  </r>
  <r>
    <x v="54"/>
    <s v="9 Thu"/>
    <x v="0"/>
    <x v="0"/>
    <s v="CUST-1243"/>
    <s v="Aman Joshi"/>
    <x v="2"/>
    <x v="2"/>
    <x v="3"/>
    <n v="1"/>
    <n v="249"/>
    <n v="249"/>
    <x v="0"/>
    <n v="0"/>
    <n v="249"/>
    <x v="3"/>
    <x v="0"/>
  </r>
  <r>
    <x v="55"/>
    <s v="9 Thu"/>
    <x v="0"/>
    <x v="0"/>
    <s v="CUST-1273"/>
    <s v="Aman Saxena"/>
    <x v="3"/>
    <x v="2"/>
    <x v="15"/>
    <n v="2"/>
    <n v="299"/>
    <n v="598"/>
    <x v="0"/>
    <n v="0"/>
    <n v="598"/>
    <x v="3"/>
    <x v="0"/>
  </r>
  <r>
    <x v="56"/>
    <s v="10 Fri"/>
    <x v="0"/>
    <x v="0"/>
    <s v="CUST-1085"/>
    <s v="Shreya Mehta"/>
    <x v="4"/>
    <x v="6"/>
    <x v="13"/>
    <n v="1"/>
    <n v="699"/>
    <n v="699"/>
    <x v="0"/>
    <n v="0"/>
    <n v="699"/>
    <x v="1"/>
    <x v="1"/>
  </r>
  <r>
    <x v="57"/>
    <s v="10 Fri"/>
    <x v="0"/>
    <x v="0"/>
    <s v="CUST-1093"/>
    <s v="Kabir Mehta"/>
    <x v="3"/>
    <x v="1"/>
    <x v="4"/>
    <n v="1"/>
    <n v="2999"/>
    <n v="2999"/>
    <x v="0"/>
    <n v="0"/>
    <n v="2999"/>
    <x v="3"/>
    <x v="0"/>
  </r>
  <r>
    <x v="58"/>
    <s v="10 Fri"/>
    <x v="0"/>
    <x v="0"/>
    <s v="CUST-1327"/>
    <s v="Kunal Malhotra"/>
    <x v="2"/>
    <x v="3"/>
    <x v="6"/>
    <n v="2"/>
    <n v="799"/>
    <n v="1598"/>
    <x v="0"/>
    <n v="0"/>
    <n v="1598"/>
    <x v="0"/>
    <x v="0"/>
  </r>
  <r>
    <x v="59"/>
    <s v="10 Fri"/>
    <x v="0"/>
    <x v="0"/>
    <s v="CUST-1027"/>
    <s v="Aditya Gupta"/>
    <x v="1"/>
    <x v="0"/>
    <x v="0"/>
    <n v="3"/>
    <n v="99"/>
    <n v="297"/>
    <x v="0"/>
    <n v="0"/>
    <n v="297"/>
    <x v="1"/>
    <x v="1"/>
  </r>
  <r>
    <x v="60"/>
    <s v="10 Fri"/>
    <x v="0"/>
    <x v="0"/>
    <s v="CUST-1185"/>
    <s v="Meera Sharma"/>
    <x v="1"/>
    <x v="5"/>
    <x v="9"/>
    <n v="1"/>
    <n v="549"/>
    <n v="549"/>
    <x v="0"/>
    <n v="0"/>
    <n v="549"/>
    <x v="2"/>
    <x v="0"/>
  </r>
  <r>
    <x v="61"/>
    <s v="10 Fri"/>
    <x v="0"/>
    <x v="0"/>
    <s v="CUST-1017"/>
    <s v="Aarav Verma"/>
    <x v="4"/>
    <x v="2"/>
    <x v="15"/>
    <n v="3"/>
    <n v="299"/>
    <n v="897"/>
    <x v="0"/>
    <n v="0"/>
    <n v="897"/>
    <x v="0"/>
    <x v="1"/>
  </r>
  <r>
    <x v="62"/>
    <s v="11 Sat"/>
    <x v="0"/>
    <x v="0"/>
    <s v="CUST-1162"/>
    <s v="Aarav Kapoor"/>
    <x v="4"/>
    <x v="3"/>
    <x v="6"/>
    <n v="1"/>
    <n v="799"/>
    <n v="799"/>
    <x v="4"/>
    <n v="79.900000000000006"/>
    <n v="719.1"/>
    <x v="3"/>
    <x v="0"/>
  </r>
  <r>
    <x v="63"/>
    <s v="11 Sat"/>
    <x v="0"/>
    <x v="0"/>
    <s v="CUST-1081"/>
    <s v="Nandini Verma"/>
    <x v="2"/>
    <x v="1"/>
    <x v="14"/>
    <n v="1"/>
    <n v="1799"/>
    <n v="1799"/>
    <x v="2"/>
    <n v="89.95"/>
    <n v="1709.05"/>
    <x v="1"/>
    <x v="0"/>
  </r>
  <r>
    <x v="64"/>
    <s v="12 Sun"/>
    <x v="0"/>
    <x v="0"/>
    <s v="CUST-1351"/>
    <s v="Tanya Mehta"/>
    <x v="2"/>
    <x v="6"/>
    <x v="12"/>
    <n v="2"/>
    <n v="1499"/>
    <n v="2998"/>
    <x v="0"/>
    <n v="0"/>
    <n v="2998"/>
    <x v="1"/>
    <x v="0"/>
  </r>
  <r>
    <x v="65"/>
    <s v="12 Sun"/>
    <x v="0"/>
    <x v="0"/>
    <s v="CUST-1247"/>
    <s v="Meera Malhotra"/>
    <x v="1"/>
    <x v="1"/>
    <x v="14"/>
    <n v="1"/>
    <n v="1799"/>
    <n v="1799"/>
    <x v="4"/>
    <n v="179.9"/>
    <n v="1619.1"/>
    <x v="4"/>
    <x v="0"/>
  </r>
  <r>
    <x v="66"/>
    <s v="12 Sun"/>
    <x v="0"/>
    <x v="0"/>
    <s v="CUST-1064"/>
    <s v="Ankit Mehta"/>
    <x v="2"/>
    <x v="5"/>
    <x v="9"/>
    <n v="1"/>
    <n v="549"/>
    <n v="549"/>
    <x v="0"/>
    <n v="0"/>
    <n v="549"/>
    <x v="0"/>
    <x v="1"/>
  </r>
  <r>
    <x v="67"/>
    <s v="12 Sun"/>
    <x v="0"/>
    <x v="0"/>
    <s v="CUST-1169"/>
    <s v="Nandini Patel"/>
    <x v="0"/>
    <x v="4"/>
    <x v="7"/>
    <n v="1"/>
    <n v="1999"/>
    <n v="1999"/>
    <x v="1"/>
    <n v="299.85000000000002"/>
    <n v="1699.15"/>
    <x v="1"/>
    <x v="0"/>
  </r>
  <r>
    <x v="68"/>
    <s v="12 Sun"/>
    <x v="0"/>
    <x v="0"/>
    <s v="CUST-1356"/>
    <s v="Isha Verma"/>
    <x v="1"/>
    <x v="6"/>
    <x v="12"/>
    <n v="3"/>
    <n v="1499"/>
    <n v="4497"/>
    <x v="0"/>
    <n v="0"/>
    <n v="4497"/>
    <x v="2"/>
    <x v="0"/>
  </r>
  <r>
    <x v="69"/>
    <s v="12 Sun"/>
    <x v="0"/>
    <x v="0"/>
    <s v="CUST-1252"/>
    <s v="Arjun Singh"/>
    <x v="4"/>
    <x v="3"/>
    <x v="6"/>
    <n v="3"/>
    <n v="799"/>
    <n v="2397"/>
    <x v="0"/>
    <n v="0"/>
    <n v="2397"/>
    <x v="0"/>
    <x v="1"/>
  </r>
  <r>
    <x v="70"/>
    <s v="13 Mon"/>
    <x v="0"/>
    <x v="0"/>
    <s v="CUST-1243"/>
    <s v="Aman Joshi"/>
    <x v="4"/>
    <x v="5"/>
    <x v="8"/>
    <n v="1"/>
    <n v="349"/>
    <n v="349"/>
    <x v="0"/>
    <n v="0"/>
    <n v="349"/>
    <x v="3"/>
    <x v="0"/>
  </r>
  <r>
    <x v="71"/>
    <s v="13 Mon"/>
    <x v="0"/>
    <x v="0"/>
    <s v="CUST-1030"/>
    <s v="Rahul Kapoor"/>
    <x v="4"/>
    <x v="3"/>
    <x v="6"/>
    <n v="3"/>
    <n v="799"/>
    <n v="2397"/>
    <x v="0"/>
    <n v="0"/>
    <n v="2397"/>
    <x v="0"/>
    <x v="0"/>
  </r>
  <r>
    <x v="72"/>
    <s v="13 Mon"/>
    <x v="0"/>
    <x v="0"/>
    <s v="CUST-1326"/>
    <s v="Rohan Verma"/>
    <x v="4"/>
    <x v="2"/>
    <x v="15"/>
    <n v="1"/>
    <n v="299"/>
    <n v="299"/>
    <x v="1"/>
    <n v="44.85"/>
    <n v="254.15"/>
    <x v="2"/>
    <x v="0"/>
  </r>
  <r>
    <x v="73"/>
    <s v="13 Mon"/>
    <x v="0"/>
    <x v="0"/>
    <s v="CUST-1391"/>
    <s v="Kunal Gupta"/>
    <x v="0"/>
    <x v="0"/>
    <x v="1"/>
    <n v="3"/>
    <n v="199"/>
    <n v="597"/>
    <x v="1"/>
    <n v="89.55"/>
    <n v="507.45"/>
    <x v="2"/>
    <x v="1"/>
  </r>
  <r>
    <x v="74"/>
    <s v="13 Mon"/>
    <x v="0"/>
    <x v="0"/>
    <s v="CUST-1356"/>
    <s v="Isha Verma"/>
    <x v="3"/>
    <x v="3"/>
    <x v="5"/>
    <n v="2"/>
    <n v="1299"/>
    <n v="2598"/>
    <x v="2"/>
    <n v="129.9"/>
    <n v="2468.1"/>
    <x v="3"/>
    <x v="0"/>
  </r>
  <r>
    <x v="75"/>
    <s v="13 Mon"/>
    <x v="0"/>
    <x v="0"/>
    <s v="CUST-1319"/>
    <s v="Rohan Sharma"/>
    <x v="3"/>
    <x v="6"/>
    <x v="13"/>
    <n v="1"/>
    <n v="699"/>
    <n v="699"/>
    <x v="2"/>
    <n v="34.950000000000003"/>
    <n v="664.05"/>
    <x v="3"/>
    <x v="1"/>
  </r>
  <r>
    <x v="76"/>
    <s v="13 Mon"/>
    <x v="0"/>
    <x v="0"/>
    <s v="CUST-1314"/>
    <s v="Kunal Sharma"/>
    <x v="2"/>
    <x v="0"/>
    <x v="0"/>
    <n v="1"/>
    <n v="99"/>
    <n v="99"/>
    <x v="2"/>
    <n v="4.95"/>
    <n v="94.05"/>
    <x v="2"/>
    <x v="0"/>
  </r>
  <r>
    <x v="77"/>
    <s v="13 Mon"/>
    <x v="0"/>
    <x v="0"/>
    <s v="CUST-1400"/>
    <s v="Aarav Gupta"/>
    <x v="3"/>
    <x v="3"/>
    <x v="5"/>
    <n v="2"/>
    <n v="1299"/>
    <n v="2598"/>
    <x v="0"/>
    <n v="0"/>
    <n v="2598"/>
    <x v="4"/>
    <x v="0"/>
  </r>
  <r>
    <x v="78"/>
    <s v="13 Mon"/>
    <x v="0"/>
    <x v="0"/>
    <s v="CUST-1400"/>
    <s v="Aarav Gupta"/>
    <x v="3"/>
    <x v="2"/>
    <x v="3"/>
    <n v="1"/>
    <n v="249"/>
    <n v="249"/>
    <x v="3"/>
    <n v="49.8"/>
    <n v="199.2"/>
    <x v="1"/>
    <x v="0"/>
  </r>
  <r>
    <x v="79"/>
    <s v="13 Mon"/>
    <x v="0"/>
    <x v="0"/>
    <s v="CUST-1091"/>
    <s v="Kabir Gupta"/>
    <x v="1"/>
    <x v="4"/>
    <x v="11"/>
    <n v="1"/>
    <n v="499"/>
    <n v="499"/>
    <x v="1"/>
    <n v="74.849999999999994"/>
    <n v="424.15"/>
    <x v="0"/>
    <x v="0"/>
  </r>
  <r>
    <x v="80"/>
    <s v="14 Tue"/>
    <x v="0"/>
    <x v="0"/>
    <s v="CUST-1277"/>
    <s v="Vivaan Sharma"/>
    <x v="4"/>
    <x v="5"/>
    <x v="9"/>
    <n v="1"/>
    <n v="549"/>
    <n v="549"/>
    <x v="0"/>
    <n v="0"/>
    <n v="549"/>
    <x v="4"/>
    <x v="1"/>
  </r>
  <r>
    <x v="81"/>
    <s v="14 Tue"/>
    <x v="0"/>
    <x v="0"/>
    <s v="CUST-1067"/>
    <s v="Nandini Gupta"/>
    <x v="0"/>
    <x v="3"/>
    <x v="6"/>
    <n v="1"/>
    <n v="799"/>
    <n v="799"/>
    <x v="2"/>
    <n v="39.950000000000003"/>
    <n v="759.05"/>
    <x v="1"/>
    <x v="0"/>
  </r>
  <r>
    <x v="82"/>
    <s v="15 Wed"/>
    <x v="0"/>
    <x v="0"/>
    <s v="CUST-1365"/>
    <s v="Meera Singh"/>
    <x v="2"/>
    <x v="2"/>
    <x v="3"/>
    <n v="2"/>
    <n v="249"/>
    <n v="498"/>
    <x v="0"/>
    <n v="0"/>
    <n v="498"/>
    <x v="1"/>
    <x v="1"/>
  </r>
  <r>
    <x v="83"/>
    <s v="15 Wed"/>
    <x v="0"/>
    <x v="0"/>
    <s v="CUST-1135"/>
    <s v="Shreya Joshi"/>
    <x v="2"/>
    <x v="3"/>
    <x v="6"/>
    <n v="3"/>
    <n v="799"/>
    <n v="2397"/>
    <x v="0"/>
    <n v="0"/>
    <n v="2397"/>
    <x v="2"/>
    <x v="0"/>
  </r>
  <r>
    <x v="84"/>
    <s v="15 Wed"/>
    <x v="0"/>
    <x v="0"/>
    <s v="CUST-1283"/>
    <s v="Aditya Mehta"/>
    <x v="1"/>
    <x v="4"/>
    <x v="10"/>
    <n v="4"/>
    <n v="899"/>
    <n v="3596"/>
    <x v="0"/>
    <n v="0"/>
    <n v="3596"/>
    <x v="2"/>
    <x v="0"/>
  </r>
  <r>
    <x v="85"/>
    <s v="15 Wed"/>
    <x v="0"/>
    <x v="0"/>
    <s v="CUST-1178"/>
    <s v="Komal Sharma"/>
    <x v="1"/>
    <x v="4"/>
    <x v="10"/>
    <n v="1"/>
    <n v="899"/>
    <n v="899"/>
    <x v="2"/>
    <n v="44.95"/>
    <n v="854.05"/>
    <x v="3"/>
    <x v="0"/>
  </r>
  <r>
    <x v="86"/>
    <s v="15 Wed"/>
    <x v="0"/>
    <x v="0"/>
    <s v="CUST-1375"/>
    <s v="Kunal Joshi"/>
    <x v="3"/>
    <x v="3"/>
    <x v="5"/>
    <n v="1"/>
    <n v="1299"/>
    <n v="1299"/>
    <x v="2"/>
    <n v="64.95"/>
    <n v="1234.05"/>
    <x v="4"/>
    <x v="0"/>
  </r>
  <r>
    <x v="87"/>
    <s v="15 Wed"/>
    <x v="0"/>
    <x v="0"/>
    <s v="CUST-1062"/>
    <s v="Tanya Sharma"/>
    <x v="4"/>
    <x v="0"/>
    <x v="1"/>
    <n v="1"/>
    <n v="199"/>
    <n v="199"/>
    <x v="4"/>
    <n v="19.899999999999999"/>
    <n v="179.1"/>
    <x v="1"/>
    <x v="1"/>
  </r>
  <r>
    <x v="88"/>
    <s v="15 Wed"/>
    <x v="0"/>
    <x v="0"/>
    <s v="CUST-1223"/>
    <s v="Meera Saxena"/>
    <x v="0"/>
    <x v="2"/>
    <x v="3"/>
    <n v="1"/>
    <n v="249"/>
    <n v="249"/>
    <x v="3"/>
    <n v="49.8"/>
    <n v="199.2"/>
    <x v="0"/>
    <x v="1"/>
  </r>
  <r>
    <x v="89"/>
    <s v="15 Wed"/>
    <x v="0"/>
    <x v="0"/>
    <s v="CUST-1187"/>
    <s v="Kabir Saxena"/>
    <x v="3"/>
    <x v="1"/>
    <x v="4"/>
    <n v="1"/>
    <n v="2999"/>
    <n v="2999"/>
    <x v="4"/>
    <n v="299.89999999999998"/>
    <n v="2699.1"/>
    <x v="1"/>
    <x v="1"/>
  </r>
  <r>
    <x v="90"/>
    <s v="15 Wed"/>
    <x v="0"/>
    <x v="0"/>
    <s v="CUST-1033"/>
    <s v="Meera Joshi"/>
    <x v="1"/>
    <x v="0"/>
    <x v="0"/>
    <n v="3"/>
    <n v="99"/>
    <n v="297"/>
    <x v="0"/>
    <n v="0"/>
    <n v="297"/>
    <x v="1"/>
    <x v="0"/>
  </r>
  <r>
    <x v="91"/>
    <s v="15 Wed"/>
    <x v="0"/>
    <x v="0"/>
    <s v="CUST-1213"/>
    <s v="Ankit Patel"/>
    <x v="4"/>
    <x v="6"/>
    <x v="12"/>
    <n v="1"/>
    <n v="1499"/>
    <n v="1499"/>
    <x v="3"/>
    <n v="299.8"/>
    <n v="1199.2"/>
    <x v="0"/>
    <x v="0"/>
  </r>
  <r>
    <x v="92"/>
    <s v="16 Thu"/>
    <x v="0"/>
    <x v="0"/>
    <s v="CUST-1316"/>
    <s v="Komal Saxena"/>
    <x v="2"/>
    <x v="3"/>
    <x v="5"/>
    <n v="1"/>
    <n v="1299"/>
    <n v="1299"/>
    <x v="2"/>
    <n v="64.95"/>
    <n v="1234.05"/>
    <x v="2"/>
    <x v="0"/>
  </r>
  <r>
    <x v="93"/>
    <s v="16 Thu"/>
    <x v="0"/>
    <x v="0"/>
    <s v="CUST-1228"/>
    <s v="Aarav Mehta"/>
    <x v="0"/>
    <x v="3"/>
    <x v="6"/>
    <n v="1"/>
    <n v="799"/>
    <n v="799"/>
    <x v="1"/>
    <n v="119.85"/>
    <n v="679.15"/>
    <x v="1"/>
    <x v="0"/>
  </r>
  <r>
    <x v="94"/>
    <s v="16 Thu"/>
    <x v="0"/>
    <x v="0"/>
    <s v="CUST-1061"/>
    <s v="Muskan Patel"/>
    <x v="4"/>
    <x v="5"/>
    <x v="8"/>
    <n v="1"/>
    <n v="349"/>
    <n v="349"/>
    <x v="0"/>
    <n v="0"/>
    <n v="349"/>
    <x v="2"/>
    <x v="0"/>
  </r>
  <r>
    <x v="95"/>
    <s v="16 Thu"/>
    <x v="0"/>
    <x v="0"/>
    <s v="CUST-1002"/>
    <s v="Shreya Mehta"/>
    <x v="3"/>
    <x v="1"/>
    <x v="4"/>
    <n v="2"/>
    <n v="2999"/>
    <n v="5998"/>
    <x v="4"/>
    <n v="599.79999999999995"/>
    <n v="5398.2"/>
    <x v="0"/>
    <x v="1"/>
  </r>
  <r>
    <x v="96"/>
    <s v="16 Thu"/>
    <x v="0"/>
    <x v="0"/>
    <s v="CUST-1283"/>
    <s v="Aditya Mehta"/>
    <x v="0"/>
    <x v="0"/>
    <x v="1"/>
    <n v="3"/>
    <n v="199"/>
    <n v="597"/>
    <x v="4"/>
    <n v="59.7"/>
    <n v="537.29999999999995"/>
    <x v="1"/>
    <x v="0"/>
  </r>
  <r>
    <x v="97"/>
    <s v="16 Thu"/>
    <x v="0"/>
    <x v="0"/>
    <s v="CUST-1154"/>
    <s v="Aditya Malhotra"/>
    <x v="3"/>
    <x v="4"/>
    <x v="11"/>
    <n v="3"/>
    <n v="499"/>
    <n v="1497"/>
    <x v="4"/>
    <n v="149.69999999999999"/>
    <n v="1347.3"/>
    <x v="2"/>
    <x v="1"/>
  </r>
  <r>
    <x v="98"/>
    <s v="16 Thu"/>
    <x v="0"/>
    <x v="0"/>
    <s v="CUST-1224"/>
    <s v="Swati Verma"/>
    <x v="3"/>
    <x v="0"/>
    <x v="1"/>
    <n v="1"/>
    <n v="199"/>
    <n v="199"/>
    <x v="3"/>
    <n v="39.799999999999997"/>
    <n v="159.19999999999999"/>
    <x v="4"/>
    <x v="0"/>
  </r>
  <r>
    <x v="99"/>
    <s v="16 Thu"/>
    <x v="0"/>
    <x v="0"/>
    <s v="CUST-1227"/>
    <s v="Rohan Joshi"/>
    <x v="3"/>
    <x v="0"/>
    <x v="1"/>
    <n v="3"/>
    <n v="199"/>
    <n v="597"/>
    <x v="0"/>
    <n v="0"/>
    <n v="597"/>
    <x v="0"/>
    <x v="0"/>
  </r>
  <r>
    <x v="100"/>
    <s v="17 Fri"/>
    <x v="0"/>
    <x v="0"/>
    <s v="CUST-1373"/>
    <s v="Rahul Verma"/>
    <x v="1"/>
    <x v="5"/>
    <x v="8"/>
    <n v="1"/>
    <n v="349"/>
    <n v="349"/>
    <x v="2"/>
    <n v="17.45"/>
    <n v="331.55"/>
    <x v="2"/>
    <x v="0"/>
  </r>
  <r>
    <x v="101"/>
    <s v="17 Fri"/>
    <x v="0"/>
    <x v="0"/>
    <s v="CUST-1063"/>
    <s v="Aman Sharma"/>
    <x v="4"/>
    <x v="1"/>
    <x v="2"/>
    <n v="3"/>
    <n v="599"/>
    <n v="1797"/>
    <x v="2"/>
    <n v="89.85"/>
    <n v="1707.15"/>
    <x v="1"/>
    <x v="1"/>
  </r>
  <r>
    <x v="102"/>
    <s v="17 Fri"/>
    <x v="0"/>
    <x v="0"/>
    <s v="CUST-1084"/>
    <s v="Kunal Saxena"/>
    <x v="1"/>
    <x v="4"/>
    <x v="11"/>
    <n v="1"/>
    <n v="499"/>
    <n v="499"/>
    <x v="0"/>
    <n v="0"/>
    <n v="499"/>
    <x v="4"/>
    <x v="0"/>
  </r>
  <r>
    <x v="103"/>
    <s v="17 Fri"/>
    <x v="0"/>
    <x v="0"/>
    <s v="CUST-1062"/>
    <s v="Tanya Sharma"/>
    <x v="3"/>
    <x v="0"/>
    <x v="0"/>
    <n v="1"/>
    <n v="99"/>
    <n v="99"/>
    <x v="4"/>
    <n v="9.9"/>
    <n v="89.1"/>
    <x v="3"/>
    <x v="0"/>
  </r>
  <r>
    <x v="104"/>
    <s v="17 Fri"/>
    <x v="0"/>
    <x v="0"/>
    <s v="CUST-1338"/>
    <s v="Komal Malhotra"/>
    <x v="0"/>
    <x v="4"/>
    <x v="10"/>
    <n v="3"/>
    <n v="899"/>
    <n v="2697"/>
    <x v="0"/>
    <n v="0"/>
    <n v="2697"/>
    <x v="0"/>
    <x v="1"/>
  </r>
  <r>
    <x v="105"/>
    <s v="17 Fri"/>
    <x v="0"/>
    <x v="0"/>
    <s v="CUST-1278"/>
    <s v="Meera Verma"/>
    <x v="4"/>
    <x v="2"/>
    <x v="15"/>
    <n v="2"/>
    <n v="299"/>
    <n v="598"/>
    <x v="0"/>
    <n v="0"/>
    <n v="598"/>
    <x v="2"/>
    <x v="0"/>
  </r>
  <r>
    <x v="106"/>
    <s v="17 Fri"/>
    <x v="0"/>
    <x v="0"/>
    <s v="CUST-1342"/>
    <s v="Vivaan Saxena"/>
    <x v="1"/>
    <x v="5"/>
    <x v="9"/>
    <n v="1"/>
    <n v="549"/>
    <n v="549"/>
    <x v="4"/>
    <n v="54.9"/>
    <n v="494.1"/>
    <x v="3"/>
    <x v="1"/>
  </r>
  <r>
    <x v="107"/>
    <s v="18 Sat"/>
    <x v="0"/>
    <x v="0"/>
    <s v="CUST-1191"/>
    <s v="Nandini Malhotra"/>
    <x v="2"/>
    <x v="6"/>
    <x v="12"/>
    <n v="1"/>
    <n v="1499"/>
    <n v="1499"/>
    <x v="4"/>
    <n v="149.9"/>
    <n v="1349.1"/>
    <x v="0"/>
    <x v="0"/>
  </r>
  <r>
    <x v="108"/>
    <s v="18 Sat"/>
    <x v="0"/>
    <x v="0"/>
    <s v="CUST-1264"/>
    <s v="Vivaan Malhotra"/>
    <x v="0"/>
    <x v="2"/>
    <x v="15"/>
    <n v="1"/>
    <n v="299"/>
    <n v="299"/>
    <x v="1"/>
    <n v="44.85"/>
    <n v="254.15"/>
    <x v="0"/>
    <x v="1"/>
  </r>
  <r>
    <x v="109"/>
    <s v="18 Sat"/>
    <x v="0"/>
    <x v="0"/>
    <s v="CUST-1015"/>
    <s v="Swati Joshi"/>
    <x v="3"/>
    <x v="1"/>
    <x v="4"/>
    <n v="1"/>
    <n v="2999"/>
    <n v="2999"/>
    <x v="3"/>
    <n v="599.79999999999995"/>
    <n v="2399.1999999999998"/>
    <x v="4"/>
    <x v="1"/>
  </r>
  <r>
    <x v="110"/>
    <s v="18 Sat"/>
    <x v="0"/>
    <x v="0"/>
    <s v="CUST-1157"/>
    <s v="Arjun Verma"/>
    <x v="4"/>
    <x v="0"/>
    <x v="1"/>
    <n v="4"/>
    <n v="199"/>
    <n v="796"/>
    <x v="2"/>
    <n v="39.799999999999997"/>
    <n v="756.2"/>
    <x v="2"/>
    <x v="0"/>
  </r>
  <r>
    <x v="111"/>
    <s v="18 Sat"/>
    <x v="0"/>
    <x v="0"/>
    <s v="CUST-1077"/>
    <s v="Tanya Mehta"/>
    <x v="3"/>
    <x v="6"/>
    <x v="12"/>
    <n v="3"/>
    <n v="1499"/>
    <n v="4497"/>
    <x v="4"/>
    <n v="449.7"/>
    <n v="4047.3"/>
    <x v="3"/>
    <x v="1"/>
  </r>
  <r>
    <x v="112"/>
    <s v="18 Sat"/>
    <x v="0"/>
    <x v="0"/>
    <s v="CUST-1128"/>
    <s v="Sakshi Malhotra"/>
    <x v="4"/>
    <x v="1"/>
    <x v="4"/>
    <n v="1"/>
    <n v="2999"/>
    <n v="2999"/>
    <x v="0"/>
    <n v="0"/>
    <n v="2999"/>
    <x v="0"/>
    <x v="1"/>
  </r>
  <r>
    <x v="113"/>
    <s v="19 Sun"/>
    <x v="0"/>
    <x v="0"/>
    <s v="CUST-1010"/>
    <s v="Kabir Singh"/>
    <x v="2"/>
    <x v="6"/>
    <x v="13"/>
    <n v="4"/>
    <n v="699"/>
    <n v="2796"/>
    <x v="0"/>
    <n v="0"/>
    <n v="2796"/>
    <x v="0"/>
    <x v="0"/>
  </r>
  <r>
    <x v="114"/>
    <s v="19 Sun"/>
    <x v="0"/>
    <x v="0"/>
    <s v="CUST-1280"/>
    <s v="Muskan Kapoor"/>
    <x v="3"/>
    <x v="4"/>
    <x v="10"/>
    <n v="1"/>
    <n v="899"/>
    <n v="899"/>
    <x v="2"/>
    <n v="44.95"/>
    <n v="854.05"/>
    <x v="1"/>
    <x v="1"/>
  </r>
  <r>
    <x v="115"/>
    <s v="19 Sun"/>
    <x v="0"/>
    <x v="0"/>
    <s v="CUST-1059"/>
    <s v="Kunal Verma"/>
    <x v="0"/>
    <x v="4"/>
    <x v="10"/>
    <n v="5"/>
    <n v="899"/>
    <n v="4495"/>
    <x v="2"/>
    <n v="224.75"/>
    <n v="4270.25"/>
    <x v="3"/>
    <x v="0"/>
  </r>
  <r>
    <x v="116"/>
    <s v="19 Sun"/>
    <x v="0"/>
    <x v="0"/>
    <s v="CUST-1001"/>
    <s v="Rohan Patel"/>
    <x v="2"/>
    <x v="1"/>
    <x v="14"/>
    <n v="1"/>
    <n v="1799"/>
    <n v="1799"/>
    <x v="0"/>
    <n v="0"/>
    <n v="1799"/>
    <x v="2"/>
    <x v="1"/>
  </r>
  <r>
    <x v="117"/>
    <s v="19 Sun"/>
    <x v="0"/>
    <x v="0"/>
    <s v="CUST-1377"/>
    <s v="Sakshi Patel"/>
    <x v="0"/>
    <x v="4"/>
    <x v="10"/>
    <n v="2"/>
    <n v="899"/>
    <n v="1798"/>
    <x v="0"/>
    <n v="0"/>
    <n v="1798"/>
    <x v="0"/>
    <x v="0"/>
  </r>
  <r>
    <x v="118"/>
    <s v="19 Sun"/>
    <x v="0"/>
    <x v="0"/>
    <s v="CUST-1123"/>
    <s v="Shreya Gupta"/>
    <x v="3"/>
    <x v="0"/>
    <x v="0"/>
    <n v="4"/>
    <n v="99"/>
    <n v="396"/>
    <x v="0"/>
    <n v="0"/>
    <n v="396"/>
    <x v="1"/>
    <x v="0"/>
  </r>
  <r>
    <x v="119"/>
    <s v="20 Mon"/>
    <x v="0"/>
    <x v="0"/>
    <s v="CUST-1243"/>
    <s v="Aman Joshi"/>
    <x v="4"/>
    <x v="0"/>
    <x v="0"/>
    <n v="1"/>
    <n v="99"/>
    <n v="99"/>
    <x v="0"/>
    <n v="0"/>
    <n v="99"/>
    <x v="2"/>
    <x v="0"/>
  </r>
  <r>
    <x v="120"/>
    <s v="20 Mon"/>
    <x v="0"/>
    <x v="0"/>
    <s v="CUST-1138"/>
    <s v="Tanya Singh"/>
    <x v="1"/>
    <x v="2"/>
    <x v="3"/>
    <n v="2"/>
    <n v="249"/>
    <n v="498"/>
    <x v="0"/>
    <n v="0"/>
    <n v="498"/>
    <x v="1"/>
    <x v="0"/>
  </r>
  <r>
    <x v="121"/>
    <s v="20 Mon"/>
    <x v="0"/>
    <x v="0"/>
    <s v="CUST-1387"/>
    <s v="Rohan Patel"/>
    <x v="0"/>
    <x v="0"/>
    <x v="0"/>
    <n v="1"/>
    <n v="99"/>
    <n v="99"/>
    <x v="4"/>
    <n v="9.9"/>
    <n v="89.1"/>
    <x v="0"/>
    <x v="1"/>
  </r>
  <r>
    <x v="122"/>
    <s v="21 Tue"/>
    <x v="0"/>
    <x v="0"/>
    <s v="CUST-1279"/>
    <s v="Tanya Kapoor"/>
    <x v="4"/>
    <x v="5"/>
    <x v="8"/>
    <n v="1"/>
    <n v="349"/>
    <n v="349"/>
    <x v="4"/>
    <n v="34.9"/>
    <n v="314.10000000000002"/>
    <x v="4"/>
    <x v="0"/>
  </r>
  <r>
    <x v="123"/>
    <s v="21 Tue"/>
    <x v="0"/>
    <x v="0"/>
    <s v="CUST-1254"/>
    <s v="Meera Malhotra"/>
    <x v="1"/>
    <x v="3"/>
    <x v="6"/>
    <n v="1"/>
    <n v="799"/>
    <n v="799"/>
    <x v="4"/>
    <n v="79.900000000000006"/>
    <n v="719.1"/>
    <x v="2"/>
    <x v="0"/>
  </r>
  <r>
    <x v="124"/>
    <s v="21 Tue"/>
    <x v="0"/>
    <x v="0"/>
    <s v="CUST-1096"/>
    <s v="Kunal Saxena"/>
    <x v="0"/>
    <x v="4"/>
    <x v="7"/>
    <n v="3"/>
    <n v="1999"/>
    <n v="5997"/>
    <x v="0"/>
    <n v="0"/>
    <n v="5997"/>
    <x v="2"/>
    <x v="0"/>
  </r>
  <r>
    <x v="125"/>
    <s v="21 Tue"/>
    <x v="0"/>
    <x v="0"/>
    <s v="CUST-1177"/>
    <s v="Aditya Malhotra"/>
    <x v="2"/>
    <x v="1"/>
    <x v="4"/>
    <n v="2"/>
    <n v="2999"/>
    <n v="5998"/>
    <x v="3"/>
    <n v="1199.5999999999999"/>
    <n v="4798.3999999999996"/>
    <x v="1"/>
    <x v="0"/>
  </r>
  <r>
    <x v="126"/>
    <s v="21 Tue"/>
    <x v="0"/>
    <x v="0"/>
    <s v="CUST-1030"/>
    <s v="Rahul Kapoor"/>
    <x v="2"/>
    <x v="4"/>
    <x v="7"/>
    <n v="3"/>
    <n v="1999"/>
    <n v="5997"/>
    <x v="0"/>
    <n v="0"/>
    <n v="5997"/>
    <x v="1"/>
    <x v="1"/>
  </r>
  <r>
    <x v="127"/>
    <s v="22 Wed"/>
    <x v="0"/>
    <x v="0"/>
    <s v="CUST-1177"/>
    <s v="Aditya Malhotra"/>
    <x v="3"/>
    <x v="6"/>
    <x v="13"/>
    <n v="4"/>
    <n v="699"/>
    <n v="2796"/>
    <x v="3"/>
    <n v="559.20000000000005"/>
    <n v="2236.8000000000002"/>
    <x v="3"/>
    <x v="0"/>
  </r>
  <r>
    <x v="128"/>
    <s v="22 Wed"/>
    <x v="0"/>
    <x v="0"/>
    <s v="CUST-1028"/>
    <s v="Swati Joshi"/>
    <x v="3"/>
    <x v="1"/>
    <x v="14"/>
    <n v="1"/>
    <n v="1799"/>
    <n v="1799"/>
    <x v="2"/>
    <n v="89.95"/>
    <n v="1709.05"/>
    <x v="1"/>
    <x v="0"/>
  </r>
  <r>
    <x v="129"/>
    <s v="22 Wed"/>
    <x v="0"/>
    <x v="0"/>
    <s v="CUST-1138"/>
    <s v="Tanya Singh"/>
    <x v="1"/>
    <x v="4"/>
    <x v="11"/>
    <n v="2"/>
    <n v="499"/>
    <n v="998"/>
    <x v="3"/>
    <n v="199.6"/>
    <n v="798.4"/>
    <x v="0"/>
    <x v="1"/>
  </r>
  <r>
    <x v="130"/>
    <s v="22 Wed"/>
    <x v="0"/>
    <x v="0"/>
    <s v="CUST-1033"/>
    <s v="Meera Joshi"/>
    <x v="4"/>
    <x v="4"/>
    <x v="7"/>
    <n v="1"/>
    <n v="1999"/>
    <n v="1999"/>
    <x v="0"/>
    <n v="0"/>
    <n v="1999"/>
    <x v="4"/>
    <x v="1"/>
  </r>
  <r>
    <x v="131"/>
    <s v="22 Wed"/>
    <x v="0"/>
    <x v="0"/>
    <s v="CUST-1331"/>
    <s v="Arjun Singh"/>
    <x v="2"/>
    <x v="4"/>
    <x v="10"/>
    <n v="1"/>
    <n v="899"/>
    <n v="899"/>
    <x v="1"/>
    <n v="134.85"/>
    <n v="764.15"/>
    <x v="1"/>
    <x v="1"/>
  </r>
  <r>
    <x v="132"/>
    <s v="22 Wed"/>
    <x v="0"/>
    <x v="0"/>
    <s v="CUST-1038"/>
    <s v="Rohan Joshi"/>
    <x v="1"/>
    <x v="4"/>
    <x v="11"/>
    <n v="2"/>
    <n v="499"/>
    <n v="998"/>
    <x v="2"/>
    <n v="49.9"/>
    <n v="948.1"/>
    <x v="4"/>
    <x v="1"/>
  </r>
  <r>
    <x v="133"/>
    <s v="22 Wed"/>
    <x v="0"/>
    <x v="0"/>
    <s v="CUST-1103"/>
    <s v="Muskan Gupta"/>
    <x v="3"/>
    <x v="0"/>
    <x v="0"/>
    <n v="3"/>
    <n v="99"/>
    <n v="297"/>
    <x v="4"/>
    <n v="29.7"/>
    <n v="267.3"/>
    <x v="2"/>
    <x v="0"/>
  </r>
  <r>
    <x v="134"/>
    <s v="23 Thu"/>
    <x v="0"/>
    <x v="0"/>
    <s v="CUST-1013"/>
    <s v="Divya Joshi"/>
    <x v="1"/>
    <x v="6"/>
    <x v="13"/>
    <n v="3"/>
    <n v="699"/>
    <n v="2097"/>
    <x v="0"/>
    <n v="0"/>
    <n v="2097"/>
    <x v="1"/>
    <x v="1"/>
  </r>
  <r>
    <x v="135"/>
    <s v="23 Thu"/>
    <x v="0"/>
    <x v="0"/>
    <s v="CUST-1237"/>
    <s v="Divya Sharma"/>
    <x v="1"/>
    <x v="6"/>
    <x v="12"/>
    <n v="2"/>
    <n v="1499"/>
    <n v="2998"/>
    <x v="0"/>
    <n v="0"/>
    <n v="2998"/>
    <x v="1"/>
    <x v="0"/>
  </r>
  <r>
    <x v="136"/>
    <s v="23 Thu"/>
    <x v="0"/>
    <x v="0"/>
    <s v="CUST-1228"/>
    <s v="Aarav Mehta"/>
    <x v="0"/>
    <x v="4"/>
    <x v="10"/>
    <n v="1"/>
    <n v="899"/>
    <n v="899"/>
    <x v="4"/>
    <n v="89.9"/>
    <n v="809.1"/>
    <x v="1"/>
    <x v="1"/>
  </r>
  <r>
    <x v="137"/>
    <s v="23 Thu"/>
    <x v="0"/>
    <x v="0"/>
    <s v="CUST-1239"/>
    <s v="Rohan Malhotra"/>
    <x v="4"/>
    <x v="2"/>
    <x v="3"/>
    <n v="1"/>
    <n v="249"/>
    <n v="249"/>
    <x v="3"/>
    <n v="49.8"/>
    <n v="199.2"/>
    <x v="1"/>
    <x v="1"/>
  </r>
  <r>
    <x v="138"/>
    <s v="23 Thu"/>
    <x v="0"/>
    <x v="0"/>
    <s v="CUST-1213"/>
    <s v="Ankit Patel"/>
    <x v="4"/>
    <x v="0"/>
    <x v="1"/>
    <n v="2"/>
    <n v="199"/>
    <n v="398"/>
    <x v="0"/>
    <n v="0"/>
    <n v="398"/>
    <x v="4"/>
    <x v="0"/>
  </r>
  <r>
    <x v="139"/>
    <s v="23 Thu"/>
    <x v="0"/>
    <x v="0"/>
    <s v="CUST-1046"/>
    <s v="Rohan Kapoor"/>
    <x v="1"/>
    <x v="3"/>
    <x v="6"/>
    <n v="2"/>
    <n v="799"/>
    <n v="1598"/>
    <x v="0"/>
    <n v="0"/>
    <n v="1598"/>
    <x v="3"/>
    <x v="1"/>
  </r>
  <r>
    <x v="140"/>
    <s v="23 Thu"/>
    <x v="0"/>
    <x v="0"/>
    <s v="CUST-1044"/>
    <s v="Swati Saxena"/>
    <x v="2"/>
    <x v="5"/>
    <x v="9"/>
    <n v="4"/>
    <n v="549"/>
    <n v="2196"/>
    <x v="0"/>
    <n v="0"/>
    <n v="2196"/>
    <x v="3"/>
    <x v="0"/>
  </r>
  <r>
    <x v="141"/>
    <s v="24 Fri"/>
    <x v="0"/>
    <x v="0"/>
    <s v="CUST-1093"/>
    <s v="Kabir Mehta"/>
    <x v="3"/>
    <x v="2"/>
    <x v="3"/>
    <n v="4"/>
    <n v="249"/>
    <n v="996"/>
    <x v="0"/>
    <n v="0"/>
    <n v="996"/>
    <x v="3"/>
    <x v="1"/>
  </r>
  <r>
    <x v="142"/>
    <s v="24 Fri"/>
    <x v="0"/>
    <x v="0"/>
    <s v="CUST-1191"/>
    <s v="Nandini Malhotra"/>
    <x v="4"/>
    <x v="4"/>
    <x v="7"/>
    <n v="1"/>
    <n v="1999"/>
    <n v="1999"/>
    <x v="4"/>
    <n v="199.9"/>
    <n v="1799.1"/>
    <x v="0"/>
    <x v="0"/>
  </r>
  <r>
    <x v="143"/>
    <s v="24 Fri"/>
    <x v="0"/>
    <x v="0"/>
    <s v="CUST-1306"/>
    <s v="Sakshi Malhotra"/>
    <x v="1"/>
    <x v="4"/>
    <x v="11"/>
    <n v="2"/>
    <n v="499"/>
    <n v="998"/>
    <x v="1"/>
    <n v="149.69999999999999"/>
    <n v="848.3"/>
    <x v="1"/>
    <x v="0"/>
  </r>
  <r>
    <x v="144"/>
    <s v="24 Fri"/>
    <x v="0"/>
    <x v="0"/>
    <s v="CUST-1264"/>
    <s v="Vivaan Malhotra"/>
    <x v="2"/>
    <x v="6"/>
    <x v="12"/>
    <n v="2"/>
    <n v="1499"/>
    <n v="2998"/>
    <x v="0"/>
    <n v="0"/>
    <n v="2998"/>
    <x v="3"/>
    <x v="1"/>
  </r>
  <r>
    <x v="145"/>
    <s v="24 Fri"/>
    <x v="0"/>
    <x v="0"/>
    <s v="CUST-1368"/>
    <s v="Isha Patel"/>
    <x v="3"/>
    <x v="1"/>
    <x v="2"/>
    <n v="3"/>
    <n v="599"/>
    <n v="1797"/>
    <x v="0"/>
    <n v="0"/>
    <n v="1797"/>
    <x v="4"/>
    <x v="1"/>
  </r>
  <r>
    <x v="146"/>
    <s v="24 Fri"/>
    <x v="0"/>
    <x v="0"/>
    <s v="CUST-1228"/>
    <s v="Aarav Mehta"/>
    <x v="3"/>
    <x v="6"/>
    <x v="12"/>
    <n v="4"/>
    <n v="1499"/>
    <n v="5996"/>
    <x v="0"/>
    <n v="0"/>
    <n v="5996"/>
    <x v="2"/>
    <x v="0"/>
  </r>
  <r>
    <x v="147"/>
    <s v="24 Fri"/>
    <x v="0"/>
    <x v="0"/>
    <s v="CUST-1196"/>
    <s v="Aditya Patel"/>
    <x v="1"/>
    <x v="0"/>
    <x v="1"/>
    <n v="1"/>
    <n v="199"/>
    <n v="199"/>
    <x v="4"/>
    <n v="19.899999999999999"/>
    <n v="179.1"/>
    <x v="1"/>
    <x v="0"/>
  </r>
  <r>
    <x v="148"/>
    <s v="24 Fri"/>
    <x v="0"/>
    <x v="0"/>
    <s v="CUST-1049"/>
    <s v="Kunal Gupta"/>
    <x v="4"/>
    <x v="2"/>
    <x v="3"/>
    <n v="1"/>
    <n v="249"/>
    <n v="249"/>
    <x v="2"/>
    <n v="12.45"/>
    <n v="236.55"/>
    <x v="4"/>
    <x v="0"/>
  </r>
  <r>
    <x v="149"/>
    <s v="24 Fri"/>
    <x v="0"/>
    <x v="0"/>
    <s v="CUST-1232"/>
    <s v="Aman Patel"/>
    <x v="4"/>
    <x v="6"/>
    <x v="12"/>
    <n v="1"/>
    <n v="1499"/>
    <n v="1499"/>
    <x v="0"/>
    <n v="0"/>
    <n v="1499"/>
    <x v="1"/>
    <x v="0"/>
  </r>
  <r>
    <x v="150"/>
    <s v="25 Sat"/>
    <x v="0"/>
    <x v="0"/>
    <s v="CUST-1247"/>
    <s v="Meera Malhotra"/>
    <x v="2"/>
    <x v="1"/>
    <x v="4"/>
    <n v="2"/>
    <n v="2999"/>
    <n v="5998"/>
    <x v="0"/>
    <n v="0"/>
    <n v="5998"/>
    <x v="2"/>
    <x v="0"/>
  </r>
  <r>
    <x v="151"/>
    <s v="25 Sat"/>
    <x v="0"/>
    <x v="0"/>
    <s v="CUST-1225"/>
    <s v="Aarav Kapoor"/>
    <x v="3"/>
    <x v="3"/>
    <x v="5"/>
    <n v="2"/>
    <n v="1299"/>
    <n v="2598"/>
    <x v="1"/>
    <n v="389.7"/>
    <n v="2208.3000000000002"/>
    <x v="3"/>
    <x v="0"/>
  </r>
  <r>
    <x v="152"/>
    <s v="25 Sat"/>
    <x v="0"/>
    <x v="0"/>
    <s v="CUST-1105"/>
    <s v="Rohan Singh"/>
    <x v="0"/>
    <x v="1"/>
    <x v="4"/>
    <n v="3"/>
    <n v="2999"/>
    <n v="8997"/>
    <x v="2"/>
    <n v="449.85"/>
    <n v="8547.15"/>
    <x v="0"/>
    <x v="0"/>
  </r>
  <r>
    <x v="153"/>
    <s v="25 Sat"/>
    <x v="0"/>
    <x v="0"/>
    <s v="CUST-1128"/>
    <s v="Sakshi Malhotra"/>
    <x v="2"/>
    <x v="6"/>
    <x v="12"/>
    <n v="3"/>
    <n v="1499"/>
    <n v="4497"/>
    <x v="2"/>
    <n v="224.85"/>
    <n v="4272.1499999999996"/>
    <x v="3"/>
    <x v="0"/>
  </r>
  <r>
    <x v="154"/>
    <s v="25 Sat"/>
    <x v="0"/>
    <x v="0"/>
    <s v="CUST-1321"/>
    <s v="Isha Mehta"/>
    <x v="4"/>
    <x v="3"/>
    <x v="6"/>
    <n v="1"/>
    <n v="799"/>
    <n v="799"/>
    <x v="0"/>
    <n v="0"/>
    <n v="799"/>
    <x v="2"/>
    <x v="0"/>
  </r>
  <r>
    <x v="155"/>
    <s v="25 Sat"/>
    <x v="0"/>
    <x v="0"/>
    <s v="CUST-1314"/>
    <s v="Kunal Sharma"/>
    <x v="4"/>
    <x v="5"/>
    <x v="9"/>
    <n v="1"/>
    <n v="549"/>
    <n v="549"/>
    <x v="1"/>
    <n v="82.35"/>
    <n v="466.65"/>
    <x v="2"/>
    <x v="0"/>
  </r>
  <r>
    <x v="156"/>
    <s v="25 Sat"/>
    <x v="0"/>
    <x v="0"/>
    <s v="CUST-1228"/>
    <s v="Aarav Mehta"/>
    <x v="4"/>
    <x v="4"/>
    <x v="10"/>
    <n v="1"/>
    <n v="899"/>
    <n v="899"/>
    <x v="3"/>
    <n v="179.8"/>
    <n v="719.2"/>
    <x v="3"/>
    <x v="0"/>
  </r>
  <r>
    <x v="157"/>
    <s v="25 Sat"/>
    <x v="0"/>
    <x v="0"/>
    <s v="CUST-1227"/>
    <s v="Rohan Joshi"/>
    <x v="3"/>
    <x v="2"/>
    <x v="15"/>
    <n v="3"/>
    <n v="299"/>
    <n v="897"/>
    <x v="2"/>
    <n v="44.85"/>
    <n v="852.15"/>
    <x v="2"/>
    <x v="0"/>
  </r>
  <r>
    <x v="158"/>
    <s v="26 Sun"/>
    <x v="0"/>
    <x v="0"/>
    <s v="CUST-1291"/>
    <s v="Arjun Saxena"/>
    <x v="4"/>
    <x v="1"/>
    <x v="2"/>
    <n v="1"/>
    <n v="599"/>
    <n v="599"/>
    <x v="3"/>
    <n v="119.8"/>
    <n v="479.2"/>
    <x v="0"/>
    <x v="0"/>
  </r>
  <r>
    <x v="159"/>
    <s v="26 Sun"/>
    <x v="0"/>
    <x v="0"/>
    <s v="CUST-1296"/>
    <s v="Vivaan Kapoor"/>
    <x v="2"/>
    <x v="0"/>
    <x v="0"/>
    <n v="1"/>
    <n v="99"/>
    <n v="99"/>
    <x v="3"/>
    <n v="19.8"/>
    <n v="79.2"/>
    <x v="1"/>
    <x v="1"/>
  </r>
  <r>
    <x v="160"/>
    <s v="26 Sun"/>
    <x v="0"/>
    <x v="0"/>
    <s v="CUST-1384"/>
    <s v="Vivaan Singh"/>
    <x v="4"/>
    <x v="6"/>
    <x v="12"/>
    <n v="2"/>
    <n v="1499"/>
    <n v="2998"/>
    <x v="4"/>
    <n v="299.8"/>
    <n v="2698.2"/>
    <x v="2"/>
    <x v="1"/>
  </r>
  <r>
    <x v="161"/>
    <s v="26 Sun"/>
    <x v="0"/>
    <x v="0"/>
    <s v="CUST-1002"/>
    <s v="Shreya Mehta"/>
    <x v="1"/>
    <x v="5"/>
    <x v="8"/>
    <n v="1"/>
    <n v="349"/>
    <n v="349"/>
    <x v="0"/>
    <n v="0"/>
    <n v="349"/>
    <x v="1"/>
    <x v="0"/>
  </r>
  <r>
    <x v="162"/>
    <s v="26 Sun"/>
    <x v="0"/>
    <x v="0"/>
    <s v="CUST-1400"/>
    <s v="Aarav Gupta"/>
    <x v="2"/>
    <x v="1"/>
    <x v="4"/>
    <n v="2"/>
    <n v="2999"/>
    <n v="5998"/>
    <x v="0"/>
    <n v="0"/>
    <n v="5998"/>
    <x v="1"/>
    <x v="1"/>
  </r>
  <r>
    <x v="163"/>
    <s v="26 Sun"/>
    <x v="0"/>
    <x v="0"/>
    <s v="CUST-1364"/>
    <s v="Rahul Malhotra"/>
    <x v="0"/>
    <x v="5"/>
    <x v="9"/>
    <n v="1"/>
    <n v="549"/>
    <n v="549"/>
    <x v="4"/>
    <n v="54.9"/>
    <n v="494.1"/>
    <x v="1"/>
    <x v="1"/>
  </r>
  <r>
    <x v="164"/>
    <s v="26 Sun"/>
    <x v="0"/>
    <x v="0"/>
    <s v="CUST-1379"/>
    <s v="Divya Verma"/>
    <x v="2"/>
    <x v="1"/>
    <x v="4"/>
    <n v="3"/>
    <n v="2999"/>
    <n v="8997"/>
    <x v="2"/>
    <n v="449.85"/>
    <n v="8547.15"/>
    <x v="2"/>
    <x v="0"/>
  </r>
  <r>
    <x v="165"/>
    <s v="26 Sun"/>
    <x v="0"/>
    <x v="0"/>
    <s v="CUST-1257"/>
    <s v="Shreya Saxena"/>
    <x v="4"/>
    <x v="6"/>
    <x v="13"/>
    <n v="1"/>
    <n v="699"/>
    <n v="699"/>
    <x v="0"/>
    <n v="0"/>
    <n v="699"/>
    <x v="0"/>
    <x v="1"/>
  </r>
  <r>
    <x v="166"/>
    <s v="26 Sun"/>
    <x v="0"/>
    <x v="0"/>
    <s v="CUST-1307"/>
    <s v="Swati Kapoor"/>
    <x v="3"/>
    <x v="2"/>
    <x v="15"/>
    <n v="1"/>
    <n v="299"/>
    <n v="299"/>
    <x v="0"/>
    <n v="0"/>
    <n v="299"/>
    <x v="0"/>
    <x v="0"/>
  </r>
  <r>
    <x v="167"/>
    <s v="26 Sun"/>
    <x v="0"/>
    <x v="0"/>
    <s v="CUST-1073"/>
    <s v="Rahul Kapoor"/>
    <x v="4"/>
    <x v="6"/>
    <x v="13"/>
    <n v="4"/>
    <n v="699"/>
    <n v="2796"/>
    <x v="0"/>
    <n v="0"/>
    <n v="2796"/>
    <x v="2"/>
    <x v="0"/>
  </r>
  <r>
    <x v="168"/>
    <s v="27 Mon"/>
    <x v="0"/>
    <x v="0"/>
    <s v="CUST-1362"/>
    <s v="Shreya Malhotra"/>
    <x v="4"/>
    <x v="0"/>
    <x v="0"/>
    <n v="3"/>
    <n v="99"/>
    <n v="297"/>
    <x v="0"/>
    <n v="0"/>
    <n v="297"/>
    <x v="2"/>
    <x v="0"/>
  </r>
  <r>
    <x v="169"/>
    <s v="27 Mon"/>
    <x v="0"/>
    <x v="0"/>
    <s v="CUST-1320"/>
    <s v="Ankit Kapoor"/>
    <x v="1"/>
    <x v="3"/>
    <x v="5"/>
    <n v="1"/>
    <n v="1299"/>
    <n v="1299"/>
    <x v="2"/>
    <n v="64.95"/>
    <n v="1234.05"/>
    <x v="0"/>
    <x v="0"/>
  </r>
  <r>
    <x v="170"/>
    <s v="28 Tue"/>
    <x v="0"/>
    <x v="0"/>
    <s v="CUST-1159"/>
    <s v="Isha Kapoor"/>
    <x v="1"/>
    <x v="1"/>
    <x v="14"/>
    <n v="1"/>
    <n v="1799"/>
    <n v="1799"/>
    <x v="4"/>
    <n v="179.9"/>
    <n v="1619.1"/>
    <x v="0"/>
    <x v="1"/>
  </r>
  <r>
    <x v="171"/>
    <s v="29 Wed"/>
    <x v="0"/>
    <x v="0"/>
    <s v="CUST-1094"/>
    <s v="Swati Kapoor"/>
    <x v="0"/>
    <x v="0"/>
    <x v="0"/>
    <n v="2"/>
    <n v="99"/>
    <n v="198"/>
    <x v="0"/>
    <n v="0"/>
    <n v="198"/>
    <x v="0"/>
    <x v="1"/>
  </r>
  <r>
    <x v="172"/>
    <s v="29 Wed"/>
    <x v="0"/>
    <x v="0"/>
    <s v="CUST-1362"/>
    <s v="Shreya Malhotra"/>
    <x v="2"/>
    <x v="1"/>
    <x v="4"/>
    <n v="3"/>
    <n v="2999"/>
    <n v="8997"/>
    <x v="4"/>
    <n v="899.7"/>
    <n v="8097.3"/>
    <x v="0"/>
    <x v="0"/>
  </r>
  <r>
    <x v="173"/>
    <s v="29 Wed"/>
    <x v="0"/>
    <x v="0"/>
    <s v="CUST-1100"/>
    <s v="Vivaan Saxena"/>
    <x v="4"/>
    <x v="0"/>
    <x v="1"/>
    <n v="2"/>
    <n v="199"/>
    <n v="398"/>
    <x v="0"/>
    <n v="0"/>
    <n v="398"/>
    <x v="4"/>
    <x v="0"/>
  </r>
  <r>
    <x v="174"/>
    <s v="29 Wed"/>
    <x v="0"/>
    <x v="0"/>
    <s v="CUST-1260"/>
    <s v="Ankit Verma"/>
    <x v="0"/>
    <x v="4"/>
    <x v="11"/>
    <n v="1"/>
    <n v="499"/>
    <n v="499"/>
    <x v="1"/>
    <n v="74.849999999999994"/>
    <n v="424.15"/>
    <x v="0"/>
    <x v="0"/>
  </r>
  <r>
    <x v="175"/>
    <s v="30 Thu"/>
    <x v="0"/>
    <x v="0"/>
    <s v="CUST-1089"/>
    <s v="Arjun Verma"/>
    <x v="3"/>
    <x v="4"/>
    <x v="10"/>
    <n v="2"/>
    <n v="899"/>
    <n v="1798"/>
    <x v="0"/>
    <n v="0"/>
    <n v="1798"/>
    <x v="1"/>
    <x v="0"/>
  </r>
  <r>
    <x v="176"/>
    <s v="30 Thu"/>
    <x v="0"/>
    <x v="0"/>
    <s v="CUST-1218"/>
    <s v="Rahul Singh"/>
    <x v="4"/>
    <x v="6"/>
    <x v="12"/>
    <n v="3"/>
    <n v="1499"/>
    <n v="4497"/>
    <x v="0"/>
    <n v="0"/>
    <n v="4497"/>
    <x v="1"/>
    <x v="0"/>
  </r>
  <r>
    <x v="177"/>
    <s v="30 Thu"/>
    <x v="0"/>
    <x v="0"/>
    <s v="CUST-1390"/>
    <s v="Rahul Saxena"/>
    <x v="3"/>
    <x v="3"/>
    <x v="6"/>
    <n v="2"/>
    <n v="799"/>
    <n v="1598"/>
    <x v="2"/>
    <n v="79.900000000000006"/>
    <n v="1518.1"/>
    <x v="0"/>
    <x v="1"/>
  </r>
  <r>
    <x v="178"/>
    <s v="30 Thu"/>
    <x v="0"/>
    <x v="0"/>
    <s v="CUST-1357"/>
    <s v="Kabir Mehta"/>
    <x v="0"/>
    <x v="2"/>
    <x v="15"/>
    <n v="1"/>
    <n v="299"/>
    <n v="299"/>
    <x v="4"/>
    <n v="29.9"/>
    <n v="269.10000000000002"/>
    <x v="3"/>
    <x v="0"/>
  </r>
  <r>
    <x v="179"/>
    <s v="30 Thu"/>
    <x v="0"/>
    <x v="0"/>
    <s v="CUST-1212"/>
    <s v="Komal Joshi"/>
    <x v="4"/>
    <x v="0"/>
    <x v="1"/>
    <n v="1"/>
    <n v="199"/>
    <n v="199"/>
    <x v="1"/>
    <n v="29.85"/>
    <n v="169.15"/>
    <x v="1"/>
    <x v="0"/>
  </r>
  <r>
    <x v="180"/>
    <s v="31 Fri"/>
    <x v="0"/>
    <x v="0"/>
    <s v="CUST-1200"/>
    <s v="Swati Saxena"/>
    <x v="0"/>
    <x v="0"/>
    <x v="0"/>
    <n v="5"/>
    <n v="99"/>
    <n v="495"/>
    <x v="0"/>
    <n v="0"/>
    <n v="495"/>
    <x v="0"/>
    <x v="0"/>
  </r>
  <r>
    <x v="181"/>
    <s v="31 Fri"/>
    <x v="0"/>
    <x v="0"/>
    <s v="CUST-1349"/>
    <s v="Rohan Mehta"/>
    <x v="2"/>
    <x v="4"/>
    <x v="11"/>
    <n v="3"/>
    <n v="499"/>
    <n v="1497"/>
    <x v="3"/>
    <n v="299.39999999999998"/>
    <n v="1197.5999999999999"/>
    <x v="1"/>
    <x v="0"/>
  </r>
  <r>
    <x v="182"/>
    <s v="31 Fri"/>
    <x v="0"/>
    <x v="0"/>
    <s v="CUST-1142"/>
    <s v="Divya Singh"/>
    <x v="0"/>
    <x v="4"/>
    <x v="11"/>
    <n v="2"/>
    <n v="499"/>
    <n v="998"/>
    <x v="4"/>
    <n v="99.8"/>
    <n v="898.2"/>
    <x v="3"/>
    <x v="1"/>
  </r>
  <r>
    <x v="183"/>
    <s v="31 Fri"/>
    <x v="0"/>
    <x v="0"/>
    <s v="CUST-1366"/>
    <s v="Vivaan Joshi"/>
    <x v="1"/>
    <x v="2"/>
    <x v="3"/>
    <n v="3"/>
    <n v="249"/>
    <n v="747"/>
    <x v="0"/>
    <n v="0"/>
    <n v="747"/>
    <x v="0"/>
    <x v="1"/>
  </r>
  <r>
    <x v="184"/>
    <s v="31 Fri"/>
    <x v="0"/>
    <x v="0"/>
    <s v="CUST-1140"/>
    <s v="Tanya Verma"/>
    <x v="0"/>
    <x v="1"/>
    <x v="14"/>
    <n v="1"/>
    <n v="1799"/>
    <n v="1799"/>
    <x v="0"/>
    <n v="0"/>
    <n v="1799"/>
    <x v="1"/>
    <x v="1"/>
  </r>
  <r>
    <x v="185"/>
    <s v="1 Sat"/>
    <x v="1"/>
    <x v="0"/>
    <s v="CUST-1332"/>
    <s v="Rahul Malhotra"/>
    <x v="4"/>
    <x v="1"/>
    <x v="14"/>
    <n v="1"/>
    <n v="1799"/>
    <n v="1799"/>
    <x v="3"/>
    <n v="359.8"/>
    <n v="1439.2"/>
    <x v="1"/>
    <x v="1"/>
  </r>
  <r>
    <x v="186"/>
    <s v="1 Sat"/>
    <x v="1"/>
    <x v="0"/>
    <s v="CUST-1140"/>
    <s v="Tanya Verma"/>
    <x v="1"/>
    <x v="6"/>
    <x v="13"/>
    <n v="3"/>
    <n v="699"/>
    <n v="2097"/>
    <x v="0"/>
    <n v="0"/>
    <n v="2097"/>
    <x v="4"/>
    <x v="1"/>
  </r>
  <r>
    <x v="187"/>
    <s v="1 Sat"/>
    <x v="1"/>
    <x v="0"/>
    <s v="CUST-1142"/>
    <s v="Divya Singh"/>
    <x v="3"/>
    <x v="3"/>
    <x v="6"/>
    <n v="4"/>
    <n v="799"/>
    <n v="3196"/>
    <x v="0"/>
    <n v="0"/>
    <n v="3196"/>
    <x v="3"/>
    <x v="0"/>
  </r>
  <r>
    <x v="188"/>
    <s v="1 Sat"/>
    <x v="1"/>
    <x v="0"/>
    <s v="CUST-1357"/>
    <s v="Kabir Mehta"/>
    <x v="1"/>
    <x v="2"/>
    <x v="3"/>
    <n v="2"/>
    <n v="249"/>
    <n v="498"/>
    <x v="0"/>
    <n v="0"/>
    <n v="498"/>
    <x v="1"/>
    <x v="1"/>
  </r>
  <r>
    <x v="189"/>
    <s v="1 Sat"/>
    <x v="1"/>
    <x v="0"/>
    <s v="CUST-1027"/>
    <s v="Aditya Gupta"/>
    <x v="2"/>
    <x v="6"/>
    <x v="12"/>
    <n v="4"/>
    <n v="1499"/>
    <n v="5996"/>
    <x v="1"/>
    <n v="899.4"/>
    <n v="5096.6000000000004"/>
    <x v="0"/>
    <x v="1"/>
  </r>
  <r>
    <x v="190"/>
    <s v="1 Sat"/>
    <x v="1"/>
    <x v="0"/>
    <s v="CUST-1343"/>
    <s v="Tanya Sharma"/>
    <x v="2"/>
    <x v="5"/>
    <x v="9"/>
    <n v="3"/>
    <n v="549"/>
    <n v="1647"/>
    <x v="4"/>
    <n v="164.7"/>
    <n v="1482.3"/>
    <x v="3"/>
    <x v="0"/>
  </r>
  <r>
    <x v="191"/>
    <s v="1 Sat"/>
    <x v="1"/>
    <x v="0"/>
    <s v="CUST-1363"/>
    <s v="Arjun Joshi"/>
    <x v="1"/>
    <x v="2"/>
    <x v="15"/>
    <n v="3"/>
    <n v="299"/>
    <n v="897"/>
    <x v="3"/>
    <n v="179.4"/>
    <n v="717.6"/>
    <x v="4"/>
    <x v="0"/>
  </r>
  <r>
    <x v="192"/>
    <s v="1 Sat"/>
    <x v="1"/>
    <x v="0"/>
    <s v="CUST-1072"/>
    <s v="Tanya Sharma"/>
    <x v="1"/>
    <x v="6"/>
    <x v="12"/>
    <n v="3"/>
    <n v="1499"/>
    <n v="4497"/>
    <x v="3"/>
    <n v="899.4"/>
    <n v="3597.6"/>
    <x v="3"/>
    <x v="0"/>
  </r>
  <r>
    <x v="193"/>
    <s v="2 Sun"/>
    <x v="1"/>
    <x v="0"/>
    <s v="CUST-1248"/>
    <s v="Meera Saxena"/>
    <x v="2"/>
    <x v="4"/>
    <x v="11"/>
    <n v="2"/>
    <n v="499"/>
    <n v="998"/>
    <x v="0"/>
    <n v="0"/>
    <n v="998"/>
    <x v="0"/>
    <x v="0"/>
  </r>
  <r>
    <x v="194"/>
    <s v="2 Sun"/>
    <x v="1"/>
    <x v="0"/>
    <s v="CUST-1082"/>
    <s v="Aarav Mehta"/>
    <x v="1"/>
    <x v="3"/>
    <x v="6"/>
    <n v="1"/>
    <n v="799"/>
    <n v="799"/>
    <x v="2"/>
    <n v="39.950000000000003"/>
    <n v="759.05"/>
    <x v="0"/>
    <x v="0"/>
  </r>
  <r>
    <x v="195"/>
    <s v="2 Sun"/>
    <x v="1"/>
    <x v="0"/>
    <s v="CUST-1373"/>
    <s v="Rahul Verma"/>
    <x v="1"/>
    <x v="1"/>
    <x v="14"/>
    <n v="2"/>
    <n v="1799"/>
    <n v="3598"/>
    <x v="4"/>
    <n v="359.8"/>
    <n v="3238.2"/>
    <x v="0"/>
    <x v="0"/>
  </r>
  <r>
    <x v="196"/>
    <s v="3 Mon"/>
    <x v="1"/>
    <x v="0"/>
    <s v="CUST-1300"/>
    <s v="Vivaan Mehta"/>
    <x v="0"/>
    <x v="6"/>
    <x v="13"/>
    <n v="1"/>
    <n v="699"/>
    <n v="699"/>
    <x v="0"/>
    <n v="0"/>
    <n v="699"/>
    <x v="0"/>
    <x v="0"/>
  </r>
  <r>
    <x v="197"/>
    <s v="3 Mon"/>
    <x v="1"/>
    <x v="0"/>
    <s v="CUST-1100"/>
    <s v="Vivaan Saxena"/>
    <x v="2"/>
    <x v="1"/>
    <x v="2"/>
    <n v="5"/>
    <n v="599"/>
    <n v="2995"/>
    <x v="2"/>
    <n v="149.75"/>
    <n v="2845.25"/>
    <x v="2"/>
    <x v="0"/>
  </r>
  <r>
    <x v="198"/>
    <s v="3 Mon"/>
    <x v="1"/>
    <x v="0"/>
    <s v="CUST-1331"/>
    <s v="Arjun Singh"/>
    <x v="0"/>
    <x v="6"/>
    <x v="13"/>
    <n v="3"/>
    <n v="699"/>
    <n v="2097"/>
    <x v="1"/>
    <n v="314.55"/>
    <n v="1782.45"/>
    <x v="2"/>
    <x v="1"/>
  </r>
  <r>
    <x v="199"/>
    <s v="3 Mon"/>
    <x v="1"/>
    <x v="0"/>
    <s v="CUST-1055"/>
    <s v="Rohan Saxena"/>
    <x v="2"/>
    <x v="5"/>
    <x v="9"/>
    <n v="2"/>
    <n v="549"/>
    <n v="1098"/>
    <x v="2"/>
    <n v="54.9"/>
    <n v="1043.0999999999999"/>
    <x v="4"/>
    <x v="1"/>
  </r>
  <r>
    <x v="200"/>
    <s v="4 Tue"/>
    <x v="1"/>
    <x v="0"/>
    <s v="CUST-1134"/>
    <s v="Komal Patel"/>
    <x v="2"/>
    <x v="4"/>
    <x v="11"/>
    <n v="3"/>
    <n v="499"/>
    <n v="1497"/>
    <x v="0"/>
    <n v="0"/>
    <n v="1497"/>
    <x v="0"/>
    <x v="0"/>
  </r>
  <r>
    <x v="201"/>
    <s v="4 Tue"/>
    <x v="1"/>
    <x v="0"/>
    <s v="CUST-1024"/>
    <s v="Tanya Singh"/>
    <x v="0"/>
    <x v="1"/>
    <x v="4"/>
    <n v="1"/>
    <n v="2999"/>
    <n v="2999"/>
    <x v="4"/>
    <n v="299.89999999999998"/>
    <n v="2699.1"/>
    <x v="3"/>
    <x v="0"/>
  </r>
  <r>
    <x v="202"/>
    <s v="4 Tue"/>
    <x v="1"/>
    <x v="0"/>
    <s v="CUST-1364"/>
    <s v="Rahul Malhotra"/>
    <x v="1"/>
    <x v="6"/>
    <x v="12"/>
    <n v="1"/>
    <n v="1499"/>
    <n v="1499"/>
    <x v="3"/>
    <n v="299.8"/>
    <n v="1199.2"/>
    <x v="0"/>
    <x v="0"/>
  </r>
  <r>
    <x v="203"/>
    <s v="4 Tue"/>
    <x v="1"/>
    <x v="0"/>
    <s v="CUST-1283"/>
    <s v="Aditya Mehta"/>
    <x v="4"/>
    <x v="1"/>
    <x v="4"/>
    <n v="2"/>
    <n v="2999"/>
    <n v="5998"/>
    <x v="2"/>
    <n v="299.89999999999998"/>
    <n v="5698.1"/>
    <x v="1"/>
    <x v="0"/>
  </r>
  <r>
    <x v="204"/>
    <s v="4 Tue"/>
    <x v="1"/>
    <x v="0"/>
    <s v="CUST-1254"/>
    <s v="Meera Malhotra"/>
    <x v="4"/>
    <x v="6"/>
    <x v="13"/>
    <n v="1"/>
    <n v="699"/>
    <n v="699"/>
    <x v="0"/>
    <n v="0"/>
    <n v="699"/>
    <x v="0"/>
    <x v="0"/>
  </r>
  <r>
    <x v="205"/>
    <s v="4 Tue"/>
    <x v="1"/>
    <x v="0"/>
    <s v="CUST-1132"/>
    <s v="Shreya Sharma"/>
    <x v="0"/>
    <x v="4"/>
    <x v="10"/>
    <n v="2"/>
    <n v="899"/>
    <n v="1798"/>
    <x v="0"/>
    <n v="0"/>
    <n v="1798"/>
    <x v="4"/>
    <x v="0"/>
  </r>
  <r>
    <x v="206"/>
    <s v="4 Tue"/>
    <x v="1"/>
    <x v="0"/>
    <s v="CUST-1284"/>
    <s v="Arjun Kapoor"/>
    <x v="0"/>
    <x v="4"/>
    <x v="7"/>
    <n v="3"/>
    <n v="1999"/>
    <n v="5997"/>
    <x v="0"/>
    <n v="0"/>
    <n v="5997"/>
    <x v="0"/>
    <x v="1"/>
  </r>
  <r>
    <x v="207"/>
    <s v="5 Wed"/>
    <x v="1"/>
    <x v="0"/>
    <s v="CUST-1115"/>
    <s v="Divya Kapoor"/>
    <x v="0"/>
    <x v="0"/>
    <x v="1"/>
    <n v="1"/>
    <n v="199"/>
    <n v="199"/>
    <x v="4"/>
    <n v="19.899999999999999"/>
    <n v="179.1"/>
    <x v="1"/>
    <x v="1"/>
  </r>
  <r>
    <x v="208"/>
    <s v="5 Wed"/>
    <x v="1"/>
    <x v="0"/>
    <s v="CUST-1320"/>
    <s v="Ankit Kapoor"/>
    <x v="4"/>
    <x v="3"/>
    <x v="5"/>
    <n v="1"/>
    <n v="1299"/>
    <n v="1299"/>
    <x v="3"/>
    <n v="259.8"/>
    <n v="1039.2"/>
    <x v="2"/>
    <x v="0"/>
  </r>
  <r>
    <x v="209"/>
    <s v="5 Wed"/>
    <x v="1"/>
    <x v="0"/>
    <s v="CUST-1374"/>
    <s v="Isha Sharma"/>
    <x v="1"/>
    <x v="1"/>
    <x v="14"/>
    <n v="1"/>
    <n v="1799"/>
    <n v="1799"/>
    <x v="2"/>
    <n v="89.95"/>
    <n v="1709.05"/>
    <x v="1"/>
    <x v="0"/>
  </r>
  <r>
    <x v="210"/>
    <s v="5 Wed"/>
    <x v="1"/>
    <x v="0"/>
    <s v="CUST-1237"/>
    <s v="Divya Sharma"/>
    <x v="3"/>
    <x v="6"/>
    <x v="13"/>
    <n v="3"/>
    <n v="699"/>
    <n v="2097"/>
    <x v="0"/>
    <n v="0"/>
    <n v="2097"/>
    <x v="1"/>
    <x v="0"/>
  </r>
  <r>
    <x v="211"/>
    <s v="5 Wed"/>
    <x v="1"/>
    <x v="0"/>
    <s v="CUST-1059"/>
    <s v="Kunal Verma"/>
    <x v="0"/>
    <x v="2"/>
    <x v="3"/>
    <n v="3"/>
    <n v="249"/>
    <n v="747"/>
    <x v="0"/>
    <n v="0"/>
    <n v="747"/>
    <x v="0"/>
    <x v="1"/>
  </r>
  <r>
    <x v="212"/>
    <s v="5 Wed"/>
    <x v="1"/>
    <x v="0"/>
    <s v="CUST-1119"/>
    <s v="Rahul Gupta"/>
    <x v="1"/>
    <x v="4"/>
    <x v="11"/>
    <n v="2"/>
    <n v="499"/>
    <n v="998"/>
    <x v="2"/>
    <n v="49.9"/>
    <n v="948.1"/>
    <x v="3"/>
    <x v="0"/>
  </r>
  <r>
    <x v="213"/>
    <s v="5 Wed"/>
    <x v="1"/>
    <x v="0"/>
    <s v="CUST-1395"/>
    <s v="Rahul Verma"/>
    <x v="1"/>
    <x v="4"/>
    <x v="11"/>
    <n v="1"/>
    <n v="499"/>
    <n v="499"/>
    <x v="0"/>
    <n v="0"/>
    <n v="499"/>
    <x v="0"/>
    <x v="0"/>
  </r>
  <r>
    <x v="214"/>
    <s v="5 Wed"/>
    <x v="1"/>
    <x v="0"/>
    <s v="CUST-1324"/>
    <s v="Rahul Verma"/>
    <x v="3"/>
    <x v="6"/>
    <x v="12"/>
    <n v="2"/>
    <n v="1499"/>
    <n v="2998"/>
    <x v="0"/>
    <n v="0"/>
    <n v="2998"/>
    <x v="0"/>
    <x v="1"/>
  </r>
  <r>
    <x v="215"/>
    <s v="5 Wed"/>
    <x v="1"/>
    <x v="0"/>
    <s v="CUST-1158"/>
    <s v="Shreya Singh"/>
    <x v="3"/>
    <x v="0"/>
    <x v="0"/>
    <n v="1"/>
    <n v="99"/>
    <n v="99"/>
    <x v="2"/>
    <n v="4.95"/>
    <n v="94.05"/>
    <x v="0"/>
    <x v="0"/>
  </r>
  <r>
    <x v="216"/>
    <s v="6 Thu"/>
    <x v="1"/>
    <x v="0"/>
    <s v="CUST-1375"/>
    <s v="Kunal Joshi"/>
    <x v="2"/>
    <x v="3"/>
    <x v="6"/>
    <n v="3"/>
    <n v="799"/>
    <n v="2397"/>
    <x v="3"/>
    <n v="479.4"/>
    <n v="1917.6"/>
    <x v="4"/>
    <x v="0"/>
  </r>
  <r>
    <x v="217"/>
    <s v="6 Thu"/>
    <x v="1"/>
    <x v="0"/>
    <s v="CUST-1006"/>
    <s v="Sakshi Singh"/>
    <x v="1"/>
    <x v="1"/>
    <x v="2"/>
    <n v="1"/>
    <n v="599"/>
    <n v="599"/>
    <x v="1"/>
    <n v="89.85"/>
    <n v="509.15"/>
    <x v="4"/>
    <x v="0"/>
  </r>
  <r>
    <x v="218"/>
    <s v="6 Thu"/>
    <x v="1"/>
    <x v="0"/>
    <s v="CUST-1346"/>
    <s v="Vivaan Gupta"/>
    <x v="0"/>
    <x v="2"/>
    <x v="15"/>
    <n v="3"/>
    <n v="299"/>
    <n v="897"/>
    <x v="0"/>
    <n v="0"/>
    <n v="897"/>
    <x v="1"/>
    <x v="0"/>
  </r>
  <r>
    <x v="219"/>
    <s v="6 Thu"/>
    <x v="1"/>
    <x v="0"/>
    <s v="CUST-1174"/>
    <s v="Rahul Singh"/>
    <x v="2"/>
    <x v="3"/>
    <x v="6"/>
    <n v="2"/>
    <n v="799"/>
    <n v="1598"/>
    <x v="2"/>
    <n v="79.900000000000006"/>
    <n v="1518.1"/>
    <x v="1"/>
    <x v="0"/>
  </r>
  <r>
    <x v="220"/>
    <s v="7 Fri"/>
    <x v="1"/>
    <x v="0"/>
    <s v="CUST-1037"/>
    <s v="Aarav Gupta"/>
    <x v="0"/>
    <x v="0"/>
    <x v="1"/>
    <n v="4"/>
    <n v="199"/>
    <n v="796"/>
    <x v="0"/>
    <n v="0"/>
    <n v="796"/>
    <x v="0"/>
    <x v="1"/>
  </r>
  <r>
    <x v="221"/>
    <s v="7 Fri"/>
    <x v="1"/>
    <x v="0"/>
    <s v="CUST-1189"/>
    <s v="Vivaan Mehta"/>
    <x v="1"/>
    <x v="5"/>
    <x v="8"/>
    <n v="1"/>
    <n v="349"/>
    <n v="349"/>
    <x v="4"/>
    <n v="34.9"/>
    <n v="314.10000000000002"/>
    <x v="0"/>
    <x v="0"/>
  </r>
  <r>
    <x v="222"/>
    <s v="7 Fri"/>
    <x v="1"/>
    <x v="0"/>
    <s v="CUST-1184"/>
    <s v="Rahul Joshi"/>
    <x v="2"/>
    <x v="5"/>
    <x v="9"/>
    <n v="3"/>
    <n v="549"/>
    <n v="1647"/>
    <x v="3"/>
    <n v="329.4"/>
    <n v="1317.6"/>
    <x v="4"/>
    <x v="0"/>
  </r>
  <r>
    <x v="223"/>
    <s v="7 Fri"/>
    <x v="1"/>
    <x v="0"/>
    <s v="CUST-1399"/>
    <s v="Vivaan Verma"/>
    <x v="1"/>
    <x v="1"/>
    <x v="4"/>
    <n v="2"/>
    <n v="2999"/>
    <n v="5998"/>
    <x v="2"/>
    <n v="299.89999999999998"/>
    <n v="5698.1"/>
    <x v="1"/>
    <x v="0"/>
  </r>
  <r>
    <x v="224"/>
    <s v="8 Sat"/>
    <x v="1"/>
    <x v="0"/>
    <s v="CUST-1268"/>
    <s v="Aman Verma"/>
    <x v="0"/>
    <x v="2"/>
    <x v="15"/>
    <n v="1"/>
    <n v="299"/>
    <n v="299"/>
    <x v="0"/>
    <n v="0"/>
    <n v="299"/>
    <x v="3"/>
    <x v="0"/>
  </r>
  <r>
    <x v="225"/>
    <s v="8 Sat"/>
    <x v="1"/>
    <x v="0"/>
    <s v="CUST-1173"/>
    <s v="Ankit Gupta"/>
    <x v="4"/>
    <x v="2"/>
    <x v="15"/>
    <n v="3"/>
    <n v="299"/>
    <n v="897"/>
    <x v="0"/>
    <n v="0"/>
    <n v="897"/>
    <x v="4"/>
    <x v="1"/>
  </r>
  <r>
    <x v="226"/>
    <s v="8 Sat"/>
    <x v="1"/>
    <x v="0"/>
    <s v="CUST-1085"/>
    <s v="Shreya Mehta"/>
    <x v="0"/>
    <x v="0"/>
    <x v="0"/>
    <n v="1"/>
    <n v="99"/>
    <n v="99"/>
    <x v="4"/>
    <n v="9.9"/>
    <n v="89.1"/>
    <x v="1"/>
    <x v="0"/>
  </r>
  <r>
    <x v="227"/>
    <s v="8 Sat"/>
    <x v="1"/>
    <x v="0"/>
    <s v="CUST-1169"/>
    <s v="Nandini Patel"/>
    <x v="2"/>
    <x v="3"/>
    <x v="6"/>
    <n v="4"/>
    <n v="799"/>
    <n v="3196"/>
    <x v="3"/>
    <n v="639.20000000000005"/>
    <n v="2556.8000000000002"/>
    <x v="4"/>
    <x v="0"/>
  </r>
  <r>
    <x v="228"/>
    <s v="8 Sat"/>
    <x v="1"/>
    <x v="0"/>
    <s v="CUST-1351"/>
    <s v="Tanya Mehta"/>
    <x v="1"/>
    <x v="5"/>
    <x v="9"/>
    <n v="1"/>
    <n v="549"/>
    <n v="549"/>
    <x v="4"/>
    <n v="54.9"/>
    <n v="494.1"/>
    <x v="2"/>
    <x v="1"/>
  </r>
  <r>
    <x v="229"/>
    <s v="8 Sat"/>
    <x v="1"/>
    <x v="0"/>
    <s v="CUST-1110"/>
    <s v="Aman Malhotra"/>
    <x v="1"/>
    <x v="4"/>
    <x v="11"/>
    <n v="1"/>
    <n v="499"/>
    <n v="499"/>
    <x v="3"/>
    <n v="99.8"/>
    <n v="399.2"/>
    <x v="1"/>
    <x v="0"/>
  </r>
  <r>
    <x v="230"/>
    <s v="8 Sat"/>
    <x v="1"/>
    <x v="0"/>
    <s v="CUST-1342"/>
    <s v="Vivaan Saxena"/>
    <x v="1"/>
    <x v="1"/>
    <x v="14"/>
    <n v="2"/>
    <n v="1799"/>
    <n v="3598"/>
    <x v="1"/>
    <n v="539.70000000000005"/>
    <n v="3058.3"/>
    <x v="0"/>
    <x v="0"/>
  </r>
  <r>
    <x v="231"/>
    <s v="8 Sat"/>
    <x v="1"/>
    <x v="0"/>
    <s v="CUST-1221"/>
    <s v="Kunal Singh"/>
    <x v="0"/>
    <x v="2"/>
    <x v="15"/>
    <n v="3"/>
    <n v="299"/>
    <n v="897"/>
    <x v="0"/>
    <n v="0"/>
    <n v="897"/>
    <x v="3"/>
    <x v="0"/>
  </r>
  <r>
    <x v="232"/>
    <s v="8 Sat"/>
    <x v="1"/>
    <x v="0"/>
    <s v="CUST-1395"/>
    <s v="Rahul Verma"/>
    <x v="0"/>
    <x v="3"/>
    <x v="5"/>
    <n v="2"/>
    <n v="1299"/>
    <n v="2598"/>
    <x v="4"/>
    <n v="259.8"/>
    <n v="2338.1999999999998"/>
    <x v="0"/>
    <x v="0"/>
  </r>
  <r>
    <x v="233"/>
    <s v="8 Sat"/>
    <x v="1"/>
    <x v="0"/>
    <s v="CUST-1365"/>
    <s v="Meera Singh"/>
    <x v="2"/>
    <x v="2"/>
    <x v="3"/>
    <n v="1"/>
    <n v="249"/>
    <n v="249"/>
    <x v="0"/>
    <n v="0"/>
    <n v="249"/>
    <x v="2"/>
    <x v="1"/>
  </r>
  <r>
    <x v="234"/>
    <s v="9 Sun"/>
    <x v="1"/>
    <x v="0"/>
    <s v="CUST-1190"/>
    <s v="Rahul Patel"/>
    <x v="4"/>
    <x v="3"/>
    <x v="5"/>
    <n v="1"/>
    <n v="1299"/>
    <n v="1299"/>
    <x v="3"/>
    <n v="259.8"/>
    <n v="1039.2"/>
    <x v="2"/>
    <x v="0"/>
  </r>
  <r>
    <x v="235"/>
    <s v="9 Sun"/>
    <x v="1"/>
    <x v="0"/>
    <s v="CUST-1103"/>
    <s v="Muskan Gupta"/>
    <x v="0"/>
    <x v="5"/>
    <x v="9"/>
    <n v="1"/>
    <n v="549"/>
    <n v="549"/>
    <x v="0"/>
    <n v="0"/>
    <n v="549"/>
    <x v="3"/>
    <x v="0"/>
  </r>
  <r>
    <x v="236"/>
    <s v="9 Sun"/>
    <x v="1"/>
    <x v="0"/>
    <s v="CUST-1398"/>
    <s v="Sakshi Patel"/>
    <x v="3"/>
    <x v="3"/>
    <x v="6"/>
    <n v="3"/>
    <n v="799"/>
    <n v="2397"/>
    <x v="0"/>
    <n v="0"/>
    <n v="2397"/>
    <x v="3"/>
    <x v="0"/>
  </r>
  <r>
    <x v="237"/>
    <s v="9 Sun"/>
    <x v="1"/>
    <x v="0"/>
    <s v="CUST-1068"/>
    <s v="Isha Verma"/>
    <x v="0"/>
    <x v="0"/>
    <x v="0"/>
    <n v="1"/>
    <n v="99"/>
    <n v="99"/>
    <x v="0"/>
    <n v="0"/>
    <n v="99"/>
    <x v="0"/>
    <x v="1"/>
  </r>
  <r>
    <x v="238"/>
    <s v="9 Sun"/>
    <x v="1"/>
    <x v="0"/>
    <s v="CUST-1221"/>
    <s v="Kunal Singh"/>
    <x v="1"/>
    <x v="5"/>
    <x v="8"/>
    <n v="2"/>
    <n v="349"/>
    <n v="698"/>
    <x v="0"/>
    <n v="0"/>
    <n v="698"/>
    <x v="0"/>
    <x v="0"/>
  </r>
  <r>
    <x v="239"/>
    <s v="10 Mon"/>
    <x v="1"/>
    <x v="0"/>
    <s v="CUST-1030"/>
    <s v="Rahul Kapoor"/>
    <x v="2"/>
    <x v="3"/>
    <x v="6"/>
    <n v="2"/>
    <n v="799"/>
    <n v="1598"/>
    <x v="3"/>
    <n v="319.60000000000002"/>
    <n v="1278.4000000000001"/>
    <x v="1"/>
    <x v="1"/>
  </r>
  <r>
    <x v="240"/>
    <s v="10 Mon"/>
    <x v="1"/>
    <x v="0"/>
    <s v="CUST-1387"/>
    <s v="Rohan Patel"/>
    <x v="1"/>
    <x v="4"/>
    <x v="10"/>
    <n v="1"/>
    <n v="899"/>
    <n v="899"/>
    <x v="1"/>
    <n v="134.85"/>
    <n v="764.15"/>
    <x v="4"/>
    <x v="1"/>
  </r>
  <r>
    <x v="241"/>
    <s v="10 Mon"/>
    <x v="1"/>
    <x v="0"/>
    <s v="CUST-1062"/>
    <s v="Tanya Sharma"/>
    <x v="4"/>
    <x v="3"/>
    <x v="6"/>
    <n v="2"/>
    <n v="799"/>
    <n v="1598"/>
    <x v="2"/>
    <n v="79.900000000000006"/>
    <n v="1518.1"/>
    <x v="1"/>
    <x v="0"/>
  </r>
  <r>
    <x v="242"/>
    <s v="10 Mon"/>
    <x v="1"/>
    <x v="0"/>
    <s v="CUST-1254"/>
    <s v="Meera Malhotra"/>
    <x v="0"/>
    <x v="4"/>
    <x v="10"/>
    <n v="1"/>
    <n v="899"/>
    <n v="899"/>
    <x v="2"/>
    <n v="44.95"/>
    <n v="854.05"/>
    <x v="2"/>
    <x v="0"/>
  </r>
  <r>
    <x v="243"/>
    <s v="10 Mon"/>
    <x v="1"/>
    <x v="0"/>
    <s v="CUST-1048"/>
    <s v="Divya Mehta"/>
    <x v="1"/>
    <x v="4"/>
    <x v="11"/>
    <n v="1"/>
    <n v="499"/>
    <n v="499"/>
    <x v="0"/>
    <n v="0"/>
    <n v="499"/>
    <x v="4"/>
    <x v="0"/>
  </r>
  <r>
    <x v="244"/>
    <s v="10 Mon"/>
    <x v="1"/>
    <x v="0"/>
    <s v="CUST-1205"/>
    <s v="Aman Sharma"/>
    <x v="2"/>
    <x v="1"/>
    <x v="2"/>
    <n v="4"/>
    <n v="599"/>
    <n v="2396"/>
    <x v="0"/>
    <n v="0"/>
    <n v="2396"/>
    <x v="4"/>
    <x v="0"/>
  </r>
  <r>
    <x v="245"/>
    <s v="10 Mon"/>
    <x v="1"/>
    <x v="0"/>
    <s v="CUST-1149"/>
    <s v="Aarav Verma"/>
    <x v="4"/>
    <x v="0"/>
    <x v="1"/>
    <n v="1"/>
    <n v="199"/>
    <n v="199"/>
    <x v="2"/>
    <n v="9.9499999999999993"/>
    <n v="189.05"/>
    <x v="3"/>
    <x v="0"/>
  </r>
  <r>
    <x v="246"/>
    <s v="10 Mon"/>
    <x v="1"/>
    <x v="0"/>
    <s v="CUST-1278"/>
    <s v="Meera Verma"/>
    <x v="0"/>
    <x v="2"/>
    <x v="3"/>
    <n v="3"/>
    <n v="249"/>
    <n v="747"/>
    <x v="0"/>
    <n v="0"/>
    <n v="747"/>
    <x v="1"/>
    <x v="0"/>
  </r>
  <r>
    <x v="247"/>
    <s v="11 Tue"/>
    <x v="1"/>
    <x v="0"/>
    <s v="CUST-1326"/>
    <s v="Rohan Verma"/>
    <x v="3"/>
    <x v="2"/>
    <x v="3"/>
    <n v="3"/>
    <n v="249"/>
    <n v="747"/>
    <x v="3"/>
    <n v="149.4"/>
    <n v="597.6"/>
    <x v="3"/>
    <x v="1"/>
  </r>
  <r>
    <x v="248"/>
    <s v="11 Tue"/>
    <x v="1"/>
    <x v="0"/>
    <s v="CUST-1208"/>
    <s v="Arjun Singh"/>
    <x v="1"/>
    <x v="4"/>
    <x v="7"/>
    <n v="4"/>
    <n v="1999"/>
    <n v="7996"/>
    <x v="0"/>
    <n v="0"/>
    <n v="7996"/>
    <x v="2"/>
    <x v="0"/>
  </r>
  <r>
    <x v="249"/>
    <s v="11 Tue"/>
    <x v="1"/>
    <x v="0"/>
    <s v="CUST-1092"/>
    <s v="Arjun Mehta"/>
    <x v="2"/>
    <x v="6"/>
    <x v="13"/>
    <n v="3"/>
    <n v="699"/>
    <n v="2097"/>
    <x v="2"/>
    <n v="104.85"/>
    <n v="1992.15"/>
    <x v="2"/>
    <x v="0"/>
  </r>
  <r>
    <x v="250"/>
    <s v="11 Tue"/>
    <x v="1"/>
    <x v="0"/>
    <s v="CUST-1032"/>
    <s v="Shreya Mehta"/>
    <x v="2"/>
    <x v="5"/>
    <x v="8"/>
    <n v="3"/>
    <n v="349"/>
    <n v="1047"/>
    <x v="4"/>
    <n v="104.7"/>
    <n v="942.3"/>
    <x v="4"/>
    <x v="0"/>
  </r>
  <r>
    <x v="251"/>
    <s v="12 Wed"/>
    <x v="1"/>
    <x v="0"/>
    <s v="CUST-1365"/>
    <s v="Meera Singh"/>
    <x v="2"/>
    <x v="1"/>
    <x v="4"/>
    <n v="3"/>
    <n v="2999"/>
    <n v="8997"/>
    <x v="2"/>
    <n v="449.85"/>
    <n v="8547.15"/>
    <x v="1"/>
    <x v="0"/>
  </r>
  <r>
    <x v="252"/>
    <s v="12 Wed"/>
    <x v="1"/>
    <x v="0"/>
    <s v="CUST-1358"/>
    <s v="Aman Patel"/>
    <x v="2"/>
    <x v="1"/>
    <x v="4"/>
    <n v="1"/>
    <n v="2999"/>
    <n v="2999"/>
    <x v="0"/>
    <n v="0"/>
    <n v="2999"/>
    <x v="2"/>
    <x v="0"/>
  </r>
  <r>
    <x v="253"/>
    <s v="12 Wed"/>
    <x v="1"/>
    <x v="0"/>
    <s v="CUST-1357"/>
    <s v="Kabir Mehta"/>
    <x v="3"/>
    <x v="1"/>
    <x v="14"/>
    <n v="1"/>
    <n v="1799"/>
    <n v="1799"/>
    <x v="1"/>
    <n v="269.85000000000002"/>
    <n v="1529.15"/>
    <x v="4"/>
    <x v="0"/>
  </r>
  <r>
    <x v="254"/>
    <s v="12 Wed"/>
    <x v="1"/>
    <x v="0"/>
    <s v="CUST-1188"/>
    <s v="Shreya Malhotra"/>
    <x v="0"/>
    <x v="1"/>
    <x v="14"/>
    <n v="2"/>
    <n v="1799"/>
    <n v="3598"/>
    <x v="0"/>
    <n v="0"/>
    <n v="3598"/>
    <x v="3"/>
    <x v="0"/>
  </r>
  <r>
    <x v="255"/>
    <s v="12 Wed"/>
    <x v="1"/>
    <x v="0"/>
    <s v="CUST-1020"/>
    <s v="Rohan Malhotra"/>
    <x v="2"/>
    <x v="0"/>
    <x v="1"/>
    <n v="1"/>
    <n v="199"/>
    <n v="199"/>
    <x v="0"/>
    <n v="0"/>
    <n v="199"/>
    <x v="0"/>
    <x v="0"/>
  </r>
  <r>
    <x v="256"/>
    <s v="12 Wed"/>
    <x v="1"/>
    <x v="0"/>
    <s v="CUST-1121"/>
    <s v="Rahul Kapoor"/>
    <x v="3"/>
    <x v="5"/>
    <x v="8"/>
    <n v="1"/>
    <n v="349"/>
    <n v="349"/>
    <x v="0"/>
    <n v="0"/>
    <n v="349"/>
    <x v="2"/>
    <x v="0"/>
  </r>
  <r>
    <x v="257"/>
    <s v="13 Thu"/>
    <x v="1"/>
    <x v="0"/>
    <s v="CUST-1256"/>
    <s v="Rohan Singh"/>
    <x v="3"/>
    <x v="2"/>
    <x v="3"/>
    <n v="2"/>
    <n v="249"/>
    <n v="498"/>
    <x v="1"/>
    <n v="74.7"/>
    <n v="423.3"/>
    <x v="1"/>
    <x v="0"/>
  </r>
  <r>
    <x v="258"/>
    <s v="13 Thu"/>
    <x v="1"/>
    <x v="0"/>
    <s v="CUST-1162"/>
    <s v="Aarav Kapoor"/>
    <x v="0"/>
    <x v="6"/>
    <x v="12"/>
    <n v="2"/>
    <n v="1499"/>
    <n v="2998"/>
    <x v="0"/>
    <n v="0"/>
    <n v="2998"/>
    <x v="2"/>
    <x v="0"/>
  </r>
  <r>
    <x v="259"/>
    <s v="13 Thu"/>
    <x v="1"/>
    <x v="0"/>
    <s v="CUST-1292"/>
    <s v="Aman Singh"/>
    <x v="3"/>
    <x v="0"/>
    <x v="1"/>
    <n v="1"/>
    <n v="199"/>
    <n v="199"/>
    <x v="3"/>
    <n v="39.799999999999997"/>
    <n v="159.19999999999999"/>
    <x v="0"/>
    <x v="0"/>
  </r>
  <r>
    <x v="260"/>
    <s v="13 Thu"/>
    <x v="1"/>
    <x v="0"/>
    <s v="CUST-1112"/>
    <s v="Komal Gupta"/>
    <x v="2"/>
    <x v="2"/>
    <x v="15"/>
    <n v="1"/>
    <n v="299"/>
    <n v="299"/>
    <x v="0"/>
    <n v="0"/>
    <n v="299"/>
    <x v="0"/>
    <x v="1"/>
  </r>
  <r>
    <x v="261"/>
    <s v="14 Fri"/>
    <x v="1"/>
    <x v="0"/>
    <s v="CUST-1342"/>
    <s v="Vivaan Saxena"/>
    <x v="0"/>
    <x v="4"/>
    <x v="7"/>
    <n v="3"/>
    <n v="1999"/>
    <n v="5997"/>
    <x v="2"/>
    <n v="299.85000000000002"/>
    <n v="5697.15"/>
    <x v="3"/>
    <x v="0"/>
  </r>
  <r>
    <x v="262"/>
    <s v="14 Fri"/>
    <x v="1"/>
    <x v="0"/>
    <s v="CUST-1044"/>
    <s v="Swati Saxena"/>
    <x v="0"/>
    <x v="0"/>
    <x v="1"/>
    <n v="4"/>
    <n v="199"/>
    <n v="796"/>
    <x v="2"/>
    <n v="39.799999999999997"/>
    <n v="756.2"/>
    <x v="1"/>
    <x v="0"/>
  </r>
  <r>
    <x v="263"/>
    <s v="14 Fri"/>
    <x v="1"/>
    <x v="0"/>
    <s v="CUST-1007"/>
    <s v="Aarav Sharma"/>
    <x v="3"/>
    <x v="1"/>
    <x v="2"/>
    <n v="3"/>
    <n v="599"/>
    <n v="1797"/>
    <x v="4"/>
    <n v="179.7"/>
    <n v="1617.3"/>
    <x v="1"/>
    <x v="1"/>
  </r>
  <r>
    <x v="264"/>
    <s v="14 Fri"/>
    <x v="1"/>
    <x v="0"/>
    <s v="CUST-1233"/>
    <s v="Rahul Joshi"/>
    <x v="0"/>
    <x v="6"/>
    <x v="13"/>
    <n v="3"/>
    <n v="699"/>
    <n v="2097"/>
    <x v="3"/>
    <n v="419.4"/>
    <n v="1677.6"/>
    <x v="3"/>
    <x v="0"/>
  </r>
  <r>
    <x v="265"/>
    <s v="14 Fri"/>
    <x v="1"/>
    <x v="0"/>
    <s v="CUST-1224"/>
    <s v="Swati Verma"/>
    <x v="4"/>
    <x v="6"/>
    <x v="12"/>
    <n v="1"/>
    <n v="1499"/>
    <n v="1499"/>
    <x v="2"/>
    <n v="74.95"/>
    <n v="1424.05"/>
    <x v="2"/>
    <x v="0"/>
  </r>
  <r>
    <x v="266"/>
    <s v="14 Fri"/>
    <x v="1"/>
    <x v="0"/>
    <s v="CUST-1090"/>
    <s v="Aarav Joshi"/>
    <x v="2"/>
    <x v="0"/>
    <x v="1"/>
    <n v="2"/>
    <n v="199"/>
    <n v="398"/>
    <x v="3"/>
    <n v="79.599999999999994"/>
    <n v="318.39999999999998"/>
    <x v="2"/>
    <x v="0"/>
  </r>
  <r>
    <x v="267"/>
    <s v="15 Sat"/>
    <x v="1"/>
    <x v="0"/>
    <s v="CUST-1214"/>
    <s v="Rohan Sharma"/>
    <x v="3"/>
    <x v="0"/>
    <x v="1"/>
    <n v="2"/>
    <n v="199"/>
    <n v="398"/>
    <x v="1"/>
    <n v="59.7"/>
    <n v="338.3"/>
    <x v="0"/>
    <x v="0"/>
  </r>
  <r>
    <x v="268"/>
    <s v="15 Sat"/>
    <x v="1"/>
    <x v="0"/>
    <s v="CUST-1138"/>
    <s v="Tanya Singh"/>
    <x v="1"/>
    <x v="1"/>
    <x v="4"/>
    <n v="3"/>
    <n v="2999"/>
    <n v="8997"/>
    <x v="0"/>
    <n v="0"/>
    <n v="8997"/>
    <x v="3"/>
    <x v="0"/>
  </r>
  <r>
    <x v="269"/>
    <s v="15 Sat"/>
    <x v="1"/>
    <x v="0"/>
    <s v="CUST-1292"/>
    <s v="Aman Singh"/>
    <x v="4"/>
    <x v="1"/>
    <x v="14"/>
    <n v="1"/>
    <n v="1799"/>
    <n v="1799"/>
    <x v="0"/>
    <n v="0"/>
    <n v="1799"/>
    <x v="0"/>
    <x v="1"/>
  </r>
  <r>
    <x v="270"/>
    <s v="15 Sat"/>
    <x v="1"/>
    <x v="0"/>
    <s v="CUST-1151"/>
    <s v="Aman Patel"/>
    <x v="4"/>
    <x v="0"/>
    <x v="1"/>
    <n v="2"/>
    <n v="199"/>
    <n v="398"/>
    <x v="0"/>
    <n v="0"/>
    <n v="398"/>
    <x v="0"/>
    <x v="1"/>
  </r>
  <r>
    <x v="271"/>
    <s v="15 Sat"/>
    <x v="1"/>
    <x v="0"/>
    <s v="CUST-1384"/>
    <s v="Vivaan Singh"/>
    <x v="3"/>
    <x v="6"/>
    <x v="13"/>
    <n v="2"/>
    <n v="699"/>
    <n v="1398"/>
    <x v="1"/>
    <n v="209.7"/>
    <n v="1188.3"/>
    <x v="3"/>
    <x v="0"/>
  </r>
  <r>
    <x v="272"/>
    <s v="15 Sat"/>
    <x v="1"/>
    <x v="0"/>
    <s v="CUST-1335"/>
    <s v="Divya Saxena"/>
    <x v="4"/>
    <x v="6"/>
    <x v="12"/>
    <n v="1"/>
    <n v="1499"/>
    <n v="1499"/>
    <x v="2"/>
    <n v="74.95"/>
    <n v="1424.05"/>
    <x v="1"/>
    <x v="0"/>
  </r>
  <r>
    <x v="273"/>
    <s v="16 Sun"/>
    <x v="1"/>
    <x v="0"/>
    <s v="CUST-1042"/>
    <s v="Kunal Saxena"/>
    <x v="3"/>
    <x v="4"/>
    <x v="11"/>
    <n v="1"/>
    <n v="499"/>
    <n v="499"/>
    <x v="2"/>
    <n v="24.95"/>
    <n v="474.05"/>
    <x v="2"/>
    <x v="0"/>
  </r>
  <r>
    <x v="274"/>
    <s v="16 Sun"/>
    <x v="1"/>
    <x v="0"/>
    <s v="CUST-1172"/>
    <s v="Nandini Saxena"/>
    <x v="1"/>
    <x v="1"/>
    <x v="14"/>
    <n v="2"/>
    <n v="1799"/>
    <n v="3598"/>
    <x v="3"/>
    <n v="719.6"/>
    <n v="2878.4"/>
    <x v="2"/>
    <x v="0"/>
  </r>
  <r>
    <x v="275"/>
    <s v="16 Sun"/>
    <x v="1"/>
    <x v="0"/>
    <s v="CUST-1338"/>
    <s v="Komal Malhotra"/>
    <x v="3"/>
    <x v="4"/>
    <x v="11"/>
    <n v="4"/>
    <n v="499"/>
    <n v="1996"/>
    <x v="4"/>
    <n v="199.6"/>
    <n v="1796.4"/>
    <x v="3"/>
    <x v="0"/>
  </r>
  <r>
    <x v="276"/>
    <s v="16 Sun"/>
    <x v="1"/>
    <x v="0"/>
    <s v="CUST-1163"/>
    <s v="Sakshi Mehta"/>
    <x v="2"/>
    <x v="1"/>
    <x v="2"/>
    <n v="1"/>
    <n v="599"/>
    <n v="599"/>
    <x v="1"/>
    <n v="89.85"/>
    <n v="509.15"/>
    <x v="1"/>
    <x v="1"/>
  </r>
  <r>
    <x v="277"/>
    <s v="17 Mon"/>
    <x v="1"/>
    <x v="0"/>
    <s v="CUST-1009"/>
    <s v="Shreya Gupta"/>
    <x v="0"/>
    <x v="6"/>
    <x v="13"/>
    <n v="2"/>
    <n v="699"/>
    <n v="1398"/>
    <x v="2"/>
    <n v="69.900000000000006"/>
    <n v="1328.1"/>
    <x v="2"/>
    <x v="0"/>
  </r>
  <r>
    <x v="278"/>
    <s v="18 Tue"/>
    <x v="1"/>
    <x v="0"/>
    <s v="CUST-1283"/>
    <s v="Aditya Mehta"/>
    <x v="2"/>
    <x v="5"/>
    <x v="9"/>
    <n v="1"/>
    <n v="549"/>
    <n v="549"/>
    <x v="0"/>
    <n v="0"/>
    <n v="549"/>
    <x v="0"/>
    <x v="1"/>
  </r>
  <r>
    <x v="279"/>
    <s v="18 Tue"/>
    <x v="1"/>
    <x v="0"/>
    <s v="CUST-1165"/>
    <s v="Rahul Singh"/>
    <x v="1"/>
    <x v="0"/>
    <x v="0"/>
    <n v="1"/>
    <n v="99"/>
    <n v="99"/>
    <x v="4"/>
    <n v="9.9"/>
    <n v="89.1"/>
    <x v="3"/>
    <x v="0"/>
  </r>
  <r>
    <x v="280"/>
    <s v="18 Tue"/>
    <x v="1"/>
    <x v="0"/>
    <s v="CUST-1129"/>
    <s v="Nandini Patel"/>
    <x v="4"/>
    <x v="2"/>
    <x v="3"/>
    <n v="1"/>
    <n v="249"/>
    <n v="249"/>
    <x v="0"/>
    <n v="0"/>
    <n v="249"/>
    <x v="0"/>
    <x v="1"/>
  </r>
  <r>
    <x v="281"/>
    <s v="18 Tue"/>
    <x v="1"/>
    <x v="0"/>
    <s v="CUST-1104"/>
    <s v="Nandini Saxena"/>
    <x v="1"/>
    <x v="6"/>
    <x v="13"/>
    <n v="4"/>
    <n v="699"/>
    <n v="2796"/>
    <x v="2"/>
    <n v="139.80000000000001"/>
    <n v="2656.2"/>
    <x v="2"/>
    <x v="0"/>
  </r>
  <r>
    <x v="282"/>
    <s v="19 Wed"/>
    <x v="1"/>
    <x v="0"/>
    <s v="CUST-1324"/>
    <s v="Rahul Verma"/>
    <x v="4"/>
    <x v="6"/>
    <x v="13"/>
    <n v="1"/>
    <n v="699"/>
    <n v="699"/>
    <x v="4"/>
    <n v="69.900000000000006"/>
    <n v="629.1"/>
    <x v="0"/>
    <x v="1"/>
  </r>
  <r>
    <x v="283"/>
    <s v="19 Wed"/>
    <x v="1"/>
    <x v="0"/>
    <s v="CUST-1029"/>
    <s v="Swati Patel"/>
    <x v="0"/>
    <x v="2"/>
    <x v="15"/>
    <n v="1"/>
    <n v="299"/>
    <n v="299"/>
    <x v="0"/>
    <n v="0"/>
    <n v="299"/>
    <x v="2"/>
    <x v="0"/>
  </r>
  <r>
    <x v="284"/>
    <s v="19 Wed"/>
    <x v="1"/>
    <x v="0"/>
    <s v="CUST-1378"/>
    <s v="Rahul Mehta"/>
    <x v="2"/>
    <x v="2"/>
    <x v="15"/>
    <n v="1"/>
    <n v="299"/>
    <n v="299"/>
    <x v="0"/>
    <n v="0"/>
    <n v="299"/>
    <x v="2"/>
    <x v="1"/>
  </r>
  <r>
    <x v="285"/>
    <s v="19 Wed"/>
    <x v="1"/>
    <x v="0"/>
    <s v="CUST-1277"/>
    <s v="Vivaan Sharma"/>
    <x v="0"/>
    <x v="1"/>
    <x v="14"/>
    <n v="2"/>
    <n v="1799"/>
    <n v="3598"/>
    <x v="1"/>
    <n v="539.70000000000005"/>
    <n v="3058.3"/>
    <x v="0"/>
    <x v="1"/>
  </r>
  <r>
    <x v="286"/>
    <s v="19 Wed"/>
    <x v="1"/>
    <x v="0"/>
    <s v="CUST-1176"/>
    <s v="Meera Sharma"/>
    <x v="4"/>
    <x v="5"/>
    <x v="8"/>
    <n v="1"/>
    <n v="349"/>
    <n v="349"/>
    <x v="3"/>
    <n v="69.8"/>
    <n v="279.2"/>
    <x v="2"/>
    <x v="0"/>
  </r>
  <r>
    <x v="287"/>
    <s v="20 Thu"/>
    <x v="1"/>
    <x v="0"/>
    <s v="CUST-1106"/>
    <s v="Ankit Saxena"/>
    <x v="0"/>
    <x v="3"/>
    <x v="6"/>
    <n v="1"/>
    <n v="799"/>
    <n v="799"/>
    <x v="0"/>
    <n v="0"/>
    <n v="799"/>
    <x v="2"/>
    <x v="0"/>
  </r>
  <r>
    <x v="288"/>
    <s v="20 Thu"/>
    <x v="1"/>
    <x v="0"/>
    <s v="CUST-1076"/>
    <s v="Tanya Saxena"/>
    <x v="0"/>
    <x v="2"/>
    <x v="15"/>
    <n v="2"/>
    <n v="299"/>
    <n v="598"/>
    <x v="2"/>
    <n v="29.9"/>
    <n v="568.1"/>
    <x v="1"/>
    <x v="0"/>
  </r>
  <r>
    <x v="289"/>
    <s v="20 Thu"/>
    <x v="1"/>
    <x v="0"/>
    <s v="CUST-1006"/>
    <s v="Sakshi Singh"/>
    <x v="4"/>
    <x v="1"/>
    <x v="14"/>
    <n v="1"/>
    <n v="1799"/>
    <n v="1799"/>
    <x v="3"/>
    <n v="359.8"/>
    <n v="1439.2"/>
    <x v="0"/>
    <x v="0"/>
  </r>
  <r>
    <x v="290"/>
    <s v="20 Thu"/>
    <x v="1"/>
    <x v="0"/>
    <s v="CUST-1201"/>
    <s v="Tanya Joshi"/>
    <x v="3"/>
    <x v="0"/>
    <x v="1"/>
    <n v="1"/>
    <n v="199"/>
    <n v="199"/>
    <x v="3"/>
    <n v="39.799999999999997"/>
    <n v="159.19999999999999"/>
    <x v="0"/>
    <x v="0"/>
  </r>
  <r>
    <x v="291"/>
    <s v="20 Thu"/>
    <x v="1"/>
    <x v="0"/>
    <s v="CUST-1098"/>
    <s v="Rohan Patel"/>
    <x v="2"/>
    <x v="1"/>
    <x v="4"/>
    <n v="1"/>
    <n v="2999"/>
    <n v="2999"/>
    <x v="0"/>
    <n v="0"/>
    <n v="2999"/>
    <x v="3"/>
    <x v="0"/>
  </r>
  <r>
    <x v="292"/>
    <s v="20 Thu"/>
    <x v="1"/>
    <x v="0"/>
    <s v="CUST-1383"/>
    <s v="Aman Gupta"/>
    <x v="4"/>
    <x v="3"/>
    <x v="5"/>
    <n v="3"/>
    <n v="1299"/>
    <n v="3897"/>
    <x v="0"/>
    <n v="0"/>
    <n v="3897"/>
    <x v="1"/>
    <x v="1"/>
  </r>
  <r>
    <x v="293"/>
    <s v="21 Fri"/>
    <x v="1"/>
    <x v="0"/>
    <s v="CUST-1373"/>
    <s v="Rahul Verma"/>
    <x v="4"/>
    <x v="1"/>
    <x v="14"/>
    <n v="2"/>
    <n v="1799"/>
    <n v="3598"/>
    <x v="3"/>
    <n v="719.6"/>
    <n v="2878.4"/>
    <x v="1"/>
    <x v="1"/>
  </r>
  <r>
    <x v="294"/>
    <s v="21 Fri"/>
    <x v="1"/>
    <x v="0"/>
    <s v="CUST-1081"/>
    <s v="Nandini Verma"/>
    <x v="1"/>
    <x v="0"/>
    <x v="1"/>
    <n v="1"/>
    <n v="199"/>
    <n v="199"/>
    <x v="2"/>
    <n v="9.9499999999999993"/>
    <n v="189.05"/>
    <x v="0"/>
    <x v="0"/>
  </r>
  <r>
    <x v="295"/>
    <s v="21 Fri"/>
    <x v="1"/>
    <x v="0"/>
    <s v="CUST-1218"/>
    <s v="Rahul Singh"/>
    <x v="2"/>
    <x v="6"/>
    <x v="12"/>
    <n v="1"/>
    <n v="1499"/>
    <n v="1499"/>
    <x v="0"/>
    <n v="0"/>
    <n v="1499"/>
    <x v="2"/>
    <x v="1"/>
  </r>
  <r>
    <x v="296"/>
    <s v="21 Fri"/>
    <x v="1"/>
    <x v="0"/>
    <s v="CUST-1219"/>
    <s v="Sakshi Patel"/>
    <x v="1"/>
    <x v="0"/>
    <x v="1"/>
    <n v="3"/>
    <n v="199"/>
    <n v="597"/>
    <x v="4"/>
    <n v="59.7"/>
    <n v="537.29999999999995"/>
    <x v="2"/>
    <x v="1"/>
  </r>
  <r>
    <x v="297"/>
    <s v="21 Fri"/>
    <x v="1"/>
    <x v="0"/>
    <s v="CUST-1358"/>
    <s v="Aman Patel"/>
    <x v="0"/>
    <x v="2"/>
    <x v="15"/>
    <n v="3"/>
    <n v="299"/>
    <n v="897"/>
    <x v="0"/>
    <n v="0"/>
    <n v="897"/>
    <x v="0"/>
    <x v="0"/>
  </r>
  <r>
    <x v="298"/>
    <s v="21 Fri"/>
    <x v="1"/>
    <x v="0"/>
    <s v="CUST-1206"/>
    <s v="Aditya Gupta"/>
    <x v="3"/>
    <x v="0"/>
    <x v="0"/>
    <n v="1"/>
    <n v="99"/>
    <n v="99"/>
    <x v="0"/>
    <n v="0"/>
    <n v="99"/>
    <x v="0"/>
    <x v="0"/>
  </r>
  <r>
    <x v="299"/>
    <s v="21 Fri"/>
    <x v="1"/>
    <x v="0"/>
    <s v="CUST-1173"/>
    <s v="Ankit Gupta"/>
    <x v="1"/>
    <x v="0"/>
    <x v="0"/>
    <n v="1"/>
    <n v="99"/>
    <n v="99"/>
    <x v="4"/>
    <n v="9.9"/>
    <n v="89.1"/>
    <x v="2"/>
    <x v="1"/>
  </r>
  <r>
    <x v="300"/>
    <s v="21 Fri"/>
    <x v="1"/>
    <x v="0"/>
    <s v="CUST-1198"/>
    <s v="Vivaan Joshi"/>
    <x v="0"/>
    <x v="0"/>
    <x v="1"/>
    <n v="3"/>
    <n v="199"/>
    <n v="597"/>
    <x v="1"/>
    <n v="89.55"/>
    <n v="507.45"/>
    <x v="2"/>
    <x v="0"/>
  </r>
  <r>
    <x v="301"/>
    <s v="21 Fri"/>
    <x v="1"/>
    <x v="0"/>
    <s v="CUST-1355"/>
    <s v="Aditya Joshi"/>
    <x v="4"/>
    <x v="5"/>
    <x v="9"/>
    <n v="3"/>
    <n v="549"/>
    <n v="1647"/>
    <x v="4"/>
    <n v="164.7"/>
    <n v="1482.3"/>
    <x v="1"/>
    <x v="1"/>
  </r>
  <r>
    <x v="302"/>
    <s v="21 Fri"/>
    <x v="1"/>
    <x v="0"/>
    <s v="CUST-1350"/>
    <s v="Isha Kapoor"/>
    <x v="2"/>
    <x v="6"/>
    <x v="13"/>
    <n v="1"/>
    <n v="699"/>
    <n v="699"/>
    <x v="0"/>
    <n v="0"/>
    <n v="699"/>
    <x v="3"/>
    <x v="0"/>
  </r>
  <r>
    <x v="303"/>
    <s v="22 Sat"/>
    <x v="1"/>
    <x v="0"/>
    <s v="CUST-1331"/>
    <s v="Arjun Singh"/>
    <x v="3"/>
    <x v="6"/>
    <x v="13"/>
    <n v="5"/>
    <n v="699"/>
    <n v="3495"/>
    <x v="0"/>
    <n v="0"/>
    <n v="3495"/>
    <x v="3"/>
    <x v="0"/>
  </r>
  <r>
    <x v="304"/>
    <s v="22 Sat"/>
    <x v="1"/>
    <x v="0"/>
    <s v="CUST-1048"/>
    <s v="Divya Mehta"/>
    <x v="4"/>
    <x v="2"/>
    <x v="3"/>
    <n v="1"/>
    <n v="249"/>
    <n v="249"/>
    <x v="0"/>
    <n v="0"/>
    <n v="249"/>
    <x v="1"/>
    <x v="0"/>
  </r>
  <r>
    <x v="305"/>
    <s v="22 Sat"/>
    <x v="1"/>
    <x v="0"/>
    <s v="CUST-1075"/>
    <s v="Divya Patel"/>
    <x v="1"/>
    <x v="1"/>
    <x v="4"/>
    <n v="1"/>
    <n v="2999"/>
    <n v="2999"/>
    <x v="4"/>
    <n v="299.89999999999998"/>
    <n v="2699.1"/>
    <x v="2"/>
    <x v="0"/>
  </r>
  <r>
    <x v="306"/>
    <s v="22 Sat"/>
    <x v="1"/>
    <x v="0"/>
    <s v="CUST-1054"/>
    <s v="Kunal Patel"/>
    <x v="1"/>
    <x v="3"/>
    <x v="5"/>
    <n v="2"/>
    <n v="1299"/>
    <n v="2598"/>
    <x v="0"/>
    <n v="0"/>
    <n v="2598"/>
    <x v="1"/>
    <x v="0"/>
  </r>
  <r>
    <x v="307"/>
    <s v="22 Sat"/>
    <x v="1"/>
    <x v="0"/>
    <s v="CUST-1325"/>
    <s v="Aarav Saxena"/>
    <x v="4"/>
    <x v="3"/>
    <x v="6"/>
    <n v="2"/>
    <n v="799"/>
    <n v="1598"/>
    <x v="1"/>
    <n v="239.7"/>
    <n v="1358.3"/>
    <x v="1"/>
    <x v="0"/>
  </r>
  <r>
    <x v="308"/>
    <s v="22 Sat"/>
    <x v="1"/>
    <x v="0"/>
    <s v="CUST-1066"/>
    <s v="Kunal Verma"/>
    <x v="2"/>
    <x v="2"/>
    <x v="15"/>
    <n v="1"/>
    <n v="299"/>
    <n v="299"/>
    <x v="0"/>
    <n v="0"/>
    <n v="299"/>
    <x v="4"/>
    <x v="1"/>
  </r>
  <r>
    <x v="309"/>
    <s v="23 Sun"/>
    <x v="1"/>
    <x v="0"/>
    <s v="CUST-1102"/>
    <s v="Aarav Patel"/>
    <x v="3"/>
    <x v="5"/>
    <x v="8"/>
    <n v="1"/>
    <n v="349"/>
    <n v="349"/>
    <x v="1"/>
    <n v="52.35"/>
    <n v="296.64999999999998"/>
    <x v="3"/>
    <x v="0"/>
  </r>
  <r>
    <x v="310"/>
    <s v="23 Sun"/>
    <x v="1"/>
    <x v="0"/>
    <s v="CUST-1118"/>
    <s v="Sakshi Malhotra"/>
    <x v="4"/>
    <x v="5"/>
    <x v="9"/>
    <n v="1"/>
    <n v="549"/>
    <n v="549"/>
    <x v="2"/>
    <n v="27.45"/>
    <n v="521.54999999999995"/>
    <x v="1"/>
    <x v="0"/>
  </r>
  <r>
    <x v="311"/>
    <s v="23 Sun"/>
    <x v="1"/>
    <x v="0"/>
    <s v="CUST-1106"/>
    <s v="Ankit Saxena"/>
    <x v="4"/>
    <x v="3"/>
    <x v="6"/>
    <n v="1"/>
    <n v="799"/>
    <n v="799"/>
    <x v="2"/>
    <n v="39.950000000000003"/>
    <n v="759.05"/>
    <x v="3"/>
    <x v="0"/>
  </r>
  <r>
    <x v="312"/>
    <s v="23 Sun"/>
    <x v="1"/>
    <x v="0"/>
    <s v="CUST-1211"/>
    <s v="Rohan Sharma"/>
    <x v="0"/>
    <x v="2"/>
    <x v="15"/>
    <n v="1"/>
    <n v="299"/>
    <n v="299"/>
    <x v="3"/>
    <n v="59.8"/>
    <n v="239.2"/>
    <x v="0"/>
    <x v="1"/>
  </r>
  <r>
    <x v="313"/>
    <s v="23 Sun"/>
    <x v="1"/>
    <x v="0"/>
    <s v="CUST-1400"/>
    <s v="Aarav Gupta"/>
    <x v="2"/>
    <x v="0"/>
    <x v="0"/>
    <n v="1"/>
    <n v="99"/>
    <n v="99"/>
    <x v="0"/>
    <n v="0"/>
    <n v="99"/>
    <x v="3"/>
    <x v="0"/>
  </r>
  <r>
    <x v="314"/>
    <s v="23 Sun"/>
    <x v="1"/>
    <x v="0"/>
    <s v="CUST-1247"/>
    <s v="Meera Malhotra"/>
    <x v="3"/>
    <x v="5"/>
    <x v="9"/>
    <n v="1"/>
    <n v="549"/>
    <n v="549"/>
    <x v="2"/>
    <n v="27.45"/>
    <n v="521.54999999999995"/>
    <x v="4"/>
    <x v="0"/>
  </r>
  <r>
    <x v="315"/>
    <s v="24 Mon"/>
    <x v="1"/>
    <x v="0"/>
    <s v="CUST-1018"/>
    <s v="Aditya Gupta"/>
    <x v="0"/>
    <x v="1"/>
    <x v="2"/>
    <n v="3"/>
    <n v="599"/>
    <n v="1797"/>
    <x v="2"/>
    <n v="89.85"/>
    <n v="1707.15"/>
    <x v="3"/>
    <x v="0"/>
  </r>
  <r>
    <x v="316"/>
    <s v="24 Mon"/>
    <x v="1"/>
    <x v="0"/>
    <s v="CUST-1288"/>
    <s v="Aditya Mehta"/>
    <x v="4"/>
    <x v="1"/>
    <x v="14"/>
    <n v="1"/>
    <n v="1799"/>
    <n v="1799"/>
    <x v="2"/>
    <n v="89.95"/>
    <n v="1709.05"/>
    <x v="0"/>
    <x v="0"/>
  </r>
  <r>
    <x v="317"/>
    <s v="24 Mon"/>
    <x v="1"/>
    <x v="0"/>
    <s v="CUST-1026"/>
    <s v="Rahul Saxena"/>
    <x v="4"/>
    <x v="1"/>
    <x v="2"/>
    <n v="1"/>
    <n v="599"/>
    <n v="599"/>
    <x v="0"/>
    <n v="0"/>
    <n v="599"/>
    <x v="0"/>
    <x v="0"/>
  </r>
  <r>
    <x v="318"/>
    <s v="24 Mon"/>
    <x v="1"/>
    <x v="0"/>
    <s v="CUST-1239"/>
    <s v="Rohan Malhotra"/>
    <x v="3"/>
    <x v="1"/>
    <x v="2"/>
    <n v="3"/>
    <n v="599"/>
    <n v="1797"/>
    <x v="4"/>
    <n v="179.7"/>
    <n v="1617.3"/>
    <x v="1"/>
    <x v="1"/>
  </r>
  <r>
    <x v="319"/>
    <s v="24 Mon"/>
    <x v="1"/>
    <x v="0"/>
    <s v="CUST-1261"/>
    <s v="Shreya Patel"/>
    <x v="4"/>
    <x v="3"/>
    <x v="5"/>
    <n v="2"/>
    <n v="1299"/>
    <n v="2598"/>
    <x v="0"/>
    <n v="0"/>
    <n v="2598"/>
    <x v="0"/>
    <x v="1"/>
  </r>
  <r>
    <x v="320"/>
    <s v="25 Tue"/>
    <x v="1"/>
    <x v="0"/>
    <s v="CUST-1041"/>
    <s v="Divya Malhotra"/>
    <x v="1"/>
    <x v="3"/>
    <x v="5"/>
    <n v="2"/>
    <n v="1299"/>
    <n v="2598"/>
    <x v="0"/>
    <n v="0"/>
    <n v="2598"/>
    <x v="0"/>
    <x v="0"/>
  </r>
  <r>
    <x v="321"/>
    <s v="25 Tue"/>
    <x v="1"/>
    <x v="0"/>
    <s v="CUST-1365"/>
    <s v="Meera Singh"/>
    <x v="0"/>
    <x v="1"/>
    <x v="2"/>
    <n v="1"/>
    <n v="599"/>
    <n v="599"/>
    <x v="0"/>
    <n v="0"/>
    <n v="599"/>
    <x v="0"/>
    <x v="1"/>
  </r>
  <r>
    <x v="322"/>
    <s v="25 Tue"/>
    <x v="1"/>
    <x v="0"/>
    <s v="CUST-1301"/>
    <s v="Shreya Sharma"/>
    <x v="0"/>
    <x v="1"/>
    <x v="2"/>
    <n v="1"/>
    <n v="599"/>
    <n v="599"/>
    <x v="0"/>
    <n v="0"/>
    <n v="599"/>
    <x v="2"/>
    <x v="0"/>
  </r>
  <r>
    <x v="323"/>
    <s v="25 Tue"/>
    <x v="1"/>
    <x v="0"/>
    <s v="CUST-1313"/>
    <s v="Kunal Joshi"/>
    <x v="1"/>
    <x v="0"/>
    <x v="0"/>
    <n v="1"/>
    <n v="99"/>
    <n v="99"/>
    <x v="3"/>
    <n v="19.8"/>
    <n v="79.2"/>
    <x v="0"/>
    <x v="0"/>
  </r>
  <r>
    <x v="324"/>
    <s v="25 Tue"/>
    <x v="1"/>
    <x v="0"/>
    <s v="CUST-1143"/>
    <s v="Muskan Saxena"/>
    <x v="4"/>
    <x v="4"/>
    <x v="10"/>
    <n v="2"/>
    <n v="899"/>
    <n v="1798"/>
    <x v="2"/>
    <n v="89.9"/>
    <n v="1708.1"/>
    <x v="4"/>
    <x v="1"/>
  </r>
  <r>
    <x v="325"/>
    <s v="25 Tue"/>
    <x v="1"/>
    <x v="0"/>
    <s v="CUST-1340"/>
    <s v="Aman Kapoor"/>
    <x v="2"/>
    <x v="4"/>
    <x v="10"/>
    <n v="1"/>
    <n v="899"/>
    <n v="899"/>
    <x v="0"/>
    <n v="0"/>
    <n v="899"/>
    <x v="4"/>
    <x v="0"/>
  </r>
  <r>
    <x v="326"/>
    <s v="25 Tue"/>
    <x v="1"/>
    <x v="0"/>
    <s v="CUST-1314"/>
    <s v="Kunal Sharma"/>
    <x v="4"/>
    <x v="1"/>
    <x v="2"/>
    <n v="2"/>
    <n v="599"/>
    <n v="1198"/>
    <x v="0"/>
    <n v="0"/>
    <n v="1198"/>
    <x v="0"/>
    <x v="0"/>
  </r>
  <r>
    <x v="327"/>
    <s v="25 Tue"/>
    <x v="1"/>
    <x v="0"/>
    <s v="CUST-1329"/>
    <s v="Swati Gupta"/>
    <x v="3"/>
    <x v="1"/>
    <x v="14"/>
    <n v="1"/>
    <n v="1799"/>
    <n v="1799"/>
    <x v="1"/>
    <n v="269.85000000000002"/>
    <n v="1529.15"/>
    <x v="0"/>
    <x v="0"/>
  </r>
  <r>
    <x v="328"/>
    <s v="25 Tue"/>
    <x v="1"/>
    <x v="0"/>
    <s v="CUST-1390"/>
    <s v="Rahul Saxena"/>
    <x v="4"/>
    <x v="2"/>
    <x v="3"/>
    <n v="2"/>
    <n v="249"/>
    <n v="498"/>
    <x v="0"/>
    <n v="0"/>
    <n v="498"/>
    <x v="0"/>
    <x v="0"/>
  </r>
  <r>
    <x v="329"/>
    <s v="25 Tue"/>
    <x v="1"/>
    <x v="0"/>
    <s v="CUST-1346"/>
    <s v="Vivaan Gupta"/>
    <x v="2"/>
    <x v="6"/>
    <x v="12"/>
    <n v="3"/>
    <n v="1499"/>
    <n v="4497"/>
    <x v="1"/>
    <n v="674.55"/>
    <n v="3822.45"/>
    <x v="1"/>
    <x v="1"/>
  </r>
  <r>
    <x v="330"/>
    <s v="25 Tue"/>
    <x v="1"/>
    <x v="0"/>
    <s v="CUST-1302"/>
    <s v="Arjun Saxena"/>
    <x v="0"/>
    <x v="0"/>
    <x v="0"/>
    <n v="1"/>
    <n v="99"/>
    <n v="99"/>
    <x v="3"/>
    <n v="19.8"/>
    <n v="79.2"/>
    <x v="0"/>
    <x v="1"/>
  </r>
  <r>
    <x v="331"/>
    <s v="26 Wed"/>
    <x v="1"/>
    <x v="0"/>
    <s v="CUST-1272"/>
    <s v="Aarav Saxena"/>
    <x v="1"/>
    <x v="1"/>
    <x v="14"/>
    <n v="2"/>
    <n v="1799"/>
    <n v="3598"/>
    <x v="0"/>
    <n v="0"/>
    <n v="3598"/>
    <x v="2"/>
    <x v="0"/>
  </r>
  <r>
    <x v="332"/>
    <s v="26 Wed"/>
    <x v="1"/>
    <x v="0"/>
    <s v="CUST-1365"/>
    <s v="Meera Singh"/>
    <x v="2"/>
    <x v="5"/>
    <x v="9"/>
    <n v="2"/>
    <n v="549"/>
    <n v="1098"/>
    <x v="3"/>
    <n v="219.6"/>
    <n v="878.4"/>
    <x v="0"/>
    <x v="1"/>
  </r>
  <r>
    <x v="333"/>
    <s v="26 Wed"/>
    <x v="1"/>
    <x v="0"/>
    <s v="CUST-1234"/>
    <s v="Meera Sharma"/>
    <x v="0"/>
    <x v="4"/>
    <x v="10"/>
    <n v="1"/>
    <n v="899"/>
    <n v="899"/>
    <x v="0"/>
    <n v="0"/>
    <n v="899"/>
    <x v="2"/>
    <x v="0"/>
  </r>
  <r>
    <x v="334"/>
    <s v="26 Wed"/>
    <x v="1"/>
    <x v="0"/>
    <s v="CUST-1089"/>
    <s v="Arjun Verma"/>
    <x v="2"/>
    <x v="6"/>
    <x v="13"/>
    <n v="1"/>
    <n v="699"/>
    <n v="699"/>
    <x v="0"/>
    <n v="0"/>
    <n v="699"/>
    <x v="0"/>
    <x v="1"/>
  </r>
  <r>
    <x v="335"/>
    <s v="26 Wed"/>
    <x v="1"/>
    <x v="0"/>
    <s v="CUST-1224"/>
    <s v="Swati Verma"/>
    <x v="1"/>
    <x v="1"/>
    <x v="2"/>
    <n v="3"/>
    <n v="599"/>
    <n v="1797"/>
    <x v="2"/>
    <n v="89.85"/>
    <n v="1707.15"/>
    <x v="2"/>
    <x v="0"/>
  </r>
  <r>
    <x v="336"/>
    <s v="26 Wed"/>
    <x v="1"/>
    <x v="0"/>
    <s v="CUST-1033"/>
    <s v="Meera Joshi"/>
    <x v="2"/>
    <x v="6"/>
    <x v="13"/>
    <n v="2"/>
    <n v="699"/>
    <n v="1398"/>
    <x v="4"/>
    <n v="139.80000000000001"/>
    <n v="1258.2"/>
    <x v="2"/>
    <x v="0"/>
  </r>
  <r>
    <x v="337"/>
    <s v="26 Wed"/>
    <x v="1"/>
    <x v="0"/>
    <s v="CUST-1132"/>
    <s v="Shreya Sharma"/>
    <x v="2"/>
    <x v="3"/>
    <x v="5"/>
    <n v="1"/>
    <n v="1299"/>
    <n v="1299"/>
    <x v="3"/>
    <n v="259.8"/>
    <n v="1039.2"/>
    <x v="0"/>
    <x v="0"/>
  </r>
  <r>
    <x v="338"/>
    <s v="26 Wed"/>
    <x v="1"/>
    <x v="0"/>
    <s v="CUST-1359"/>
    <s v="Arjun Mehta"/>
    <x v="2"/>
    <x v="1"/>
    <x v="4"/>
    <n v="1"/>
    <n v="2999"/>
    <n v="2999"/>
    <x v="4"/>
    <n v="299.89999999999998"/>
    <n v="2699.1"/>
    <x v="0"/>
    <x v="1"/>
  </r>
  <r>
    <x v="339"/>
    <s v="26 Wed"/>
    <x v="1"/>
    <x v="0"/>
    <s v="CUST-1332"/>
    <s v="Rahul Malhotra"/>
    <x v="4"/>
    <x v="2"/>
    <x v="15"/>
    <n v="1"/>
    <n v="299"/>
    <n v="299"/>
    <x v="4"/>
    <n v="29.9"/>
    <n v="269.10000000000002"/>
    <x v="3"/>
    <x v="0"/>
  </r>
  <r>
    <x v="340"/>
    <s v="27 Thu"/>
    <x v="1"/>
    <x v="0"/>
    <s v="CUST-1386"/>
    <s v="Swati Patel"/>
    <x v="1"/>
    <x v="4"/>
    <x v="11"/>
    <n v="3"/>
    <n v="499"/>
    <n v="1497"/>
    <x v="4"/>
    <n v="149.69999999999999"/>
    <n v="1347.3"/>
    <x v="1"/>
    <x v="0"/>
  </r>
  <r>
    <x v="341"/>
    <s v="27 Thu"/>
    <x v="1"/>
    <x v="0"/>
    <s v="CUST-1104"/>
    <s v="Nandini Saxena"/>
    <x v="3"/>
    <x v="3"/>
    <x v="6"/>
    <n v="2"/>
    <n v="799"/>
    <n v="1598"/>
    <x v="0"/>
    <n v="0"/>
    <n v="1598"/>
    <x v="3"/>
    <x v="0"/>
  </r>
  <r>
    <x v="342"/>
    <s v="27 Thu"/>
    <x v="1"/>
    <x v="0"/>
    <s v="CUST-1384"/>
    <s v="Vivaan Singh"/>
    <x v="4"/>
    <x v="1"/>
    <x v="14"/>
    <n v="1"/>
    <n v="1799"/>
    <n v="1799"/>
    <x v="3"/>
    <n v="359.8"/>
    <n v="1439.2"/>
    <x v="2"/>
    <x v="1"/>
  </r>
  <r>
    <x v="343"/>
    <s v="27 Thu"/>
    <x v="1"/>
    <x v="0"/>
    <s v="CUST-1020"/>
    <s v="Rohan Malhotra"/>
    <x v="0"/>
    <x v="4"/>
    <x v="11"/>
    <n v="3"/>
    <n v="499"/>
    <n v="1497"/>
    <x v="0"/>
    <n v="0"/>
    <n v="1497"/>
    <x v="3"/>
    <x v="0"/>
  </r>
  <r>
    <x v="344"/>
    <s v="27 Thu"/>
    <x v="1"/>
    <x v="0"/>
    <s v="CUST-1151"/>
    <s v="Aman Patel"/>
    <x v="3"/>
    <x v="4"/>
    <x v="11"/>
    <n v="1"/>
    <n v="499"/>
    <n v="499"/>
    <x v="1"/>
    <n v="74.849999999999994"/>
    <n v="424.15"/>
    <x v="2"/>
    <x v="1"/>
  </r>
  <r>
    <x v="345"/>
    <s v="27 Thu"/>
    <x v="1"/>
    <x v="0"/>
    <s v="CUST-1055"/>
    <s v="Rohan Saxena"/>
    <x v="0"/>
    <x v="0"/>
    <x v="0"/>
    <n v="1"/>
    <n v="99"/>
    <n v="99"/>
    <x v="0"/>
    <n v="0"/>
    <n v="99"/>
    <x v="2"/>
    <x v="0"/>
  </r>
  <r>
    <x v="346"/>
    <s v="27 Thu"/>
    <x v="1"/>
    <x v="0"/>
    <s v="CUST-1176"/>
    <s v="Meera Sharma"/>
    <x v="1"/>
    <x v="2"/>
    <x v="15"/>
    <n v="1"/>
    <n v="299"/>
    <n v="299"/>
    <x v="0"/>
    <n v="0"/>
    <n v="299"/>
    <x v="0"/>
    <x v="0"/>
  </r>
  <r>
    <x v="347"/>
    <s v="27 Thu"/>
    <x v="1"/>
    <x v="0"/>
    <s v="CUST-1188"/>
    <s v="Shreya Malhotra"/>
    <x v="4"/>
    <x v="1"/>
    <x v="4"/>
    <n v="1"/>
    <n v="2999"/>
    <n v="2999"/>
    <x v="2"/>
    <n v="149.94999999999999"/>
    <n v="2849.05"/>
    <x v="0"/>
    <x v="0"/>
  </r>
  <r>
    <x v="348"/>
    <s v="28 Fri"/>
    <x v="1"/>
    <x v="0"/>
    <s v="CUST-1102"/>
    <s v="Aarav Patel"/>
    <x v="0"/>
    <x v="6"/>
    <x v="13"/>
    <n v="2"/>
    <n v="699"/>
    <n v="1398"/>
    <x v="1"/>
    <n v="209.7"/>
    <n v="1188.3"/>
    <x v="3"/>
    <x v="0"/>
  </r>
  <r>
    <x v="349"/>
    <s v="28 Fri"/>
    <x v="1"/>
    <x v="0"/>
    <s v="CUST-1210"/>
    <s v="Meera Sharma"/>
    <x v="4"/>
    <x v="3"/>
    <x v="6"/>
    <n v="1"/>
    <n v="799"/>
    <n v="799"/>
    <x v="2"/>
    <n v="39.950000000000003"/>
    <n v="759.05"/>
    <x v="4"/>
    <x v="0"/>
  </r>
  <r>
    <x v="350"/>
    <s v="28 Fri"/>
    <x v="1"/>
    <x v="0"/>
    <s v="CUST-1373"/>
    <s v="Rahul Verma"/>
    <x v="4"/>
    <x v="4"/>
    <x v="10"/>
    <n v="1"/>
    <n v="899"/>
    <n v="899"/>
    <x v="0"/>
    <n v="0"/>
    <n v="899"/>
    <x v="1"/>
    <x v="0"/>
  </r>
  <r>
    <x v="351"/>
    <s v="28 Fri"/>
    <x v="1"/>
    <x v="0"/>
    <s v="CUST-1025"/>
    <s v="Aditya Singh"/>
    <x v="2"/>
    <x v="4"/>
    <x v="11"/>
    <n v="2"/>
    <n v="499"/>
    <n v="998"/>
    <x v="4"/>
    <n v="99.8"/>
    <n v="898.2"/>
    <x v="3"/>
    <x v="0"/>
  </r>
  <r>
    <x v="352"/>
    <s v="28 Fri"/>
    <x v="1"/>
    <x v="0"/>
    <s v="CUST-1174"/>
    <s v="Rahul Singh"/>
    <x v="3"/>
    <x v="1"/>
    <x v="4"/>
    <n v="1"/>
    <n v="2999"/>
    <n v="2999"/>
    <x v="1"/>
    <n v="449.85"/>
    <n v="2549.15"/>
    <x v="2"/>
    <x v="0"/>
  </r>
  <r>
    <x v="353"/>
    <s v="1 Sat"/>
    <x v="2"/>
    <x v="0"/>
    <s v="CUST-1361"/>
    <s v="Vivaan Kapoor"/>
    <x v="4"/>
    <x v="5"/>
    <x v="9"/>
    <n v="2"/>
    <n v="549"/>
    <n v="1098"/>
    <x v="0"/>
    <n v="0"/>
    <n v="1098"/>
    <x v="1"/>
    <x v="0"/>
  </r>
  <r>
    <x v="354"/>
    <s v="1 Sat"/>
    <x v="2"/>
    <x v="0"/>
    <s v="CUST-1149"/>
    <s v="Aarav Verma"/>
    <x v="4"/>
    <x v="4"/>
    <x v="11"/>
    <n v="1"/>
    <n v="499"/>
    <n v="499"/>
    <x v="4"/>
    <n v="49.9"/>
    <n v="449.1"/>
    <x v="0"/>
    <x v="1"/>
  </r>
  <r>
    <x v="355"/>
    <s v="1 Sat"/>
    <x v="2"/>
    <x v="0"/>
    <s v="CUST-1259"/>
    <s v="Rahul Singh"/>
    <x v="3"/>
    <x v="2"/>
    <x v="3"/>
    <n v="2"/>
    <n v="249"/>
    <n v="498"/>
    <x v="0"/>
    <n v="0"/>
    <n v="498"/>
    <x v="1"/>
    <x v="0"/>
  </r>
  <r>
    <x v="356"/>
    <s v="1 Sat"/>
    <x v="2"/>
    <x v="0"/>
    <s v="CUST-1054"/>
    <s v="Kunal Patel"/>
    <x v="3"/>
    <x v="2"/>
    <x v="15"/>
    <n v="1"/>
    <n v="299"/>
    <n v="299"/>
    <x v="0"/>
    <n v="0"/>
    <n v="299"/>
    <x v="0"/>
    <x v="0"/>
  </r>
  <r>
    <x v="357"/>
    <s v="1 Sat"/>
    <x v="2"/>
    <x v="0"/>
    <s v="CUST-1006"/>
    <s v="Sakshi Singh"/>
    <x v="0"/>
    <x v="0"/>
    <x v="1"/>
    <n v="1"/>
    <n v="199"/>
    <n v="199"/>
    <x v="1"/>
    <n v="29.85"/>
    <n v="169.15"/>
    <x v="4"/>
    <x v="0"/>
  </r>
  <r>
    <x v="358"/>
    <s v="1 Sat"/>
    <x v="2"/>
    <x v="0"/>
    <s v="CUST-1131"/>
    <s v="Aarav Sharma"/>
    <x v="4"/>
    <x v="6"/>
    <x v="13"/>
    <n v="1"/>
    <n v="699"/>
    <n v="699"/>
    <x v="0"/>
    <n v="0"/>
    <n v="699"/>
    <x v="0"/>
    <x v="0"/>
  </r>
  <r>
    <x v="359"/>
    <s v="1 Sat"/>
    <x v="2"/>
    <x v="0"/>
    <s v="CUST-1211"/>
    <s v="Rohan Sharma"/>
    <x v="4"/>
    <x v="2"/>
    <x v="3"/>
    <n v="4"/>
    <n v="249"/>
    <n v="996"/>
    <x v="4"/>
    <n v="99.6"/>
    <n v="896.4"/>
    <x v="0"/>
    <x v="0"/>
  </r>
  <r>
    <x v="360"/>
    <s v="1 Sat"/>
    <x v="2"/>
    <x v="0"/>
    <s v="CUST-1136"/>
    <s v="Kunal Patel"/>
    <x v="1"/>
    <x v="1"/>
    <x v="14"/>
    <n v="4"/>
    <n v="1799"/>
    <n v="7196"/>
    <x v="2"/>
    <n v="359.8"/>
    <n v="6836.2"/>
    <x v="4"/>
    <x v="0"/>
  </r>
  <r>
    <x v="361"/>
    <s v="1 Sat"/>
    <x v="2"/>
    <x v="0"/>
    <s v="CUST-1004"/>
    <s v="Tanya Malhotra"/>
    <x v="4"/>
    <x v="6"/>
    <x v="12"/>
    <n v="2"/>
    <n v="1499"/>
    <n v="2998"/>
    <x v="4"/>
    <n v="299.8"/>
    <n v="2698.2"/>
    <x v="0"/>
    <x v="1"/>
  </r>
  <r>
    <x v="362"/>
    <s v="1 Sat"/>
    <x v="2"/>
    <x v="0"/>
    <s v="CUST-1231"/>
    <s v="Divya Gupta"/>
    <x v="3"/>
    <x v="3"/>
    <x v="6"/>
    <n v="3"/>
    <n v="799"/>
    <n v="2397"/>
    <x v="4"/>
    <n v="239.7"/>
    <n v="2157.3000000000002"/>
    <x v="0"/>
    <x v="0"/>
  </r>
  <r>
    <x v="363"/>
    <s v="2 Sun"/>
    <x v="2"/>
    <x v="0"/>
    <s v="CUST-1223"/>
    <s v="Meera Saxena"/>
    <x v="0"/>
    <x v="1"/>
    <x v="4"/>
    <n v="1"/>
    <n v="2999"/>
    <n v="2999"/>
    <x v="3"/>
    <n v="599.79999999999995"/>
    <n v="2399.1999999999998"/>
    <x v="2"/>
    <x v="0"/>
  </r>
  <r>
    <x v="364"/>
    <s v="2 Sun"/>
    <x v="2"/>
    <x v="0"/>
    <s v="CUST-1177"/>
    <s v="Aditya Malhotra"/>
    <x v="2"/>
    <x v="1"/>
    <x v="4"/>
    <n v="2"/>
    <n v="2999"/>
    <n v="5998"/>
    <x v="0"/>
    <n v="0"/>
    <n v="5998"/>
    <x v="3"/>
    <x v="0"/>
  </r>
  <r>
    <x v="365"/>
    <s v="2 Sun"/>
    <x v="2"/>
    <x v="0"/>
    <s v="CUST-1242"/>
    <s v="Sakshi Malhotra"/>
    <x v="4"/>
    <x v="2"/>
    <x v="3"/>
    <n v="2"/>
    <n v="249"/>
    <n v="498"/>
    <x v="3"/>
    <n v="99.6"/>
    <n v="398.4"/>
    <x v="3"/>
    <x v="1"/>
  </r>
  <r>
    <x v="366"/>
    <s v="2 Sun"/>
    <x v="2"/>
    <x v="0"/>
    <s v="CUST-1331"/>
    <s v="Arjun Singh"/>
    <x v="4"/>
    <x v="4"/>
    <x v="11"/>
    <n v="1"/>
    <n v="499"/>
    <n v="499"/>
    <x v="0"/>
    <n v="0"/>
    <n v="499"/>
    <x v="3"/>
    <x v="0"/>
  </r>
  <r>
    <x v="367"/>
    <s v="2 Sun"/>
    <x v="2"/>
    <x v="0"/>
    <s v="CUST-1348"/>
    <s v="Ankit Malhotra"/>
    <x v="0"/>
    <x v="4"/>
    <x v="11"/>
    <n v="1"/>
    <n v="499"/>
    <n v="499"/>
    <x v="2"/>
    <n v="24.95"/>
    <n v="474.05"/>
    <x v="2"/>
    <x v="0"/>
  </r>
  <r>
    <x v="368"/>
    <s v="2 Sun"/>
    <x v="2"/>
    <x v="0"/>
    <s v="CUST-1111"/>
    <s v="Swati Joshi"/>
    <x v="2"/>
    <x v="1"/>
    <x v="14"/>
    <n v="1"/>
    <n v="1799"/>
    <n v="1799"/>
    <x v="3"/>
    <n v="359.8"/>
    <n v="1439.2"/>
    <x v="2"/>
    <x v="1"/>
  </r>
  <r>
    <x v="369"/>
    <s v="2 Sun"/>
    <x v="2"/>
    <x v="0"/>
    <s v="CUST-1192"/>
    <s v="Kunal Singh"/>
    <x v="0"/>
    <x v="4"/>
    <x v="11"/>
    <n v="1"/>
    <n v="499"/>
    <n v="499"/>
    <x v="1"/>
    <n v="74.849999999999994"/>
    <n v="424.15"/>
    <x v="1"/>
    <x v="0"/>
  </r>
  <r>
    <x v="370"/>
    <s v="2 Sun"/>
    <x v="2"/>
    <x v="0"/>
    <s v="CUST-1027"/>
    <s v="Aditya Gupta"/>
    <x v="0"/>
    <x v="5"/>
    <x v="9"/>
    <n v="2"/>
    <n v="549"/>
    <n v="1098"/>
    <x v="0"/>
    <n v="0"/>
    <n v="1098"/>
    <x v="3"/>
    <x v="1"/>
  </r>
  <r>
    <x v="371"/>
    <s v="2 Sun"/>
    <x v="2"/>
    <x v="0"/>
    <s v="CUST-1195"/>
    <s v="Komal Gupta"/>
    <x v="1"/>
    <x v="4"/>
    <x v="7"/>
    <n v="1"/>
    <n v="1999"/>
    <n v="1999"/>
    <x v="1"/>
    <n v="299.85000000000002"/>
    <n v="1699.15"/>
    <x v="4"/>
    <x v="0"/>
  </r>
  <r>
    <x v="372"/>
    <s v="2 Sun"/>
    <x v="2"/>
    <x v="0"/>
    <s v="CUST-1209"/>
    <s v="Meera Mehta"/>
    <x v="1"/>
    <x v="1"/>
    <x v="14"/>
    <n v="2"/>
    <n v="1799"/>
    <n v="3598"/>
    <x v="4"/>
    <n v="359.8"/>
    <n v="3238.2"/>
    <x v="1"/>
    <x v="0"/>
  </r>
  <r>
    <x v="373"/>
    <s v="3 Mon"/>
    <x v="2"/>
    <x v="0"/>
    <s v="CUST-1074"/>
    <s v="Kabir Kapoor"/>
    <x v="2"/>
    <x v="3"/>
    <x v="6"/>
    <n v="1"/>
    <n v="799"/>
    <n v="799"/>
    <x v="2"/>
    <n v="39.950000000000003"/>
    <n v="759.05"/>
    <x v="0"/>
    <x v="0"/>
  </r>
  <r>
    <x v="374"/>
    <s v="3 Mon"/>
    <x v="2"/>
    <x v="0"/>
    <s v="CUST-1312"/>
    <s v="Sakshi Saxena"/>
    <x v="4"/>
    <x v="6"/>
    <x v="12"/>
    <n v="2"/>
    <n v="1499"/>
    <n v="2998"/>
    <x v="1"/>
    <n v="449.7"/>
    <n v="2548.3000000000002"/>
    <x v="0"/>
    <x v="1"/>
  </r>
  <r>
    <x v="375"/>
    <s v="3 Mon"/>
    <x v="2"/>
    <x v="0"/>
    <s v="CUST-1288"/>
    <s v="Aditya Mehta"/>
    <x v="0"/>
    <x v="3"/>
    <x v="6"/>
    <n v="4"/>
    <n v="799"/>
    <n v="3196"/>
    <x v="0"/>
    <n v="0"/>
    <n v="3196"/>
    <x v="2"/>
    <x v="0"/>
  </r>
  <r>
    <x v="376"/>
    <s v="3 Mon"/>
    <x v="2"/>
    <x v="0"/>
    <s v="CUST-1103"/>
    <s v="Muskan Gupta"/>
    <x v="1"/>
    <x v="2"/>
    <x v="3"/>
    <n v="1"/>
    <n v="249"/>
    <n v="249"/>
    <x v="0"/>
    <n v="0"/>
    <n v="249"/>
    <x v="0"/>
    <x v="1"/>
  </r>
  <r>
    <x v="377"/>
    <s v="4 Tue"/>
    <x v="2"/>
    <x v="0"/>
    <s v="CUST-1213"/>
    <s v="Ankit Patel"/>
    <x v="4"/>
    <x v="4"/>
    <x v="11"/>
    <n v="1"/>
    <n v="499"/>
    <n v="499"/>
    <x v="1"/>
    <n v="74.849999999999994"/>
    <n v="424.15"/>
    <x v="3"/>
    <x v="0"/>
  </r>
  <r>
    <x v="378"/>
    <s v="4 Tue"/>
    <x v="2"/>
    <x v="0"/>
    <s v="CUST-1071"/>
    <s v="Kabir Malhotra"/>
    <x v="2"/>
    <x v="2"/>
    <x v="15"/>
    <n v="1"/>
    <n v="299"/>
    <n v="299"/>
    <x v="0"/>
    <n v="0"/>
    <n v="299"/>
    <x v="4"/>
    <x v="1"/>
  </r>
  <r>
    <x v="379"/>
    <s v="4 Tue"/>
    <x v="2"/>
    <x v="0"/>
    <s v="CUST-1122"/>
    <s v="Aditya Kapoor"/>
    <x v="3"/>
    <x v="4"/>
    <x v="11"/>
    <n v="1"/>
    <n v="499"/>
    <n v="499"/>
    <x v="1"/>
    <n v="74.849999999999994"/>
    <n v="424.15"/>
    <x v="0"/>
    <x v="0"/>
  </r>
  <r>
    <x v="380"/>
    <s v="4 Tue"/>
    <x v="2"/>
    <x v="0"/>
    <s v="CUST-1116"/>
    <s v="Sakshi Mehta"/>
    <x v="4"/>
    <x v="4"/>
    <x v="11"/>
    <n v="1"/>
    <n v="499"/>
    <n v="499"/>
    <x v="3"/>
    <n v="99.8"/>
    <n v="399.2"/>
    <x v="4"/>
    <x v="1"/>
  </r>
  <r>
    <x v="381"/>
    <s v="4 Tue"/>
    <x v="2"/>
    <x v="0"/>
    <s v="CUST-1136"/>
    <s v="Kunal Patel"/>
    <x v="4"/>
    <x v="2"/>
    <x v="15"/>
    <n v="3"/>
    <n v="299"/>
    <n v="897"/>
    <x v="1"/>
    <n v="134.55000000000001"/>
    <n v="762.45"/>
    <x v="2"/>
    <x v="0"/>
  </r>
  <r>
    <x v="382"/>
    <s v="4 Tue"/>
    <x v="2"/>
    <x v="0"/>
    <s v="CUST-1176"/>
    <s v="Meera Sharma"/>
    <x v="2"/>
    <x v="0"/>
    <x v="0"/>
    <n v="2"/>
    <n v="99"/>
    <n v="198"/>
    <x v="1"/>
    <n v="29.7"/>
    <n v="168.3"/>
    <x v="0"/>
    <x v="1"/>
  </r>
  <r>
    <x v="383"/>
    <s v="4 Tue"/>
    <x v="2"/>
    <x v="0"/>
    <s v="CUST-1264"/>
    <s v="Vivaan Malhotra"/>
    <x v="1"/>
    <x v="2"/>
    <x v="15"/>
    <n v="2"/>
    <n v="299"/>
    <n v="598"/>
    <x v="3"/>
    <n v="119.6"/>
    <n v="478.4"/>
    <x v="0"/>
    <x v="0"/>
  </r>
  <r>
    <x v="384"/>
    <s v="4 Tue"/>
    <x v="2"/>
    <x v="0"/>
    <s v="CUST-1021"/>
    <s v="Isha Patel"/>
    <x v="4"/>
    <x v="5"/>
    <x v="9"/>
    <n v="5"/>
    <n v="549"/>
    <n v="2745"/>
    <x v="4"/>
    <n v="274.5"/>
    <n v="2470.5"/>
    <x v="0"/>
    <x v="0"/>
  </r>
  <r>
    <x v="385"/>
    <s v="4 Tue"/>
    <x v="2"/>
    <x v="0"/>
    <s v="CUST-1108"/>
    <s v="Kunal Patel"/>
    <x v="0"/>
    <x v="2"/>
    <x v="15"/>
    <n v="1"/>
    <n v="299"/>
    <n v="299"/>
    <x v="2"/>
    <n v="14.95"/>
    <n v="284.05"/>
    <x v="1"/>
    <x v="1"/>
  </r>
  <r>
    <x v="386"/>
    <s v="4 Tue"/>
    <x v="2"/>
    <x v="0"/>
    <s v="CUST-1391"/>
    <s v="Kunal Gupta"/>
    <x v="2"/>
    <x v="3"/>
    <x v="6"/>
    <n v="2"/>
    <n v="799"/>
    <n v="1598"/>
    <x v="0"/>
    <n v="0"/>
    <n v="1598"/>
    <x v="1"/>
    <x v="1"/>
  </r>
  <r>
    <x v="387"/>
    <s v="4 Tue"/>
    <x v="2"/>
    <x v="0"/>
    <s v="CUST-1100"/>
    <s v="Vivaan Saxena"/>
    <x v="1"/>
    <x v="0"/>
    <x v="1"/>
    <n v="3"/>
    <n v="199"/>
    <n v="597"/>
    <x v="3"/>
    <n v="119.4"/>
    <n v="477.6"/>
    <x v="0"/>
    <x v="0"/>
  </r>
  <r>
    <x v="388"/>
    <s v="4 Tue"/>
    <x v="2"/>
    <x v="0"/>
    <s v="CUST-1294"/>
    <s v="Kabir Joshi"/>
    <x v="4"/>
    <x v="1"/>
    <x v="4"/>
    <n v="5"/>
    <n v="2999"/>
    <n v="14995"/>
    <x v="3"/>
    <n v="2999"/>
    <n v="11996"/>
    <x v="4"/>
    <x v="1"/>
  </r>
  <r>
    <x v="389"/>
    <s v="5 Wed"/>
    <x v="2"/>
    <x v="0"/>
    <s v="CUST-1364"/>
    <s v="Rahul Malhotra"/>
    <x v="3"/>
    <x v="5"/>
    <x v="8"/>
    <n v="3"/>
    <n v="349"/>
    <n v="1047"/>
    <x v="2"/>
    <n v="52.35"/>
    <n v="994.65"/>
    <x v="3"/>
    <x v="1"/>
  </r>
  <r>
    <x v="390"/>
    <s v="5 Wed"/>
    <x v="2"/>
    <x v="0"/>
    <s v="CUST-1122"/>
    <s v="Aditya Kapoor"/>
    <x v="1"/>
    <x v="4"/>
    <x v="11"/>
    <n v="3"/>
    <n v="499"/>
    <n v="1497"/>
    <x v="1"/>
    <n v="224.55"/>
    <n v="1272.45"/>
    <x v="1"/>
    <x v="0"/>
  </r>
  <r>
    <x v="391"/>
    <s v="5 Wed"/>
    <x v="2"/>
    <x v="0"/>
    <s v="CUST-1080"/>
    <s v="Kabir Sharma"/>
    <x v="2"/>
    <x v="1"/>
    <x v="14"/>
    <n v="3"/>
    <n v="1799"/>
    <n v="5397"/>
    <x v="3"/>
    <n v="1079.4000000000001"/>
    <n v="4317.6000000000004"/>
    <x v="2"/>
    <x v="1"/>
  </r>
  <r>
    <x v="392"/>
    <s v="5 Wed"/>
    <x v="2"/>
    <x v="0"/>
    <s v="CUST-1095"/>
    <s v="Nandini Joshi"/>
    <x v="2"/>
    <x v="6"/>
    <x v="13"/>
    <n v="1"/>
    <n v="699"/>
    <n v="699"/>
    <x v="4"/>
    <n v="69.900000000000006"/>
    <n v="629.1"/>
    <x v="4"/>
    <x v="1"/>
  </r>
  <r>
    <x v="393"/>
    <s v="5 Wed"/>
    <x v="2"/>
    <x v="0"/>
    <s v="CUST-1135"/>
    <s v="Shreya Joshi"/>
    <x v="0"/>
    <x v="0"/>
    <x v="0"/>
    <n v="4"/>
    <n v="99"/>
    <n v="396"/>
    <x v="0"/>
    <n v="0"/>
    <n v="396"/>
    <x v="2"/>
    <x v="0"/>
  </r>
  <r>
    <x v="394"/>
    <s v="5 Wed"/>
    <x v="2"/>
    <x v="0"/>
    <s v="CUST-1085"/>
    <s v="Shreya Mehta"/>
    <x v="2"/>
    <x v="2"/>
    <x v="15"/>
    <n v="1"/>
    <n v="299"/>
    <n v="299"/>
    <x v="0"/>
    <n v="0"/>
    <n v="299"/>
    <x v="4"/>
    <x v="0"/>
  </r>
  <r>
    <x v="395"/>
    <s v="6 Thu"/>
    <x v="2"/>
    <x v="0"/>
    <s v="CUST-1064"/>
    <s v="Ankit Mehta"/>
    <x v="1"/>
    <x v="2"/>
    <x v="3"/>
    <n v="2"/>
    <n v="249"/>
    <n v="498"/>
    <x v="0"/>
    <n v="0"/>
    <n v="498"/>
    <x v="0"/>
    <x v="1"/>
  </r>
  <r>
    <x v="396"/>
    <s v="6 Thu"/>
    <x v="2"/>
    <x v="0"/>
    <s v="CUST-1164"/>
    <s v="Kabir Malhotra"/>
    <x v="2"/>
    <x v="0"/>
    <x v="0"/>
    <n v="5"/>
    <n v="99"/>
    <n v="495"/>
    <x v="2"/>
    <n v="24.75"/>
    <n v="470.25"/>
    <x v="2"/>
    <x v="0"/>
  </r>
  <r>
    <x v="397"/>
    <s v="6 Thu"/>
    <x v="2"/>
    <x v="0"/>
    <s v="CUST-1234"/>
    <s v="Meera Sharma"/>
    <x v="1"/>
    <x v="6"/>
    <x v="12"/>
    <n v="1"/>
    <n v="1499"/>
    <n v="1499"/>
    <x v="0"/>
    <n v="0"/>
    <n v="1499"/>
    <x v="0"/>
    <x v="1"/>
  </r>
  <r>
    <x v="398"/>
    <s v="6 Thu"/>
    <x v="2"/>
    <x v="0"/>
    <s v="CUST-1218"/>
    <s v="Rahul Singh"/>
    <x v="0"/>
    <x v="2"/>
    <x v="15"/>
    <n v="1"/>
    <n v="299"/>
    <n v="299"/>
    <x v="3"/>
    <n v="59.8"/>
    <n v="239.2"/>
    <x v="1"/>
    <x v="0"/>
  </r>
  <r>
    <x v="399"/>
    <s v="6 Thu"/>
    <x v="2"/>
    <x v="0"/>
    <s v="CUST-1235"/>
    <s v="Meera Verma"/>
    <x v="3"/>
    <x v="4"/>
    <x v="10"/>
    <n v="2"/>
    <n v="899"/>
    <n v="1798"/>
    <x v="0"/>
    <n v="0"/>
    <n v="1798"/>
    <x v="1"/>
    <x v="0"/>
  </r>
  <r>
    <x v="400"/>
    <s v="7 Fri"/>
    <x v="2"/>
    <x v="0"/>
    <s v="CUST-1373"/>
    <s v="Rahul Verma"/>
    <x v="2"/>
    <x v="0"/>
    <x v="1"/>
    <n v="1"/>
    <n v="199"/>
    <n v="199"/>
    <x v="0"/>
    <n v="0"/>
    <n v="199"/>
    <x v="0"/>
    <x v="0"/>
  </r>
  <r>
    <x v="401"/>
    <s v="7 Fri"/>
    <x v="2"/>
    <x v="0"/>
    <s v="CUST-1201"/>
    <s v="Tanya Joshi"/>
    <x v="1"/>
    <x v="4"/>
    <x v="11"/>
    <n v="1"/>
    <n v="499"/>
    <n v="499"/>
    <x v="2"/>
    <n v="24.95"/>
    <n v="474.05"/>
    <x v="2"/>
    <x v="0"/>
  </r>
  <r>
    <x v="402"/>
    <s v="7 Fri"/>
    <x v="2"/>
    <x v="0"/>
    <s v="CUST-1176"/>
    <s v="Meera Sharma"/>
    <x v="0"/>
    <x v="1"/>
    <x v="4"/>
    <n v="1"/>
    <n v="2999"/>
    <n v="2999"/>
    <x v="4"/>
    <n v="299.89999999999998"/>
    <n v="2699.1"/>
    <x v="3"/>
    <x v="1"/>
  </r>
  <r>
    <x v="403"/>
    <s v="7 Fri"/>
    <x v="2"/>
    <x v="0"/>
    <s v="CUST-1072"/>
    <s v="Tanya Sharma"/>
    <x v="3"/>
    <x v="1"/>
    <x v="4"/>
    <n v="3"/>
    <n v="2999"/>
    <n v="8997"/>
    <x v="0"/>
    <n v="0"/>
    <n v="8997"/>
    <x v="3"/>
    <x v="1"/>
  </r>
  <r>
    <x v="404"/>
    <s v="7 Fri"/>
    <x v="2"/>
    <x v="0"/>
    <s v="CUST-1036"/>
    <s v="Nandini Mehta"/>
    <x v="3"/>
    <x v="2"/>
    <x v="3"/>
    <n v="4"/>
    <n v="249"/>
    <n v="996"/>
    <x v="0"/>
    <n v="0"/>
    <n v="996"/>
    <x v="0"/>
    <x v="0"/>
  </r>
  <r>
    <x v="405"/>
    <s v="7 Fri"/>
    <x v="2"/>
    <x v="0"/>
    <s v="CUST-1248"/>
    <s v="Meera Saxena"/>
    <x v="4"/>
    <x v="6"/>
    <x v="13"/>
    <n v="2"/>
    <n v="699"/>
    <n v="1398"/>
    <x v="0"/>
    <n v="0"/>
    <n v="1398"/>
    <x v="1"/>
    <x v="0"/>
  </r>
  <r>
    <x v="406"/>
    <s v="7 Fri"/>
    <x v="2"/>
    <x v="0"/>
    <s v="CUST-1256"/>
    <s v="Rohan Singh"/>
    <x v="2"/>
    <x v="4"/>
    <x v="10"/>
    <n v="4"/>
    <n v="899"/>
    <n v="3596"/>
    <x v="0"/>
    <n v="0"/>
    <n v="3596"/>
    <x v="0"/>
    <x v="0"/>
  </r>
  <r>
    <x v="407"/>
    <s v="7 Fri"/>
    <x v="2"/>
    <x v="0"/>
    <s v="CUST-1215"/>
    <s v="Arjun Singh"/>
    <x v="2"/>
    <x v="2"/>
    <x v="15"/>
    <n v="3"/>
    <n v="299"/>
    <n v="897"/>
    <x v="3"/>
    <n v="179.4"/>
    <n v="717.6"/>
    <x v="0"/>
    <x v="1"/>
  </r>
  <r>
    <x v="408"/>
    <s v="8 Sat"/>
    <x v="2"/>
    <x v="0"/>
    <s v="CUST-1277"/>
    <s v="Vivaan Sharma"/>
    <x v="0"/>
    <x v="2"/>
    <x v="3"/>
    <n v="1"/>
    <n v="249"/>
    <n v="249"/>
    <x v="2"/>
    <n v="12.45"/>
    <n v="236.55"/>
    <x v="1"/>
    <x v="0"/>
  </r>
  <r>
    <x v="409"/>
    <s v="8 Sat"/>
    <x v="2"/>
    <x v="0"/>
    <s v="CUST-1005"/>
    <s v="Rohan Malhotra"/>
    <x v="0"/>
    <x v="4"/>
    <x v="7"/>
    <n v="1"/>
    <n v="1999"/>
    <n v="1999"/>
    <x v="4"/>
    <n v="199.9"/>
    <n v="1799.1"/>
    <x v="3"/>
    <x v="0"/>
  </r>
  <r>
    <x v="410"/>
    <s v="8 Sat"/>
    <x v="2"/>
    <x v="0"/>
    <s v="CUST-1138"/>
    <s v="Tanya Singh"/>
    <x v="1"/>
    <x v="0"/>
    <x v="0"/>
    <n v="3"/>
    <n v="99"/>
    <n v="297"/>
    <x v="3"/>
    <n v="59.4"/>
    <n v="237.6"/>
    <x v="1"/>
    <x v="0"/>
  </r>
  <r>
    <x v="411"/>
    <s v="8 Sat"/>
    <x v="2"/>
    <x v="0"/>
    <s v="CUST-1127"/>
    <s v="Muskan Joshi"/>
    <x v="2"/>
    <x v="4"/>
    <x v="7"/>
    <n v="2"/>
    <n v="1999"/>
    <n v="3998"/>
    <x v="0"/>
    <n v="0"/>
    <n v="3998"/>
    <x v="1"/>
    <x v="0"/>
  </r>
  <r>
    <x v="412"/>
    <s v="8 Sat"/>
    <x v="2"/>
    <x v="0"/>
    <s v="CUST-1394"/>
    <s v="Tanya Malhotra"/>
    <x v="0"/>
    <x v="1"/>
    <x v="4"/>
    <n v="3"/>
    <n v="2999"/>
    <n v="8997"/>
    <x v="1"/>
    <n v="1349.55"/>
    <n v="7647.45"/>
    <x v="1"/>
    <x v="0"/>
  </r>
  <r>
    <x v="413"/>
    <s v="8 Sat"/>
    <x v="2"/>
    <x v="0"/>
    <s v="CUST-1195"/>
    <s v="Komal Gupta"/>
    <x v="2"/>
    <x v="0"/>
    <x v="0"/>
    <n v="1"/>
    <n v="99"/>
    <n v="99"/>
    <x v="0"/>
    <n v="0"/>
    <n v="99"/>
    <x v="1"/>
    <x v="0"/>
  </r>
  <r>
    <x v="414"/>
    <s v="8 Sat"/>
    <x v="2"/>
    <x v="0"/>
    <s v="CUST-1056"/>
    <s v="Aarav Kapoor"/>
    <x v="2"/>
    <x v="0"/>
    <x v="1"/>
    <n v="2"/>
    <n v="199"/>
    <n v="398"/>
    <x v="4"/>
    <n v="39.799999999999997"/>
    <n v="358.2"/>
    <x v="1"/>
    <x v="0"/>
  </r>
  <r>
    <x v="415"/>
    <s v="8 Sat"/>
    <x v="2"/>
    <x v="0"/>
    <s v="CUST-1203"/>
    <s v="Ankit Verma"/>
    <x v="2"/>
    <x v="0"/>
    <x v="1"/>
    <n v="3"/>
    <n v="199"/>
    <n v="597"/>
    <x v="0"/>
    <n v="0"/>
    <n v="597"/>
    <x v="1"/>
    <x v="0"/>
  </r>
  <r>
    <x v="416"/>
    <s v="9 Sun"/>
    <x v="2"/>
    <x v="0"/>
    <s v="CUST-1259"/>
    <s v="Rahul Singh"/>
    <x v="3"/>
    <x v="2"/>
    <x v="3"/>
    <n v="3"/>
    <n v="249"/>
    <n v="747"/>
    <x v="0"/>
    <n v="0"/>
    <n v="747"/>
    <x v="1"/>
    <x v="1"/>
  </r>
  <r>
    <x v="417"/>
    <s v="9 Sun"/>
    <x v="2"/>
    <x v="0"/>
    <s v="CUST-1362"/>
    <s v="Shreya Malhotra"/>
    <x v="0"/>
    <x v="0"/>
    <x v="1"/>
    <n v="1"/>
    <n v="199"/>
    <n v="199"/>
    <x v="0"/>
    <n v="0"/>
    <n v="199"/>
    <x v="0"/>
    <x v="1"/>
  </r>
  <r>
    <x v="418"/>
    <s v="9 Sun"/>
    <x v="2"/>
    <x v="0"/>
    <s v="CUST-1072"/>
    <s v="Tanya Sharma"/>
    <x v="3"/>
    <x v="1"/>
    <x v="2"/>
    <n v="2"/>
    <n v="599"/>
    <n v="1198"/>
    <x v="4"/>
    <n v="119.8"/>
    <n v="1078.2"/>
    <x v="0"/>
    <x v="0"/>
  </r>
  <r>
    <x v="419"/>
    <s v="9 Sun"/>
    <x v="2"/>
    <x v="0"/>
    <s v="CUST-1133"/>
    <s v="Kunal Mehta"/>
    <x v="3"/>
    <x v="3"/>
    <x v="6"/>
    <n v="2"/>
    <n v="799"/>
    <n v="1598"/>
    <x v="0"/>
    <n v="0"/>
    <n v="1598"/>
    <x v="4"/>
    <x v="0"/>
  </r>
  <r>
    <x v="420"/>
    <s v="9 Sun"/>
    <x v="2"/>
    <x v="0"/>
    <s v="CUST-1323"/>
    <s v="Muskan Verma"/>
    <x v="0"/>
    <x v="2"/>
    <x v="15"/>
    <n v="1"/>
    <n v="299"/>
    <n v="299"/>
    <x v="3"/>
    <n v="59.8"/>
    <n v="239.2"/>
    <x v="4"/>
    <x v="0"/>
  </r>
  <r>
    <x v="421"/>
    <s v="9 Sun"/>
    <x v="2"/>
    <x v="0"/>
    <s v="CUST-1023"/>
    <s v="Rohan Sharma"/>
    <x v="0"/>
    <x v="2"/>
    <x v="15"/>
    <n v="1"/>
    <n v="299"/>
    <n v="299"/>
    <x v="1"/>
    <n v="44.85"/>
    <n v="254.15"/>
    <x v="1"/>
    <x v="0"/>
  </r>
  <r>
    <x v="422"/>
    <s v="10 Mon"/>
    <x v="2"/>
    <x v="0"/>
    <s v="CUST-1187"/>
    <s v="Kabir Saxena"/>
    <x v="3"/>
    <x v="2"/>
    <x v="3"/>
    <n v="2"/>
    <n v="249"/>
    <n v="498"/>
    <x v="4"/>
    <n v="49.8"/>
    <n v="448.2"/>
    <x v="2"/>
    <x v="0"/>
  </r>
  <r>
    <x v="423"/>
    <s v="10 Mon"/>
    <x v="2"/>
    <x v="0"/>
    <s v="CUST-1114"/>
    <s v="Vivaan Malhotra"/>
    <x v="2"/>
    <x v="6"/>
    <x v="12"/>
    <n v="1"/>
    <n v="1499"/>
    <n v="1499"/>
    <x v="1"/>
    <n v="224.85"/>
    <n v="1274.1500000000001"/>
    <x v="4"/>
    <x v="0"/>
  </r>
  <r>
    <x v="424"/>
    <s v="10 Mon"/>
    <x v="2"/>
    <x v="0"/>
    <s v="CUST-1107"/>
    <s v="Isha Sharma"/>
    <x v="1"/>
    <x v="3"/>
    <x v="6"/>
    <n v="1"/>
    <n v="799"/>
    <n v="799"/>
    <x v="0"/>
    <n v="0"/>
    <n v="799"/>
    <x v="2"/>
    <x v="1"/>
  </r>
  <r>
    <x v="425"/>
    <s v="11 Tue"/>
    <x v="2"/>
    <x v="0"/>
    <s v="CUST-1399"/>
    <s v="Vivaan Verma"/>
    <x v="0"/>
    <x v="3"/>
    <x v="5"/>
    <n v="4"/>
    <n v="1299"/>
    <n v="5196"/>
    <x v="0"/>
    <n v="0"/>
    <n v="5196"/>
    <x v="4"/>
    <x v="1"/>
  </r>
  <r>
    <x v="426"/>
    <s v="11 Tue"/>
    <x v="2"/>
    <x v="0"/>
    <s v="CUST-1274"/>
    <s v="Muskan Singh"/>
    <x v="3"/>
    <x v="3"/>
    <x v="5"/>
    <n v="1"/>
    <n v="1299"/>
    <n v="1299"/>
    <x v="0"/>
    <n v="0"/>
    <n v="1299"/>
    <x v="1"/>
    <x v="0"/>
  </r>
  <r>
    <x v="427"/>
    <s v="11 Tue"/>
    <x v="2"/>
    <x v="0"/>
    <s v="CUST-1386"/>
    <s v="Swati Patel"/>
    <x v="1"/>
    <x v="0"/>
    <x v="1"/>
    <n v="1"/>
    <n v="199"/>
    <n v="199"/>
    <x v="0"/>
    <n v="0"/>
    <n v="199"/>
    <x v="3"/>
    <x v="0"/>
  </r>
  <r>
    <x v="428"/>
    <s v="11 Tue"/>
    <x v="2"/>
    <x v="0"/>
    <s v="CUST-1347"/>
    <s v="Ankit Joshi"/>
    <x v="4"/>
    <x v="0"/>
    <x v="1"/>
    <n v="1"/>
    <n v="199"/>
    <n v="199"/>
    <x v="0"/>
    <n v="0"/>
    <n v="199"/>
    <x v="2"/>
    <x v="0"/>
  </r>
  <r>
    <x v="429"/>
    <s v="11 Tue"/>
    <x v="2"/>
    <x v="0"/>
    <s v="CUST-1042"/>
    <s v="Kunal Saxena"/>
    <x v="2"/>
    <x v="6"/>
    <x v="13"/>
    <n v="1"/>
    <n v="699"/>
    <n v="699"/>
    <x v="0"/>
    <n v="0"/>
    <n v="699"/>
    <x v="1"/>
    <x v="0"/>
  </r>
  <r>
    <x v="430"/>
    <s v="11 Tue"/>
    <x v="2"/>
    <x v="0"/>
    <s v="CUST-1024"/>
    <s v="Tanya Singh"/>
    <x v="1"/>
    <x v="6"/>
    <x v="13"/>
    <n v="3"/>
    <n v="699"/>
    <n v="2097"/>
    <x v="4"/>
    <n v="209.7"/>
    <n v="1887.3"/>
    <x v="0"/>
    <x v="0"/>
  </r>
  <r>
    <x v="431"/>
    <s v="11 Tue"/>
    <x v="2"/>
    <x v="0"/>
    <s v="CUST-1011"/>
    <s v="Kunal Sharma"/>
    <x v="0"/>
    <x v="5"/>
    <x v="9"/>
    <n v="2"/>
    <n v="549"/>
    <n v="1098"/>
    <x v="0"/>
    <n v="0"/>
    <n v="1098"/>
    <x v="0"/>
    <x v="1"/>
  </r>
  <r>
    <x v="432"/>
    <s v="12 Wed"/>
    <x v="2"/>
    <x v="0"/>
    <s v="CUST-1382"/>
    <s v="Meera Verma"/>
    <x v="4"/>
    <x v="4"/>
    <x v="7"/>
    <n v="2"/>
    <n v="1999"/>
    <n v="3998"/>
    <x v="4"/>
    <n v="399.8"/>
    <n v="3598.2"/>
    <x v="1"/>
    <x v="1"/>
  </r>
  <r>
    <x v="433"/>
    <s v="12 Wed"/>
    <x v="2"/>
    <x v="0"/>
    <s v="CUST-1168"/>
    <s v="Nandini Joshi"/>
    <x v="2"/>
    <x v="1"/>
    <x v="14"/>
    <n v="1"/>
    <n v="1799"/>
    <n v="1799"/>
    <x v="1"/>
    <n v="269.85000000000002"/>
    <n v="1529.15"/>
    <x v="1"/>
    <x v="1"/>
  </r>
  <r>
    <x v="434"/>
    <s v="12 Wed"/>
    <x v="2"/>
    <x v="0"/>
    <s v="CUST-1050"/>
    <s v="Rohan Gupta"/>
    <x v="0"/>
    <x v="0"/>
    <x v="1"/>
    <n v="1"/>
    <n v="199"/>
    <n v="199"/>
    <x v="3"/>
    <n v="39.799999999999997"/>
    <n v="159.19999999999999"/>
    <x v="0"/>
    <x v="1"/>
  </r>
  <r>
    <x v="435"/>
    <s v="12 Wed"/>
    <x v="2"/>
    <x v="0"/>
    <s v="CUST-1319"/>
    <s v="Rohan Sharma"/>
    <x v="1"/>
    <x v="5"/>
    <x v="9"/>
    <n v="1"/>
    <n v="549"/>
    <n v="549"/>
    <x v="3"/>
    <n v="109.8"/>
    <n v="439.2"/>
    <x v="3"/>
    <x v="1"/>
  </r>
  <r>
    <x v="436"/>
    <s v="12 Wed"/>
    <x v="2"/>
    <x v="0"/>
    <s v="CUST-1199"/>
    <s v="Sakshi Saxena"/>
    <x v="1"/>
    <x v="5"/>
    <x v="9"/>
    <n v="3"/>
    <n v="549"/>
    <n v="1647"/>
    <x v="3"/>
    <n v="329.4"/>
    <n v="1317.6"/>
    <x v="0"/>
    <x v="0"/>
  </r>
  <r>
    <x v="437"/>
    <s v="12 Wed"/>
    <x v="2"/>
    <x v="0"/>
    <s v="CUST-1083"/>
    <s v="Komal Kapoor"/>
    <x v="0"/>
    <x v="6"/>
    <x v="12"/>
    <n v="1"/>
    <n v="1499"/>
    <n v="1499"/>
    <x v="0"/>
    <n v="0"/>
    <n v="1499"/>
    <x v="4"/>
    <x v="1"/>
  </r>
  <r>
    <x v="438"/>
    <s v="13 Thu"/>
    <x v="2"/>
    <x v="0"/>
    <s v="CUST-1147"/>
    <s v="Aman Saxena"/>
    <x v="0"/>
    <x v="5"/>
    <x v="9"/>
    <n v="1"/>
    <n v="549"/>
    <n v="549"/>
    <x v="4"/>
    <n v="54.9"/>
    <n v="494.1"/>
    <x v="1"/>
    <x v="0"/>
  </r>
  <r>
    <x v="439"/>
    <s v="13 Thu"/>
    <x v="2"/>
    <x v="0"/>
    <s v="CUST-1397"/>
    <s v="Aman Verma"/>
    <x v="3"/>
    <x v="0"/>
    <x v="0"/>
    <n v="1"/>
    <n v="99"/>
    <n v="99"/>
    <x v="0"/>
    <n v="0"/>
    <n v="99"/>
    <x v="1"/>
    <x v="0"/>
  </r>
  <r>
    <x v="440"/>
    <s v="13 Thu"/>
    <x v="2"/>
    <x v="0"/>
    <s v="CUST-1344"/>
    <s v="Nandini Saxena"/>
    <x v="4"/>
    <x v="6"/>
    <x v="12"/>
    <n v="1"/>
    <n v="1499"/>
    <n v="1499"/>
    <x v="2"/>
    <n v="74.95"/>
    <n v="1424.05"/>
    <x v="2"/>
    <x v="1"/>
  </r>
  <r>
    <x v="441"/>
    <s v="13 Thu"/>
    <x v="2"/>
    <x v="0"/>
    <s v="CUST-1206"/>
    <s v="Aditya Gupta"/>
    <x v="2"/>
    <x v="4"/>
    <x v="10"/>
    <n v="2"/>
    <n v="899"/>
    <n v="1798"/>
    <x v="3"/>
    <n v="359.6"/>
    <n v="1438.4"/>
    <x v="0"/>
    <x v="0"/>
  </r>
  <r>
    <x v="442"/>
    <s v="13 Thu"/>
    <x v="2"/>
    <x v="0"/>
    <s v="CUST-1355"/>
    <s v="Aditya Joshi"/>
    <x v="0"/>
    <x v="1"/>
    <x v="2"/>
    <n v="2"/>
    <n v="599"/>
    <n v="1198"/>
    <x v="0"/>
    <n v="0"/>
    <n v="1198"/>
    <x v="2"/>
    <x v="0"/>
  </r>
  <r>
    <x v="443"/>
    <s v="13 Thu"/>
    <x v="2"/>
    <x v="0"/>
    <s v="CUST-1032"/>
    <s v="Shreya Mehta"/>
    <x v="3"/>
    <x v="3"/>
    <x v="6"/>
    <n v="1"/>
    <n v="799"/>
    <n v="799"/>
    <x v="3"/>
    <n v="159.80000000000001"/>
    <n v="639.20000000000005"/>
    <x v="1"/>
    <x v="0"/>
  </r>
  <r>
    <x v="444"/>
    <s v="13 Thu"/>
    <x v="2"/>
    <x v="0"/>
    <s v="CUST-1367"/>
    <s v="Aman Saxena"/>
    <x v="3"/>
    <x v="1"/>
    <x v="4"/>
    <n v="1"/>
    <n v="2999"/>
    <n v="2999"/>
    <x v="0"/>
    <n v="0"/>
    <n v="2999"/>
    <x v="2"/>
    <x v="0"/>
  </r>
  <r>
    <x v="445"/>
    <s v="13 Thu"/>
    <x v="2"/>
    <x v="0"/>
    <s v="CUST-1101"/>
    <s v="Sakshi Sharma"/>
    <x v="2"/>
    <x v="4"/>
    <x v="11"/>
    <n v="1"/>
    <n v="499"/>
    <n v="499"/>
    <x v="3"/>
    <n v="99.8"/>
    <n v="399.2"/>
    <x v="2"/>
    <x v="1"/>
  </r>
  <r>
    <x v="446"/>
    <s v="13 Thu"/>
    <x v="2"/>
    <x v="0"/>
    <s v="CUST-1380"/>
    <s v="Meera Joshi"/>
    <x v="1"/>
    <x v="3"/>
    <x v="5"/>
    <n v="3"/>
    <n v="1299"/>
    <n v="3897"/>
    <x v="0"/>
    <n v="0"/>
    <n v="3897"/>
    <x v="1"/>
    <x v="1"/>
  </r>
  <r>
    <x v="447"/>
    <s v="13 Thu"/>
    <x v="2"/>
    <x v="0"/>
    <s v="CUST-1287"/>
    <s v="Divya Kapoor"/>
    <x v="1"/>
    <x v="1"/>
    <x v="2"/>
    <n v="2"/>
    <n v="599"/>
    <n v="1198"/>
    <x v="4"/>
    <n v="119.8"/>
    <n v="1078.2"/>
    <x v="0"/>
    <x v="1"/>
  </r>
  <r>
    <x v="448"/>
    <s v="14 Fri"/>
    <x v="2"/>
    <x v="0"/>
    <s v="CUST-1069"/>
    <s v="Kabir Joshi"/>
    <x v="3"/>
    <x v="2"/>
    <x v="3"/>
    <n v="2"/>
    <n v="249"/>
    <n v="498"/>
    <x v="3"/>
    <n v="99.6"/>
    <n v="398.4"/>
    <x v="2"/>
    <x v="0"/>
  </r>
  <r>
    <x v="449"/>
    <s v="14 Fri"/>
    <x v="2"/>
    <x v="0"/>
    <s v="CUST-1119"/>
    <s v="Rahul Gupta"/>
    <x v="0"/>
    <x v="1"/>
    <x v="14"/>
    <n v="2"/>
    <n v="1799"/>
    <n v="3598"/>
    <x v="3"/>
    <n v="719.6"/>
    <n v="2878.4"/>
    <x v="3"/>
    <x v="1"/>
  </r>
  <r>
    <x v="450"/>
    <s v="14 Fri"/>
    <x v="2"/>
    <x v="0"/>
    <s v="CUST-1256"/>
    <s v="Rohan Singh"/>
    <x v="1"/>
    <x v="0"/>
    <x v="1"/>
    <n v="5"/>
    <n v="199"/>
    <n v="995"/>
    <x v="3"/>
    <n v="199"/>
    <n v="796"/>
    <x v="3"/>
    <x v="0"/>
  </r>
  <r>
    <x v="451"/>
    <s v="14 Fri"/>
    <x v="2"/>
    <x v="0"/>
    <s v="CUST-1356"/>
    <s v="Isha Verma"/>
    <x v="3"/>
    <x v="4"/>
    <x v="11"/>
    <n v="4"/>
    <n v="499"/>
    <n v="1996"/>
    <x v="0"/>
    <n v="0"/>
    <n v="1996"/>
    <x v="0"/>
    <x v="0"/>
  </r>
  <r>
    <x v="452"/>
    <s v="15 Sat"/>
    <x v="2"/>
    <x v="0"/>
    <s v="CUST-1380"/>
    <s v="Meera Joshi"/>
    <x v="3"/>
    <x v="2"/>
    <x v="3"/>
    <n v="2"/>
    <n v="249"/>
    <n v="498"/>
    <x v="0"/>
    <n v="0"/>
    <n v="498"/>
    <x v="4"/>
    <x v="0"/>
  </r>
  <r>
    <x v="453"/>
    <s v="15 Sat"/>
    <x v="2"/>
    <x v="0"/>
    <s v="CUST-1299"/>
    <s v="Kabir Mehta"/>
    <x v="0"/>
    <x v="6"/>
    <x v="13"/>
    <n v="2"/>
    <n v="699"/>
    <n v="1398"/>
    <x v="0"/>
    <n v="0"/>
    <n v="1398"/>
    <x v="0"/>
    <x v="0"/>
  </r>
  <r>
    <x v="454"/>
    <s v="15 Sat"/>
    <x v="2"/>
    <x v="0"/>
    <s v="CUST-1194"/>
    <s v="Muskan Sharma"/>
    <x v="0"/>
    <x v="5"/>
    <x v="8"/>
    <n v="1"/>
    <n v="349"/>
    <n v="349"/>
    <x v="0"/>
    <n v="0"/>
    <n v="349"/>
    <x v="2"/>
    <x v="0"/>
  </r>
  <r>
    <x v="455"/>
    <s v="15 Sat"/>
    <x v="2"/>
    <x v="0"/>
    <s v="CUST-1329"/>
    <s v="Swati Gupta"/>
    <x v="3"/>
    <x v="4"/>
    <x v="10"/>
    <n v="1"/>
    <n v="899"/>
    <n v="899"/>
    <x v="3"/>
    <n v="179.8"/>
    <n v="719.2"/>
    <x v="0"/>
    <x v="1"/>
  </r>
  <r>
    <x v="456"/>
    <s v="15 Sat"/>
    <x v="2"/>
    <x v="0"/>
    <s v="CUST-1326"/>
    <s v="Rohan Verma"/>
    <x v="1"/>
    <x v="2"/>
    <x v="15"/>
    <n v="2"/>
    <n v="299"/>
    <n v="598"/>
    <x v="1"/>
    <n v="89.7"/>
    <n v="508.3"/>
    <x v="1"/>
    <x v="0"/>
  </r>
  <r>
    <x v="457"/>
    <s v="15 Sat"/>
    <x v="2"/>
    <x v="0"/>
    <s v="CUST-1234"/>
    <s v="Meera Sharma"/>
    <x v="4"/>
    <x v="1"/>
    <x v="4"/>
    <n v="1"/>
    <n v="2999"/>
    <n v="2999"/>
    <x v="0"/>
    <n v="0"/>
    <n v="2999"/>
    <x v="3"/>
    <x v="0"/>
  </r>
  <r>
    <x v="458"/>
    <s v="15 Sat"/>
    <x v="2"/>
    <x v="0"/>
    <s v="CUST-1091"/>
    <s v="Kabir Gupta"/>
    <x v="4"/>
    <x v="1"/>
    <x v="2"/>
    <n v="4"/>
    <n v="599"/>
    <n v="2396"/>
    <x v="0"/>
    <n v="0"/>
    <n v="2396"/>
    <x v="2"/>
    <x v="0"/>
  </r>
  <r>
    <x v="459"/>
    <s v="15 Sat"/>
    <x v="2"/>
    <x v="0"/>
    <s v="CUST-1326"/>
    <s v="Rohan Verma"/>
    <x v="4"/>
    <x v="4"/>
    <x v="11"/>
    <n v="2"/>
    <n v="499"/>
    <n v="998"/>
    <x v="1"/>
    <n v="149.69999999999999"/>
    <n v="848.3"/>
    <x v="1"/>
    <x v="1"/>
  </r>
  <r>
    <x v="460"/>
    <s v="16 Sun"/>
    <x v="2"/>
    <x v="0"/>
    <s v="CUST-1210"/>
    <s v="Meera Sharma"/>
    <x v="4"/>
    <x v="1"/>
    <x v="4"/>
    <n v="2"/>
    <n v="2999"/>
    <n v="5998"/>
    <x v="1"/>
    <n v="899.7"/>
    <n v="5098.3"/>
    <x v="1"/>
    <x v="0"/>
  </r>
  <r>
    <x v="461"/>
    <s v="16 Sun"/>
    <x v="2"/>
    <x v="0"/>
    <s v="CUST-1340"/>
    <s v="Aman Kapoor"/>
    <x v="2"/>
    <x v="5"/>
    <x v="8"/>
    <n v="1"/>
    <n v="349"/>
    <n v="349"/>
    <x v="2"/>
    <n v="17.45"/>
    <n v="331.55"/>
    <x v="4"/>
    <x v="1"/>
  </r>
  <r>
    <x v="462"/>
    <s v="16 Sun"/>
    <x v="2"/>
    <x v="0"/>
    <s v="CUST-1264"/>
    <s v="Vivaan Malhotra"/>
    <x v="0"/>
    <x v="6"/>
    <x v="12"/>
    <n v="1"/>
    <n v="1499"/>
    <n v="1499"/>
    <x v="2"/>
    <n v="74.95"/>
    <n v="1424.05"/>
    <x v="1"/>
    <x v="0"/>
  </r>
  <r>
    <x v="463"/>
    <s v="16 Sun"/>
    <x v="2"/>
    <x v="0"/>
    <s v="CUST-1374"/>
    <s v="Isha Sharma"/>
    <x v="4"/>
    <x v="2"/>
    <x v="3"/>
    <n v="1"/>
    <n v="249"/>
    <n v="249"/>
    <x v="2"/>
    <n v="12.45"/>
    <n v="236.55"/>
    <x v="4"/>
    <x v="1"/>
  </r>
  <r>
    <x v="464"/>
    <s v="16 Sun"/>
    <x v="2"/>
    <x v="0"/>
    <s v="CUST-1263"/>
    <s v="Tanya Mehta"/>
    <x v="3"/>
    <x v="3"/>
    <x v="6"/>
    <n v="4"/>
    <n v="799"/>
    <n v="3196"/>
    <x v="4"/>
    <n v="319.60000000000002"/>
    <n v="2876.4"/>
    <x v="1"/>
    <x v="0"/>
  </r>
  <r>
    <x v="465"/>
    <s v="17 Mon"/>
    <x v="2"/>
    <x v="0"/>
    <s v="CUST-1331"/>
    <s v="Arjun Singh"/>
    <x v="4"/>
    <x v="0"/>
    <x v="0"/>
    <n v="2"/>
    <n v="99"/>
    <n v="198"/>
    <x v="0"/>
    <n v="0"/>
    <n v="198"/>
    <x v="0"/>
    <x v="0"/>
  </r>
  <r>
    <x v="466"/>
    <s v="17 Mon"/>
    <x v="2"/>
    <x v="0"/>
    <s v="CUST-1379"/>
    <s v="Divya Verma"/>
    <x v="0"/>
    <x v="4"/>
    <x v="10"/>
    <n v="1"/>
    <n v="899"/>
    <n v="899"/>
    <x v="4"/>
    <n v="89.9"/>
    <n v="809.1"/>
    <x v="1"/>
    <x v="0"/>
  </r>
  <r>
    <x v="467"/>
    <s v="17 Mon"/>
    <x v="2"/>
    <x v="0"/>
    <s v="CUST-1271"/>
    <s v="Nandini Sharma"/>
    <x v="0"/>
    <x v="0"/>
    <x v="1"/>
    <n v="3"/>
    <n v="199"/>
    <n v="597"/>
    <x v="0"/>
    <n v="0"/>
    <n v="597"/>
    <x v="0"/>
    <x v="1"/>
  </r>
  <r>
    <x v="468"/>
    <s v="17 Mon"/>
    <x v="2"/>
    <x v="0"/>
    <s v="CUST-1380"/>
    <s v="Meera Joshi"/>
    <x v="4"/>
    <x v="6"/>
    <x v="12"/>
    <n v="3"/>
    <n v="1499"/>
    <n v="4497"/>
    <x v="1"/>
    <n v="674.55"/>
    <n v="3822.45"/>
    <x v="2"/>
    <x v="1"/>
  </r>
  <r>
    <x v="469"/>
    <s v="17 Mon"/>
    <x v="2"/>
    <x v="0"/>
    <s v="CUST-1331"/>
    <s v="Arjun Singh"/>
    <x v="4"/>
    <x v="1"/>
    <x v="14"/>
    <n v="2"/>
    <n v="1799"/>
    <n v="3598"/>
    <x v="3"/>
    <n v="719.6"/>
    <n v="2878.4"/>
    <x v="0"/>
    <x v="0"/>
  </r>
  <r>
    <x v="470"/>
    <s v="17 Mon"/>
    <x v="2"/>
    <x v="0"/>
    <s v="CUST-1390"/>
    <s v="Rahul Saxena"/>
    <x v="4"/>
    <x v="0"/>
    <x v="0"/>
    <n v="1"/>
    <n v="99"/>
    <n v="99"/>
    <x v="1"/>
    <n v="14.85"/>
    <n v="84.15"/>
    <x v="2"/>
    <x v="1"/>
  </r>
  <r>
    <x v="471"/>
    <s v="18 Tue"/>
    <x v="2"/>
    <x v="0"/>
    <s v="CUST-1136"/>
    <s v="Kunal Patel"/>
    <x v="0"/>
    <x v="0"/>
    <x v="0"/>
    <n v="4"/>
    <n v="99"/>
    <n v="396"/>
    <x v="2"/>
    <n v="19.8"/>
    <n v="376.2"/>
    <x v="1"/>
    <x v="0"/>
  </r>
  <r>
    <x v="472"/>
    <s v="18 Tue"/>
    <x v="2"/>
    <x v="0"/>
    <s v="CUST-1358"/>
    <s v="Aman Patel"/>
    <x v="3"/>
    <x v="6"/>
    <x v="12"/>
    <n v="2"/>
    <n v="1499"/>
    <n v="2998"/>
    <x v="3"/>
    <n v="599.6"/>
    <n v="2398.4"/>
    <x v="2"/>
    <x v="0"/>
  </r>
  <r>
    <x v="473"/>
    <s v="18 Tue"/>
    <x v="2"/>
    <x v="0"/>
    <s v="CUST-1123"/>
    <s v="Shreya Gupta"/>
    <x v="4"/>
    <x v="6"/>
    <x v="13"/>
    <n v="4"/>
    <n v="699"/>
    <n v="2796"/>
    <x v="0"/>
    <n v="0"/>
    <n v="2796"/>
    <x v="2"/>
    <x v="0"/>
  </r>
  <r>
    <x v="474"/>
    <s v="18 Tue"/>
    <x v="2"/>
    <x v="0"/>
    <s v="CUST-1306"/>
    <s v="Sakshi Malhotra"/>
    <x v="3"/>
    <x v="1"/>
    <x v="14"/>
    <n v="1"/>
    <n v="1799"/>
    <n v="1799"/>
    <x v="1"/>
    <n v="269.85000000000002"/>
    <n v="1529.15"/>
    <x v="4"/>
    <x v="1"/>
  </r>
  <r>
    <x v="475"/>
    <s v="19 Wed"/>
    <x v="2"/>
    <x v="0"/>
    <s v="CUST-1186"/>
    <s v="Meera Verma"/>
    <x v="1"/>
    <x v="6"/>
    <x v="13"/>
    <n v="1"/>
    <n v="699"/>
    <n v="699"/>
    <x v="0"/>
    <n v="0"/>
    <n v="699"/>
    <x v="0"/>
    <x v="0"/>
  </r>
  <r>
    <x v="476"/>
    <s v="19 Wed"/>
    <x v="2"/>
    <x v="0"/>
    <s v="CUST-1320"/>
    <s v="Ankit Kapoor"/>
    <x v="2"/>
    <x v="0"/>
    <x v="1"/>
    <n v="3"/>
    <n v="199"/>
    <n v="597"/>
    <x v="2"/>
    <n v="29.85"/>
    <n v="567.15"/>
    <x v="4"/>
    <x v="0"/>
  </r>
  <r>
    <x v="477"/>
    <s v="19 Wed"/>
    <x v="2"/>
    <x v="0"/>
    <s v="CUST-1093"/>
    <s v="Kabir Mehta"/>
    <x v="2"/>
    <x v="1"/>
    <x v="2"/>
    <n v="1"/>
    <n v="599"/>
    <n v="599"/>
    <x v="1"/>
    <n v="89.85"/>
    <n v="509.15"/>
    <x v="0"/>
    <x v="1"/>
  </r>
  <r>
    <x v="478"/>
    <s v="19 Wed"/>
    <x v="2"/>
    <x v="0"/>
    <s v="CUST-1011"/>
    <s v="Kunal Sharma"/>
    <x v="3"/>
    <x v="4"/>
    <x v="11"/>
    <n v="1"/>
    <n v="499"/>
    <n v="499"/>
    <x v="0"/>
    <n v="0"/>
    <n v="499"/>
    <x v="3"/>
    <x v="0"/>
  </r>
  <r>
    <x v="479"/>
    <s v="19 Wed"/>
    <x v="2"/>
    <x v="0"/>
    <s v="CUST-1043"/>
    <s v="Divya Kapoor"/>
    <x v="1"/>
    <x v="0"/>
    <x v="1"/>
    <n v="1"/>
    <n v="199"/>
    <n v="199"/>
    <x v="3"/>
    <n v="39.799999999999997"/>
    <n v="159.19999999999999"/>
    <x v="3"/>
    <x v="0"/>
  </r>
  <r>
    <x v="480"/>
    <s v="19 Wed"/>
    <x v="2"/>
    <x v="0"/>
    <s v="CUST-1178"/>
    <s v="Komal Sharma"/>
    <x v="3"/>
    <x v="0"/>
    <x v="0"/>
    <n v="1"/>
    <n v="99"/>
    <n v="99"/>
    <x v="4"/>
    <n v="9.9"/>
    <n v="89.1"/>
    <x v="0"/>
    <x v="0"/>
  </r>
  <r>
    <x v="481"/>
    <s v="19 Wed"/>
    <x v="2"/>
    <x v="0"/>
    <s v="CUST-1172"/>
    <s v="Nandini Saxena"/>
    <x v="0"/>
    <x v="0"/>
    <x v="0"/>
    <n v="2"/>
    <n v="99"/>
    <n v="198"/>
    <x v="1"/>
    <n v="29.7"/>
    <n v="168.3"/>
    <x v="0"/>
    <x v="0"/>
  </r>
  <r>
    <x v="482"/>
    <s v="20 Thu"/>
    <x v="2"/>
    <x v="0"/>
    <s v="CUST-1010"/>
    <s v="Kabir Singh"/>
    <x v="1"/>
    <x v="2"/>
    <x v="15"/>
    <n v="1"/>
    <n v="299"/>
    <n v="299"/>
    <x v="2"/>
    <n v="14.95"/>
    <n v="284.05"/>
    <x v="1"/>
    <x v="1"/>
  </r>
  <r>
    <x v="483"/>
    <s v="20 Thu"/>
    <x v="2"/>
    <x v="0"/>
    <s v="CUST-1202"/>
    <s v="Isha Verma"/>
    <x v="3"/>
    <x v="6"/>
    <x v="13"/>
    <n v="1"/>
    <n v="699"/>
    <n v="699"/>
    <x v="4"/>
    <n v="69.900000000000006"/>
    <n v="629.1"/>
    <x v="2"/>
    <x v="1"/>
  </r>
  <r>
    <x v="484"/>
    <s v="20 Thu"/>
    <x v="2"/>
    <x v="0"/>
    <s v="CUST-1217"/>
    <s v="Ankit Patel"/>
    <x v="0"/>
    <x v="1"/>
    <x v="4"/>
    <n v="1"/>
    <n v="2999"/>
    <n v="2999"/>
    <x v="4"/>
    <n v="299.89999999999998"/>
    <n v="2699.1"/>
    <x v="1"/>
    <x v="1"/>
  </r>
  <r>
    <x v="485"/>
    <s v="20 Thu"/>
    <x v="2"/>
    <x v="0"/>
    <s v="CUST-1399"/>
    <s v="Vivaan Verma"/>
    <x v="3"/>
    <x v="4"/>
    <x v="11"/>
    <n v="1"/>
    <n v="499"/>
    <n v="499"/>
    <x v="0"/>
    <n v="0"/>
    <n v="499"/>
    <x v="0"/>
    <x v="0"/>
  </r>
  <r>
    <x v="486"/>
    <s v="20 Thu"/>
    <x v="2"/>
    <x v="0"/>
    <s v="CUST-1018"/>
    <s v="Aditya Gupta"/>
    <x v="0"/>
    <x v="2"/>
    <x v="15"/>
    <n v="2"/>
    <n v="299"/>
    <n v="598"/>
    <x v="3"/>
    <n v="119.6"/>
    <n v="478.4"/>
    <x v="3"/>
    <x v="1"/>
  </r>
  <r>
    <x v="487"/>
    <s v="20 Thu"/>
    <x v="2"/>
    <x v="0"/>
    <s v="CUST-1353"/>
    <s v="Vivaan Gupta"/>
    <x v="0"/>
    <x v="6"/>
    <x v="13"/>
    <n v="3"/>
    <n v="699"/>
    <n v="2097"/>
    <x v="1"/>
    <n v="314.55"/>
    <n v="1782.45"/>
    <x v="4"/>
    <x v="0"/>
  </r>
  <r>
    <x v="488"/>
    <s v="21 Fri"/>
    <x v="2"/>
    <x v="0"/>
    <s v="CUST-1227"/>
    <s v="Rohan Joshi"/>
    <x v="1"/>
    <x v="1"/>
    <x v="14"/>
    <n v="1"/>
    <n v="1799"/>
    <n v="1799"/>
    <x v="0"/>
    <n v="0"/>
    <n v="1799"/>
    <x v="1"/>
    <x v="0"/>
  </r>
  <r>
    <x v="489"/>
    <s v="21 Fri"/>
    <x v="2"/>
    <x v="0"/>
    <s v="CUST-1009"/>
    <s v="Shreya Gupta"/>
    <x v="2"/>
    <x v="4"/>
    <x v="10"/>
    <n v="4"/>
    <n v="899"/>
    <n v="3596"/>
    <x v="4"/>
    <n v="359.6"/>
    <n v="3236.4"/>
    <x v="2"/>
    <x v="1"/>
  </r>
  <r>
    <x v="490"/>
    <s v="21 Fri"/>
    <x v="2"/>
    <x v="0"/>
    <s v="CUST-1168"/>
    <s v="Nandini Joshi"/>
    <x v="1"/>
    <x v="1"/>
    <x v="14"/>
    <n v="2"/>
    <n v="1799"/>
    <n v="3598"/>
    <x v="0"/>
    <n v="0"/>
    <n v="3598"/>
    <x v="2"/>
    <x v="1"/>
  </r>
  <r>
    <x v="491"/>
    <s v="21 Fri"/>
    <x v="2"/>
    <x v="0"/>
    <s v="CUST-1126"/>
    <s v="Divya Sharma"/>
    <x v="4"/>
    <x v="6"/>
    <x v="12"/>
    <n v="3"/>
    <n v="1499"/>
    <n v="4497"/>
    <x v="0"/>
    <n v="0"/>
    <n v="4497"/>
    <x v="2"/>
    <x v="1"/>
  </r>
  <r>
    <x v="492"/>
    <s v="21 Fri"/>
    <x v="2"/>
    <x v="0"/>
    <s v="CUST-1014"/>
    <s v="Vivaan Kapoor"/>
    <x v="1"/>
    <x v="3"/>
    <x v="6"/>
    <n v="2"/>
    <n v="799"/>
    <n v="1598"/>
    <x v="4"/>
    <n v="159.80000000000001"/>
    <n v="1438.2"/>
    <x v="2"/>
    <x v="1"/>
  </r>
  <r>
    <x v="493"/>
    <s v="21 Fri"/>
    <x v="2"/>
    <x v="0"/>
    <s v="CUST-1368"/>
    <s v="Isha Patel"/>
    <x v="3"/>
    <x v="1"/>
    <x v="14"/>
    <n v="1"/>
    <n v="1799"/>
    <n v="1799"/>
    <x v="0"/>
    <n v="0"/>
    <n v="1799"/>
    <x v="0"/>
    <x v="1"/>
  </r>
  <r>
    <x v="494"/>
    <s v="21 Fri"/>
    <x v="2"/>
    <x v="0"/>
    <s v="CUST-1355"/>
    <s v="Aditya Joshi"/>
    <x v="4"/>
    <x v="3"/>
    <x v="6"/>
    <n v="1"/>
    <n v="799"/>
    <n v="799"/>
    <x v="2"/>
    <n v="39.950000000000003"/>
    <n v="759.05"/>
    <x v="0"/>
    <x v="0"/>
  </r>
  <r>
    <x v="495"/>
    <s v="21 Fri"/>
    <x v="2"/>
    <x v="0"/>
    <s v="CUST-1115"/>
    <s v="Divya Kapoor"/>
    <x v="4"/>
    <x v="6"/>
    <x v="13"/>
    <n v="1"/>
    <n v="699"/>
    <n v="699"/>
    <x v="3"/>
    <n v="139.80000000000001"/>
    <n v="559.20000000000005"/>
    <x v="1"/>
    <x v="0"/>
  </r>
  <r>
    <x v="496"/>
    <s v="22 Sat"/>
    <x v="2"/>
    <x v="0"/>
    <s v="CUST-1144"/>
    <s v="Divya Mehta"/>
    <x v="1"/>
    <x v="2"/>
    <x v="15"/>
    <n v="2"/>
    <n v="299"/>
    <n v="598"/>
    <x v="2"/>
    <n v="29.9"/>
    <n v="568.1"/>
    <x v="3"/>
    <x v="1"/>
  </r>
  <r>
    <x v="497"/>
    <s v="22 Sat"/>
    <x v="2"/>
    <x v="0"/>
    <s v="CUST-1395"/>
    <s v="Rahul Verma"/>
    <x v="1"/>
    <x v="1"/>
    <x v="4"/>
    <n v="2"/>
    <n v="2999"/>
    <n v="5998"/>
    <x v="2"/>
    <n v="299.89999999999998"/>
    <n v="5698.1"/>
    <x v="2"/>
    <x v="1"/>
  </r>
  <r>
    <x v="498"/>
    <s v="22 Sat"/>
    <x v="2"/>
    <x v="0"/>
    <s v="CUST-1050"/>
    <s v="Rohan Gupta"/>
    <x v="2"/>
    <x v="4"/>
    <x v="10"/>
    <n v="1"/>
    <n v="899"/>
    <n v="899"/>
    <x v="2"/>
    <n v="44.95"/>
    <n v="854.05"/>
    <x v="1"/>
    <x v="0"/>
  </r>
  <r>
    <x v="499"/>
    <s v="22 Sat"/>
    <x v="2"/>
    <x v="0"/>
    <s v="CUST-1074"/>
    <s v="Kabir Kapoor"/>
    <x v="3"/>
    <x v="3"/>
    <x v="5"/>
    <n v="2"/>
    <n v="1299"/>
    <n v="2598"/>
    <x v="0"/>
    <n v="0"/>
    <n v="2598"/>
    <x v="1"/>
    <x v="0"/>
  </r>
  <r>
    <x v="500"/>
    <s v="22 Sat"/>
    <x v="2"/>
    <x v="0"/>
    <s v="CUST-1087"/>
    <s v="Kabir Verma"/>
    <x v="0"/>
    <x v="5"/>
    <x v="8"/>
    <n v="1"/>
    <n v="349"/>
    <n v="349"/>
    <x v="0"/>
    <n v="0"/>
    <n v="349"/>
    <x v="1"/>
    <x v="0"/>
  </r>
  <r>
    <x v="501"/>
    <s v="22 Sat"/>
    <x v="2"/>
    <x v="0"/>
    <s v="CUST-1051"/>
    <s v="Rohan Patel"/>
    <x v="3"/>
    <x v="1"/>
    <x v="2"/>
    <n v="2"/>
    <n v="599"/>
    <n v="1198"/>
    <x v="3"/>
    <n v="239.6"/>
    <n v="958.4"/>
    <x v="1"/>
    <x v="1"/>
  </r>
  <r>
    <x v="502"/>
    <s v="22 Sat"/>
    <x v="2"/>
    <x v="0"/>
    <s v="CUST-1318"/>
    <s v="Tanya Verma"/>
    <x v="2"/>
    <x v="4"/>
    <x v="10"/>
    <n v="1"/>
    <n v="899"/>
    <n v="899"/>
    <x v="0"/>
    <n v="0"/>
    <n v="899"/>
    <x v="0"/>
    <x v="0"/>
  </r>
  <r>
    <x v="503"/>
    <s v="22 Sat"/>
    <x v="2"/>
    <x v="0"/>
    <s v="CUST-1105"/>
    <s v="Rohan Singh"/>
    <x v="4"/>
    <x v="4"/>
    <x v="10"/>
    <n v="2"/>
    <n v="899"/>
    <n v="1798"/>
    <x v="1"/>
    <n v="269.7"/>
    <n v="1528.3"/>
    <x v="4"/>
    <x v="1"/>
  </r>
  <r>
    <x v="504"/>
    <s v="23 Sun"/>
    <x v="2"/>
    <x v="0"/>
    <s v="CUST-1304"/>
    <s v="Kunal Saxena"/>
    <x v="3"/>
    <x v="3"/>
    <x v="5"/>
    <n v="2"/>
    <n v="1299"/>
    <n v="2598"/>
    <x v="3"/>
    <n v="519.6"/>
    <n v="2078.4"/>
    <x v="0"/>
    <x v="0"/>
  </r>
  <r>
    <x v="505"/>
    <s v="23 Sun"/>
    <x v="2"/>
    <x v="0"/>
    <s v="CUST-1269"/>
    <s v="Kunal Verma"/>
    <x v="4"/>
    <x v="4"/>
    <x v="7"/>
    <n v="1"/>
    <n v="1999"/>
    <n v="1999"/>
    <x v="0"/>
    <n v="0"/>
    <n v="1999"/>
    <x v="0"/>
    <x v="1"/>
  </r>
  <r>
    <x v="506"/>
    <s v="23 Sun"/>
    <x v="2"/>
    <x v="0"/>
    <s v="CUST-1177"/>
    <s v="Aditya Malhotra"/>
    <x v="3"/>
    <x v="2"/>
    <x v="15"/>
    <n v="1"/>
    <n v="299"/>
    <n v="299"/>
    <x v="3"/>
    <n v="59.8"/>
    <n v="239.2"/>
    <x v="2"/>
    <x v="0"/>
  </r>
  <r>
    <x v="507"/>
    <s v="23 Sun"/>
    <x v="2"/>
    <x v="0"/>
    <s v="CUST-1249"/>
    <s v="Kabir Sharma"/>
    <x v="0"/>
    <x v="0"/>
    <x v="1"/>
    <n v="1"/>
    <n v="199"/>
    <n v="199"/>
    <x v="3"/>
    <n v="39.799999999999997"/>
    <n v="159.19999999999999"/>
    <x v="1"/>
    <x v="0"/>
  </r>
  <r>
    <x v="508"/>
    <s v="23 Sun"/>
    <x v="2"/>
    <x v="0"/>
    <s v="CUST-1183"/>
    <s v="Arjun Mehta"/>
    <x v="4"/>
    <x v="1"/>
    <x v="2"/>
    <n v="1"/>
    <n v="599"/>
    <n v="599"/>
    <x v="0"/>
    <n v="0"/>
    <n v="599"/>
    <x v="3"/>
    <x v="0"/>
  </r>
  <r>
    <x v="509"/>
    <s v="23 Sun"/>
    <x v="2"/>
    <x v="0"/>
    <s v="CUST-1250"/>
    <s v="Shreya Saxena"/>
    <x v="1"/>
    <x v="4"/>
    <x v="7"/>
    <n v="1"/>
    <n v="1999"/>
    <n v="1999"/>
    <x v="0"/>
    <n v="0"/>
    <n v="1999"/>
    <x v="0"/>
    <x v="0"/>
  </r>
  <r>
    <x v="510"/>
    <s v="23 Sun"/>
    <x v="2"/>
    <x v="0"/>
    <s v="CUST-1055"/>
    <s v="Rohan Saxena"/>
    <x v="0"/>
    <x v="1"/>
    <x v="2"/>
    <n v="5"/>
    <n v="599"/>
    <n v="2995"/>
    <x v="2"/>
    <n v="149.75"/>
    <n v="2845.25"/>
    <x v="0"/>
    <x v="0"/>
  </r>
  <r>
    <x v="511"/>
    <s v="23 Sun"/>
    <x v="2"/>
    <x v="0"/>
    <s v="CUST-1346"/>
    <s v="Vivaan Gupta"/>
    <x v="1"/>
    <x v="3"/>
    <x v="5"/>
    <n v="3"/>
    <n v="1299"/>
    <n v="3897"/>
    <x v="0"/>
    <n v="0"/>
    <n v="3897"/>
    <x v="2"/>
    <x v="1"/>
  </r>
  <r>
    <x v="512"/>
    <s v="23 Sun"/>
    <x v="2"/>
    <x v="0"/>
    <s v="CUST-1013"/>
    <s v="Divya Joshi"/>
    <x v="2"/>
    <x v="0"/>
    <x v="0"/>
    <n v="1"/>
    <n v="99"/>
    <n v="99"/>
    <x v="3"/>
    <n v="19.8"/>
    <n v="79.2"/>
    <x v="3"/>
    <x v="0"/>
  </r>
  <r>
    <x v="513"/>
    <s v="24 Mon"/>
    <x v="2"/>
    <x v="0"/>
    <s v="CUST-1206"/>
    <s v="Aditya Gupta"/>
    <x v="2"/>
    <x v="0"/>
    <x v="1"/>
    <n v="1"/>
    <n v="199"/>
    <n v="199"/>
    <x v="1"/>
    <n v="29.85"/>
    <n v="169.15"/>
    <x v="2"/>
    <x v="0"/>
  </r>
  <r>
    <x v="514"/>
    <s v="24 Mon"/>
    <x v="2"/>
    <x v="0"/>
    <s v="CUST-1353"/>
    <s v="Vivaan Gupta"/>
    <x v="2"/>
    <x v="1"/>
    <x v="4"/>
    <n v="2"/>
    <n v="2999"/>
    <n v="5998"/>
    <x v="3"/>
    <n v="1199.5999999999999"/>
    <n v="4798.3999999999996"/>
    <x v="2"/>
    <x v="0"/>
  </r>
  <r>
    <x v="515"/>
    <s v="25 Tue"/>
    <x v="2"/>
    <x v="0"/>
    <s v="CUST-1278"/>
    <s v="Meera Verma"/>
    <x v="0"/>
    <x v="6"/>
    <x v="13"/>
    <n v="2"/>
    <n v="699"/>
    <n v="1398"/>
    <x v="0"/>
    <n v="0"/>
    <n v="1398"/>
    <x v="0"/>
    <x v="0"/>
  </r>
  <r>
    <x v="516"/>
    <s v="25 Tue"/>
    <x v="2"/>
    <x v="0"/>
    <s v="CUST-1066"/>
    <s v="Kunal Verma"/>
    <x v="4"/>
    <x v="2"/>
    <x v="15"/>
    <n v="3"/>
    <n v="299"/>
    <n v="897"/>
    <x v="1"/>
    <n v="134.55000000000001"/>
    <n v="762.45"/>
    <x v="2"/>
    <x v="1"/>
  </r>
  <r>
    <x v="517"/>
    <s v="25 Tue"/>
    <x v="2"/>
    <x v="0"/>
    <s v="CUST-1113"/>
    <s v="Swati Saxena"/>
    <x v="1"/>
    <x v="0"/>
    <x v="1"/>
    <n v="2"/>
    <n v="199"/>
    <n v="398"/>
    <x v="1"/>
    <n v="59.7"/>
    <n v="338.3"/>
    <x v="0"/>
    <x v="0"/>
  </r>
  <r>
    <x v="518"/>
    <s v="25 Tue"/>
    <x v="2"/>
    <x v="0"/>
    <s v="CUST-1367"/>
    <s v="Aman Saxena"/>
    <x v="1"/>
    <x v="2"/>
    <x v="3"/>
    <n v="4"/>
    <n v="249"/>
    <n v="996"/>
    <x v="0"/>
    <n v="0"/>
    <n v="996"/>
    <x v="3"/>
    <x v="0"/>
  </r>
  <r>
    <x v="519"/>
    <s v="26 Wed"/>
    <x v="2"/>
    <x v="0"/>
    <s v="CUST-1031"/>
    <s v="Kabir Malhotra"/>
    <x v="0"/>
    <x v="1"/>
    <x v="14"/>
    <n v="1"/>
    <n v="1799"/>
    <n v="1799"/>
    <x v="0"/>
    <n v="0"/>
    <n v="1799"/>
    <x v="3"/>
    <x v="1"/>
  </r>
  <r>
    <x v="520"/>
    <s v="26 Wed"/>
    <x v="2"/>
    <x v="0"/>
    <s v="CUST-1371"/>
    <s v="Rahul Verma"/>
    <x v="0"/>
    <x v="6"/>
    <x v="12"/>
    <n v="1"/>
    <n v="1499"/>
    <n v="1499"/>
    <x v="0"/>
    <n v="0"/>
    <n v="1499"/>
    <x v="4"/>
    <x v="1"/>
  </r>
  <r>
    <x v="521"/>
    <s v="26 Wed"/>
    <x v="2"/>
    <x v="0"/>
    <s v="CUST-1268"/>
    <s v="Aman Verma"/>
    <x v="1"/>
    <x v="1"/>
    <x v="4"/>
    <n v="1"/>
    <n v="2999"/>
    <n v="2999"/>
    <x v="3"/>
    <n v="599.79999999999995"/>
    <n v="2399.1999999999998"/>
    <x v="1"/>
    <x v="1"/>
  </r>
  <r>
    <x v="522"/>
    <s v="27 Thu"/>
    <x v="2"/>
    <x v="0"/>
    <s v="CUST-1077"/>
    <s v="Tanya Mehta"/>
    <x v="4"/>
    <x v="5"/>
    <x v="8"/>
    <n v="1"/>
    <n v="349"/>
    <n v="349"/>
    <x v="4"/>
    <n v="34.9"/>
    <n v="314.10000000000002"/>
    <x v="0"/>
    <x v="0"/>
  </r>
  <r>
    <x v="523"/>
    <s v="27 Thu"/>
    <x v="2"/>
    <x v="0"/>
    <s v="CUST-1160"/>
    <s v="Komal Singh"/>
    <x v="4"/>
    <x v="3"/>
    <x v="5"/>
    <n v="1"/>
    <n v="1299"/>
    <n v="1299"/>
    <x v="0"/>
    <n v="0"/>
    <n v="1299"/>
    <x v="2"/>
    <x v="1"/>
  </r>
  <r>
    <x v="524"/>
    <s v="27 Thu"/>
    <x v="2"/>
    <x v="0"/>
    <s v="CUST-1065"/>
    <s v="Vivaan Patel"/>
    <x v="0"/>
    <x v="4"/>
    <x v="11"/>
    <n v="1"/>
    <n v="499"/>
    <n v="499"/>
    <x v="0"/>
    <n v="0"/>
    <n v="499"/>
    <x v="3"/>
    <x v="0"/>
  </r>
  <r>
    <x v="525"/>
    <s v="27 Thu"/>
    <x v="2"/>
    <x v="0"/>
    <s v="CUST-1229"/>
    <s v="Vivaan Singh"/>
    <x v="2"/>
    <x v="5"/>
    <x v="9"/>
    <n v="1"/>
    <n v="549"/>
    <n v="549"/>
    <x v="0"/>
    <n v="0"/>
    <n v="549"/>
    <x v="3"/>
    <x v="1"/>
  </r>
  <r>
    <x v="526"/>
    <s v="28 Fri"/>
    <x v="2"/>
    <x v="0"/>
    <s v="CUST-1303"/>
    <s v="Sakshi Sharma"/>
    <x v="3"/>
    <x v="5"/>
    <x v="8"/>
    <n v="2"/>
    <n v="349"/>
    <n v="698"/>
    <x v="3"/>
    <n v="139.6"/>
    <n v="558.4"/>
    <x v="3"/>
    <x v="0"/>
  </r>
  <r>
    <x v="527"/>
    <s v="28 Fri"/>
    <x v="2"/>
    <x v="0"/>
    <s v="CUST-1031"/>
    <s v="Kabir Malhotra"/>
    <x v="3"/>
    <x v="5"/>
    <x v="8"/>
    <n v="1"/>
    <n v="349"/>
    <n v="349"/>
    <x v="2"/>
    <n v="17.45"/>
    <n v="331.55"/>
    <x v="0"/>
    <x v="0"/>
  </r>
  <r>
    <x v="528"/>
    <s v="28 Fri"/>
    <x v="2"/>
    <x v="0"/>
    <s v="CUST-1090"/>
    <s v="Aarav Joshi"/>
    <x v="0"/>
    <x v="5"/>
    <x v="9"/>
    <n v="1"/>
    <n v="549"/>
    <n v="549"/>
    <x v="3"/>
    <n v="109.8"/>
    <n v="439.2"/>
    <x v="0"/>
    <x v="0"/>
  </r>
  <r>
    <x v="529"/>
    <s v="28 Fri"/>
    <x v="2"/>
    <x v="0"/>
    <s v="CUST-1056"/>
    <s v="Aarav Kapoor"/>
    <x v="0"/>
    <x v="2"/>
    <x v="15"/>
    <n v="3"/>
    <n v="299"/>
    <n v="897"/>
    <x v="3"/>
    <n v="179.4"/>
    <n v="717.6"/>
    <x v="1"/>
    <x v="0"/>
  </r>
  <r>
    <x v="530"/>
    <s v="28 Fri"/>
    <x v="2"/>
    <x v="0"/>
    <s v="CUST-1090"/>
    <s v="Aarav Joshi"/>
    <x v="1"/>
    <x v="4"/>
    <x v="11"/>
    <n v="1"/>
    <n v="499"/>
    <n v="499"/>
    <x v="3"/>
    <n v="99.8"/>
    <n v="399.2"/>
    <x v="1"/>
    <x v="0"/>
  </r>
  <r>
    <x v="531"/>
    <s v="28 Fri"/>
    <x v="2"/>
    <x v="0"/>
    <s v="CUST-1261"/>
    <s v="Shreya Patel"/>
    <x v="4"/>
    <x v="3"/>
    <x v="6"/>
    <n v="4"/>
    <n v="799"/>
    <n v="3196"/>
    <x v="3"/>
    <n v="639.20000000000005"/>
    <n v="2556.8000000000002"/>
    <x v="2"/>
    <x v="0"/>
  </r>
  <r>
    <x v="532"/>
    <s v="28 Fri"/>
    <x v="2"/>
    <x v="0"/>
    <s v="CUST-1046"/>
    <s v="Rohan Kapoor"/>
    <x v="0"/>
    <x v="1"/>
    <x v="2"/>
    <n v="3"/>
    <n v="599"/>
    <n v="1797"/>
    <x v="0"/>
    <n v="0"/>
    <n v="1797"/>
    <x v="2"/>
    <x v="0"/>
  </r>
  <r>
    <x v="533"/>
    <s v="28 Fri"/>
    <x v="2"/>
    <x v="0"/>
    <s v="CUST-1059"/>
    <s v="Kunal Verma"/>
    <x v="2"/>
    <x v="5"/>
    <x v="9"/>
    <n v="3"/>
    <n v="549"/>
    <n v="1647"/>
    <x v="0"/>
    <n v="0"/>
    <n v="1647"/>
    <x v="2"/>
    <x v="1"/>
  </r>
  <r>
    <x v="534"/>
    <s v="28 Fri"/>
    <x v="2"/>
    <x v="0"/>
    <s v="CUST-1330"/>
    <s v="Nandini Gupta"/>
    <x v="3"/>
    <x v="1"/>
    <x v="14"/>
    <n v="1"/>
    <n v="1799"/>
    <n v="1799"/>
    <x v="1"/>
    <n v="269.85000000000002"/>
    <n v="1529.15"/>
    <x v="1"/>
    <x v="0"/>
  </r>
  <r>
    <x v="535"/>
    <s v="28 Fri"/>
    <x v="2"/>
    <x v="0"/>
    <s v="CUST-1217"/>
    <s v="Ankit Patel"/>
    <x v="2"/>
    <x v="2"/>
    <x v="3"/>
    <n v="1"/>
    <n v="249"/>
    <n v="249"/>
    <x v="0"/>
    <n v="0"/>
    <n v="249"/>
    <x v="2"/>
    <x v="0"/>
  </r>
  <r>
    <x v="536"/>
    <s v="29 Sat"/>
    <x v="2"/>
    <x v="0"/>
    <s v="CUST-1224"/>
    <s v="Swati Verma"/>
    <x v="1"/>
    <x v="2"/>
    <x v="15"/>
    <n v="3"/>
    <n v="299"/>
    <n v="897"/>
    <x v="0"/>
    <n v="0"/>
    <n v="897"/>
    <x v="0"/>
    <x v="0"/>
  </r>
  <r>
    <x v="537"/>
    <s v="29 Sat"/>
    <x v="2"/>
    <x v="0"/>
    <s v="CUST-1143"/>
    <s v="Muskan Saxena"/>
    <x v="1"/>
    <x v="2"/>
    <x v="3"/>
    <n v="1"/>
    <n v="249"/>
    <n v="249"/>
    <x v="2"/>
    <n v="12.45"/>
    <n v="236.55"/>
    <x v="2"/>
    <x v="0"/>
  </r>
  <r>
    <x v="538"/>
    <s v="29 Sat"/>
    <x v="2"/>
    <x v="0"/>
    <s v="CUST-1179"/>
    <s v="Nandini Saxena"/>
    <x v="0"/>
    <x v="1"/>
    <x v="4"/>
    <n v="1"/>
    <n v="2999"/>
    <n v="2999"/>
    <x v="0"/>
    <n v="0"/>
    <n v="2999"/>
    <x v="3"/>
    <x v="1"/>
  </r>
  <r>
    <x v="539"/>
    <s v="29 Sat"/>
    <x v="2"/>
    <x v="0"/>
    <s v="CUST-1396"/>
    <s v="Shreya Patel"/>
    <x v="1"/>
    <x v="5"/>
    <x v="8"/>
    <n v="2"/>
    <n v="349"/>
    <n v="698"/>
    <x v="3"/>
    <n v="139.6"/>
    <n v="558.4"/>
    <x v="1"/>
    <x v="1"/>
  </r>
  <r>
    <x v="540"/>
    <s v="29 Sat"/>
    <x v="2"/>
    <x v="0"/>
    <s v="CUST-1166"/>
    <s v="Divya Mehta"/>
    <x v="3"/>
    <x v="6"/>
    <x v="13"/>
    <n v="3"/>
    <n v="699"/>
    <n v="2097"/>
    <x v="4"/>
    <n v="209.7"/>
    <n v="1887.3"/>
    <x v="3"/>
    <x v="0"/>
  </r>
  <r>
    <x v="541"/>
    <s v="29 Sat"/>
    <x v="2"/>
    <x v="0"/>
    <s v="CUST-1378"/>
    <s v="Rahul Mehta"/>
    <x v="2"/>
    <x v="1"/>
    <x v="2"/>
    <n v="1"/>
    <n v="599"/>
    <n v="599"/>
    <x v="3"/>
    <n v="119.8"/>
    <n v="479.2"/>
    <x v="0"/>
    <x v="0"/>
  </r>
  <r>
    <x v="542"/>
    <s v="29 Sat"/>
    <x v="2"/>
    <x v="0"/>
    <s v="CUST-1020"/>
    <s v="Rohan Malhotra"/>
    <x v="0"/>
    <x v="1"/>
    <x v="4"/>
    <n v="3"/>
    <n v="2999"/>
    <n v="8997"/>
    <x v="0"/>
    <n v="0"/>
    <n v="8997"/>
    <x v="2"/>
    <x v="1"/>
  </r>
  <r>
    <x v="543"/>
    <s v="30 Sun"/>
    <x v="2"/>
    <x v="0"/>
    <s v="CUST-1347"/>
    <s v="Ankit Joshi"/>
    <x v="2"/>
    <x v="1"/>
    <x v="14"/>
    <n v="1"/>
    <n v="1799"/>
    <n v="1799"/>
    <x v="2"/>
    <n v="89.95"/>
    <n v="1709.05"/>
    <x v="4"/>
    <x v="0"/>
  </r>
  <r>
    <x v="544"/>
    <s v="30 Sun"/>
    <x v="2"/>
    <x v="0"/>
    <s v="CUST-1051"/>
    <s v="Rohan Patel"/>
    <x v="4"/>
    <x v="1"/>
    <x v="14"/>
    <n v="1"/>
    <n v="1799"/>
    <n v="1799"/>
    <x v="0"/>
    <n v="0"/>
    <n v="1799"/>
    <x v="3"/>
    <x v="1"/>
  </r>
  <r>
    <x v="545"/>
    <s v="30 Sun"/>
    <x v="2"/>
    <x v="0"/>
    <s v="CUST-1076"/>
    <s v="Tanya Saxena"/>
    <x v="0"/>
    <x v="0"/>
    <x v="1"/>
    <n v="3"/>
    <n v="199"/>
    <n v="597"/>
    <x v="1"/>
    <n v="89.55"/>
    <n v="507.45"/>
    <x v="2"/>
    <x v="1"/>
  </r>
  <r>
    <x v="546"/>
    <s v="30 Sun"/>
    <x v="2"/>
    <x v="0"/>
    <s v="CUST-1054"/>
    <s v="Kunal Patel"/>
    <x v="1"/>
    <x v="6"/>
    <x v="12"/>
    <n v="1"/>
    <n v="1499"/>
    <n v="1499"/>
    <x v="4"/>
    <n v="149.9"/>
    <n v="1349.1"/>
    <x v="1"/>
    <x v="0"/>
  </r>
  <r>
    <x v="547"/>
    <s v="30 Sun"/>
    <x v="2"/>
    <x v="0"/>
    <s v="CUST-1118"/>
    <s v="Sakshi Malhotra"/>
    <x v="4"/>
    <x v="4"/>
    <x v="7"/>
    <n v="1"/>
    <n v="1999"/>
    <n v="1999"/>
    <x v="0"/>
    <n v="0"/>
    <n v="1999"/>
    <x v="0"/>
    <x v="1"/>
  </r>
  <r>
    <x v="548"/>
    <s v="30 Sun"/>
    <x v="2"/>
    <x v="0"/>
    <s v="CUST-1052"/>
    <s v="Meera Verma"/>
    <x v="3"/>
    <x v="1"/>
    <x v="2"/>
    <n v="2"/>
    <n v="599"/>
    <n v="1198"/>
    <x v="2"/>
    <n v="59.9"/>
    <n v="1138.0999999999999"/>
    <x v="2"/>
    <x v="1"/>
  </r>
  <r>
    <x v="549"/>
    <s v="30 Sun"/>
    <x v="2"/>
    <x v="0"/>
    <s v="CUST-1127"/>
    <s v="Muskan Joshi"/>
    <x v="1"/>
    <x v="1"/>
    <x v="4"/>
    <n v="3"/>
    <n v="2999"/>
    <n v="8997"/>
    <x v="4"/>
    <n v="899.7"/>
    <n v="8097.3"/>
    <x v="1"/>
    <x v="0"/>
  </r>
  <r>
    <x v="550"/>
    <s v="31 Mon"/>
    <x v="2"/>
    <x v="0"/>
    <s v="CUST-1076"/>
    <s v="Tanya Saxena"/>
    <x v="2"/>
    <x v="2"/>
    <x v="3"/>
    <n v="1"/>
    <n v="249"/>
    <n v="249"/>
    <x v="0"/>
    <n v="0"/>
    <n v="249"/>
    <x v="2"/>
    <x v="1"/>
  </r>
  <r>
    <x v="551"/>
    <s v="31 Mon"/>
    <x v="2"/>
    <x v="0"/>
    <s v="CUST-1036"/>
    <s v="Nandini Mehta"/>
    <x v="0"/>
    <x v="6"/>
    <x v="13"/>
    <n v="4"/>
    <n v="699"/>
    <n v="2796"/>
    <x v="0"/>
    <n v="0"/>
    <n v="2796"/>
    <x v="2"/>
    <x v="0"/>
  </r>
  <r>
    <x v="552"/>
    <s v="31 Mon"/>
    <x v="2"/>
    <x v="0"/>
    <s v="CUST-1056"/>
    <s v="Aarav Kapoor"/>
    <x v="2"/>
    <x v="0"/>
    <x v="0"/>
    <n v="5"/>
    <n v="99"/>
    <n v="495"/>
    <x v="0"/>
    <n v="0"/>
    <n v="495"/>
    <x v="4"/>
    <x v="0"/>
  </r>
  <r>
    <x v="553"/>
    <s v="31 Mon"/>
    <x v="2"/>
    <x v="0"/>
    <s v="CUST-1208"/>
    <s v="Arjun Singh"/>
    <x v="0"/>
    <x v="3"/>
    <x v="6"/>
    <n v="1"/>
    <n v="799"/>
    <n v="799"/>
    <x v="0"/>
    <n v="0"/>
    <n v="799"/>
    <x v="0"/>
    <x v="0"/>
  </r>
  <r>
    <x v="554"/>
    <s v="31 Mon"/>
    <x v="2"/>
    <x v="0"/>
    <s v="CUST-1396"/>
    <s v="Shreya Patel"/>
    <x v="4"/>
    <x v="2"/>
    <x v="3"/>
    <n v="1"/>
    <n v="249"/>
    <n v="249"/>
    <x v="0"/>
    <n v="0"/>
    <n v="249"/>
    <x v="0"/>
    <x v="0"/>
  </r>
  <r>
    <x v="555"/>
    <s v="31 Mon"/>
    <x v="2"/>
    <x v="0"/>
    <s v="CUST-1312"/>
    <s v="Sakshi Saxena"/>
    <x v="1"/>
    <x v="6"/>
    <x v="13"/>
    <n v="1"/>
    <n v="699"/>
    <n v="699"/>
    <x v="4"/>
    <n v="69.900000000000006"/>
    <n v="629.1"/>
    <x v="0"/>
    <x v="0"/>
  </r>
  <r>
    <x v="556"/>
    <s v="31 Mon"/>
    <x v="2"/>
    <x v="0"/>
    <s v="CUST-1306"/>
    <s v="Sakshi Malhotra"/>
    <x v="4"/>
    <x v="1"/>
    <x v="14"/>
    <n v="5"/>
    <n v="1799"/>
    <n v="8995"/>
    <x v="3"/>
    <n v="1799"/>
    <n v="7196"/>
    <x v="3"/>
    <x v="0"/>
  </r>
  <r>
    <x v="557"/>
    <s v="31 Mon"/>
    <x v="2"/>
    <x v="0"/>
    <s v="CUST-1257"/>
    <s v="Shreya Saxena"/>
    <x v="1"/>
    <x v="4"/>
    <x v="11"/>
    <n v="1"/>
    <n v="499"/>
    <n v="499"/>
    <x v="0"/>
    <n v="0"/>
    <n v="499"/>
    <x v="2"/>
    <x v="0"/>
  </r>
  <r>
    <x v="558"/>
    <s v="31 Mon"/>
    <x v="2"/>
    <x v="0"/>
    <s v="CUST-1041"/>
    <s v="Divya Malhotra"/>
    <x v="3"/>
    <x v="0"/>
    <x v="1"/>
    <n v="3"/>
    <n v="199"/>
    <n v="597"/>
    <x v="2"/>
    <n v="29.85"/>
    <n v="567.15"/>
    <x v="3"/>
    <x v="1"/>
  </r>
  <r>
    <x v="559"/>
    <s v="1 Tue"/>
    <x v="3"/>
    <x v="0"/>
    <s v="CUST-1249"/>
    <s v="Kabir Sharma"/>
    <x v="1"/>
    <x v="2"/>
    <x v="15"/>
    <n v="1"/>
    <n v="299"/>
    <n v="299"/>
    <x v="3"/>
    <n v="59.8"/>
    <n v="239.2"/>
    <x v="4"/>
    <x v="1"/>
  </r>
  <r>
    <x v="560"/>
    <s v="1 Tue"/>
    <x v="3"/>
    <x v="0"/>
    <s v="CUST-1108"/>
    <s v="Kunal Patel"/>
    <x v="0"/>
    <x v="3"/>
    <x v="5"/>
    <n v="3"/>
    <n v="1299"/>
    <n v="3897"/>
    <x v="3"/>
    <n v="779.4"/>
    <n v="3117.6"/>
    <x v="3"/>
    <x v="0"/>
  </r>
  <r>
    <x v="561"/>
    <s v="1 Tue"/>
    <x v="3"/>
    <x v="0"/>
    <s v="CUST-1361"/>
    <s v="Vivaan Kapoor"/>
    <x v="4"/>
    <x v="1"/>
    <x v="2"/>
    <n v="1"/>
    <n v="599"/>
    <n v="599"/>
    <x v="0"/>
    <n v="0"/>
    <n v="599"/>
    <x v="1"/>
    <x v="0"/>
  </r>
  <r>
    <x v="562"/>
    <s v="1 Tue"/>
    <x v="3"/>
    <x v="0"/>
    <s v="CUST-1230"/>
    <s v="Divya Malhotra"/>
    <x v="2"/>
    <x v="2"/>
    <x v="3"/>
    <n v="1"/>
    <n v="249"/>
    <n v="249"/>
    <x v="4"/>
    <n v="24.9"/>
    <n v="224.1"/>
    <x v="0"/>
    <x v="0"/>
  </r>
  <r>
    <x v="563"/>
    <s v="1 Tue"/>
    <x v="3"/>
    <x v="0"/>
    <s v="CUST-1087"/>
    <s v="Kabir Verma"/>
    <x v="3"/>
    <x v="1"/>
    <x v="14"/>
    <n v="2"/>
    <n v="1799"/>
    <n v="3598"/>
    <x v="0"/>
    <n v="0"/>
    <n v="3598"/>
    <x v="2"/>
    <x v="0"/>
  </r>
  <r>
    <x v="564"/>
    <s v="2 Wed"/>
    <x v="3"/>
    <x v="0"/>
    <s v="CUST-1064"/>
    <s v="Ankit Mehta"/>
    <x v="2"/>
    <x v="3"/>
    <x v="6"/>
    <n v="1"/>
    <n v="799"/>
    <n v="799"/>
    <x v="0"/>
    <n v="0"/>
    <n v="799"/>
    <x v="1"/>
    <x v="0"/>
  </r>
  <r>
    <x v="565"/>
    <s v="2 Wed"/>
    <x v="3"/>
    <x v="0"/>
    <s v="CUST-1354"/>
    <s v="Aman Saxena"/>
    <x v="3"/>
    <x v="0"/>
    <x v="1"/>
    <n v="2"/>
    <n v="199"/>
    <n v="398"/>
    <x v="3"/>
    <n v="79.599999999999994"/>
    <n v="318.39999999999998"/>
    <x v="0"/>
    <x v="0"/>
  </r>
  <r>
    <x v="566"/>
    <s v="2 Wed"/>
    <x v="3"/>
    <x v="0"/>
    <s v="CUST-1268"/>
    <s v="Aman Verma"/>
    <x v="1"/>
    <x v="1"/>
    <x v="2"/>
    <n v="1"/>
    <n v="599"/>
    <n v="599"/>
    <x v="1"/>
    <n v="89.85"/>
    <n v="509.15"/>
    <x v="2"/>
    <x v="0"/>
  </r>
  <r>
    <x v="567"/>
    <s v="2 Wed"/>
    <x v="3"/>
    <x v="0"/>
    <s v="CUST-1118"/>
    <s v="Sakshi Malhotra"/>
    <x v="0"/>
    <x v="3"/>
    <x v="6"/>
    <n v="1"/>
    <n v="799"/>
    <n v="799"/>
    <x v="4"/>
    <n v="79.900000000000006"/>
    <n v="719.1"/>
    <x v="1"/>
    <x v="0"/>
  </r>
  <r>
    <x v="568"/>
    <s v="2 Wed"/>
    <x v="3"/>
    <x v="0"/>
    <s v="CUST-1309"/>
    <s v="Meera Verma"/>
    <x v="1"/>
    <x v="1"/>
    <x v="2"/>
    <n v="3"/>
    <n v="599"/>
    <n v="1797"/>
    <x v="1"/>
    <n v="269.55"/>
    <n v="1527.45"/>
    <x v="3"/>
    <x v="0"/>
  </r>
  <r>
    <x v="569"/>
    <s v="2 Wed"/>
    <x v="3"/>
    <x v="0"/>
    <s v="CUST-1053"/>
    <s v="Vivaan Malhotra"/>
    <x v="0"/>
    <x v="4"/>
    <x v="11"/>
    <n v="1"/>
    <n v="499"/>
    <n v="499"/>
    <x v="0"/>
    <n v="0"/>
    <n v="499"/>
    <x v="3"/>
    <x v="1"/>
  </r>
  <r>
    <x v="570"/>
    <s v="2 Wed"/>
    <x v="3"/>
    <x v="0"/>
    <s v="CUST-1094"/>
    <s v="Swati Kapoor"/>
    <x v="2"/>
    <x v="1"/>
    <x v="14"/>
    <n v="1"/>
    <n v="1799"/>
    <n v="1799"/>
    <x v="1"/>
    <n v="269.85000000000002"/>
    <n v="1529.15"/>
    <x v="1"/>
    <x v="0"/>
  </r>
  <r>
    <x v="571"/>
    <s v="3 Thu"/>
    <x v="3"/>
    <x v="0"/>
    <s v="CUST-1082"/>
    <s v="Aarav Mehta"/>
    <x v="0"/>
    <x v="5"/>
    <x v="9"/>
    <n v="2"/>
    <n v="549"/>
    <n v="1098"/>
    <x v="0"/>
    <n v="0"/>
    <n v="1098"/>
    <x v="2"/>
    <x v="0"/>
  </r>
  <r>
    <x v="572"/>
    <s v="3 Thu"/>
    <x v="3"/>
    <x v="0"/>
    <s v="CUST-1369"/>
    <s v="Rohan Sharma"/>
    <x v="4"/>
    <x v="6"/>
    <x v="13"/>
    <n v="1"/>
    <n v="699"/>
    <n v="699"/>
    <x v="0"/>
    <n v="0"/>
    <n v="699"/>
    <x v="1"/>
    <x v="0"/>
  </r>
  <r>
    <x v="573"/>
    <s v="3 Thu"/>
    <x v="3"/>
    <x v="0"/>
    <s v="CUST-1141"/>
    <s v="Tanya Kapoor"/>
    <x v="0"/>
    <x v="1"/>
    <x v="4"/>
    <n v="1"/>
    <n v="2999"/>
    <n v="2999"/>
    <x v="1"/>
    <n v="449.85"/>
    <n v="2549.15"/>
    <x v="1"/>
    <x v="0"/>
  </r>
  <r>
    <x v="574"/>
    <s v="3 Thu"/>
    <x v="3"/>
    <x v="0"/>
    <s v="CUST-1152"/>
    <s v="Kabir Gupta"/>
    <x v="1"/>
    <x v="0"/>
    <x v="1"/>
    <n v="1"/>
    <n v="199"/>
    <n v="199"/>
    <x v="0"/>
    <n v="0"/>
    <n v="199"/>
    <x v="1"/>
    <x v="1"/>
  </r>
  <r>
    <x v="575"/>
    <s v="3 Thu"/>
    <x v="3"/>
    <x v="0"/>
    <s v="CUST-1335"/>
    <s v="Divya Saxena"/>
    <x v="0"/>
    <x v="6"/>
    <x v="12"/>
    <n v="1"/>
    <n v="1499"/>
    <n v="1499"/>
    <x v="0"/>
    <n v="0"/>
    <n v="1499"/>
    <x v="1"/>
    <x v="0"/>
  </r>
  <r>
    <x v="576"/>
    <s v="3 Thu"/>
    <x v="3"/>
    <x v="0"/>
    <s v="CUST-1085"/>
    <s v="Shreya Mehta"/>
    <x v="2"/>
    <x v="6"/>
    <x v="12"/>
    <n v="1"/>
    <n v="1499"/>
    <n v="1499"/>
    <x v="3"/>
    <n v="299.8"/>
    <n v="1199.2"/>
    <x v="1"/>
    <x v="0"/>
  </r>
  <r>
    <x v="577"/>
    <s v="3 Thu"/>
    <x v="3"/>
    <x v="0"/>
    <s v="CUST-1005"/>
    <s v="Rohan Malhotra"/>
    <x v="1"/>
    <x v="4"/>
    <x v="11"/>
    <n v="1"/>
    <n v="499"/>
    <n v="499"/>
    <x v="3"/>
    <n v="99.8"/>
    <n v="399.2"/>
    <x v="2"/>
    <x v="1"/>
  </r>
  <r>
    <x v="578"/>
    <s v="3 Thu"/>
    <x v="3"/>
    <x v="0"/>
    <s v="CUST-1188"/>
    <s v="Shreya Malhotra"/>
    <x v="4"/>
    <x v="1"/>
    <x v="4"/>
    <n v="1"/>
    <n v="2999"/>
    <n v="2999"/>
    <x v="1"/>
    <n v="449.85"/>
    <n v="2549.15"/>
    <x v="0"/>
    <x v="0"/>
  </r>
  <r>
    <x v="579"/>
    <s v="3 Thu"/>
    <x v="3"/>
    <x v="0"/>
    <s v="CUST-1025"/>
    <s v="Aditya Singh"/>
    <x v="0"/>
    <x v="2"/>
    <x v="15"/>
    <n v="4"/>
    <n v="299"/>
    <n v="1196"/>
    <x v="0"/>
    <n v="0"/>
    <n v="1196"/>
    <x v="4"/>
    <x v="1"/>
  </r>
  <r>
    <x v="580"/>
    <s v="3 Thu"/>
    <x v="3"/>
    <x v="0"/>
    <s v="CUST-1336"/>
    <s v="Arjun Singh"/>
    <x v="2"/>
    <x v="3"/>
    <x v="5"/>
    <n v="2"/>
    <n v="1299"/>
    <n v="2598"/>
    <x v="3"/>
    <n v="519.6"/>
    <n v="2078.4"/>
    <x v="1"/>
    <x v="0"/>
  </r>
  <r>
    <x v="581"/>
    <s v="3 Thu"/>
    <x v="3"/>
    <x v="0"/>
    <s v="CUST-1350"/>
    <s v="Isha Kapoor"/>
    <x v="2"/>
    <x v="4"/>
    <x v="11"/>
    <n v="1"/>
    <n v="499"/>
    <n v="499"/>
    <x v="1"/>
    <n v="74.849999999999994"/>
    <n v="424.15"/>
    <x v="3"/>
    <x v="0"/>
  </r>
  <r>
    <x v="582"/>
    <s v="4 Fri"/>
    <x v="3"/>
    <x v="0"/>
    <s v="CUST-1167"/>
    <s v="Nandini Verma"/>
    <x v="1"/>
    <x v="0"/>
    <x v="0"/>
    <n v="2"/>
    <n v="99"/>
    <n v="198"/>
    <x v="0"/>
    <n v="0"/>
    <n v="198"/>
    <x v="2"/>
    <x v="1"/>
  </r>
  <r>
    <x v="583"/>
    <s v="4 Fri"/>
    <x v="3"/>
    <x v="0"/>
    <s v="CUST-1045"/>
    <s v="Arjun Verma"/>
    <x v="0"/>
    <x v="1"/>
    <x v="14"/>
    <n v="1"/>
    <n v="1799"/>
    <n v="1799"/>
    <x v="0"/>
    <n v="0"/>
    <n v="1799"/>
    <x v="4"/>
    <x v="1"/>
  </r>
  <r>
    <x v="584"/>
    <s v="4 Fri"/>
    <x v="3"/>
    <x v="0"/>
    <s v="CUST-1027"/>
    <s v="Aditya Gupta"/>
    <x v="2"/>
    <x v="5"/>
    <x v="9"/>
    <n v="2"/>
    <n v="549"/>
    <n v="1098"/>
    <x v="0"/>
    <n v="0"/>
    <n v="1098"/>
    <x v="0"/>
    <x v="0"/>
  </r>
  <r>
    <x v="585"/>
    <s v="4 Fri"/>
    <x v="3"/>
    <x v="0"/>
    <s v="CUST-1052"/>
    <s v="Meera Verma"/>
    <x v="2"/>
    <x v="2"/>
    <x v="15"/>
    <n v="1"/>
    <n v="299"/>
    <n v="299"/>
    <x v="0"/>
    <n v="0"/>
    <n v="299"/>
    <x v="0"/>
    <x v="1"/>
  </r>
  <r>
    <x v="586"/>
    <s v="4 Fri"/>
    <x v="3"/>
    <x v="0"/>
    <s v="CUST-1116"/>
    <s v="Sakshi Mehta"/>
    <x v="4"/>
    <x v="1"/>
    <x v="2"/>
    <n v="4"/>
    <n v="599"/>
    <n v="2396"/>
    <x v="0"/>
    <n v="0"/>
    <n v="2396"/>
    <x v="4"/>
    <x v="0"/>
  </r>
  <r>
    <x v="587"/>
    <s v="4 Fri"/>
    <x v="3"/>
    <x v="0"/>
    <s v="CUST-1146"/>
    <s v="Tanya Patel"/>
    <x v="1"/>
    <x v="1"/>
    <x v="2"/>
    <n v="1"/>
    <n v="599"/>
    <n v="599"/>
    <x v="0"/>
    <n v="0"/>
    <n v="599"/>
    <x v="3"/>
    <x v="0"/>
  </r>
  <r>
    <x v="588"/>
    <s v="4 Fri"/>
    <x v="3"/>
    <x v="0"/>
    <s v="CUST-1150"/>
    <s v="Isha Singh"/>
    <x v="1"/>
    <x v="5"/>
    <x v="9"/>
    <n v="1"/>
    <n v="549"/>
    <n v="549"/>
    <x v="3"/>
    <n v="109.8"/>
    <n v="439.2"/>
    <x v="3"/>
    <x v="0"/>
  </r>
  <r>
    <x v="589"/>
    <s v="5 Sat"/>
    <x v="3"/>
    <x v="0"/>
    <s v="CUST-1342"/>
    <s v="Vivaan Saxena"/>
    <x v="2"/>
    <x v="3"/>
    <x v="5"/>
    <n v="4"/>
    <n v="1299"/>
    <n v="5196"/>
    <x v="0"/>
    <n v="0"/>
    <n v="5196"/>
    <x v="3"/>
    <x v="0"/>
  </r>
  <r>
    <x v="590"/>
    <s v="5 Sat"/>
    <x v="3"/>
    <x v="0"/>
    <s v="CUST-1347"/>
    <s v="Ankit Joshi"/>
    <x v="0"/>
    <x v="4"/>
    <x v="10"/>
    <n v="1"/>
    <n v="899"/>
    <n v="899"/>
    <x v="1"/>
    <n v="134.85"/>
    <n v="764.15"/>
    <x v="0"/>
    <x v="0"/>
  </r>
  <r>
    <x v="591"/>
    <s v="5 Sat"/>
    <x v="3"/>
    <x v="0"/>
    <s v="CUST-1131"/>
    <s v="Aarav Sharma"/>
    <x v="0"/>
    <x v="1"/>
    <x v="14"/>
    <n v="1"/>
    <n v="1799"/>
    <n v="1799"/>
    <x v="1"/>
    <n v="269.85000000000002"/>
    <n v="1529.15"/>
    <x v="2"/>
    <x v="0"/>
  </r>
  <r>
    <x v="592"/>
    <s v="5 Sat"/>
    <x v="3"/>
    <x v="0"/>
    <s v="CUST-1114"/>
    <s v="Vivaan Malhotra"/>
    <x v="3"/>
    <x v="4"/>
    <x v="11"/>
    <n v="4"/>
    <n v="499"/>
    <n v="1996"/>
    <x v="0"/>
    <n v="0"/>
    <n v="1996"/>
    <x v="0"/>
    <x v="1"/>
  </r>
  <r>
    <x v="593"/>
    <s v="5 Sat"/>
    <x v="3"/>
    <x v="0"/>
    <s v="CUST-1034"/>
    <s v="Sakshi Patel"/>
    <x v="4"/>
    <x v="3"/>
    <x v="5"/>
    <n v="5"/>
    <n v="1299"/>
    <n v="6495"/>
    <x v="2"/>
    <n v="324.75"/>
    <n v="6170.25"/>
    <x v="2"/>
    <x v="0"/>
  </r>
  <r>
    <x v="594"/>
    <s v="5 Sat"/>
    <x v="3"/>
    <x v="0"/>
    <s v="CUST-1256"/>
    <s v="Rohan Singh"/>
    <x v="3"/>
    <x v="0"/>
    <x v="1"/>
    <n v="1"/>
    <n v="199"/>
    <n v="199"/>
    <x v="4"/>
    <n v="19.899999999999999"/>
    <n v="179.1"/>
    <x v="0"/>
    <x v="0"/>
  </r>
  <r>
    <x v="595"/>
    <s v="5 Sat"/>
    <x v="3"/>
    <x v="0"/>
    <s v="CUST-1097"/>
    <s v="Rohan Verma"/>
    <x v="0"/>
    <x v="1"/>
    <x v="4"/>
    <n v="1"/>
    <n v="2999"/>
    <n v="2999"/>
    <x v="0"/>
    <n v="0"/>
    <n v="2999"/>
    <x v="1"/>
    <x v="0"/>
  </r>
  <r>
    <x v="596"/>
    <s v="5 Sat"/>
    <x v="3"/>
    <x v="0"/>
    <s v="CUST-1136"/>
    <s v="Kunal Patel"/>
    <x v="3"/>
    <x v="0"/>
    <x v="1"/>
    <n v="1"/>
    <n v="199"/>
    <n v="199"/>
    <x v="2"/>
    <n v="9.9499999999999993"/>
    <n v="189.05"/>
    <x v="0"/>
    <x v="0"/>
  </r>
  <r>
    <x v="597"/>
    <s v="5 Sat"/>
    <x v="3"/>
    <x v="0"/>
    <s v="CUST-1284"/>
    <s v="Arjun Kapoor"/>
    <x v="0"/>
    <x v="1"/>
    <x v="4"/>
    <n v="1"/>
    <n v="2999"/>
    <n v="2999"/>
    <x v="2"/>
    <n v="149.94999999999999"/>
    <n v="2849.05"/>
    <x v="1"/>
    <x v="0"/>
  </r>
  <r>
    <x v="598"/>
    <s v="5 Sat"/>
    <x v="3"/>
    <x v="0"/>
    <s v="CUST-1040"/>
    <s v="Aditya Malhotra"/>
    <x v="3"/>
    <x v="4"/>
    <x v="10"/>
    <n v="2"/>
    <n v="899"/>
    <n v="1798"/>
    <x v="1"/>
    <n v="269.7"/>
    <n v="1528.3"/>
    <x v="2"/>
    <x v="0"/>
  </r>
  <r>
    <x v="599"/>
    <s v="6 Sun"/>
    <x v="3"/>
    <x v="0"/>
    <s v="CUST-1150"/>
    <s v="Isha Singh"/>
    <x v="4"/>
    <x v="1"/>
    <x v="14"/>
    <n v="5"/>
    <n v="1799"/>
    <n v="8995"/>
    <x v="3"/>
    <n v="1799"/>
    <n v="7196"/>
    <x v="1"/>
    <x v="0"/>
  </r>
  <r>
    <x v="600"/>
    <s v="6 Sun"/>
    <x v="3"/>
    <x v="0"/>
    <s v="CUST-1255"/>
    <s v="Aman Gupta"/>
    <x v="3"/>
    <x v="6"/>
    <x v="12"/>
    <n v="3"/>
    <n v="1499"/>
    <n v="4497"/>
    <x v="0"/>
    <n v="0"/>
    <n v="4497"/>
    <x v="0"/>
    <x v="0"/>
  </r>
  <r>
    <x v="601"/>
    <s v="7 Mon"/>
    <x v="3"/>
    <x v="0"/>
    <s v="CUST-1270"/>
    <s v="Nandini Verma"/>
    <x v="0"/>
    <x v="6"/>
    <x v="13"/>
    <n v="1"/>
    <n v="699"/>
    <n v="699"/>
    <x v="3"/>
    <n v="139.80000000000001"/>
    <n v="559.20000000000005"/>
    <x v="2"/>
    <x v="1"/>
  </r>
  <r>
    <x v="602"/>
    <s v="7 Mon"/>
    <x v="3"/>
    <x v="0"/>
    <s v="CUST-1292"/>
    <s v="Aman Singh"/>
    <x v="3"/>
    <x v="4"/>
    <x v="11"/>
    <n v="1"/>
    <n v="499"/>
    <n v="499"/>
    <x v="0"/>
    <n v="0"/>
    <n v="499"/>
    <x v="4"/>
    <x v="0"/>
  </r>
  <r>
    <x v="603"/>
    <s v="7 Mon"/>
    <x v="3"/>
    <x v="0"/>
    <s v="CUST-1140"/>
    <s v="Tanya Verma"/>
    <x v="1"/>
    <x v="3"/>
    <x v="5"/>
    <n v="1"/>
    <n v="1299"/>
    <n v="1299"/>
    <x v="0"/>
    <n v="0"/>
    <n v="1299"/>
    <x v="1"/>
    <x v="1"/>
  </r>
  <r>
    <x v="604"/>
    <s v="8 Tue"/>
    <x v="3"/>
    <x v="0"/>
    <s v="CUST-1217"/>
    <s v="Ankit Patel"/>
    <x v="3"/>
    <x v="4"/>
    <x v="11"/>
    <n v="1"/>
    <n v="499"/>
    <n v="499"/>
    <x v="2"/>
    <n v="24.95"/>
    <n v="474.05"/>
    <x v="1"/>
    <x v="0"/>
  </r>
  <r>
    <x v="605"/>
    <s v="8 Tue"/>
    <x v="3"/>
    <x v="0"/>
    <s v="CUST-1173"/>
    <s v="Ankit Gupta"/>
    <x v="2"/>
    <x v="6"/>
    <x v="13"/>
    <n v="1"/>
    <n v="699"/>
    <n v="699"/>
    <x v="4"/>
    <n v="69.900000000000006"/>
    <n v="629.1"/>
    <x v="2"/>
    <x v="0"/>
  </r>
  <r>
    <x v="606"/>
    <s v="8 Tue"/>
    <x v="3"/>
    <x v="0"/>
    <s v="CUST-1240"/>
    <s v="Sakshi Patel"/>
    <x v="4"/>
    <x v="1"/>
    <x v="14"/>
    <n v="2"/>
    <n v="1799"/>
    <n v="3598"/>
    <x v="0"/>
    <n v="0"/>
    <n v="3598"/>
    <x v="3"/>
    <x v="1"/>
  </r>
  <r>
    <x v="607"/>
    <s v="8 Tue"/>
    <x v="3"/>
    <x v="0"/>
    <s v="CUST-1066"/>
    <s v="Kunal Verma"/>
    <x v="1"/>
    <x v="2"/>
    <x v="15"/>
    <n v="2"/>
    <n v="299"/>
    <n v="598"/>
    <x v="3"/>
    <n v="119.6"/>
    <n v="478.4"/>
    <x v="1"/>
    <x v="1"/>
  </r>
  <r>
    <x v="608"/>
    <s v="8 Tue"/>
    <x v="3"/>
    <x v="0"/>
    <s v="CUST-1358"/>
    <s v="Aman Patel"/>
    <x v="4"/>
    <x v="1"/>
    <x v="4"/>
    <n v="1"/>
    <n v="2999"/>
    <n v="2999"/>
    <x v="0"/>
    <n v="0"/>
    <n v="2999"/>
    <x v="2"/>
    <x v="0"/>
  </r>
  <r>
    <x v="609"/>
    <s v="8 Tue"/>
    <x v="3"/>
    <x v="0"/>
    <s v="CUST-1263"/>
    <s v="Tanya Mehta"/>
    <x v="2"/>
    <x v="2"/>
    <x v="15"/>
    <n v="1"/>
    <n v="299"/>
    <n v="299"/>
    <x v="4"/>
    <n v="29.9"/>
    <n v="269.10000000000002"/>
    <x v="1"/>
    <x v="0"/>
  </r>
  <r>
    <x v="610"/>
    <s v="8 Tue"/>
    <x v="3"/>
    <x v="0"/>
    <s v="CUST-1305"/>
    <s v="Muskan Joshi"/>
    <x v="1"/>
    <x v="2"/>
    <x v="15"/>
    <n v="1"/>
    <n v="299"/>
    <n v="299"/>
    <x v="3"/>
    <n v="59.8"/>
    <n v="239.2"/>
    <x v="0"/>
    <x v="1"/>
  </r>
  <r>
    <x v="611"/>
    <s v="9 Wed"/>
    <x v="3"/>
    <x v="0"/>
    <s v="CUST-1256"/>
    <s v="Rohan Singh"/>
    <x v="0"/>
    <x v="5"/>
    <x v="8"/>
    <n v="1"/>
    <n v="349"/>
    <n v="349"/>
    <x v="4"/>
    <n v="34.9"/>
    <n v="314.10000000000002"/>
    <x v="2"/>
    <x v="1"/>
  </r>
  <r>
    <x v="612"/>
    <s v="9 Wed"/>
    <x v="3"/>
    <x v="0"/>
    <s v="CUST-1063"/>
    <s v="Aman Sharma"/>
    <x v="0"/>
    <x v="5"/>
    <x v="8"/>
    <n v="2"/>
    <n v="349"/>
    <n v="698"/>
    <x v="1"/>
    <n v="104.7"/>
    <n v="593.29999999999995"/>
    <x v="1"/>
    <x v="0"/>
  </r>
  <r>
    <x v="613"/>
    <s v="9 Wed"/>
    <x v="3"/>
    <x v="0"/>
    <s v="CUST-1108"/>
    <s v="Kunal Patel"/>
    <x v="2"/>
    <x v="4"/>
    <x v="10"/>
    <n v="3"/>
    <n v="899"/>
    <n v="2697"/>
    <x v="0"/>
    <n v="0"/>
    <n v="2697"/>
    <x v="2"/>
    <x v="0"/>
  </r>
  <r>
    <x v="614"/>
    <s v="9 Wed"/>
    <x v="3"/>
    <x v="0"/>
    <s v="CUST-1159"/>
    <s v="Isha Kapoor"/>
    <x v="2"/>
    <x v="6"/>
    <x v="13"/>
    <n v="1"/>
    <n v="699"/>
    <n v="699"/>
    <x v="0"/>
    <n v="0"/>
    <n v="699"/>
    <x v="0"/>
    <x v="0"/>
  </r>
  <r>
    <x v="615"/>
    <s v="9 Wed"/>
    <x v="3"/>
    <x v="0"/>
    <s v="CUST-1231"/>
    <s v="Divya Gupta"/>
    <x v="0"/>
    <x v="4"/>
    <x v="10"/>
    <n v="2"/>
    <n v="899"/>
    <n v="1798"/>
    <x v="0"/>
    <n v="0"/>
    <n v="1798"/>
    <x v="0"/>
    <x v="0"/>
  </r>
  <r>
    <x v="616"/>
    <s v="9 Wed"/>
    <x v="3"/>
    <x v="0"/>
    <s v="CUST-1082"/>
    <s v="Aarav Mehta"/>
    <x v="1"/>
    <x v="3"/>
    <x v="6"/>
    <n v="1"/>
    <n v="799"/>
    <n v="799"/>
    <x v="3"/>
    <n v="159.80000000000001"/>
    <n v="639.20000000000005"/>
    <x v="2"/>
    <x v="0"/>
  </r>
  <r>
    <x v="617"/>
    <s v="9 Wed"/>
    <x v="3"/>
    <x v="0"/>
    <s v="CUST-1074"/>
    <s v="Kabir Kapoor"/>
    <x v="3"/>
    <x v="5"/>
    <x v="9"/>
    <n v="2"/>
    <n v="549"/>
    <n v="1098"/>
    <x v="0"/>
    <n v="0"/>
    <n v="1098"/>
    <x v="1"/>
    <x v="0"/>
  </r>
  <r>
    <x v="618"/>
    <s v="9 Wed"/>
    <x v="3"/>
    <x v="0"/>
    <s v="CUST-1169"/>
    <s v="Nandini Patel"/>
    <x v="1"/>
    <x v="4"/>
    <x v="11"/>
    <n v="1"/>
    <n v="499"/>
    <n v="499"/>
    <x v="0"/>
    <n v="0"/>
    <n v="499"/>
    <x v="0"/>
    <x v="1"/>
  </r>
  <r>
    <x v="619"/>
    <s v="9 Wed"/>
    <x v="3"/>
    <x v="0"/>
    <s v="CUST-1360"/>
    <s v="Muskan Singh"/>
    <x v="3"/>
    <x v="5"/>
    <x v="9"/>
    <n v="4"/>
    <n v="549"/>
    <n v="2196"/>
    <x v="4"/>
    <n v="219.6"/>
    <n v="1976.4"/>
    <x v="2"/>
    <x v="0"/>
  </r>
  <r>
    <x v="620"/>
    <s v="9 Wed"/>
    <x v="3"/>
    <x v="0"/>
    <s v="CUST-1400"/>
    <s v="Aarav Gupta"/>
    <x v="3"/>
    <x v="4"/>
    <x v="11"/>
    <n v="1"/>
    <n v="499"/>
    <n v="499"/>
    <x v="4"/>
    <n v="49.9"/>
    <n v="449.1"/>
    <x v="3"/>
    <x v="0"/>
  </r>
  <r>
    <x v="621"/>
    <s v="10 Thu"/>
    <x v="3"/>
    <x v="0"/>
    <s v="CUST-1398"/>
    <s v="Sakshi Patel"/>
    <x v="0"/>
    <x v="2"/>
    <x v="15"/>
    <n v="1"/>
    <n v="299"/>
    <n v="299"/>
    <x v="4"/>
    <n v="29.9"/>
    <n v="269.10000000000002"/>
    <x v="4"/>
    <x v="0"/>
  </r>
  <r>
    <x v="622"/>
    <s v="10 Thu"/>
    <x v="3"/>
    <x v="0"/>
    <s v="CUST-1048"/>
    <s v="Divya Mehta"/>
    <x v="2"/>
    <x v="1"/>
    <x v="2"/>
    <n v="1"/>
    <n v="599"/>
    <n v="599"/>
    <x v="3"/>
    <n v="119.8"/>
    <n v="479.2"/>
    <x v="2"/>
    <x v="1"/>
  </r>
  <r>
    <x v="623"/>
    <s v="10 Thu"/>
    <x v="3"/>
    <x v="0"/>
    <s v="CUST-1184"/>
    <s v="Rahul Joshi"/>
    <x v="4"/>
    <x v="4"/>
    <x v="10"/>
    <n v="2"/>
    <n v="899"/>
    <n v="1798"/>
    <x v="2"/>
    <n v="89.9"/>
    <n v="1708.1"/>
    <x v="1"/>
    <x v="0"/>
  </r>
  <r>
    <x v="624"/>
    <s v="10 Thu"/>
    <x v="3"/>
    <x v="0"/>
    <s v="CUST-1301"/>
    <s v="Shreya Sharma"/>
    <x v="4"/>
    <x v="4"/>
    <x v="10"/>
    <n v="2"/>
    <n v="899"/>
    <n v="1798"/>
    <x v="4"/>
    <n v="179.8"/>
    <n v="1618.2"/>
    <x v="1"/>
    <x v="0"/>
  </r>
  <r>
    <x v="625"/>
    <s v="10 Thu"/>
    <x v="3"/>
    <x v="0"/>
    <s v="CUST-1238"/>
    <s v="Nandini Verma"/>
    <x v="3"/>
    <x v="1"/>
    <x v="14"/>
    <n v="2"/>
    <n v="1799"/>
    <n v="3598"/>
    <x v="0"/>
    <n v="0"/>
    <n v="3598"/>
    <x v="2"/>
    <x v="1"/>
  </r>
  <r>
    <x v="626"/>
    <s v="10 Thu"/>
    <x v="3"/>
    <x v="0"/>
    <s v="CUST-1206"/>
    <s v="Aditya Gupta"/>
    <x v="0"/>
    <x v="1"/>
    <x v="2"/>
    <n v="2"/>
    <n v="599"/>
    <n v="1198"/>
    <x v="0"/>
    <n v="0"/>
    <n v="1198"/>
    <x v="1"/>
    <x v="1"/>
  </r>
  <r>
    <x v="627"/>
    <s v="10 Thu"/>
    <x v="3"/>
    <x v="0"/>
    <s v="CUST-1180"/>
    <s v="Muskan Joshi"/>
    <x v="3"/>
    <x v="4"/>
    <x v="11"/>
    <n v="3"/>
    <n v="499"/>
    <n v="1497"/>
    <x v="3"/>
    <n v="299.39999999999998"/>
    <n v="1197.5999999999999"/>
    <x v="2"/>
    <x v="0"/>
  </r>
  <r>
    <x v="628"/>
    <s v="10 Thu"/>
    <x v="3"/>
    <x v="0"/>
    <s v="CUST-1260"/>
    <s v="Ankit Verma"/>
    <x v="0"/>
    <x v="0"/>
    <x v="1"/>
    <n v="1"/>
    <n v="199"/>
    <n v="199"/>
    <x v="0"/>
    <n v="0"/>
    <n v="199"/>
    <x v="4"/>
    <x v="1"/>
  </r>
  <r>
    <x v="629"/>
    <s v="11 Fri"/>
    <x v="3"/>
    <x v="0"/>
    <s v="CUST-1230"/>
    <s v="Divya Malhotra"/>
    <x v="3"/>
    <x v="4"/>
    <x v="10"/>
    <n v="2"/>
    <n v="899"/>
    <n v="1798"/>
    <x v="3"/>
    <n v="359.6"/>
    <n v="1438.4"/>
    <x v="0"/>
    <x v="1"/>
  </r>
  <r>
    <x v="630"/>
    <s v="11 Fri"/>
    <x v="3"/>
    <x v="0"/>
    <s v="CUST-1114"/>
    <s v="Vivaan Malhotra"/>
    <x v="4"/>
    <x v="1"/>
    <x v="2"/>
    <n v="1"/>
    <n v="599"/>
    <n v="599"/>
    <x v="4"/>
    <n v="59.9"/>
    <n v="539.1"/>
    <x v="2"/>
    <x v="1"/>
  </r>
  <r>
    <x v="631"/>
    <s v="11 Fri"/>
    <x v="3"/>
    <x v="0"/>
    <s v="CUST-1033"/>
    <s v="Meera Joshi"/>
    <x v="2"/>
    <x v="5"/>
    <x v="8"/>
    <n v="3"/>
    <n v="349"/>
    <n v="1047"/>
    <x v="0"/>
    <n v="0"/>
    <n v="1047"/>
    <x v="2"/>
    <x v="0"/>
  </r>
  <r>
    <x v="632"/>
    <s v="11 Fri"/>
    <x v="3"/>
    <x v="0"/>
    <s v="CUST-1301"/>
    <s v="Shreya Sharma"/>
    <x v="3"/>
    <x v="2"/>
    <x v="3"/>
    <n v="1"/>
    <n v="249"/>
    <n v="249"/>
    <x v="2"/>
    <n v="12.45"/>
    <n v="236.55"/>
    <x v="3"/>
    <x v="1"/>
  </r>
  <r>
    <x v="633"/>
    <s v="11 Fri"/>
    <x v="3"/>
    <x v="0"/>
    <s v="CUST-1192"/>
    <s v="Kunal Singh"/>
    <x v="3"/>
    <x v="2"/>
    <x v="15"/>
    <n v="3"/>
    <n v="299"/>
    <n v="897"/>
    <x v="4"/>
    <n v="89.7"/>
    <n v="807.3"/>
    <x v="1"/>
    <x v="0"/>
  </r>
  <r>
    <x v="634"/>
    <s v="12 Sat"/>
    <x v="3"/>
    <x v="0"/>
    <s v="CUST-1168"/>
    <s v="Nandini Joshi"/>
    <x v="1"/>
    <x v="3"/>
    <x v="5"/>
    <n v="4"/>
    <n v="1299"/>
    <n v="5196"/>
    <x v="2"/>
    <n v="259.8"/>
    <n v="4936.2"/>
    <x v="4"/>
    <x v="0"/>
  </r>
  <r>
    <x v="635"/>
    <s v="12 Sat"/>
    <x v="3"/>
    <x v="0"/>
    <s v="CUST-1400"/>
    <s v="Aarav Gupta"/>
    <x v="4"/>
    <x v="4"/>
    <x v="11"/>
    <n v="3"/>
    <n v="499"/>
    <n v="1497"/>
    <x v="2"/>
    <n v="74.849999999999994"/>
    <n v="1422.15"/>
    <x v="4"/>
    <x v="1"/>
  </r>
  <r>
    <x v="636"/>
    <s v="12 Sat"/>
    <x v="3"/>
    <x v="0"/>
    <s v="CUST-1212"/>
    <s v="Komal Joshi"/>
    <x v="3"/>
    <x v="0"/>
    <x v="1"/>
    <n v="1"/>
    <n v="199"/>
    <n v="199"/>
    <x v="0"/>
    <n v="0"/>
    <n v="199"/>
    <x v="3"/>
    <x v="1"/>
  </r>
  <r>
    <x v="637"/>
    <s v="12 Sat"/>
    <x v="3"/>
    <x v="0"/>
    <s v="CUST-1347"/>
    <s v="Ankit Joshi"/>
    <x v="0"/>
    <x v="1"/>
    <x v="14"/>
    <n v="1"/>
    <n v="1799"/>
    <n v="1799"/>
    <x v="3"/>
    <n v="359.8"/>
    <n v="1439.2"/>
    <x v="0"/>
    <x v="0"/>
  </r>
  <r>
    <x v="638"/>
    <s v="12 Sat"/>
    <x v="3"/>
    <x v="0"/>
    <s v="CUST-1383"/>
    <s v="Aman Gupta"/>
    <x v="2"/>
    <x v="3"/>
    <x v="5"/>
    <n v="3"/>
    <n v="1299"/>
    <n v="3897"/>
    <x v="2"/>
    <n v="194.85"/>
    <n v="3702.15"/>
    <x v="4"/>
    <x v="1"/>
  </r>
  <r>
    <x v="639"/>
    <s v="12 Sat"/>
    <x v="3"/>
    <x v="0"/>
    <s v="CUST-1038"/>
    <s v="Rohan Joshi"/>
    <x v="3"/>
    <x v="1"/>
    <x v="14"/>
    <n v="1"/>
    <n v="1799"/>
    <n v="1799"/>
    <x v="0"/>
    <n v="0"/>
    <n v="1799"/>
    <x v="1"/>
    <x v="0"/>
  </r>
  <r>
    <x v="640"/>
    <s v="12 Sat"/>
    <x v="3"/>
    <x v="0"/>
    <s v="CUST-1390"/>
    <s v="Rahul Saxena"/>
    <x v="3"/>
    <x v="0"/>
    <x v="1"/>
    <n v="1"/>
    <n v="199"/>
    <n v="199"/>
    <x v="3"/>
    <n v="39.799999999999997"/>
    <n v="159.19999999999999"/>
    <x v="1"/>
    <x v="1"/>
  </r>
  <r>
    <x v="641"/>
    <s v="12 Sat"/>
    <x v="3"/>
    <x v="0"/>
    <s v="CUST-1286"/>
    <s v="Arjun Singh"/>
    <x v="3"/>
    <x v="4"/>
    <x v="11"/>
    <n v="2"/>
    <n v="499"/>
    <n v="998"/>
    <x v="3"/>
    <n v="199.6"/>
    <n v="798.4"/>
    <x v="2"/>
    <x v="1"/>
  </r>
  <r>
    <x v="642"/>
    <s v="12 Sat"/>
    <x v="3"/>
    <x v="0"/>
    <s v="CUST-1376"/>
    <s v="Kunal Kapoor"/>
    <x v="0"/>
    <x v="3"/>
    <x v="5"/>
    <n v="1"/>
    <n v="1299"/>
    <n v="1299"/>
    <x v="0"/>
    <n v="0"/>
    <n v="1299"/>
    <x v="3"/>
    <x v="0"/>
  </r>
  <r>
    <x v="643"/>
    <s v="13 Sun"/>
    <x v="3"/>
    <x v="0"/>
    <s v="CUST-1330"/>
    <s v="Nandini Gupta"/>
    <x v="1"/>
    <x v="6"/>
    <x v="13"/>
    <n v="4"/>
    <n v="699"/>
    <n v="2796"/>
    <x v="0"/>
    <n v="0"/>
    <n v="2796"/>
    <x v="4"/>
    <x v="0"/>
  </r>
  <r>
    <x v="644"/>
    <s v="13 Sun"/>
    <x v="3"/>
    <x v="0"/>
    <s v="CUST-1266"/>
    <s v="Vivaan Kapoor"/>
    <x v="1"/>
    <x v="4"/>
    <x v="10"/>
    <n v="2"/>
    <n v="899"/>
    <n v="1798"/>
    <x v="0"/>
    <n v="0"/>
    <n v="1798"/>
    <x v="2"/>
    <x v="1"/>
  </r>
  <r>
    <x v="645"/>
    <s v="13 Sun"/>
    <x v="3"/>
    <x v="0"/>
    <s v="CUST-1300"/>
    <s v="Vivaan Mehta"/>
    <x v="1"/>
    <x v="6"/>
    <x v="13"/>
    <n v="2"/>
    <n v="699"/>
    <n v="1398"/>
    <x v="1"/>
    <n v="209.7"/>
    <n v="1188.3"/>
    <x v="3"/>
    <x v="1"/>
  </r>
  <r>
    <x v="646"/>
    <s v="13 Sun"/>
    <x v="3"/>
    <x v="0"/>
    <s v="CUST-1180"/>
    <s v="Muskan Joshi"/>
    <x v="4"/>
    <x v="4"/>
    <x v="10"/>
    <n v="2"/>
    <n v="899"/>
    <n v="1798"/>
    <x v="2"/>
    <n v="89.9"/>
    <n v="1708.1"/>
    <x v="0"/>
    <x v="0"/>
  </r>
  <r>
    <x v="647"/>
    <s v="14 Mon"/>
    <x v="3"/>
    <x v="0"/>
    <s v="CUST-1083"/>
    <s v="Komal Kapoor"/>
    <x v="3"/>
    <x v="3"/>
    <x v="6"/>
    <n v="1"/>
    <n v="799"/>
    <n v="799"/>
    <x v="2"/>
    <n v="39.950000000000003"/>
    <n v="759.05"/>
    <x v="1"/>
    <x v="0"/>
  </r>
  <r>
    <x v="648"/>
    <s v="14 Mon"/>
    <x v="3"/>
    <x v="0"/>
    <s v="CUST-1109"/>
    <s v="Kabir Mehta"/>
    <x v="1"/>
    <x v="5"/>
    <x v="9"/>
    <n v="2"/>
    <n v="549"/>
    <n v="1098"/>
    <x v="4"/>
    <n v="109.8"/>
    <n v="988.2"/>
    <x v="2"/>
    <x v="1"/>
  </r>
  <r>
    <x v="649"/>
    <s v="14 Mon"/>
    <x v="3"/>
    <x v="0"/>
    <s v="CUST-1314"/>
    <s v="Kunal Sharma"/>
    <x v="4"/>
    <x v="4"/>
    <x v="10"/>
    <n v="1"/>
    <n v="899"/>
    <n v="899"/>
    <x v="4"/>
    <n v="89.9"/>
    <n v="809.1"/>
    <x v="0"/>
    <x v="0"/>
  </r>
  <r>
    <x v="650"/>
    <s v="14 Mon"/>
    <x v="3"/>
    <x v="0"/>
    <s v="CUST-1007"/>
    <s v="Aarav Sharma"/>
    <x v="0"/>
    <x v="2"/>
    <x v="3"/>
    <n v="2"/>
    <n v="249"/>
    <n v="498"/>
    <x v="2"/>
    <n v="24.9"/>
    <n v="473.1"/>
    <x v="2"/>
    <x v="0"/>
  </r>
  <r>
    <x v="651"/>
    <s v="15 Tue"/>
    <x v="3"/>
    <x v="0"/>
    <s v="CUST-1221"/>
    <s v="Kunal Singh"/>
    <x v="0"/>
    <x v="5"/>
    <x v="9"/>
    <n v="1"/>
    <n v="549"/>
    <n v="549"/>
    <x v="1"/>
    <n v="82.35"/>
    <n v="466.65"/>
    <x v="1"/>
    <x v="0"/>
  </r>
  <r>
    <x v="652"/>
    <s v="15 Tue"/>
    <x v="3"/>
    <x v="0"/>
    <s v="CUST-1311"/>
    <s v="Muskan Joshi"/>
    <x v="0"/>
    <x v="5"/>
    <x v="9"/>
    <n v="4"/>
    <n v="549"/>
    <n v="2196"/>
    <x v="1"/>
    <n v="329.4"/>
    <n v="1866.6"/>
    <x v="0"/>
    <x v="1"/>
  </r>
  <r>
    <x v="653"/>
    <s v="16 Wed"/>
    <x v="3"/>
    <x v="0"/>
    <s v="CUST-1276"/>
    <s v="Swati Joshi"/>
    <x v="1"/>
    <x v="4"/>
    <x v="10"/>
    <n v="4"/>
    <n v="899"/>
    <n v="3596"/>
    <x v="0"/>
    <n v="0"/>
    <n v="3596"/>
    <x v="1"/>
    <x v="0"/>
  </r>
  <r>
    <x v="654"/>
    <s v="16 Wed"/>
    <x v="3"/>
    <x v="0"/>
    <s v="CUST-1080"/>
    <s v="Kabir Sharma"/>
    <x v="2"/>
    <x v="4"/>
    <x v="11"/>
    <n v="2"/>
    <n v="499"/>
    <n v="998"/>
    <x v="2"/>
    <n v="49.9"/>
    <n v="948.1"/>
    <x v="0"/>
    <x v="1"/>
  </r>
  <r>
    <x v="655"/>
    <s v="16 Wed"/>
    <x v="3"/>
    <x v="0"/>
    <s v="CUST-1239"/>
    <s v="Rohan Malhotra"/>
    <x v="1"/>
    <x v="6"/>
    <x v="13"/>
    <n v="3"/>
    <n v="699"/>
    <n v="2097"/>
    <x v="2"/>
    <n v="104.85"/>
    <n v="1992.15"/>
    <x v="4"/>
    <x v="0"/>
  </r>
  <r>
    <x v="656"/>
    <s v="16 Wed"/>
    <x v="3"/>
    <x v="0"/>
    <s v="CUST-1157"/>
    <s v="Arjun Verma"/>
    <x v="2"/>
    <x v="5"/>
    <x v="9"/>
    <n v="1"/>
    <n v="549"/>
    <n v="549"/>
    <x v="3"/>
    <n v="109.8"/>
    <n v="439.2"/>
    <x v="2"/>
    <x v="0"/>
  </r>
  <r>
    <x v="657"/>
    <s v="16 Wed"/>
    <x v="3"/>
    <x v="0"/>
    <s v="CUST-1192"/>
    <s v="Kunal Singh"/>
    <x v="2"/>
    <x v="6"/>
    <x v="12"/>
    <n v="1"/>
    <n v="1499"/>
    <n v="1499"/>
    <x v="0"/>
    <n v="0"/>
    <n v="1499"/>
    <x v="1"/>
    <x v="1"/>
  </r>
  <r>
    <x v="658"/>
    <s v="16 Wed"/>
    <x v="3"/>
    <x v="0"/>
    <s v="CUST-1254"/>
    <s v="Meera Malhotra"/>
    <x v="0"/>
    <x v="5"/>
    <x v="8"/>
    <n v="2"/>
    <n v="349"/>
    <n v="698"/>
    <x v="0"/>
    <n v="0"/>
    <n v="698"/>
    <x v="1"/>
    <x v="0"/>
  </r>
  <r>
    <x v="659"/>
    <s v="17 Thu"/>
    <x v="3"/>
    <x v="0"/>
    <s v="CUST-1110"/>
    <s v="Aman Malhotra"/>
    <x v="3"/>
    <x v="3"/>
    <x v="6"/>
    <n v="2"/>
    <n v="799"/>
    <n v="1598"/>
    <x v="0"/>
    <n v="0"/>
    <n v="1598"/>
    <x v="2"/>
    <x v="0"/>
  </r>
  <r>
    <x v="660"/>
    <s v="17 Thu"/>
    <x v="3"/>
    <x v="0"/>
    <s v="CUST-1147"/>
    <s v="Aman Saxena"/>
    <x v="2"/>
    <x v="1"/>
    <x v="14"/>
    <n v="1"/>
    <n v="1799"/>
    <n v="1799"/>
    <x v="0"/>
    <n v="0"/>
    <n v="1799"/>
    <x v="1"/>
    <x v="0"/>
  </r>
  <r>
    <x v="661"/>
    <s v="17 Thu"/>
    <x v="3"/>
    <x v="0"/>
    <s v="CUST-1245"/>
    <s v="Kunal Patel"/>
    <x v="0"/>
    <x v="5"/>
    <x v="8"/>
    <n v="2"/>
    <n v="349"/>
    <n v="698"/>
    <x v="4"/>
    <n v="69.8"/>
    <n v="628.20000000000005"/>
    <x v="1"/>
    <x v="1"/>
  </r>
  <r>
    <x v="662"/>
    <s v="17 Thu"/>
    <x v="3"/>
    <x v="0"/>
    <s v="CUST-1251"/>
    <s v="Aarav Singh"/>
    <x v="0"/>
    <x v="5"/>
    <x v="9"/>
    <n v="2"/>
    <n v="549"/>
    <n v="1098"/>
    <x v="0"/>
    <n v="0"/>
    <n v="1098"/>
    <x v="0"/>
    <x v="1"/>
  </r>
  <r>
    <x v="663"/>
    <s v="17 Thu"/>
    <x v="3"/>
    <x v="0"/>
    <s v="CUST-1369"/>
    <s v="Rohan Sharma"/>
    <x v="0"/>
    <x v="5"/>
    <x v="9"/>
    <n v="1"/>
    <n v="549"/>
    <n v="549"/>
    <x v="3"/>
    <n v="109.8"/>
    <n v="439.2"/>
    <x v="3"/>
    <x v="0"/>
  </r>
  <r>
    <x v="664"/>
    <s v="17 Thu"/>
    <x v="3"/>
    <x v="0"/>
    <s v="CUST-1077"/>
    <s v="Tanya Mehta"/>
    <x v="2"/>
    <x v="5"/>
    <x v="9"/>
    <n v="4"/>
    <n v="549"/>
    <n v="2196"/>
    <x v="4"/>
    <n v="219.6"/>
    <n v="1976.4"/>
    <x v="1"/>
    <x v="0"/>
  </r>
  <r>
    <x v="665"/>
    <s v="17 Thu"/>
    <x v="3"/>
    <x v="0"/>
    <s v="CUST-1062"/>
    <s v="Tanya Sharma"/>
    <x v="3"/>
    <x v="5"/>
    <x v="8"/>
    <n v="1"/>
    <n v="349"/>
    <n v="349"/>
    <x v="2"/>
    <n v="17.45"/>
    <n v="331.55"/>
    <x v="1"/>
    <x v="0"/>
  </r>
  <r>
    <x v="666"/>
    <s v="17 Thu"/>
    <x v="3"/>
    <x v="0"/>
    <s v="CUST-1276"/>
    <s v="Swati Joshi"/>
    <x v="3"/>
    <x v="3"/>
    <x v="5"/>
    <n v="1"/>
    <n v="1299"/>
    <n v="1299"/>
    <x v="3"/>
    <n v="259.8"/>
    <n v="1039.2"/>
    <x v="0"/>
    <x v="1"/>
  </r>
  <r>
    <x v="667"/>
    <s v="17 Thu"/>
    <x v="3"/>
    <x v="0"/>
    <s v="CUST-1275"/>
    <s v="Tanya Singh"/>
    <x v="2"/>
    <x v="5"/>
    <x v="9"/>
    <n v="1"/>
    <n v="549"/>
    <n v="549"/>
    <x v="0"/>
    <n v="0"/>
    <n v="549"/>
    <x v="2"/>
    <x v="0"/>
  </r>
  <r>
    <x v="668"/>
    <s v="18 Fri"/>
    <x v="3"/>
    <x v="0"/>
    <s v="CUST-1082"/>
    <s v="Aarav Mehta"/>
    <x v="3"/>
    <x v="4"/>
    <x v="10"/>
    <n v="2"/>
    <n v="899"/>
    <n v="1798"/>
    <x v="3"/>
    <n v="359.6"/>
    <n v="1438.4"/>
    <x v="3"/>
    <x v="0"/>
  </r>
  <r>
    <x v="669"/>
    <s v="18 Fri"/>
    <x v="3"/>
    <x v="0"/>
    <s v="CUST-1342"/>
    <s v="Vivaan Saxena"/>
    <x v="1"/>
    <x v="2"/>
    <x v="15"/>
    <n v="2"/>
    <n v="299"/>
    <n v="598"/>
    <x v="2"/>
    <n v="29.9"/>
    <n v="568.1"/>
    <x v="2"/>
    <x v="0"/>
  </r>
  <r>
    <x v="670"/>
    <s v="18 Fri"/>
    <x v="3"/>
    <x v="0"/>
    <s v="CUST-1400"/>
    <s v="Aarav Gupta"/>
    <x v="2"/>
    <x v="1"/>
    <x v="4"/>
    <n v="2"/>
    <n v="2999"/>
    <n v="5998"/>
    <x v="0"/>
    <n v="0"/>
    <n v="5998"/>
    <x v="1"/>
    <x v="0"/>
  </r>
  <r>
    <x v="671"/>
    <s v="18 Fri"/>
    <x v="3"/>
    <x v="0"/>
    <s v="CUST-1093"/>
    <s v="Kabir Mehta"/>
    <x v="4"/>
    <x v="4"/>
    <x v="10"/>
    <n v="2"/>
    <n v="899"/>
    <n v="1798"/>
    <x v="0"/>
    <n v="0"/>
    <n v="1798"/>
    <x v="0"/>
    <x v="0"/>
  </r>
  <r>
    <x v="672"/>
    <s v="19 Sat"/>
    <x v="3"/>
    <x v="0"/>
    <s v="CUST-1210"/>
    <s v="Meera Sharma"/>
    <x v="0"/>
    <x v="6"/>
    <x v="12"/>
    <n v="1"/>
    <n v="1499"/>
    <n v="1499"/>
    <x v="0"/>
    <n v="0"/>
    <n v="1499"/>
    <x v="4"/>
    <x v="1"/>
  </r>
  <r>
    <x v="673"/>
    <s v="19 Sat"/>
    <x v="3"/>
    <x v="0"/>
    <s v="CUST-1300"/>
    <s v="Vivaan Mehta"/>
    <x v="4"/>
    <x v="3"/>
    <x v="5"/>
    <n v="3"/>
    <n v="1299"/>
    <n v="3897"/>
    <x v="3"/>
    <n v="779.4"/>
    <n v="3117.6"/>
    <x v="1"/>
    <x v="1"/>
  </r>
  <r>
    <x v="674"/>
    <s v="19 Sat"/>
    <x v="3"/>
    <x v="0"/>
    <s v="CUST-1359"/>
    <s v="Arjun Mehta"/>
    <x v="3"/>
    <x v="4"/>
    <x v="10"/>
    <n v="3"/>
    <n v="899"/>
    <n v="2697"/>
    <x v="3"/>
    <n v="539.4"/>
    <n v="2157.6"/>
    <x v="0"/>
    <x v="0"/>
  </r>
  <r>
    <x v="675"/>
    <s v="19 Sat"/>
    <x v="3"/>
    <x v="0"/>
    <s v="CUST-1299"/>
    <s v="Kabir Mehta"/>
    <x v="2"/>
    <x v="5"/>
    <x v="9"/>
    <n v="1"/>
    <n v="549"/>
    <n v="549"/>
    <x v="1"/>
    <n v="82.35"/>
    <n v="466.65"/>
    <x v="2"/>
    <x v="0"/>
  </r>
  <r>
    <x v="676"/>
    <s v="19 Sat"/>
    <x v="3"/>
    <x v="0"/>
    <s v="CUST-1053"/>
    <s v="Vivaan Malhotra"/>
    <x v="1"/>
    <x v="0"/>
    <x v="0"/>
    <n v="2"/>
    <n v="99"/>
    <n v="198"/>
    <x v="3"/>
    <n v="39.6"/>
    <n v="158.4"/>
    <x v="0"/>
    <x v="0"/>
  </r>
  <r>
    <x v="677"/>
    <s v="19 Sat"/>
    <x v="3"/>
    <x v="0"/>
    <s v="CUST-1150"/>
    <s v="Isha Singh"/>
    <x v="1"/>
    <x v="6"/>
    <x v="12"/>
    <n v="3"/>
    <n v="1499"/>
    <n v="4497"/>
    <x v="0"/>
    <n v="0"/>
    <n v="4497"/>
    <x v="2"/>
    <x v="0"/>
  </r>
  <r>
    <x v="678"/>
    <s v="19 Sat"/>
    <x v="3"/>
    <x v="0"/>
    <s v="CUST-1372"/>
    <s v="Vivaan Singh"/>
    <x v="0"/>
    <x v="4"/>
    <x v="11"/>
    <n v="1"/>
    <n v="499"/>
    <n v="499"/>
    <x v="1"/>
    <n v="74.849999999999994"/>
    <n v="424.15"/>
    <x v="1"/>
    <x v="0"/>
  </r>
  <r>
    <x v="679"/>
    <s v="20 Sun"/>
    <x v="3"/>
    <x v="0"/>
    <s v="CUST-1202"/>
    <s v="Isha Verma"/>
    <x v="1"/>
    <x v="5"/>
    <x v="8"/>
    <n v="1"/>
    <n v="349"/>
    <n v="349"/>
    <x v="3"/>
    <n v="69.8"/>
    <n v="279.2"/>
    <x v="1"/>
    <x v="1"/>
  </r>
  <r>
    <x v="680"/>
    <s v="20 Sun"/>
    <x v="3"/>
    <x v="0"/>
    <s v="CUST-1290"/>
    <s v="Kabir Mehta"/>
    <x v="2"/>
    <x v="4"/>
    <x v="10"/>
    <n v="2"/>
    <n v="899"/>
    <n v="1798"/>
    <x v="0"/>
    <n v="0"/>
    <n v="1798"/>
    <x v="0"/>
    <x v="1"/>
  </r>
  <r>
    <x v="681"/>
    <s v="20 Sun"/>
    <x v="3"/>
    <x v="0"/>
    <s v="CUST-1304"/>
    <s v="Kunal Saxena"/>
    <x v="3"/>
    <x v="1"/>
    <x v="4"/>
    <n v="1"/>
    <n v="2999"/>
    <n v="2999"/>
    <x v="0"/>
    <n v="0"/>
    <n v="2999"/>
    <x v="3"/>
    <x v="0"/>
  </r>
  <r>
    <x v="682"/>
    <s v="20 Sun"/>
    <x v="3"/>
    <x v="0"/>
    <s v="CUST-1099"/>
    <s v="Rahul Malhotra"/>
    <x v="4"/>
    <x v="0"/>
    <x v="0"/>
    <n v="3"/>
    <n v="99"/>
    <n v="297"/>
    <x v="0"/>
    <n v="0"/>
    <n v="297"/>
    <x v="0"/>
    <x v="1"/>
  </r>
  <r>
    <x v="683"/>
    <s v="20 Sun"/>
    <x v="3"/>
    <x v="0"/>
    <s v="CUST-1136"/>
    <s v="Kunal Patel"/>
    <x v="3"/>
    <x v="1"/>
    <x v="14"/>
    <n v="1"/>
    <n v="1799"/>
    <n v="1799"/>
    <x v="0"/>
    <n v="0"/>
    <n v="1799"/>
    <x v="1"/>
    <x v="0"/>
  </r>
  <r>
    <x v="684"/>
    <s v="21 Mon"/>
    <x v="3"/>
    <x v="0"/>
    <s v="CUST-1020"/>
    <s v="Rohan Malhotra"/>
    <x v="0"/>
    <x v="5"/>
    <x v="8"/>
    <n v="1"/>
    <n v="349"/>
    <n v="349"/>
    <x v="2"/>
    <n v="17.45"/>
    <n v="331.55"/>
    <x v="2"/>
    <x v="1"/>
  </r>
  <r>
    <x v="685"/>
    <s v="21 Mon"/>
    <x v="3"/>
    <x v="0"/>
    <s v="CUST-1257"/>
    <s v="Shreya Saxena"/>
    <x v="2"/>
    <x v="5"/>
    <x v="8"/>
    <n v="1"/>
    <n v="349"/>
    <n v="349"/>
    <x v="0"/>
    <n v="0"/>
    <n v="349"/>
    <x v="0"/>
    <x v="0"/>
  </r>
  <r>
    <x v="686"/>
    <s v="21 Mon"/>
    <x v="3"/>
    <x v="0"/>
    <s v="CUST-1126"/>
    <s v="Divya Sharma"/>
    <x v="3"/>
    <x v="2"/>
    <x v="3"/>
    <n v="1"/>
    <n v="249"/>
    <n v="249"/>
    <x v="2"/>
    <n v="12.45"/>
    <n v="236.55"/>
    <x v="4"/>
    <x v="1"/>
  </r>
  <r>
    <x v="687"/>
    <s v="21 Mon"/>
    <x v="3"/>
    <x v="0"/>
    <s v="CUST-1014"/>
    <s v="Vivaan Kapoor"/>
    <x v="4"/>
    <x v="2"/>
    <x v="15"/>
    <n v="3"/>
    <n v="299"/>
    <n v="897"/>
    <x v="0"/>
    <n v="0"/>
    <n v="897"/>
    <x v="0"/>
    <x v="0"/>
  </r>
  <r>
    <x v="688"/>
    <s v="21 Mon"/>
    <x v="3"/>
    <x v="0"/>
    <s v="CUST-1173"/>
    <s v="Ankit Gupta"/>
    <x v="3"/>
    <x v="1"/>
    <x v="14"/>
    <n v="1"/>
    <n v="1799"/>
    <n v="1799"/>
    <x v="2"/>
    <n v="89.95"/>
    <n v="1709.05"/>
    <x v="2"/>
    <x v="1"/>
  </r>
  <r>
    <x v="689"/>
    <s v="22 Tue"/>
    <x v="3"/>
    <x v="0"/>
    <s v="CUST-1237"/>
    <s v="Divya Sharma"/>
    <x v="0"/>
    <x v="0"/>
    <x v="0"/>
    <n v="1"/>
    <n v="99"/>
    <n v="99"/>
    <x v="3"/>
    <n v="19.8"/>
    <n v="79.2"/>
    <x v="0"/>
    <x v="1"/>
  </r>
  <r>
    <x v="690"/>
    <s v="22 Tue"/>
    <x v="3"/>
    <x v="0"/>
    <s v="CUST-1259"/>
    <s v="Rahul Singh"/>
    <x v="4"/>
    <x v="1"/>
    <x v="4"/>
    <n v="1"/>
    <n v="2999"/>
    <n v="2999"/>
    <x v="0"/>
    <n v="0"/>
    <n v="2999"/>
    <x v="0"/>
    <x v="1"/>
  </r>
  <r>
    <x v="691"/>
    <s v="22 Tue"/>
    <x v="3"/>
    <x v="0"/>
    <s v="CUST-1046"/>
    <s v="Rohan Kapoor"/>
    <x v="0"/>
    <x v="4"/>
    <x v="7"/>
    <n v="4"/>
    <n v="1999"/>
    <n v="7996"/>
    <x v="2"/>
    <n v="399.8"/>
    <n v="7596.2"/>
    <x v="2"/>
    <x v="0"/>
  </r>
  <r>
    <x v="692"/>
    <s v="23 Wed"/>
    <x v="3"/>
    <x v="0"/>
    <s v="CUST-1214"/>
    <s v="Rohan Sharma"/>
    <x v="3"/>
    <x v="0"/>
    <x v="0"/>
    <n v="2"/>
    <n v="99"/>
    <n v="198"/>
    <x v="1"/>
    <n v="29.7"/>
    <n v="168.3"/>
    <x v="3"/>
    <x v="0"/>
  </r>
  <r>
    <x v="693"/>
    <s v="23 Wed"/>
    <x v="3"/>
    <x v="0"/>
    <s v="CUST-1164"/>
    <s v="Kabir Malhotra"/>
    <x v="2"/>
    <x v="5"/>
    <x v="9"/>
    <n v="3"/>
    <n v="549"/>
    <n v="1647"/>
    <x v="4"/>
    <n v="164.7"/>
    <n v="1482.3"/>
    <x v="2"/>
    <x v="0"/>
  </r>
  <r>
    <x v="694"/>
    <s v="23 Wed"/>
    <x v="3"/>
    <x v="0"/>
    <s v="CUST-1119"/>
    <s v="Rahul Gupta"/>
    <x v="2"/>
    <x v="2"/>
    <x v="3"/>
    <n v="2"/>
    <n v="249"/>
    <n v="498"/>
    <x v="1"/>
    <n v="74.7"/>
    <n v="423.3"/>
    <x v="1"/>
    <x v="1"/>
  </r>
  <r>
    <x v="695"/>
    <s v="23 Wed"/>
    <x v="3"/>
    <x v="0"/>
    <s v="CUST-1144"/>
    <s v="Divya Mehta"/>
    <x v="2"/>
    <x v="5"/>
    <x v="8"/>
    <n v="1"/>
    <n v="349"/>
    <n v="349"/>
    <x v="0"/>
    <n v="0"/>
    <n v="349"/>
    <x v="1"/>
    <x v="0"/>
  </r>
  <r>
    <x v="696"/>
    <s v="24 Thu"/>
    <x v="3"/>
    <x v="0"/>
    <s v="CUST-1293"/>
    <s v="Sakshi Singh"/>
    <x v="1"/>
    <x v="1"/>
    <x v="2"/>
    <n v="2"/>
    <n v="599"/>
    <n v="1198"/>
    <x v="2"/>
    <n v="59.9"/>
    <n v="1138.0999999999999"/>
    <x v="3"/>
    <x v="1"/>
  </r>
  <r>
    <x v="697"/>
    <s v="24 Thu"/>
    <x v="3"/>
    <x v="0"/>
    <s v="CUST-1034"/>
    <s v="Sakshi Patel"/>
    <x v="4"/>
    <x v="0"/>
    <x v="0"/>
    <n v="3"/>
    <n v="99"/>
    <n v="297"/>
    <x v="4"/>
    <n v="29.7"/>
    <n v="267.3"/>
    <x v="2"/>
    <x v="1"/>
  </r>
  <r>
    <x v="698"/>
    <s v="25 Fri"/>
    <x v="3"/>
    <x v="0"/>
    <s v="CUST-1077"/>
    <s v="Tanya Mehta"/>
    <x v="4"/>
    <x v="4"/>
    <x v="11"/>
    <n v="1"/>
    <n v="499"/>
    <n v="499"/>
    <x v="1"/>
    <n v="74.849999999999994"/>
    <n v="424.15"/>
    <x v="2"/>
    <x v="0"/>
  </r>
  <r>
    <x v="699"/>
    <s v="25 Fri"/>
    <x v="3"/>
    <x v="0"/>
    <s v="CUST-1178"/>
    <s v="Komal Sharma"/>
    <x v="2"/>
    <x v="5"/>
    <x v="8"/>
    <n v="1"/>
    <n v="349"/>
    <n v="349"/>
    <x v="1"/>
    <n v="52.35"/>
    <n v="296.64999999999998"/>
    <x v="3"/>
    <x v="1"/>
  </r>
  <r>
    <x v="700"/>
    <s v="25 Fri"/>
    <x v="3"/>
    <x v="0"/>
    <s v="CUST-1165"/>
    <s v="Rahul Singh"/>
    <x v="1"/>
    <x v="1"/>
    <x v="4"/>
    <n v="4"/>
    <n v="2999"/>
    <n v="11996"/>
    <x v="0"/>
    <n v="0"/>
    <n v="11996"/>
    <x v="4"/>
    <x v="1"/>
  </r>
  <r>
    <x v="701"/>
    <s v="25 Fri"/>
    <x v="3"/>
    <x v="0"/>
    <s v="CUST-1281"/>
    <s v="Nandini Saxena"/>
    <x v="1"/>
    <x v="5"/>
    <x v="8"/>
    <n v="3"/>
    <n v="349"/>
    <n v="1047"/>
    <x v="4"/>
    <n v="104.7"/>
    <n v="942.3"/>
    <x v="1"/>
    <x v="1"/>
  </r>
  <r>
    <x v="702"/>
    <s v="25 Fri"/>
    <x v="3"/>
    <x v="0"/>
    <s v="CUST-1373"/>
    <s v="Rahul Verma"/>
    <x v="0"/>
    <x v="0"/>
    <x v="0"/>
    <n v="1"/>
    <n v="99"/>
    <n v="99"/>
    <x v="2"/>
    <n v="4.95"/>
    <n v="94.05"/>
    <x v="1"/>
    <x v="0"/>
  </r>
  <r>
    <x v="703"/>
    <s v="25 Fri"/>
    <x v="3"/>
    <x v="0"/>
    <s v="CUST-1394"/>
    <s v="Tanya Malhotra"/>
    <x v="3"/>
    <x v="3"/>
    <x v="5"/>
    <n v="3"/>
    <n v="1299"/>
    <n v="3897"/>
    <x v="0"/>
    <n v="0"/>
    <n v="3897"/>
    <x v="2"/>
    <x v="0"/>
  </r>
  <r>
    <x v="704"/>
    <s v="25 Fri"/>
    <x v="3"/>
    <x v="0"/>
    <s v="CUST-1046"/>
    <s v="Rohan Kapoor"/>
    <x v="0"/>
    <x v="3"/>
    <x v="6"/>
    <n v="1"/>
    <n v="799"/>
    <n v="799"/>
    <x v="0"/>
    <n v="0"/>
    <n v="799"/>
    <x v="0"/>
    <x v="1"/>
  </r>
  <r>
    <x v="705"/>
    <s v="25 Fri"/>
    <x v="3"/>
    <x v="0"/>
    <s v="CUST-1100"/>
    <s v="Vivaan Saxena"/>
    <x v="4"/>
    <x v="4"/>
    <x v="10"/>
    <n v="4"/>
    <n v="899"/>
    <n v="3596"/>
    <x v="3"/>
    <n v="719.2"/>
    <n v="2876.8"/>
    <x v="0"/>
    <x v="0"/>
  </r>
  <r>
    <x v="706"/>
    <s v="26 Sat"/>
    <x v="3"/>
    <x v="0"/>
    <s v="CUST-1243"/>
    <s v="Aman Joshi"/>
    <x v="1"/>
    <x v="4"/>
    <x v="10"/>
    <n v="1"/>
    <n v="899"/>
    <n v="899"/>
    <x v="0"/>
    <n v="0"/>
    <n v="899"/>
    <x v="1"/>
    <x v="0"/>
  </r>
  <r>
    <x v="707"/>
    <s v="26 Sat"/>
    <x v="3"/>
    <x v="0"/>
    <s v="CUST-1006"/>
    <s v="Sakshi Singh"/>
    <x v="1"/>
    <x v="4"/>
    <x v="7"/>
    <n v="1"/>
    <n v="1999"/>
    <n v="1999"/>
    <x v="0"/>
    <n v="0"/>
    <n v="1999"/>
    <x v="0"/>
    <x v="0"/>
  </r>
  <r>
    <x v="708"/>
    <s v="26 Sat"/>
    <x v="3"/>
    <x v="0"/>
    <s v="CUST-1043"/>
    <s v="Divya Kapoor"/>
    <x v="0"/>
    <x v="1"/>
    <x v="14"/>
    <n v="3"/>
    <n v="1799"/>
    <n v="5397"/>
    <x v="0"/>
    <n v="0"/>
    <n v="5397"/>
    <x v="3"/>
    <x v="0"/>
  </r>
  <r>
    <x v="709"/>
    <s v="26 Sat"/>
    <x v="3"/>
    <x v="0"/>
    <s v="CUST-1126"/>
    <s v="Divya Sharma"/>
    <x v="0"/>
    <x v="2"/>
    <x v="15"/>
    <n v="1"/>
    <n v="299"/>
    <n v="299"/>
    <x v="4"/>
    <n v="29.9"/>
    <n v="269.10000000000002"/>
    <x v="1"/>
    <x v="1"/>
  </r>
  <r>
    <x v="710"/>
    <s v="26 Sat"/>
    <x v="3"/>
    <x v="0"/>
    <s v="CUST-1181"/>
    <s v="Kunal Sharma"/>
    <x v="4"/>
    <x v="0"/>
    <x v="0"/>
    <n v="5"/>
    <n v="99"/>
    <n v="495"/>
    <x v="0"/>
    <n v="0"/>
    <n v="495"/>
    <x v="3"/>
    <x v="0"/>
  </r>
  <r>
    <x v="711"/>
    <s v="26 Sat"/>
    <x v="3"/>
    <x v="0"/>
    <s v="CUST-1305"/>
    <s v="Muskan Joshi"/>
    <x v="1"/>
    <x v="1"/>
    <x v="2"/>
    <n v="5"/>
    <n v="599"/>
    <n v="2995"/>
    <x v="0"/>
    <n v="0"/>
    <n v="2995"/>
    <x v="2"/>
    <x v="0"/>
  </r>
  <r>
    <x v="712"/>
    <s v="27 Sun"/>
    <x v="3"/>
    <x v="0"/>
    <s v="CUST-1227"/>
    <s v="Rohan Joshi"/>
    <x v="1"/>
    <x v="4"/>
    <x v="7"/>
    <n v="3"/>
    <n v="1999"/>
    <n v="5997"/>
    <x v="4"/>
    <n v="599.70000000000005"/>
    <n v="5397.3"/>
    <x v="2"/>
    <x v="0"/>
  </r>
  <r>
    <x v="713"/>
    <s v="27 Sun"/>
    <x v="3"/>
    <x v="0"/>
    <s v="CUST-1018"/>
    <s v="Aditya Gupta"/>
    <x v="1"/>
    <x v="1"/>
    <x v="2"/>
    <n v="4"/>
    <n v="599"/>
    <n v="2396"/>
    <x v="3"/>
    <n v="479.2"/>
    <n v="1916.8"/>
    <x v="0"/>
    <x v="1"/>
  </r>
  <r>
    <x v="714"/>
    <s v="27 Sun"/>
    <x v="3"/>
    <x v="0"/>
    <s v="CUST-1274"/>
    <s v="Muskan Singh"/>
    <x v="2"/>
    <x v="6"/>
    <x v="12"/>
    <n v="1"/>
    <n v="1499"/>
    <n v="1499"/>
    <x v="0"/>
    <n v="0"/>
    <n v="1499"/>
    <x v="0"/>
    <x v="0"/>
  </r>
  <r>
    <x v="715"/>
    <s v="27 Sun"/>
    <x v="3"/>
    <x v="0"/>
    <s v="CUST-1364"/>
    <s v="Rahul Malhotra"/>
    <x v="0"/>
    <x v="0"/>
    <x v="0"/>
    <n v="2"/>
    <n v="99"/>
    <n v="198"/>
    <x v="1"/>
    <n v="29.7"/>
    <n v="168.3"/>
    <x v="2"/>
    <x v="0"/>
  </r>
  <r>
    <x v="716"/>
    <s v="27 Sun"/>
    <x v="3"/>
    <x v="0"/>
    <s v="CUST-1369"/>
    <s v="Rohan Sharma"/>
    <x v="1"/>
    <x v="3"/>
    <x v="6"/>
    <n v="4"/>
    <n v="799"/>
    <n v="3196"/>
    <x v="0"/>
    <n v="0"/>
    <n v="3196"/>
    <x v="2"/>
    <x v="0"/>
  </r>
  <r>
    <x v="717"/>
    <s v="27 Sun"/>
    <x v="3"/>
    <x v="0"/>
    <s v="CUST-1182"/>
    <s v="Swati Verma"/>
    <x v="2"/>
    <x v="5"/>
    <x v="8"/>
    <n v="4"/>
    <n v="349"/>
    <n v="1396"/>
    <x v="0"/>
    <n v="0"/>
    <n v="1396"/>
    <x v="1"/>
    <x v="1"/>
  </r>
  <r>
    <x v="718"/>
    <s v="27 Sun"/>
    <x v="3"/>
    <x v="0"/>
    <s v="CUST-1030"/>
    <s v="Rahul Kapoor"/>
    <x v="3"/>
    <x v="1"/>
    <x v="14"/>
    <n v="3"/>
    <n v="1799"/>
    <n v="5397"/>
    <x v="2"/>
    <n v="269.85000000000002"/>
    <n v="5127.1499999999996"/>
    <x v="1"/>
    <x v="1"/>
  </r>
  <r>
    <x v="719"/>
    <s v="28 Mon"/>
    <x v="3"/>
    <x v="0"/>
    <s v="CUST-1007"/>
    <s v="Aarav Sharma"/>
    <x v="0"/>
    <x v="6"/>
    <x v="12"/>
    <n v="3"/>
    <n v="1499"/>
    <n v="4497"/>
    <x v="2"/>
    <n v="224.85"/>
    <n v="4272.1499999999996"/>
    <x v="2"/>
    <x v="1"/>
  </r>
  <r>
    <x v="720"/>
    <s v="28 Mon"/>
    <x v="3"/>
    <x v="0"/>
    <s v="CUST-1214"/>
    <s v="Rohan Sharma"/>
    <x v="2"/>
    <x v="3"/>
    <x v="5"/>
    <n v="1"/>
    <n v="1299"/>
    <n v="1299"/>
    <x v="2"/>
    <n v="64.95"/>
    <n v="1234.05"/>
    <x v="4"/>
    <x v="0"/>
  </r>
  <r>
    <x v="721"/>
    <s v="28 Mon"/>
    <x v="3"/>
    <x v="0"/>
    <s v="CUST-1021"/>
    <s v="Isha Patel"/>
    <x v="1"/>
    <x v="4"/>
    <x v="10"/>
    <n v="1"/>
    <n v="899"/>
    <n v="899"/>
    <x v="2"/>
    <n v="44.95"/>
    <n v="854.05"/>
    <x v="4"/>
    <x v="1"/>
  </r>
  <r>
    <x v="722"/>
    <s v="28 Mon"/>
    <x v="3"/>
    <x v="0"/>
    <s v="CUST-1180"/>
    <s v="Muskan Joshi"/>
    <x v="1"/>
    <x v="0"/>
    <x v="0"/>
    <n v="4"/>
    <n v="99"/>
    <n v="396"/>
    <x v="0"/>
    <n v="0"/>
    <n v="396"/>
    <x v="3"/>
    <x v="0"/>
  </r>
  <r>
    <x v="723"/>
    <s v="28 Mon"/>
    <x v="3"/>
    <x v="0"/>
    <s v="CUST-1366"/>
    <s v="Vivaan Joshi"/>
    <x v="0"/>
    <x v="5"/>
    <x v="8"/>
    <n v="2"/>
    <n v="349"/>
    <n v="698"/>
    <x v="1"/>
    <n v="104.7"/>
    <n v="593.29999999999995"/>
    <x v="2"/>
    <x v="0"/>
  </r>
  <r>
    <x v="724"/>
    <s v="28 Mon"/>
    <x v="3"/>
    <x v="0"/>
    <s v="CUST-1141"/>
    <s v="Tanya Kapoor"/>
    <x v="0"/>
    <x v="0"/>
    <x v="0"/>
    <n v="5"/>
    <n v="99"/>
    <n v="495"/>
    <x v="3"/>
    <n v="99"/>
    <n v="396"/>
    <x v="2"/>
    <x v="1"/>
  </r>
  <r>
    <x v="725"/>
    <s v="28 Mon"/>
    <x v="3"/>
    <x v="0"/>
    <s v="CUST-1191"/>
    <s v="Nandini Malhotra"/>
    <x v="2"/>
    <x v="0"/>
    <x v="0"/>
    <n v="4"/>
    <n v="99"/>
    <n v="396"/>
    <x v="4"/>
    <n v="39.6"/>
    <n v="356.4"/>
    <x v="2"/>
    <x v="1"/>
  </r>
  <r>
    <x v="726"/>
    <s v="28 Mon"/>
    <x v="3"/>
    <x v="0"/>
    <s v="CUST-1129"/>
    <s v="Nandini Patel"/>
    <x v="0"/>
    <x v="2"/>
    <x v="3"/>
    <n v="2"/>
    <n v="249"/>
    <n v="498"/>
    <x v="2"/>
    <n v="24.9"/>
    <n v="473.1"/>
    <x v="3"/>
    <x v="0"/>
  </r>
  <r>
    <x v="727"/>
    <s v="28 Mon"/>
    <x v="3"/>
    <x v="0"/>
    <s v="CUST-1235"/>
    <s v="Meera Verma"/>
    <x v="1"/>
    <x v="5"/>
    <x v="9"/>
    <n v="3"/>
    <n v="549"/>
    <n v="1647"/>
    <x v="2"/>
    <n v="82.35"/>
    <n v="1564.65"/>
    <x v="1"/>
    <x v="1"/>
  </r>
  <r>
    <x v="728"/>
    <s v="28 Mon"/>
    <x v="3"/>
    <x v="0"/>
    <s v="CUST-1227"/>
    <s v="Rohan Joshi"/>
    <x v="1"/>
    <x v="6"/>
    <x v="12"/>
    <n v="2"/>
    <n v="1499"/>
    <n v="2998"/>
    <x v="1"/>
    <n v="449.7"/>
    <n v="2548.3000000000002"/>
    <x v="2"/>
    <x v="0"/>
  </r>
  <r>
    <x v="729"/>
    <s v="28 Mon"/>
    <x v="3"/>
    <x v="0"/>
    <s v="CUST-1157"/>
    <s v="Arjun Verma"/>
    <x v="4"/>
    <x v="1"/>
    <x v="4"/>
    <n v="2"/>
    <n v="2999"/>
    <n v="5998"/>
    <x v="4"/>
    <n v="599.79999999999995"/>
    <n v="5398.2"/>
    <x v="3"/>
    <x v="0"/>
  </r>
  <r>
    <x v="730"/>
    <s v="29 Tue"/>
    <x v="3"/>
    <x v="0"/>
    <s v="CUST-1087"/>
    <s v="Kabir Verma"/>
    <x v="2"/>
    <x v="3"/>
    <x v="5"/>
    <n v="2"/>
    <n v="1299"/>
    <n v="2598"/>
    <x v="4"/>
    <n v="259.8"/>
    <n v="2338.1999999999998"/>
    <x v="1"/>
    <x v="0"/>
  </r>
  <r>
    <x v="731"/>
    <s v="29 Tue"/>
    <x v="3"/>
    <x v="0"/>
    <s v="CUST-1116"/>
    <s v="Sakshi Mehta"/>
    <x v="0"/>
    <x v="6"/>
    <x v="12"/>
    <n v="4"/>
    <n v="1499"/>
    <n v="5996"/>
    <x v="4"/>
    <n v="599.6"/>
    <n v="5396.4"/>
    <x v="4"/>
    <x v="0"/>
  </r>
  <r>
    <x v="732"/>
    <s v="29 Tue"/>
    <x v="3"/>
    <x v="0"/>
    <s v="CUST-1086"/>
    <s v="Nandini Verma"/>
    <x v="1"/>
    <x v="1"/>
    <x v="2"/>
    <n v="1"/>
    <n v="599"/>
    <n v="599"/>
    <x v="3"/>
    <n v="119.8"/>
    <n v="479.2"/>
    <x v="0"/>
    <x v="0"/>
  </r>
  <r>
    <x v="733"/>
    <s v="29 Tue"/>
    <x v="3"/>
    <x v="0"/>
    <s v="CUST-1072"/>
    <s v="Tanya Sharma"/>
    <x v="4"/>
    <x v="0"/>
    <x v="0"/>
    <n v="1"/>
    <n v="99"/>
    <n v="99"/>
    <x v="2"/>
    <n v="4.95"/>
    <n v="94.05"/>
    <x v="0"/>
    <x v="0"/>
  </r>
  <r>
    <x v="734"/>
    <s v="29 Tue"/>
    <x v="3"/>
    <x v="0"/>
    <s v="CUST-1124"/>
    <s v="Aditya Gupta"/>
    <x v="3"/>
    <x v="5"/>
    <x v="9"/>
    <n v="4"/>
    <n v="549"/>
    <n v="2196"/>
    <x v="4"/>
    <n v="219.6"/>
    <n v="1976.4"/>
    <x v="0"/>
    <x v="1"/>
  </r>
  <r>
    <x v="735"/>
    <s v="29 Tue"/>
    <x v="3"/>
    <x v="0"/>
    <s v="CUST-1011"/>
    <s v="Kunal Sharma"/>
    <x v="3"/>
    <x v="0"/>
    <x v="1"/>
    <n v="1"/>
    <n v="199"/>
    <n v="199"/>
    <x v="1"/>
    <n v="29.85"/>
    <n v="169.15"/>
    <x v="2"/>
    <x v="0"/>
  </r>
  <r>
    <x v="736"/>
    <s v="29 Tue"/>
    <x v="3"/>
    <x v="0"/>
    <s v="CUST-1080"/>
    <s v="Kabir Sharma"/>
    <x v="3"/>
    <x v="2"/>
    <x v="3"/>
    <n v="3"/>
    <n v="249"/>
    <n v="747"/>
    <x v="3"/>
    <n v="149.4"/>
    <n v="597.6"/>
    <x v="3"/>
    <x v="1"/>
  </r>
  <r>
    <x v="737"/>
    <s v="29 Tue"/>
    <x v="3"/>
    <x v="0"/>
    <s v="CUST-1181"/>
    <s v="Kunal Sharma"/>
    <x v="4"/>
    <x v="3"/>
    <x v="5"/>
    <n v="1"/>
    <n v="1299"/>
    <n v="1299"/>
    <x v="0"/>
    <n v="0"/>
    <n v="1299"/>
    <x v="0"/>
    <x v="0"/>
  </r>
  <r>
    <x v="738"/>
    <s v="29 Tue"/>
    <x v="3"/>
    <x v="0"/>
    <s v="CUST-1235"/>
    <s v="Meera Verma"/>
    <x v="1"/>
    <x v="4"/>
    <x v="10"/>
    <n v="2"/>
    <n v="899"/>
    <n v="1798"/>
    <x v="0"/>
    <n v="0"/>
    <n v="1798"/>
    <x v="1"/>
    <x v="1"/>
  </r>
  <r>
    <x v="739"/>
    <s v="30 Wed"/>
    <x v="3"/>
    <x v="0"/>
    <s v="CUST-1265"/>
    <s v="Muskan Singh"/>
    <x v="3"/>
    <x v="4"/>
    <x v="10"/>
    <n v="2"/>
    <n v="899"/>
    <n v="1798"/>
    <x v="0"/>
    <n v="0"/>
    <n v="1798"/>
    <x v="4"/>
    <x v="0"/>
  </r>
  <r>
    <x v="740"/>
    <s v="30 Wed"/>
    <x v="3"/>
    <x v="0"/>
    <s v="CUST-1108"/>
    <s v="Kunal Patel"/>
    <x v="1"/>
    <x v="0"/>
    <x v="1"/>
    <n v="1"/>
    <n v="199"/>
    <n v="199"/>
    <x v="3"/>
    <n v="39.799999999999997"/>
    <n v="159.19999999999999"/>
    <x v="0"/>
    <x v="0"/>
  </r>
  <r>
    <x v="741"/>
    <s v="30 Wed"/>
    <x v="3"/>
    <x v="0"/>
    <s v="CUST-1393"/>
    <s v="Nandini Singh"/>
    <x v="0"/>
    <x v="1"/>
    <x v="2"/>
    <n v="2"/>
    <n v="599"/>
    <n v="1198"/>
    <x v="0"/>
    <n v="0"/>
    <n v="1198"/>
    <x v="0"/>
    <x v="0"/>
  </r>
  <r>
    <x v="742"/>
    <s v="30 Wed"/>
    <x v="3"/>
    <x v="0"/>
    <s v="CUST-1257"/>
    <s v="Shreya Saxena"/>
    <x v="2"/>
    <x v="0"/>
    <x v="0"/>
    <n v="1"/>
    <n v="99"/>
    <n v="99"/>
    <x v="0"/>
    <n v="0"/>
    <n v="99"/>
    <x v="4"/>
    <x v="0"/>
  </r>
  <r>
    <x v="743"/>
    <s v="30 Wed"/>
    <x v="3"/>
    <x v="0"/>
    <s v="CUST-1060"/>
    <s v="Swati Gupta"/>
    <x v="3"/>
    <x v="4"/>
    <x v="11"/>
    <n v="2"/>
    <n v="499"/>
    <n v="998"/>
    <x v="4"/>
    <n v="99.8"/>
    <n v="898.2"/>
    <x v="4"/>
    <x v="0"/>
  </r>
  <r>
    <x v="744"/>
    <s v="30 Wed"/>
    <x v="3"/>
    <x v="0"/>
    <s v="CUST-1073"/>
    <s v="Rahul Kapoor"/>
    <x v="4"/>
    <x v="5"/>
    <x v="9"/>
    <n v="1"/>
    <n v="549"/>
    <n v="549"/>
    <x v="0"/>
    <n v="0"/>
    <n v="549"/>
    <x v="1"/>
    <x v="0"/>
  </r>
  <r>
    <x v="745"/>
    <s v="30 Wed"/>
    <x v="3"/>
    <x v="0"/>
    <s v="CUST-1380"/>
    <s v="Meera Joshi"/>
    <x v="4"/>
    <x v="4"/>
    <x v="10"/>
    <n v="2"/>
    <n v="899"/>
    <n v="1798"/>
    <x v="1"/>
    <n v="269.7"/>
    <n v="1528.3"/>
    <x v="2"/>
    <x v="0"/>
  </r>
  <r>
    <x v="746"/>
    <s v="30 Wed"/>
    <x v="3"/>
    <x v="0"/>
    <s v="CUST-1063"/>
    <s v="Aman Sharma"/>
    <x v="2"/>
    <x v="3"/>
    <x v="6"/>
    <n v="1"/>
    <n v="799"/>
    <n v="799"/>
    <x v="0"/>
    <n v="0"/>
    <n v="799"/>
    <x v="4"/>
    <x v="1"/>
  </r>
  <r>
    <x v="747"/>
    <s v="1 Thu"/>
    <x v="4"/>
    <x v="0"/>
    <s v="CUST-1356"/>
    <s v="Isha Verma"/>
    <x v="2"/>
    <x v="5"/>
    <x v="8"/>
    <n v="3"/>
    <n v="349"/>
    <n v="1047"/>
    <x v="0"/>
    <n v="0"/>
    <n v="1047"/>
    <x v="3"/>
    <x v="1"/>
  </r>
  <r>
    <x v="748"/>
    <s v="1 Thu"/>
    <x v="4"/>
    <x v="0"/>
    <s v="CUST-1156"/>
    <s v="Nandini Joshi"/>
    <x v="2"/>
    <x v="6"/>
    <x v="13"/>
    <n v="2"/>
    <n v="699"/>
    <n v="1398"/>
    <x v="4"/>
    <n v="139.80000000000001"/>
    <n v="1258.2"/>
    <x v="0"/>
    <x v="0"/>
  </r>
  <r>
    <x v="749"/>
    <s v="1 Thu"/>
    <x v="4"/>
    <x v="0"/>
    <s v="CUST-1347"/>
    <s v="Ankit Joshi"/>
    <x v="0"/>
    <x v="5"/>
    <x v="9"/>
    <n v="3"/>
    <n v="549"/>
    <n v="1647"/>
    <x v="4"/>
    <n v="164.7"/>
    <n v="1482.3"/>
    <x v="2"/>
    <x v="1"/>
  </r>
  <r>
    <x v="750"/>
    <s v="1 Thu"/>
    <x v="4"/>
    <x v="0"/>
    <s v="CUST-1350"/>
    <s v="Isha Kapoor"/>
    <x v="1"/>
    <x v="4"/>
    <x v="7"/>
    <n v="3"/>
    <n v="1999"/>
    <n v="5997"/>
    <x v="2"/>
    <n v="299.85000000000002"/>
    <n v="5697.15"/>
    <x v="1"/>
    <x v="1"/>
  </r>
  <r>
    <x v="751"/>
    <s v="1 Thu"/>
    <x v="4"/>
    <x v="0"/>
    <s v="CUST-1047"/>
    <s v="Isha Kapoor"/>
    <x v="2"/>
    <x v="6"/>
    <x v="13"/>
    <n v="1"/>
    <n v="699"/>
    <n v="699"/>
    <x v="0"/>
    <n v="0"/>
    <n v="699"/>
    <x v="3"/>
    <x v="0"/>
  </r>
  <r>
    <x v="752"/>
    <s v="1 Thu"/>
    <x v="4"/>
    <x v="0"/>
    <s v="CUST-1184"/>
    <s v="Rahul Joshi"/>
    <x v="2"/>
    <x v="3"/>
    <x v="5"/>
    <n v="1"/>
    <n v="1299"/>
    <n v="1299"/>
    <x v="0"/>
    <n v="0"/>
    <n v="1299"/>
    <x v="2"/>
    <x v="0"/>
  </r>
  <r>
    <x v="753"/>
    <s v="2 Fri"/>
    <x v="4"/>
    <x v="0"/>
    <s v="CUST-1106"/>
    <s v="Ankit Saxena"/>
    <x v="2"/>
    <x v="2"/>
    <x v="3"/>
    <n v="1"/>
    <n v="249"/>
    <n v="249"/>
    <x v="0"/>
    <n v="0"/>
    <n v="249"/>
    <x v="4"/>
    <x v="0"/>
  </r>
  <r>
    <x v="754"/>
    <s v="2 Fri"/>
    <x v="4"/>
    <x v="0"/>
    <s v="CUST-1232"/>
    <s v="Aman Patel"/>
    <x v="2"/>
    <x v="3"/>
    <x v="6"/>
    <n v="5"/>
    <n v="799"/>
    <n v="3995"/>
    <x v="1"/>
    <n v="599.25"/>
    <n v="3395.75"/>
    <x v="0"/>
    <x v="0"/>
  </r>
  <r>
    <x v="755"/>
    <s v="2 Fri"/>
    <x v="4"/>
    <x v="0"/>
    <s v="CUST-1059"/>
    <s v="Kunal Verma"/>
    <x v="2"/>
    <x v="0"/>
    <x v="0"/>
    <n v="1"/>
    <n v="99"/>
    <n v="99"/>
    <x v="4"/>
    <n v="9.9"/>
    <n v="89.1"/>
    <x v="2"/>
    <x v="1"/>
  </r>
  <r>
    <x v="756"/>
    <s v="2 Fri"/>
    <x v="4"/>
    <x v="0"/>
    <s v="CUST-1025"/>
    <s v="Aditya Singh"/>
    <x v="4"/>
    <x v="3"/>
    <x v="5"/>
    <n v="1"/>
    <n v="1299"/>
    <n v="1299"/>
    <x v="3"/>
    <n v="259.8"/>
    <n v="1039.2"/>
    <x v="1"/>
    <x v="0"/>
  </r>
  <r>
    <x v="757"/>
    <s v="2 Fri"/>
    <x v="4"/>
    <x v="0"/>
    <s v="CUST-1365"/>
    <s v="Meera Singh"/>
    <x v="4"/>
    <x v="6"/>
    <x v="13"/>
    <n v="1"/>
    <n v="699"/>
    <n v="699"/>
    <x v="2"/>
    <n v="34.950000000000003"/>
    <n v="664.05"/>
    <x v="1"/>
    <x v="0"/>
  </r>
  <r>
    <x v="758"/>
    <s v="2 Fri"/>
    <x v="4"/>
    <x v="0"/>
    <s v="CUST-1156"/>
    <s v="Nandini Joshi"/>
    <x v="4"/>
    <x v="2"/>
    <x v="3"/>
    <n v="3"/>
    <n v="249"/>
    <n v="747"/>
    <x v="4"/>
    <n v="74.7"/>
    <n v="672.3"/>
    <x v="1"/>
    <x v="0"/>
  </r>
  <r>
    <x v="759"/>
    <s v="2 Fri"/>
    <x v="4"/>
    <x v="0"/>
    <s v="CUST-1058"/>
    <s v="Nandini Singh"/>
    <x v="2"/>
    <x v="1"/>
    <x v="14"/>
    <n v="1"/>
    <n v="1799"/>
    <n v="1799"/>
    <x v="0"/>
    <n v="0"/>
    <n v="1799"/>
    <x v="1"/>
    <x v="1"/>
  </r>
  <r>
    <x v="760"/>
    <s v="2 Fri"/>
    <x v="4"/>
    <x v="0"/>
    <s v="CUST-1216"/>
    <s v="Meera Malhotra"/>
    <x v="4"/>
    <x v="4"/>
    <x v="10"/>
    <n v="1"/>
    <n v="899"/>
    <n v="899"/>
    <x v="2"/>
    <n v="44.95"/>
    <n v="854.05"/>
    <x v="1"/>
    <x v="1"/>
  </r>
  <r>
    <x v="761"/>
    <s v="3 Sat"/>
    <x v="4"/>
    <x v="0"/>
    <s v="CUST-1110"/>
    <s v="Aman Malhotra"/>
    <x v="4"/>
    <x v="6"/>
    <x v="13"/>
    <n v="1"/>
    <n v="699"/>
    <n v="699"/>
    <x v="3"/>
    <n v="139.80000000000001"/>
    <n v="559.20000000000005"/>
    <x v="2"/>
    <x v="1"/>
  </r>
  <r>
    <x v="762"/>
    <s v="3 Sat"/>
    <x v="4"/>
    <x v="0"/>
    <s v="CUST-1374"/>
    <s v="Isha Sharma"/>
    <x v="4"/>
    <x v="6"/>
    <x v="12"/>
    <n v="1"/>
    <n v="1499"/>
    <n v="1499"/>
    <x v="2"/>
    <n v="74.95"/>
    <n v="1424.05"/>
    <x v="0"/>
    <x v="0"/>
  </r>
  <r>
    <x v="763"/>
    <s v="3 Sat"/>
    <x v="4"/>
    <x v="0"/>
    <s v="CUST-1293"/>
    <s v="Sakshi Singh"/>
    <x v="0"/>
    <x v="3"/>
    <x v="6"/>
    <n v="2"/>
    <n v="799"/>
    <n v="1598"/>
    <x v="0"/>
    <n v="0"/>
    <n v="1598"/>
    <x v="1"/>
    <x v="0"/>
  </r>
  <r>
    <x v="764"/>
    <s v="3 Sat"/>
    <x v="4"/>
    <x v="0"/>
    <s v="CUST-1161"/>
    <s v="Ankit Gupta"/>
    <x v="0"/>
    <x v="5"/>
    <x v="8"/>
    <n v="1"/>
    <n v="349"/>
    <n v="349"/>
    <x v="2"/>
    <n v="17.45"/>
    <n v="331.55"/>
    <x v="0"/>
    <x v="0"/>
  </r>
  <r>
    <x v="765"/>
    <s v="3 Sat"/>
    <x v="4"/>
    <x v="0"/>
    <s v="CUST-1247"/>
    <s v="Meera Malhotra"/>
    <x v="4"/>
    <x v="1"/>
    <x v="2"/>
    <n v="1"/>
    <n v="599"/>
    <n v="599"/>
    <x v="0"/>
    <n v="0"/>
    <n v="599"/>
    <x v="2"/>
    <x v="1"/>
  </r>
  <r>
    <x v="766"/>
    <s v="3 Sat"/>
    <x v="4"/>
    <x v="0"/>
    <s v="CUST-1268"/>
    <s v="Aman Verma"/>
    <x v="0"/>
    <x v="1"/>
    <x v="4"/>
    <n v="1"/>
    <n v="2999"/>
    <n v="2999"/>
    <x v="2"/>
    <n v="149.94999999999999"/>
    <n v="2849.05"/>
    <x v="1"/>
    <x v="0"/>
  </r>
  <r>
    <x v="767"/>
    <s v="3 Sat"/>
    <x v="4"/>
    <x v="0"/>
    <s v="CUST-1168"/>
    <s v="Nandini Joshi"/>
    <x v="4"/>
    <x v="3"/>
    <x v="6"/>
    <n v="5"/>
    <n v="799"/>
    <n v="3995"/>
    <x v="4"/>
    <n v="399.5"/>
    <n v="3595.5"/>
    <x v="4"/>
    <x v="0"/>
  </r>
  <r>
    <x v="768"/>
    <s v="3 Sat"/>
    <x v="4"/>
    <x v="0"/>
    <s v="CUST-1376"/>
    <s v="Kunal Kapoor"/>
    <x v="3"/>
    <x v="4"/>
    <x v="10"/>
    <n v="1"/>
    <n v="899"/>
    <n v="899"/>
    <x v="3"/>
    <n v="179.8"/>
    <n v="719.2"/>
    <x v="3"/>
    <x v="1"/>
  </r>
  <r>
    <x v="769"/>
    <s v="3 Sat"/>
    <x v="4"/>
    <x v="0"/>
    <s v="CUST-1153"/>
    <s v="Swati Verma"/>
    <x v="0"/>
    <x v="1"/>
    <x v="14"/>
    <n v="1"/>
    <n v="1799"/>
    <n v="1799"/>
    <x v="0"/>
    <n v="0"/>
    <n v="1799"/>
    <x v="0"/>
    <x v="0"/>
  </r>
  <r>
    <x v="770"/>
    <s v="4 Sun"/>
    <x v="4"/>
    <x v="0"/>
    <s v="CUST-1098"/>
    <s v="Rohan Patel"/>
    <x v="0"/>
    <x v="3"/>
    <x v="5"/>
    <n v="5"/>
    <n v="1299"/>
    <n v="6495"/>
    <x v="1"/>
    <n v="974.25"/>
    <n v="5520.75"/>
    <x v="3"/>
    <x v="0"/>
  </r>
  <r>
    <x v="771"/>
    <s v="4 Sun"/>
    <x v="4"/>
    <x v="0"/>
    <s v="CUST-1332"/>
    <s v="Rahul Malhotra"/>
    <x v="3"/>
    <x v="0"/>
    <x v="0"/>
    <n v="1"/>
    <n v="99"/>
    <n v="99"/>
    <x v="2"/>
    <n v="4.95"/>
    <n v="94.05"/>
    <x v="2"/>
    <x v="0"/>
  </r>
  <r>
    <x v="772"/>
    <s v="4 Sun"/>
    <x v="4"/>
    <x v="0"/>
    <s v="CUST-1370"/>
    <s v="Shreya Malhotra"/>
    <x v="1"/>
    <x v="5"/>
    <x v="8"/>
    <n v="5"/>
    <n v="349"/>
    <n v="1745"/>
    <x v="0"/>
    <n v="0"/>
    <n v="1745"/>
    <x v="4"/>
    <x v="1"/>
  </r>
  <r>
    <x v="773"/>
    <s v="4 Sun"/>
    <x v="4"/>
    <x v="0"/>
    <s v="CUST-1113"/>
    <s v="Swati Saxena"/>
    <x v="3"/>
    <x v="5"/>
    <x v="9"/>
    <n v="1"/>
    <n v="549"/>
    <n v="549"/>
    <x v="0"/>
    <n v="0"/>
    <n v="549"/>
    <x v="1"/>
    <x v="0"/>
  </r>
  <r>
    <x v="774"/>
    <s v="4 Sun"/>
    <x v="4"/>
    <x v="0"/>
    <s v="CUST-1299"/>
    <s v="Kabir Mehta"/>
    <x v="4"/>
    <x v="1"/>
    <x v="2"/>
    <n v="1"/>
    <n v="599"/>
    <n v="599"/>
    <x v="1"/>
    <n v="89.85"/>
    <n v="509.15"/>
    <x v="0"/>
    <x v="0"/>
  </r>
  <r>
    <x v="775"/>
    <s v="4 Sun"/>
    <x v="4"/>
    <x v="0"/>
    <s v="CUST-1082"/>
    <s v="Aarav Mehta"/>
    <x v="1"/>
    <x v="3"/>
    <x v="5"/>
    <n v="1"/>
    <n v="1299"/>
    <n v="1299"/>
    <x v="0"/>
    <n v="0"/>
    <n v="1299"/>
    <x v="0"/>
    <x v="1"/>
  </r>
  <r>
    <x v="776"/>
    <s v="4 Sun"/>
    <x v="4"/>
    <x v="0"/>
    <s v="CUST-1332"/>
    <s v="Rahul Malhotra"/>
    <x v="0"/>
    <x v="1"/>
    <x v="14"/>
    <n v="2"/>
    <n v="1799"/>
    <n v="3598"/>
    <x v="4"/>
    <n v="359.8"/>
    <n v="3238.2"/>
    <x v="2"/>
    <x v="1"/>
  </r>
  <r>
    <x v="777"/>
    <s v="5 Mon"/>
    <x v="4"/>
    <x v="0"/>
    <s v="CUST-1167"/>
    <s v="Nandini Verma"/>
    <x v="1"/>
    <x v="5"/>
    <x v="8"/>
    <n v="1"/>
    <n v="349"/>
    <n v="349"/>
    <x v="0"/>
    <n v="0"/>
    <n v="349"/>
    <x v="2"/>
    <x v="1"/>
  </r>
  <r>
    <x v="778"/>
    <s v="5 Mon"/>
    <x v="4"/>
    <x v="0"/>
    <s v="CUST-1013"/>
    <s v="Divya Joshi"/>
    <x v="0"/>
    <x v="4"/>
    <x v="7"/>
    <n v="1"/>
    <n v="1999"/>
    <n v="1999"/>
    <x v="0"/>
    <n v="0"/>
    <n v="1999"/>
    <x v="0"/>
    <x v="0"/>
  </r>
  <r>
    <x v="779"/>
    <s v="5 Mon"/>
    <x v="4"/>
    <x v="0"/>
    <s v="CUST-1208"/>
    <s v="Arjun Singh"/>
    <x v="2"/>
    <x v="4"/>
    <x v="7"/>
    <n v="3"/>
    <n v="1999"/>
    <n v="5997"/>
    <x v="4"/>
    <n v="599.70000000000005"/>
    <n v="5397.3"/>
    <x v="3"/>
    <x v="0"/>
  </r>
  <r>
    <x v="780"/>
    <s v="5 Mon"/>
    <x v="4"/>
    <x v="0"/>
    <s v="CUST-1240"/>
    <s v="Sakshi Patel"/>
    <x v="0"/>
    <x v="4"/>
    <x v="10"/>
    <n v="2"/>
    <n v="899"/>
    <n v="1798"/>
    <x v="1"/>
    <n v="269.7"/>
    <n v="1528.3"/>
    <x v="2"/>
    <x v="0"/>
  </r>
  <r>
    <x v="781"/>
    <s v="6 Tue"/>
    <x v="4"/>
    <x v="0"/>
    <s v="CUST-1015"/>
    <s v="Swati Joshi"/>
    <x v="3"/>
    <x v="2"/>
    <x v="3"/>
    <n v="3"/>
    <n v="249"/>
    <n v="747"/>
    <x v="1"/>
    <n v="112.05"/>
    <n v="634.95000000000005"/>
    <x v="2"/>
    <x v="0"/>
  </r>
  <r>
    <x v="782"/>
    <s v="6 Tue"/>
    <x v="4"/>
    <x v="0"/>
    <s v="CUST-1266"/>
    <s v="Vivaan Kapoor"/>
    <x v="1"/>
    <x v="1"/>
    <x v="2"/>
    <n v="1"/>
    <n v="599"/>
    <n v="599"/>
    <x v="3"/>
    <n v="119.8"/>
    <n v="479.2"/>
    <x v="1"/>
    <x v="0"/>
  </r>
  <r>
    <x v="783"/>
    <s v="6 Tue"/>
    <x v="4"/>
    <x v="0"/>
    <s v="CUST-1144"/>
    <s v="Divya Mehta"/>
    <x v="1"/>
    <x v="1"/>
    <x v="4"/>
    <n v="2"/>
    <n v="2999"/>
    <n v="5998"/>
    <x v="2"/>
    <n v="299.89999999999998"/>
    <n v="5698.1"/>
    <x v="1"/>
    <x v="0"/>
  </r>
  <r>
    <x v="784"/>
    <s v="6 Tue"/>
    <x v="4"/>
    <x v="0"/>
    <s v="CUST-1061"/>
    <s v="Muskan Patel"/>
    <x v="1"/>
    <x v="1"/>
    <x v="14"/>
    <n v="2"/>
    <n v="1799"/>
    <n v="3598"/>
    <x v="0"/>
    <n v="0"/>
    <n v="3598"/>
    <x v="1"/>
    <x v="1"/>
  </r>
  <r>
    <x v="785"/>
    <s v="7 Wed"/>
    <x v="4"/>
    <x v="0"/>
    <s v="CUST-1121"/>
    <s v="Rahul Kapoor"/>
    <x v="4"/>
    <x v="1"/>
    <x v="14"/>
    <n v="1"/>
    <n v="1799"/>
    <n v="1799"/>
    <x v="0"/>
    <n v="0"/>
    <n v="1799"/>
    <x v="4"/>
    <x v="1"/>
  </r>
  <r>
    <x v="786"/>
    <s v="7 Wed"/>
    <x v="4"/>
    <x v="0"/>
    <s v="CUST-1305"/>
    <s v="Muskan Joshi"/>
    <x v="3"/>
    <x v="3"/>
    <x v="6"/>
    <n v="3"/>
    <n v="799"/>
    <n v="2397"/>
    <x v="2"/>
    <n v="119.85"/>
    <n v="2277.15"/>
    <x v="1"/>
    <x v="0"/>
  </r>
  <r>
    <x v="787"/>
    <s v="7 Wed"/>
    <x v="4"/>
    <x v="0"/>
    <s v="CUST-1011"/>
    <s v="Kunal Sharma"/>
    <x v="4"/>
    <x v="5"/>
    <x v="8"/>
    <n v="1"/>
    <n v="349"/>
    <n v="349"/>
    <x v="0"/>
    <n v="0"/>
    <n v="349"/>
    <x v="0"/>
    <x v="1"/>
  </r>
  <r>
    <x v="788"/>
    <s v="7 Wed"/>
    <x v="4"/>
    <x v="0"/>
    <s v="CUST-1206"/>
    <s v="Aditya Gupta"/>
    <x v="4"/>
    <x v="3"/>
    <x v="6"/>
    <n v="4"/>
    <n v="799"/>
    <n v="3196"/>
    <x v="2"/>
    <n v="159.80000000000001"/>
    <n v="3036.2"/>
    <x v="1"/>
    <x v="0"/>
  </r>
  <r>
    <x v="789"/>
    <s v="8 Thu"/>
    <x v="4"/>
    <x v="0"/>
    <s v="CUST-1063"/>
    <s v="Aman Sharma"/>
    <x v="1"/>
    <x v="0"/>
    <x v="1"/>
    <n v="1"/>
    <n v="199"/>
    <n v="199"/>
    <x v="3"/>
    <n v="39.799999999999997"/>
    <n v="159.19999999999999"/>
    <x v="0"/>
    <x v="0"/>
  </r>
  <r>
    <x v="790"/>
    <s v="8 Thu"/>
    <x v="4"/>
    <x v="0"/>
    <s v="CUST-1310"/>
    <s v="Meera Patel"/>
    <x v="2"/>
    <x v="2"/>
    <x v="15"/>
    <n v="1"/>
    <n v="299"/>
    <n v="299"/>
    <x v="0"/>
    <n v="0"/>
    <n v="299"/>
    <x v="0"/>
    <x v="0"/>
  </r>
  <r>
    <x v="791"/>
    <s v="8 Thu"/>
    <x v="4"/>
    <x v="0"/>
    <s v="CUST-1322"/>
    <s v="Rahul Sharma"/>
    <x v="3"/>
    <x v="1"/>
    <x v="4"/>
    <n v="1"/>
    <n v="2999"/>
    <n v="2999"/>
    <x v="0"/>
    <n v="0"/>
    <n v="2999"/>
    <x v="4"/>
    <x v="1"/>
  </r>
  <r>
    <x v="792"/>
    <s v="8 Thu"/>
    <x v="4"/>
    <x v="0"/>
    <s v="CUST-1198"/>
    <s v="Vivaan Joshi"/>
    <x v="3"/>
    <x v="0"/>
    <x v="0"/>
    <n v="1"/>
    <n v="99"/>
    <n v="99"/>
    <x v="0"/>
    <n v="0"/>
    <n v="99"/>
    <x v="2"/>
    <x v="1"/>
  </r>
  <r>
    <x v="793"/>
    <s v="8 Thu"/>
    <x v="4"/>
    <x v="0"/>
    <s v="CUST-1288"/>
    <s v="Aditya Mehta"/>
    <x v="4"/>
    <x v="0"/>
    <x v="1"/>
    <n v="3"/>
    <n v="199"/>
    <n v="597"/>
    <x v="4"/>
    <n v="59.7"/>
    <n v="537.29999999999995"/>
    <x v="4"/>
    <x v="0"/>
  </r>
  <r>
    <x v="794"/>
    <s v="9 Fri"/>
    <x v="4"/>
    <x v="0"/>
    <s v="CUST-1044"/>
    <s v="Swati Saxena"/>
    <x v="3"/>
    <x v="2"/>
    <x v="15"/>
    <n v="1"/>
    <n v="299"/>
    <n v="299"/>
    <x v="0"/>
    <n v="0"/>
    <n v="299"/>
    <x v="2"/>
    <x v="1"/>
  </r>
  <r>
    <x v="795"/>
    <s v="9 Fri"/>
    <x v="4"/>
    <x v="0"/>
    <s v="CUST-1080"/>
    <s v="Kabir Sharma"/>
    <x v="4"/>
    <x v="2"/>
    <x v="3"/>
    <n v="2"/>
    <n v="249"/>
    <n v="498"/>
    <x v="0"/>
    <n v="0"/>
    <n v="498"/>
    <x v="1"/>
    <x v="0"/>
  </r>
  <r>
    <x v="796"/>
    <s v="9 Fri"/>
    <x v="4"/>
    <x v="0"/>
    <s v="CUST-1334"/>
    <s v="Kunal Singh"/>
    <x v="4"/>
    <x v="1"/>
    <x v="4"/>
    <n v="1"/>
    <n v="2999"/>
    <n v="2999"/>
    <x v="4"/>
    <n v="299.89999999999998"/>
    <n v="2699.1"/>
    <x v="2"/>
    <x v="0"/>
  </r>
  <r>
    <x v="797"/>
    <s v="10 Sat"/>
    <x v="4"/>
    <x v="0"/>
    <s v="CUST-1150"/>
    <s v="Isha Singh"/>
    <x v="1"/>
    <x v="0"/>
    <x v="1"/>
    <n v="1"/>
    <n v="199"/>
    <n v="199"/>
    <x v="0"/>
    <n v="0"/>
    <n v="199"/>
    <x v="3"/>
    <x v="0"/>
  </r>
  <r>
    <x v="798"/>
    <s v="10 Sat"/>
    <x v="4"/>
    <x v="0"/>
    <s v="CUST-1151"/>
    <s v="Aman Patel"/>
    <x v="0"/>
    <x v="2"/>
    <x v="3"/>
    <n v="4"/>
    <n v="249"/>
    <n v="996"/>
    <x v="2"/>
    <n v="49.8"/>
    <n v="946.2"/>
    <x v="3"/>
    <x v="0"/>
  </r>
  <r>
    <x v="799"/>
    <s v="10 Sat"/>
    <x v="4"/>
    <x v="0"/>
    <s v="CUST-1058"/>
    <s v="Nandini Singh"/>
    <x v="3"/>
    <x v="1"/>
    <x v="14"/>
    <n v="1"/>
    <n v="1799"/>
    <n v="1799"/>
    <x v="1"/>
    <n v="269.85000000000002"/>
    <n v="1529.15"/>
    <x v="0"/>
    <x v="0"/>
  </r>
  <r>
    <x v="800"/>
    <s v="10 Sat"/>
    <x v="4"/>
    <x v="0"/>
    <s v="CUST-1316"/>
    <s v="Komal Saxena"/>
    <x v="0"/>
    <x v="3"/>
    <x v="5"/>
    <n v="1"/>
    <n v="1299"/>
    <n v="1299"/>
    <x v="0"/>
    <n v="0"/>
    <n v="1299"/>
    <x v="1"/>
    <x v="0"/>
  </r>
  <r>
    <x v="801"/>
    <s v="10 Sat"/>
    <x v="4"/>
    <x v="0"/>
    <s v="CUST-1399"/>
    <s v="Vivaan Verma"/>
    <x v="3"/>
    <x v="5"/>
    <x v="9"/>
    <n v="1"/>
    <n v="549"/>
    <n v="549"/>
    <x v="4"/>
    <n v="54.9"/>
    <n v="494.1"/>
    <x v="0"/>
    <x v="0"/>
  </r>
  <r>
    <x v="802"/>
    <s v="10 Sat"/>
    <x v="4"/>
    <x v="0"/>
    <s v="CUST-1057"/>
    <s v="Tanya Malhotra"/>
    <x v="0"/>
    <x v="2"/>
    <x v="15"/>
    <n v="4"/>
    <n v="299"/>
    <n v="1196"/>
    <x v="2"/>
    <n v="59.8"/>
    <n v="1136.2"/>
    <x v="3"/>
    <x v="0"/>
  </r>
  <r>
    <x v="803"/>
    <s v="10 Sat"/>
    <x v="4"/>
    <x v="0"/>
    <s v="CUST-1321"/>
    <s v="Isha Mehta"/>
    <x v="2"/>
    <x v="1"/>
    <x v="4"/>
    <n v="2"/>
    <n v="2999"/>
    <n v="5998"/>
    <x v="1"/>
    <n v="899.7"/>
    <n v="5098.3"/>
    <x v="2"/>
    <x v="0"/>
  </r>
  <r>
    <x v="804"/>
    <s v="11 Sun"/>
    <x v="4"/>
    <x v="0"/>
    <s v="CUST-1025"/>
    <s v="Aditya Singh"/>
    <x v="2"/>
    <x v="2"/>
    <x v="3"/>
    <n v="2"/>
    <n v="249"/>
    <n v="498"/>
    <x v="1"/>
    <n v="74.7"/>
    <n v="423.3"/>
    <x v="1"/>
    <x v="0"/>
  </r>
  <r>
    <x v="805"/>
    <s v="11 Sun"/>
    <x v="4"/>
    <x v="0"/>
    <s v="CUST-1026"/>
    <s v="Rahul Saxena"/>
    <x v="2"/>
    <x v="3"/>
    <x v="6"/>
    <n v="1"/>
    <n v="799"/>
    <n v="799"/>
    <x v="1"/>
    <n v="119.85"/>
    <n v="679.15"/>
    <x v="0"/>
    <x v="0"/>
  </r>
  <r>
    <x v="806"/>
    <s v="11 Sun"/>
    <x v="4"/>
    <x v="0"/>
    <s v="CUST-1281"/>
    <s v="Nandini Saxena"/>
    <x v="0"/>
    <x v="1"/>
    <x v="2"/>
    <n v="1"/>
    <n v="599"/>
    <n v="599"/>
    <x v="0"/>
    <n v="0"/>
    <n v="599"/>
    <x v="3"/>
    <x v="1"/>
  </r>
  <r>
    <x v="807"/>
    <s v="11 Sun"/>
    <x v="4"/>
    <x v="0"/>
    <s v="CUST-1025"/>
    <s v="Aditya Singh"/>
    <x v="1"/>
    <x v="3"/>
    <x v="6"/>
    <n v="1"/>
    <n v="799"/>
    <n v="799"/>
    <x v="2"/>
    <n v="39.950000000000003"/>
    <n v="759.05"/>
    <x v="1"/>
    <x v="0"/>
  </r>
  <r>
    <x v="808"/>
    <s v="11 Sun"/>
    <x v="4"/>
    <x v="0"/>
    <s v="CUST-1301"/>
    <s v="Shreya Sharma"/>
    <x v="4"/>
    <x v="5"/>
    <x v="8"/>
    <n v="3"/>
    <n v="349"/>
    <n v="1047"/>
    <x v="1"/>
    <n v="157.05000000000001"/>
    <n v="889.95"/>
    <x v="4"/>
    <x v="0"/>
  </r>
  <r>
    <x v="809"/>
    <s v="11 Sun"/>
    <x v="4"/>
    <x v="0"/>
    <s v="CUST-1363"/>
    <s v="Arjun Joshi"/>
    <x v="1"/>
    <x v="5"/>
    <x v="8"/>
    <n v="1"/>
    <n v="349"/>
    <n v="349"/>
    <x v="4"/>
    <n v="34.9"/>
    <n v="314.10000000000002"/>
    <x v="1"/>
    <x v="0"/>
  </r>
  <r>
    <x v="810"/>
    <s v="11 Sun"/>
    <x v="4"/>
    <x v="0"/>
    <s v="CUST-1033"/>
    <s v="Meera Joshi"/>
    <x v="0"/>
    <x v="2"/>
    <x v="15"/>
    <n v="1"/>
    <n v="299"/>
    <n v="299"/>
    <x v="0"/>
    <n v="0"/>
    <n v="299"/>
    <x v="3"/>
    <x v="0"/>
  </r>
  <r>
    <x v="811"/>
    <s v="11 Sun"/>
    <x v="4"/>
    <x v="0"/>
    <s v="CUST-1045"/>
    <s v="Arjun Verma"/>
    <x v="1"/>
    <x v="0"/>
    <x v="1"/>
    <n v="4"/>
    <n v="199"/>
    <n v="796"/>
    <x v="3"/>
    <n v="159.19999999999999"/>
    <n v="636.79999999999995"/>
    <x v="0"/>
    <x v="0"/>
  </r>
  <r>
    <x v="812"/>
    <s v="11 Sun"/>
    <x v="4"/>
    <x v="0"/>
    <s v="CUST-1237"/>
    <s v="Divya Sharma"/>
    <x v="0"/>
    <x v="4"/>
    <x v="11"/>
    <n v="1"/>
    <n v="499"/>
    <n v="499"/>
    <x v="4"/>
    <n v="49.9"/>
    <n v="449.1"/>
    <x v="3"/>
    <x v="0"/>
  </r>
  <r>
    <x v="813"/>
    <s v="11 Sun"/>
    <x v="4"/>
    <x v="0"/>
    <s v="CUST-1234"/>
    <s v="Meera Sharma"/>
    <x v="3"/>
    <x v="2"/>
    <x v="3"/>
    <n v="1"/>
    <n v="249"/>
    <n v="249"/>
    <x v="0"/>
    <n v="0"/>
    <n v="249"/>
    <x v="0"/>
    <x v="0"/>
  </r>
  <r>
    <x v="814"/>
    <s v="11 Sun"/>
    <x v="4"/>
    <x v="0"/>
    <s v="CUST-1243"/>
    <s v="Aman Joshi"/>
    <x v="2"/>
    <x v="2"/>
    <x v="3"/>
    <n v="1"/>
    <n v="249"/>
    <n v="249"/>
    <x v="0"/>
    <n v="0"/>
    <n v="249"/>
    <x v="3"/>
    <x v="0"/>
  </r>
  <r>
    <x v="815"/>
    <s v="11 Sun"/>
    <x v="4"/>
    <x v="0"/>
    <s v="CUST-1387"/>
    <s v="Rohan Patel"/>
    <x v="2"/>
    <x v="0"/>
    <x v="0"/>
    <n v="1"/>
    <n v="99"/>
    <n v="99"/>
    <x v="4"/>
    <n v="9.9"/>
    <n v="89.1"/>
    <x v="1"/>
    <x v="0"/>
  </r>
  <r>
    <x v="816"/>
    <s v="11 Sun"/>
    <x v="4"/>
    <x v="0"/>
    <s v="CUST-1149"/>
    <s v="Aarav Verma"/>
    <x v="3"/>
    <x v="1"/>
    <x v="14"/>
    <n v="1"/>
    <n v="1799"/>
    <n v="1799"/>
    <x v="2"/>
    <n v="89.95"/>
    <n v="1709.05"/>
    <x v="0"/>
    <x v="1"/>
  </r>
  <r>
    <x v="817"/>
    <s v="12 Mon"/>
    <x v="4"/>
    <x v="0"/>
    <s v="CUST-1226"/>
    <s v="Tanya Joshi"/>
    <x v="4"/>
    <x v="5"/>
    <x v="8"/>
    <n v="5"/>
    <n v="349"/>
    <n v="1745"/>
    <x v="0"/>
    <n v="0"/>
    <n v="1745"/>
    <x v="0"/>
    <x v="0"/>
  </r>
  <r>
    <x v="818"/>
    <s v="12 Mon"/>
    <x v="4"/>
    <x v="0"/>
    <s v="CUST-1167"/>
    <s v="Nandini Verma"/>
    <x v="2"/>
    <x v="2"/>
    <x v="3"/>
    <n v="1"/>
    <n v="249"/>
    <n v="249"/>
    <x v="3"/>
    <n v="49.8"/>
    <n v="199.2"/>
    <x v="2"/>
    <x v="0"/>
  </r>
  <r>
    <x v="819"/>
    <s v="12 Mon"/>
    <x v="4"/>
    <x v="0"/>
    <s v="CUST-1001"/>
    <s v="Rohan Patel"/>
    <x v="0"/>
    <x v="4"/>
    <x v="7"/>
    <n v="1"/>
    <n v="1999"/>
    <n v="1999"/>
    <x v="4"/>
    <n v="199.9"/>
    <n v="1799.1"/>
    <x v="1"/>
    <x v="0"/>
  </r>
  <r>
    <x v="820"/>
    <s v="12 Mon"/>
    <x v="4"/>
    <x v="0"/>
    <s v="CUST-1363"/>
    <s v="Arjun Joshi"/>
    <x v="2"/>
    <x v="4"/>
    <x v="10"/>
    <n v="1"/>
    <n v="899"/>
    <n v="899"/>
    <x v="2"/>
    <n v="44.95"/>
    <n v="854.05"/>
    <x v="0"/>
    <x v="0"/>
  </r>
  <r>
    <x v="821"/>
    <s v="12 Mon"/>
    <x v="4"/>
    <x v="0"/>
    <s v="CUST-1073"/>
    <s v="Rahul Kapoor"/>
    <x v="1"/>
    <x v="5"/>
    <x v="8"/>
    <n v="2"/>
    <n v="349"/>
    <n v="698"/>
    <x v="2"/>
    <n v="34.9"/>
    <n v="663.1"/>
    <x v="2"/>
    <x v="0"/>
  </r>
  <r>
    <x v="822"/>
    <s v="12 Mon"/>
    <x v="4"/>
    <x v="0"/>
    <s v="CUST-1254"/>
    <s v="Meera Malhotra"/>
    <x v="1"/>
    <x v="4"/>
    <x v="7"/>
    <n v="2"/>
    <n v="1999"/>
    <n v="3998"/>
    <x v="1"/>
    <n v="599.70000000000005"/>
    <n v="3398.3"/>
    <x v="0"/>
    <x v="0"/>
  </r>
  <r>
    <x v="823"/>
    <s v="12 Mon"/>
    <x v="4"/>
    <x v="0"/>
    <s v="CUST-1030"/>
    <s v="Rahul Kapoor"/>
    <x v="2"/>
    <x v="6"/>
    <x v="13"/>
    <n v="3"/>
    <n v="699"/>
    <n v="2097"/>
    <x v="0"/>
    <n v="0"/>
    <n v="2097"/>
    <x v="2"/>
    <x v="0"/>
  </r>
  <r>
    <x v="824"/>
    <s v="12 Mon"/>
    <x v="4"/>
    <x v="0"/>
    <s v="CUST-1066"/>
    <s v="Kunal Verma"/>
    <x v="1"/>
    <x v="0"/>
    <x v="0"/>
    <n v="1"/>
    <n v="99"/>
    <n v="99"/>
    <x v="2"/>
    <n v="4.95"/>
    <n v="94.05"/>
    <x v="4"/>
    <x v="1"/>
  </r>
  <r>
    <x v="825"/>
    <s v="13 Tue"/>
    <x v="4"/>
    <x v="0"/>
    <s v="CUST-1030"/>
    <s v="Rahul Kapoor"/>
    <x v="1"/>
    <x v="0"/>
    <x v="0"/>
    <n v="4"/>
    <n v="99"/>
    <n v="396"/>
    <x v="0"/>
    <n v="0"/>
    <n v="396"/>
    <x v="2"/>
    <x v="1"/>
  </r>
  <r>
    <x v="826"/>
    <s v="13 Tue"/>
    <x v="4"/>
    <x v="0"/>
    <s v="CUST-1020"/>
    <s v="Rohan Malhotra"/>
    <x v="4"/>
    <x v="2"/>
    <x v="15"/>
    <n v="1"/>
    <n v="299"/>
    <n v="299"/>
    <x v="1"/>
    <n v="44.85"/>
    <n v="254.15"/>
    <x v="0"/>
    <x v="1"/>
  </r>
  <r>
    <x v="827"/>
    <s v="13 Tue"/>
    <x v="4"/>
    <x v="0"/>
    <s v="CUST-1053"/>
    <s v="Vivaan Malhotra"/>
    <x v="0"/>
    <x v="3"/>
    <x v="6"/>
    <n v="1"/>
    <n v="799"/>
    <n v="799"/>
    <x v="0"/>
    <n v="0"/>
    <n v="799"/>
    <x v="3"/>
    <x v="0"/>
  </r>
  <r>
    <x v="828"/>
    <s v="13 Tue"/>
    <x v="4"/>
    <x v="0"/>
    <s v="CUST-1223"/>
    <s v="Meera Saxena"/>
    <x v="1"/>
    <x v="1"/>
    <x v="14"/>
    <n v="1"/>
    <n v="1799"/>
    <n v="1799"/>
    <x v="4"/>
    <n v="179.9"/>
    <n v="1619.1"/>
    <x v="0"/>
    <x v="0"/>
  </r>
  <r>
    <x v="829"/>
    <s v="13 Tue"/>
    <x v="4"/>
    <x v="0"/>
    <s v="CUST-1324"/>
    <s v="Rahul Verma"/>
    <x v="2"/>
    <x v="1"/>
    <x v="4"/>
    <n v="1"/>
    <n v="2999"/>
    <n v="2999"/>
    <x v="0"/>
    <n v="0"/>
    <n v="2999"/>
    <x v="1"/>
    <x v="0"/>
  </r>
  <r>
    <x v="830"/>
    <s v="13 Tue"/>
    <x v="4"/>
    <x v="0"/>
    <s v="CUST-1146"/>
    <s v="Tanya Patel"/>
    <x v="3"/>
    <x v="6"/>
    <x v="12"/>
    <n v="4"/>
    <n v="1499"/>
    <n v="5996"/>
    <x v="3"/>
    <n v="1199.2"/>
    <n v="4796.8"/>
    <x v="2"/>
    <x v="0"/>
  </r>
  <r>
    <x v="831"/>
    <s v="14 Wed"/>
    <x v="4"/>
    <x v="0"/>
    <s v="CUST-1132"/>
    <s v="Shreya Sharma"/>
    <x v="4"/>
    <x v="1"/>
    <x v="2"/>
    <n v="1"/>
    <n v="599"/>
    <n v="599"/>
    <x v="0"/>
    <n v="0"/>
    <n v="599"/>
    <x v="4"/>
    <x v="1"/>
  </r>
  <r>
    <x v="832"/>
    <s v="14 Wed"/>
    <x v="4"/>
    <x v="0"/>
    <s v="CUST-1044"/>
    <s v="Swati Saxena"/>
    <x v="1"/>
    <x v="1"/>
    <x v="14"/>
    <n v="1"/>
    <n v="1799"/>
    <n v="1799"/>
    <x v="0"/>
    <n v="0"/>
    <n v="1799"/>
    <x v="1"/>
    <x v="0"/>
  </r>
  <r>
    <x v="833"/>
    <s v="14 Wed"/>
    <x v="4"/>
    <x v="0"/>
    <s v="CUST-1071"/>
    <s v="Kabir Malhotra"/>
    <x v="4"/>
    <x v="3"/>
    <x v="5"/>
    <n v="2"/>
    <n v="1299"/>
    <n v="2598"/>
    <x v="2"/>
    <n v="129.9"/>
    <n v="2468.1"/>
    <x v="0"/>
    <x v="0"/>
  </r>
  <r>
    <x v="834"/>
    <s v="14 Wed"/>
    <x v="4"/>
    <x v="0"/>
    <s v="CUST-1161"/>
    <s v="Ankit Gupta"/>
    <x v="2"/>
    <x v="6"/>
    <x v="13"/>
    <n v="2"/>
    <n v="699"/>
    <n v="1398"/>
    <x v="0"/>
    <n v="0"/>
    <n v="1398"/>
    <x v="3"/>
    <x v="0"/>
  </r>
  <r>
    <x v="835"/>
    <s v="15 Thu"/>
    <x v="4"/>
    <x v="0"/>
    <s v="CUST-1285"/>
    <s v="Ankit Joshi"/>
    <x v="0"/>
    <x v="5"/>
    <x v="8"/>
    <n v="4"/>
    <n v="349"/>
    <n v="1396"/>
    <x v="1"/>
    <n v="209.4"/>
    <n v="1186.5999999999999"/>
    <x v="3"/>
    <x v="0"/>
  </r>
  <r>
    <x v="836"/>
    <s v="15 Thu"/>
    <x v="4"/>
    <x v="0"/>
    <s v="CUST-1182"/>
    <s v="Swati Verma"/>
    <x v="3"/>
    <x v="4"/>
    <x v="10"/>
    <n v="2"/>
    <n v="899"/>
    <n v="1798"/>
    <x v="2"/>
    <n v="89.9"/>
    <n v="1708.1"/>
    <x v="0"/>
    <x v="0"/>
  </r>
  <r>
    <x v="837"/>
    <s v="15 Thu"/>
    <x v="4"/>
    <x v="0"/>
    <s v="CUST-1001"/>
    <s v="Rohan Patel"/>
    <x v="1"/>
    <x v="4"/>
    <x v="11"/>
    <n v="4"/>
    <n v="499"/>
    <n v="1996"/>
    <x v="4"/>
    <n v="199.6"/>
    <n v="1796.4"/>
    <x v="0"/>
    <x v="1"/>
  </r>
  <r>
    <x v="838"/>
    <s v="15 Thu"/>
    <x v="4"/>
    <x v="0"/>
    <s v="CUST-1201"/>
    <s v="Tanya Joshi"/>
    <x v="0"/>
    <x v="4"/>
    <x v="10"/>
    <n v="2"/>
    <n v="899"/>
    <n v="1798"/>
    <x v="3"/>
    <n v="359.6"/>
    <n v="1438.4"/>
    <x v="3"/>
    <x v="1"/>
  </r>
  <r>
    <x v="839"/>
    <s v="15 Thu"/>
    <x v="4"/>
    <x v="0"/>
    <s v="CUST-1291"/>
    <s v="Arjun Saxena"/>
    <x v="2"/>
    <x v="4"/>
    <x v="11"/>
    <n v="1"/>
    <n v="499"/>
    <n v="499"/>
    <x v="1"/>
    <n v="74.849999999999994"/>
    <n v="424.15"/>
    <x v="2"/>
    <x v="1"/>
  </r>
  <r>
    <x v="840"/>
    <s v="15 Thu"/>
    <x v="4"/>
    <x v="0"/>
    <s v="CUST-1292"/>
    <s v="Aman Singh"/>
    <x v="4"/>
    <x v="1"/>
    <x v="2"/>
    <n v="3"/>
    <n v="599"/>
    <n v="1797"/>
    <x v="3"/>
    <n v="359.4"/>
    <n v="1437.6"/>
    <x v="1"/>
    <x v="1"/>
  </r>
  <r>
    <x v="841"/>
    <s v="15 Thu"/>
    <x v="4"/>
    <x v="0"/>
    <s v="CUST-1338"/>
    <s v="Komal Malhotra"/>
    <x v="1"/>
    <x v="4"/>
    <x v="11"/>
    <n v="2"/>
    <n v="499"/>
    <n v="998"/>
    <x v="1"/>
    <n v="149.69999999999999"/>
    <n v="848.3"/>
    <x v="2"/>
    <x v="0"/>
  </r>
  <r>
    <x v="842"/>
    <s v="15 Thu"/>
    <x v="4"/>
    <x v="0"/>
    <s v="CUST-1269"/>
    <s v="Kunal Verma"/>
    <x v="0"/>
    <x v="1"/>
    <x v="2"/>
    <n v="1"/>
    <n v="599"/>
    <n v="599"/>
    <x v="4"/>
    <n v="59.9"/>
    <n v="539.1"/>
    <x v="3"/>
    <x v="0"/>
  </r>
  <r>
    <x v="843"/>
    <s v="15 Thu"/>
    <x v="4"/>
    <x v="0"/>
    <s v="CUST-1047"/>
    <s v="Isha Kapoor"/>
    <x v="4"/>
    <x v="4"/>
    <x v="10"/>
    <n v="1"/>
    <n v="899"/>
    <n v="899"/>
    <x v="2"/>
    <n v="44.95"/>
    <n v="854.05"/>
    <x v="3"/>
    <x v="1"/>
  </r>
  <r>
    <x v="844"/>
    <s v="15 Thu"/>
    <x v="4"/>
    <x v="0"/>
    <s v="CUST-1153"/>
    <s v="Swati Verma"/>
    <x v="4"/>
    <x v="4"/>
    <x v="7"/>
    <n v="1"/>
    <n v="1999"/>
    <n v="1999"/>
    <x v="0"/>
    <n v="0"/>
    <n v="1999"/>
    <x v="4"/>
    <x v="1"/>
  </r>
  <r>
    <x v="845"/>
    <s v="15 Thu"/>
    <x v="4"/>
    <x v="0"/>
    <s v="CUST-1141"/>
    <s v="Tanya Kapoor"/>
    <x v="4"/>
    <x v="1"/>
    <x v="4"/>
    <n v="1"/>
    <n v="2999"/>
    <n v="2999"/>
    <x v="0"/>
    <n v="0"/>
    <n v="2999"/>
    <x v="2"/>
    <x v="0"/>
  </r>
  <r>
    <x v="846"/>
    <s v="16 Fri"/>
    <x v="4"/>
    <x v="0"/>
    <s v="CUST-1227"/>
    <s v="Rohan Joshi"/>
    <x v="1"/>
    <x v="2"/>
    <x v="3"/>
    <n v="4"/>
    <n v="249"/>
    <n v="996"/>
    <x v="0"/>
    <n v="0"/>
    <n v="996"/>
    <x v="0"/>
    <x v="0"/>
  </r>
  <r>
    <x v="847"/>
    <s v="16 Fri"/>
    <x v="4"/>
    <x v="0"/>
    <s v="CUST-1119"/>
    <s v="Rahul Gupta"/>
    <x v="4"/>
    <x v="0"/>
    <x v="0"/>
    <n v="3"/>
    <n v="99"/>
    <n v="297"/>
    <x v="1"/>
    <n v="44.55"/>
    <n v="252.45"/>
    <x v="1"/>
    <x v="0"/>
  </r>
  <r>
    <x v="848"/>
    <s v="16 Fri"/>
    <x v="4"/>
    <x v="0"/>
    <s v="CUST-1112"/>
    <s v="Komal Gupta"/>
    <x v="4"/>
    <x v="0"/>
    <x v="0"/>
    <n v="1"/>
    <n v="99"/>
    <n v="99"/>
    <x v="2"/>
    <n v="4.95"/>
    <n v="94.05"/>
    <x v="2"/>
    <x v="0"/>
  </r>
  <r>
    <x v="849"/>
    <s v="16 Fri"/>
    <x v="4"/>
    <x v="0"/>
    <s v="CUST-1126"/>
    <s v="Divya Sharma"/>
    <x v="2"/>
    <x v="4"/>
    <x v="7"/>
    <n v="1"/>
    <n v="1999"/>
    <n v="1999"/>
    <x v="0"/>
    <n v="0"/>
    <n v="1999"/>
    <x v="2"/>
    <x v="0"/>
  </r>
  <r>
    <x v="850"/>
    <s v="17 Sat"/>
    <x v="4"/>
    <x v="0"/>
    <s v="CUST-1033"/>
    <s v="Meera Joshi"/>
    <x v="3"/>
    <x v="0"/>
    <x v="1"/>
    <n v="1"/>
    <n v="199"/>
    <n v="199"/>
    <x v="3"/>
    <n v="39.799999999999997"/>
    <n v="159.19999999999999"/>
    <x v="4"/>
    <x v="0"/>
  </r>
  <r>
    <x v="851"/>
    <s v="17 Sat"/>
    <x v="4"/>
    <x v="0"/>
    <s v="CUST-1031"/>
    <s v="Kabir Malhotra"/>
    <x v="3"/>
    <x v="4"/>
    <x v="7"/>
    <n v="3"/>
    <n v="1999"/>
    <n v="5997"/>
    <x v="1"/>
    <n v="899.55"/>
    <n v="5097.45"/>
    <x v="0"/>
    <x v="0"/>
  </r>
  <r>
    <x v="852"/>
    <s v="17 Sat"/>
    <x v="4"/>
    <x v="0"/>
    <s v="CUST-1152"/>
    <s v="Kabir Gupta"/>
    <x v="0"/>
    <x v="3"/>
    <x v="5"/>
    <n v="1"/>
    <n v="1299"/>
    <n v="1299"/>
    <x v="1"/>
    <n v="194.85"/>
    <n v="1104.1500000000001"/>
    <x v="3"/>
    <x v="0"/>
  </r>
  <r>
    <x v="853"/>
    <s v="18 Sun"/>
    <x v="4"/>
    <x v="0"/>
    <s v="CUST-1146"/>
    <s v="Tanya Patel"/>
    <x v="3"/>
    <x v="0"/>
    <x v="0"/>
    <n v="3"/>
    <n v="99"/>
    <n v="297"/>
    <x v="0"/>
    <n v="0"/>
    <n v="297"/>
    <x v="3"/>
    <x v="0"/>
  </r>
  <r>
    <x v="854"/>
    <s v="18 Sun"/>
    <x v="4"/>
    <x v="0"/>
    <s v="CUST-1289"/>
    <s v="Kunal Verma"/>
    <x v="4"/>
    <x v="6"/>
    <x v="12"/>
    <n v="3"/>
    <n v="1499"/>
    <n v="4497"/>
    <x v="3"/>
    <n v="899.4"/>
    <n v="3597.6"/>
    <x v="0"/>
    <x v="0"/>
  </r>
  <r>
    <x v="855"/>
    <s v="18 Sun"/>
    <x v="4"/>
    <x v="0"/>
    <s v="CUST-1092"/>
    <s v="Arjun Mehta"/>
    <x v="3"/>
    <x v="0"/>
    <x v="0"/>
    <n v="3"/>
    <n v="99"/>
    <n v="297"/>
    <x v="0"/>
    <n v="0"/>
    <n v="297"/>
    <x v="0"/>
    <x v="0"/>
  </r>
  <r>
    <x v="856"/>
    <s v="18 Sun"/>
    <x v="4"/>
    <x v="0"/>
    <s v="CUST-1128"/>
    <s v="Sakshi Malhotra"/>
    <x v="4"/>
    <x v="6"/>
    <x v="12"/>
    <n v="1"/>
    <n v="1499"/>
    <n v="1499"/>
    <x v="1"/>
    <n v="224.85"/>
    <n v="1274.1500000000001"/>
    <x v="0"/>
    <x v="0"/>
  </r>
  <r>
    <x v="857"/>
    <s v="18 Sun"/>
    <x v="4"/>
    <x v="0"/>
    <s v="CUST-1022"/>
    <s v="Tanya Verma"/>
    <x v="0"/>
    <x v="0"/>
    <x v="1"/>
    <n v="1"/>
    <n v="199"/>
    <n v="199"/>
    <x v="0"/>
    <n v="0"/>
    <n v="199"/>
    <x v="1"/>
    <x v="0"/>
  </r>
  <r>
    <x v="858"/>
    <s v="18 Sun"/>
    <x v="4"/>
    <x v="0"/>
    <s v="CUST-1203"/>
    <s v="Ankit Verma"/>
    <x v="1"/>
    <x v="4"/>
    <x v="7"/>
    <n v="3"/>
    <n v="1999"/>
    <n v="5997"/>
    <x v="1"/>
    <n v="899.55"/>
    <n v="5097.45"/>
    <x v="2"/>
    <x v="1"/>
  </r>
  <r>
    <x v="859"/>
    <s v="18 Sun"/>
    <x v="4"/>
    <x v="0"/>
    <s v="CUST-1016"/>
    <s v="Arjun Kapoor"/>
    <x v="1"/>
    <x v="5"/>
    <x v="9"/>
    <n v="1"/>
    <n v="549"/>
    <n v="549"/>
    <x v="1"/>
    <n v="82.35"/>
    <n v="466.65"/>
    <x v="0"/>
    <x v="0"/>
  </r>
  <r>
    <x v="860"/>
    <s v="18 Sun"/>
    <x v="4"/>
    <x v="0"/>
    <s v="CUST-1002"/>
    <s v="Shreya Mehta"/>
    <x v="3"/>
    <x v="4"/>
    <x v="7"/>
    <n v="2"/>
    <n v="1999"/>
    <n v="3998"/>
    <x v="1"/>
    <n v="599.70000000000005"/>
    <n v="3398.3"/>
    <x v="0"/>
    <x v="1"/>
  </r>
  <r>
    <x v="861"/>
    <s v="19 Mon"/>
    <x v="4"/>
    <x v="0"/>
    <s v="CUST-1382"/>
    <s v="Meera Verma"/>
    <x v="1"/>
    <x v="1"/>
    <x v="4"/>
    <n v="3"/>
    <n v="2999"/>
    <n v="8997"/>
    <x v="0"/>
    <n v="0"/>
    <n v="8997"/>
    <x v="2"/>
    <x v="1"/>
  </r>
  <r>
    <x v="862"/>
    <s v="19 Mon"/>
    <x v="4"/>
    <x v="0"/>
    <s v="CUST-1333"/>
    <s v="Aarav Gupta"/>
    <x v="1"/>
    <x v="3"/>
    <x v="6"/>
    <n v="1"/>
    <n v="799"/>
    <n v="799"/>
    <x v="0"/>
    <n v="0"/>
    <n v="799"/>
    <x v="0"/>
    <x v="0"/>
  </r>
  <r>
    <x v="863"/>
    <s v="19 Mon"/>
    <x v="4"/>
    <x v="0"/>
    <s v="CUST-1258"/>
    <s v="Muskan Joshi"/>
    <x v="3"/>
    <x v="3"/>
    <x v="5"/>
    <n v="3"/>
    <n v="1299"/>
    <n v="3897"/>
    <x v="0"/>
    <n v="0"/>
    <n v="3897"/>
    <x v="0"/>
    <x v="1"/>
  </r>
  <r>
    <x v="864"/>
    <s v="19 Mon"/>
    <x v="4"/>
    <x v="0"/>
    <s v="CUST-1327"/>
    <s v="Kunal Malhotra"/>
    <x v="1"/>
    <x v="5"/>
    <x v="8"/>
    <n v="2"/>
    <n v="349"/>
    <n v="698"/>
    <x v="0"/>
    <n v="0"/>
    <n v="698"/>
    <x v="0"/>
    <x v="0"/>
  </r>
  <r>
    <x v="865"/>
    <s v="19 Mon"/>
    <x v="4"/>
    <x v="0"/>
    <s v="CUST-1149"/>
    <s v="Aarav Verma"/>
    <x v="1"/>
    <x v="4"/>
    <x v="7"/>
    <n v="3"/>
    <n v="1999"/>
    <n v="5997"/>
    <x v="3"/>
    <n v="1199.4000000000001"/>
    <n v="4797.6000000000004"/>
    <x v="2"/>
    <x v="0"/>
  </r>
  <r>
    <x v="866"/>
    <s v="19 Mon"/>
    <x v="4"/>
    <x v="0"/>
    <s v="CUST-1071"/>
    <s v="Kabir Malhotra"/>
    <x v="1"/>
    <x v="5"/>
    <x v="8"/>
    <n v="1"/>
    <n v="349"/>
    <n v="349"/>
    <x v="0"/>
    <n v="0"/>
    <n v="349"/>
    <x v="1"/>
    <x v="0"/>
  </r>
  <r>
    <x v="867"/>
    <s v="19 Mon"/>
    <x v="4"/>
    <x v="0"/>
    <s v="CUST-1202"/>
    <s v="Isha Verma"/>
    <x v="3"/>
    <x v="4"/>
    <x v="11"/>
    <n v="1"/>
    <n v="499"/>
    <n v="499"/>
    <x v="1"/>
    <n v="74.849999999999994"/>
    <n v="424.15"/>
    <x v="2"/>
    <x v="0"/>
  </r>
  <r>
    <x v="868"/>
    <s v="19 Mon"/>
    <x v="4"/>
    <x v="0"/>
    <s v="CUST-1106"/>
    <s v="Ankit Saxena"/>
    <x v="1"/>
    <x v="3"/>
    <x v="6"/>
    <n v="1"/>
    <n v="799"/>
    <n v="799"/>
    <x v="0"/>
    <n v="0"/>
    <n v="799"/>
    <x v="2"/>
    <x v="0"/>
  </r>
  <r>
    <x v="869"/>
    <s v="19 Mon"/>
    <x v="4"/>
    <x v="0"/>
    <s v="CUST-1303"/>
    <s v="Sakshi Sharma"/>
    <x v="4"/>
    <x v="2"/>
    <x v="3"/>
    <n v="2"/>
    <n v="249"/>
    <n v="498"/>
    <x v="2"/>
    <n v="24.9"/>
    <n v="473.1"/>
    <x v="1"/>
    <x v="0"/>
  </r>
  <r>
    <x v="870"/>
    <s v="20 Tue"/>
    <x v="4"/>
    <x v="0"/>
    <s v="CUST-1354"/>
    <s v="Aman Saxena"/>
    <x v="3"/>
    <x v="0"/>
    <x v="1"/>
    <n v="1"/>
    <n v="199"/>
    <n v="199"/>
    <x v="0"/>
    <n v="0"/>
    <n v="199"/>
    <x v="0"/>
    <x v="0"/>
  </r>
  <r>
    <x v="871"/>
    <s v="20 Tue"/>
    <x v="4"/>
    <x v="0"/>
    <s v="CUST-1188"/>
    <s v="Shreya Malhotra"/>
    <x v="2"/>
    <x v="4"/>
    <x v="7"/>
    <n v="2"/>
    <n v="1999"/>
    <n v="3998"/>
    <x v="1"/>
    <n v="599.70000000000005"/>
    <n v="3398.3"/>
    <x v="1"/>
    <x v="0"/>
  </r>
  <r>
    <x v="872"/>
    <s v="20 Tue"/>
    <x v="4"/>
    <x v="0"/>
    <s v="CUST-1074"/>
    <s v="Kabir Kapoor"/>
    <x v="1"/>
    <x v="4"/>
    <x v="11"/>
    <n v="2"/>
    <n v="499"/>
    <n v="998"/>
    <x v="0"/>
    <n v="0"/>
    <n v="998"/>
    <x v="1"/>
    <x v="1"/>
  </r>
  <r>
    <x v="873"/>
    <s v="20 Tue"/>
    <x v="4"/>
    <x v="0"/>
    <s v="CUST-1345"/>
    <s v="Tanya Verma"/>
    <x v="4"/>
    <x v="4"/>
    <x v="11"/>
    <n v="1"/>
    <n v="499"/>
    <n v="499"/>
    <x v="1"/>
    <n v="74.849999999999994"/>
    <n v="424.15"/>
    <x v="4"/>
    <x v="0"/>
  </r>
  <r>
    <x v="874"/>
    <s v="20 Tue"/>
    <x v="4"/>
    <x v="0"/>
    <s v="CUST-1084"/>
    <s v="Kunal Saxena"/>
    <x v="2"/>
    <x v="4"/>
    <x v="10"/>
    <n v="1"/>
    <n v="899"/>
    <n v="899"/>
    <x v="4"/>
    <n v="89.9"/>
    <n v="809.1"/>
    <x v="3"/>
    <x v="0"/>
  </r>
  <r>
    <x v="875"/>
    <s v="21 Wed"/>
    <x v="4"/>
    <x v="0"/>
    <s v="CUST-1324"/>
    <s v="Rahul Verma"/>
    <x v="4"/>
    <x v="2"/>
    <x v="3"/>
    <n v="1"/>
    <n v="249"/>
    <n v="249"/>
    <x v="0"/>
    <n v="0"/>
    <n v="249"/>
    <x v="2"/>
    <x v="0"/>
  </r>
  <r>
    <x v="876"/>
    <s v="21 Wed"/>
    <x v="4"/>
    <x v="0"/>
    <s v="CUST-1110"/>
    <s v="Aman Malhotra"/>
    <x v="2"/>
    <x v="4"/>
    <x v="10"/>
    <n v="2"/>
    <n v="899"/>
    <n v="1798"/>
    <x v="0"/>
    <n v="0"/>
    <n v="1798"/>
    <x v="0"/>
    <x v="0"/>
  </r>
  <r>
    <x v="877"/>
    <s v="21 Wed"/>
    <x v="4"/>
    <x v="0"/>
    <s v="CUST-1186"/>
    <s v="Meera Verma"/>
    <x v="2"/>
    <x v="0"/>
    <x v="0"/>
    <n v="1"/>
    <n v="99"/>
    <n v="99"/>
    <x v="3"/>
    <n v="19.8"/>
    <n v="79.2"/>
    <x v="3"/>
    <x v="0"/>
  </r>
  <r>
    <x v="878"/>
    <s v="21 Wed"/>
    <x v="4"/>
    <x v="0"/>
    <s v="CUST-1293"/>
    <s v="Sakshi Singh"/>
    <x v="2"/>
    <x v="3"/>
    <x v="6"/>
    <n v="5"/>
    <n v="799"/>
    <n v="3995"/>
    <x v="3"/>
    <n v="799"/>
    <n v="3196"/>
    <x v="2"/>
    <x v="0"/>
  </r>
  <r>
    <x v="879"/>
    <s v="21 Wed"/>
    <x v="4"/>
    <x v="0"/>
    <s v="CUST-1193"/>
    <s v="Komal Saxena"/>
    <x v="0"/>
    <x v="0"/>
    <x v="0"/>
    <n v="1"/>
    <n v="99"/>
    <n v="99"/>
    <x v="3"/>
    <n v="19.8"/>
    <n v="79.2"/>
    <x v="2"/>
    <x v="0"/>
  </r>
  <r>
    <x v="880"/>
    <s v="21 Wed"/>
    <x v="4"/>
    <x v="0"/>
    <s v="CUST-1099"/>
    <s v="Rahul Malhotra"/>
    <x v="2"/>
    <x v="0"/>
    <x v="1"/>
    <n v="1"/>
    <n v="199"/>
    <n v="199"/>
    <x v="0"/>
    <n v="0"/>
    <n v="199"/>
    <x v="3"/>
    <x v="0"/>
  </r>
  <r>
    <x v="881"/>
    <s v="21 Wed"/>
    <x v="4"/>
    <x v="0"/>
    <s v="CUST-1388"/>
    <s v="Aarav Saxena"/>
    <x v="1"/>
    <x v="3"/>
    <x v="5"/>
    <n v="1"/>
    <n v="1299"/>
    <n v="1299"/>
    <x v="0"/>
    <n v="0"/>
    <n v="1299"/>
    <x v="0"/>
    <x v="1"/>
  </r>
  <r>
    <x v="882"/>
    <s v="21 Wed"/>
    <x v="4"/>
    <x v="0"/>
    <s v="CUST-1076"/>
    <s v="Tanya Saxena"/>
    <x v="4"/>
    <x v="1"/>
    <x v="4"/>
    <n v="1"/>
    <n v="2999"/>
    <n v="2999"/>
    <x v="0"/>
    <n v="0"/>
    <n v="2999"/>
    <x v="2"/>
    <x v="1"/>
  </r>
  <r>
    <x v="883"/>
    <s v="21 Wed"/>
    <x v="4"/>
    <x v="0"/>
    <s v="CUST-1188"/>
    <s v="Shreya Malhotra"/>
    <x v="4"/>
    <x v="1"/>
    <x v="2"/>
    <n v="1"/>
    <n v="599"/>
    <n v="599"/>
    <x v="3"/>
    <n v="119.8"/>
    <n v="479.2"/>
    <x v="1"/>
    <x v="0"/>
  </r>
  <r>
    <x v="884"/>
    <s v="21 Wed"/>
    <x v="4"/>
    <x v="0"/>
    <s v="CUST-1156"/>
    <s v="Nandini Joshi"/>
    <x v="2"/>
    <x v="4"/>
    <x v="7"/>
    <n v="1"/>
    <n v="1999"/>
    <n v="1999"/>
    <x v="0"/>
    <n v="0"/>
    <n v="1999"/>
    <x v="1"/>
    <x v="0"/>
  </r>
  <r>
    <x v="885"/>
    <s v="21 Wed"/>
    <x v="4"/>
    <x v="0"/>
    <s v="CUST-1268"/>
    <s v="Aman Verma"/>
    <x v="1"/>
    <x v="2"/>
    <x v="15"/>
    <n v="1"/>
    <n v="299"/>
    <n v="299"/>
    <x v="1"/>
    <n v="44.85"/>
    <n v="254.15"/>
    <x v="3"/>
    <x v="0"/>
  </r>
  <r>
    <x v="886"/>
    <s v="21 Wed"/>
    <x v="4"/>
    <x v="0"/>
    <s v="CUST-1122"/>
    <s v="Aditya Kapoor"/>
    <x v="0"/>
    <x v="3"/>
    <x v="6"/>
    <n v="1"/>
    <n v="799"/>
    <n v="799"/>
    <x v="2"/>
    <n v="39.950000000000003"/>
    <n v="759.05"/>
    <x v="3"/>
    <x v="0"/>
  </r>
  <r>
    <x v="887"/>
    <s v="21 Wed"/>
    <x v="4"/>
    <x v="0"/>
    <s v="CUST-1008"/>
    <s v="Meera Saxena"/>
    <x v="1"/>
    <x v="4"/>
    <x v="11"/>
    <n v="1"/>
    <n v="499"/>
    <n v="499"/>
    <x v="2"/>
    <n v="24.95"/>
    <n v="474.05"/>
    <x v="2"/>
    <x v="0"/>
  </r>
  <r>
    <x v="888"/>
    <s v="22 Thu"/>
    <x v="4"/>
    <x v="0"/>
    <s v="CUST-1154"/>
    <s v="Aditya Malhotra"/>
    <x v="1"/>
    <x v="4"/>
    <x v="10"/>
    <n v="2"/>
    <n v="899"/>
    <n v="1798"/>
    <x v="0"/>
    <n v="0"/>
    <n v="1798"/>
    <x v="3"/>
    <x v="0"/>
  </r>
  <r>
    <x v="889"/>
    <s v="22 Thu"/>
    <x v="4"/>
    <x v="0"/>
    <s v="CUST-1371"/>
    <s v="Rahul Verma"/>
    <x v="1"/>
    <x v="1"/>
    <x v="4"/>
    <n v="3"/>
    <n v="2999"/>
    <n v="8997"/>
    <x v="4"/>
    <n v="899.7"/>
    <n v="8097.3"/>
    <x v="4"/>
    <x v="1"/>
  </r>
  <r>
    <x v="890"/>
    <s v="22 Thu"/>
    <x v="4"/>
    <x v="0"/>
    <s v="CUST-1110"/>
    <s v="Aman Malhotra"/>
    <x v="3"/>
    <x v="2"/>
    <x v="3"/>
    <n v="3"/>
    <n v="249"/>
    <n v="747"/>
    <x v="4"/>
    <n v="74.7"/>
    <n v="672.3"/>
    <x v="4"/>
    <x v="1"/>
  </r>
  <r>
    <x v="891"/>
    <s v="22 Thu"/>
    <x v="4"/>
    <x v="0"/>
    <s v="CUST-1331"/>
    <s v="Arjun Singh"/>
    <x v="3"/>
    <x v="1"/>
    <x v="14"/>
    <n v="1"/>
    <n v="1799"/>
    <n v="1799"/>
    <x v="0"/>
    <n v="0"/>
    <n v="1799"/>
    <x v="2"/>
    <x v="1"/>
  </r>
  <r>
    <x v="892"/>
    <s v="22 Thu"/>
    <x v="4"/>
    <x v="0"/>
    <s v="CUST-1381"/>
    <s v="Kabir Kapoor"/>
    <x v="4"/>
    <x v="6"/>
    <x v="13"/>
    <n v="1"/>
    <n v="699"/>
    <n v="699"/>
    <x v="0"/>
    <n v="0"/>
    <n v="699"/>
    <x v="2"/>
    <x v="1"/>
  </r>
  <r>
    <x v="893"/>
    <s v="22 Thu"/>
    <x v="4"/>
    <x v="0"/>
    <s v="CUST-1306"/>
    <s v="Sakshi Malhotra"/>
    <x v="2"/>
    <x v="2"/>
    <x v="15"/>
    <n v="2"/>
    <n v="299"/>
    <n v="598"/>
    <x v="2"/>
    <n v="29.9"/>
    <n v="568.1"/>
    <x v="2"/>
    <x v="1"/>
  </r>
  <r>
    <x v="894"/>
    <s v="22 Thu"/>
    <x v="4"/>
    <x v="0"/>
    <s v="CUST-1210"/>
    <s v="Meera Sharma"/>
    <x v="3"/>
    <x v="1"/>
    <x v="4"/>
    <n v="1"/>
    <n v="2999"/>
    <n v="2999"/>
    <x v="4"/>
    <n v="299.89999999999998"/>
    <n v="2699.1"/>
    <x v="2"/>
    <x v="1"/>
  </r>
  <r>
    <x v="895"/>
    <s v="22 Thu"/>
    <x v="4"/>
    <x v="0"/>
    <s v="CUST-1047"/>
    <s v="Isha Kapoor"/>
    <x v="0"/>
    <x v="1"/>
    <x v="2"/>
    <n v="2"/>
    <n v="599"/>
    <n v="1198"/>
    <x v="0"/>
    <n v="0"/>
    <n v="1198"/>
    <x v="4"/>
    <x v="1"/>
  </r>
  <r>
    <x v="896"/>
    <s v="23 Fri"/>
    <x v="4"/>
    <x v="0"/>
    <s v="CUST-1062"/>
    <s v="Tanya Sharma"/>
    <x v="2"/>
    <x v="2"/>
    <x v="3"/>
    <n v="1"/>
    <n v="249"/>
    <n v="249"/>
    <x v="3"/>
    <n v="49.8"/>
    <n v="199.2"/>
    <x v="2"/>
    <x v="0"/>
  </r>
  <r>
    <x v="897"/>
    <s v="23 Fri"/>
    <x v="4"/>
    <x v="0"/>
    <s v="CUST-1376"/>
    <s v="Kunal Kapoor"/>
    <x v="3"/>
    <x v="3"/>
    <x v="5"/>
    <n v="1"/>
    <n v="1299"/>
    <n v="1299"/>
    <x v="0"/>
    <n v="0"/>
    <n v="1299"/>
    <x v="1"/>
    <x v="1"/>
  </r>
  <r>
    <x v="898"/>
    <s v="23 Fri"/>
    <x v="4"/>
    <x v="0"/>
    <s v="CUST-1002"/>
    <s v="Shreya Mehta"/>
    <x v="3"/>
    <x v="0"/>
    <x v="1"/>
    <n v="4"/>
    <n v="199"/>
    <n v="796"/>
    <x v="0"/>
    <n v="0"/>
    <n v="796"/>
    <x v="1"/>
    <x v="1"/>
  </r>
  <r>
    <x v="899"/>
    <s v="23 Fri"/>
    <x v="4"/>
    <x v="0"/>
    <s v="CUST-1161"/>
    <s v="Ankit Gupta"/>
    <x v="4"/>
    <x v="0"/>
    <x v="0"/>
    <n v="2"/>
    <n v="99"/>
    <n v="198"/>
    <x v="3"/>
    <n v="39.6"/>
    <n v="158.4"/>
    <x v="1"/>
    <x v="0"/>
  </r>
  <r>
    <x v="900"/>
    <s v="23 Fri"/>
    <x v="4"/>
    <x v="0"/>
    <s v="CUST-1143"/>
    <s v="Muskan Saxena"/>
    <x v="2"/>
    <x v="0"/>
    <x v="0"/>
    <n v="1"/>
    <n v="99"/>
    <n v="99"/>
    <x v="0"/>
    <n v="0"/>
    <n v="99"/>
    <x v="3"/>
    <x v="1"/>
  </r>
  <r>
    <x v="901"/>
    <s v="23 Fri"/>
    <x v="4"/>
    <x v="0"/>
    <s v="CUST-1217"/>
    <s v="Ankit Patel"/>
    <x v="4"/>
    <x v="1"/>
    <x v="4"/>
    <n v="1"/>
    <n v="2999"/>
    <n v="2999"/>
    <x v="0"/>
    <n v="0"/>
    <n v="2999"/>
    <x v="3"/>
    <x v="1"/>
  </r>
  <r>
    <x v="902"/>
    <s v="23 Fri"/>
    <x v="4"/>
    <x v="0"/>
    <s v="CUST-1350"/>
    <s v="Isha Kapoor"/>
    <x v="3"/>
    <x v="0"/>
    <x v="1"/>
    <n v="1"/>
    <n v="199"/>
    <n v="199"/>
    <x v="0"/>
    <n v="0"/>
    <n v="199"/>
    <x v="0"/>
    <x v="0"/>
  </r>
  <r>
    <x v="903"/>
    <s v="24 Sat"/>
    <x v="4"/>
    <x v="0"/>
    <s v="CUST-1106"/>
    <s v="Ankit Saxena"/>
    <x v="0"/>
    <x v="1"/>
    <x v="4"/>
    <n v="1"/>
    <n v="2999"/>
    <n v="2999"/>
    <x v="0"/>
    <n v="0"/>
    <n v="2999"/>
    <x v="3"/>
    <x v="0"/>
  </r>
  <r>
    <x v="904"/>
    <s v="24 Sat"/>
    <x v="4"/>
    <x v="0"/>
    <s v="CUST-1072"/>
    <s v="Tanya Sharma"/>
    <x v="3"/>
    <x v="6"/>
    <x v="12"/>
    <n v="3"/>
    <n v="1499"/>
    <n v="4497"/>
    <x v="4"/>
    <n v="449.7"/>
    <n v="4047.3"/>
    <x v="0"/>
    <x v="1"/>
  </r>
  <r>
    <x v="905"/>
    <s v="24 Sat"/>
    <x v="4"/>
    <x v="0"/>
    <s v="CUST-1333"/>
    <s v="Aarav Gupta"/>
    <x v="4"/>
    <x v="1"/>
    <x v="2"/>
    <n v="1"/>
    <n v="599"/>
    <n v="599"/>
    <x v="0"/>
    <n v="0"/>
    <n v="599"/>
    <x v="0"/>
    <x v="1"/>
  </r>
  <r>
    <x v="906"/>
    <s v="24 Sat"/>
    <x v="4"/>
    <x v="0"/>
    <s v="CUST-1212"/>
    <s v="Komal Joshi"/>
    <x v="0"/>
    <x v="1"/>
    <x v="4"/>
    <n v="2"/>
    <n v="2999"/>
    <n v="5998"/>
    <x v="4"/>
    <n v="599.79999999999995"/>
    <n v="5398.2"/>
    <x v="3"/>
    <x v="1"/>
  </r>
  <r>
    <x v="907"/>
    <s v="24 Sat"/>
    <x v="4"/>
    <x v="0"/>
    <s v="CUST-1200"/>
    <s v="Swati Saxena"/>
    <x v="4"/>
    <x v="3"/>
    <x v="6"/>
    <n v="2"/>
    <n v="799"/>
    <n v="1598"/>
    <x v="0"/>
    <n v="0"/>
    <n v="1598"/>
    <x v="0"/>
    <x v="1"/>
  </r>
  <r>
    <x v="908"/>
    <s v="24 Sat"/>
    <x v="4"/>
    <x v="0"/>
    <s v="CUST-1251"/>
    <s v="Aarav Singh"/>
    <x v="0"/>
    <x v="1"/>
    <x v="14"/>
    <n v="3"/>
    <n v="1799"/>
    <n v="5397"/>
    <x v="0"/>
    <n v="0"/>
    <n v="5397"/>
    <x v="1"/>
    <x v="0"/>
  </r>
  <r>
    <x v="909"/>
    <s v="24 Sat"/>
    <x v="4"/>
    <x v="0"/>
    <s v="CUST-1063"/>
    <s v="Aman Sharma"/>
    <x v="1"/>
    <x v="6"/>
    <x v="13"/>
    <n v="1"/>
    <n v="699"/>
    <n v="699"/>
    <x v="0"/>
    <n v="0"/>
    <n v="699"/>
    <x v="0"/>
    <x v="1"/>
  </r>
  <r>
    <x v="910"/>
    <s v="24 Sat"/>
    <x v="4"/>
    <x v="0"/>
    <s v="CUST-1007"/>
    <s v="Aarav Sharma"/>
    <x v="4"/>
    <x v="6"/>
    <x v="12"/>
    <n v="4"/>
    <n v="1499"/>
    <n v="5996"/>
    <x v="0"/>
    <n v="0"/>
    <n v="5996"/>
    <x v="0"/>
    <x v="0"/>
  </r>
  <r>
    <x v="911"/>
    <s v="25 Sun"/>
    <x v="4"/>
    <x v="0"/>
    <s v="CUST-1344"/>
    <s v="Nandini Saxena"/>
    <x v="0"/>
    <x v="1"/>
    <x v="14"/>
    <n v="2"/>
    <n v="1799"/>
    <n v="3598"/>
    <x v="0"/>
    <n v="0"/>
    <n v="3598"/>
    <x v="1"/>
    <x v="0"/>
  </r>
  <r>
    <x v="912"/>
    <s v="25 Sun"/>
    <x v="4"/>
    <x v="0"/>
    <s v="CUST-1152"/>
    <s v="Kabir Gupta"/>
    <x v="4"/>
    <x v="0"/>
    <x v="0"/>
    <n v="1"/>
    <n v="99"/>
    <n v="99"/>
    <x v="1"/>
    <n v="14.85"/>
    <n v="84.15"/>
    <x v="0"/>
    <x v="1"/>
  </r>
  <r>
    <x v="913"/>
    <s v="25 Sun"/>
    <x v="4"/>
    <x v="0"/>
    <s v="CUST-1181"/>
    <s v="Kunal Sharma"/>
    <x v="4"/>
    <x v="6"/>
    <x v="12"/>
    <n v="2"/>
    <n v="1499"/>
    <n v="2998"/>
    <x v="1"/>
    <n v="449.7"/>
    <n v="2548.3000000000002"/>
    <x v="2"/>
    <x v="0"/>
  </r>
  <r>
    <x v="914"/>
    <s v="25 Sun"/>
    <x v="4"/>
    <x v="0"/>
    <s v="CUST-1173"/>
    <s v="Ankit Gupta"/>
    <x v="4"/>
    <x v="5"/>
    <x v="9"/>
    <n v="2"/>
    <n v="549"/>
    <n v="1098"/>
    <x v="0"/>
    <n v="0"/>
    <n v="1098"/>
    <x v="3"/>
    <x v="0"/>
  </r>
  <r>
    <x v="915"/>
    <s v="25 Sun"/>
    <x v="4"/>
    <x v="0"/>
    <s v="CUST-1159"/>
    <s v="Isha Kapoor"/>
    <x v="4"/>
    <x v="6"/>
    <x v="12"/>
    <n v="3"/>
    <n v="1499"/>
    <n v="4497"/>
    <x v="0"/>
    <n v="0"/>
    <n v="4497"/>
    <x v="3"/>
    <x v="0"/>
  </r>
  <r>
    <x v="916"/>
    <s v="25 Sun"/>
    <x v="4"/>
    <x v="0"/>
    <s v="CUST-1130"/>
    <s v="Aditya Singh"/>
    <x v="1"/>
    <x v="2"/>
    <x v="15"/>
    <n v="3"/>
    <n v="299"/>
    <n v="897"/>
    <x v="0"/>
    <n v="0"/>
    <n v="897"/>
    <x v="2"/>
    <x v="0"/>
  </r>
  <r>
    <x v="917"/>
    <s v="25 Sun"/>
    <x v="4"/>
    <x v="0"/>
    <s v="CUST-1380"/>
    <s v="Meera Joshi"/>
    <x v="0"/>
    <x v="4"/>
    <x v="11"/>
    <n v="1"/>
    <n v="499"/>
    <n v="499"/>
    <x v="4"/>
    <n v="49.9"/>
    <n v="449.1"/>
    <x v="3"/>
    <x v="0"/>
  </r>
  <r>
    <x v="918"/>
    <s v="25 Sun"/>
    <x v="4"/>
    <x v="0"/>
    <s v="CUST-1088"/>
    <s v="Arjun Patel"/>
    <x v="3"/>
    <x v="5"/>
    <x v="9"/>
    <n v="2"/>
    <n v="549"/>
    <n v="1098"/>
    <x v="0"/>
    <n v="0"/>
    <n v="1098"/>
    <x v="4"/>
    <x v="1"/>
  </r>
  <r>
    <x v="919"/>
    <s v="26 Mon"/>
    <x v="4"/>
    <x v="0"/>
    <s v="CUST-1065"/>
    <s v="Vivaan Patel"/>
    <x v="0"/>
    <x v="5"/>
    <x v="8"/>
    <n v="1"/>
    <n v="349"/>
    <n v="349"/>
    <x v="0"/>
    <n v="0"/>
    <n v="349"/>
    <x v="2"/>
    <x v="1"/>
  </r>
  <r>
    <x v="920"/>
    <s v="26 Mon"/>
    <x v="4"/>
    <x v="0"/>
    <s v="CUST-1158"/>
    <s v="Shreya Singh"/>
    <x v="2"/>
    <x v="0"/>
    <x v="1"/>
    <n v="4"/>
    <n v="199"/>
    <n v="796"/>
    <x v="1"/>
    <n v="119.4"/>
    <n v="676.6"/>
    <x v="0"/>
    <x v="1"/>
  </r>
  <r>
    <x v="921"/>
    <s v="26 Mon"/>
    <x v="4"/>
    <x v="0"/>
    <s v="CUST-1233"/>
    <s v="Rahul Joshi"/>
    <x v="0"/>
    <x v="5"/>
    <x v="8"/>
    <n v="1"/>
    <n v="349"/>
    <n v="349"/>
    <x v="3"/>
    <n v="69.8"/>
    <n v="279.2"/>
    <x v="1"/>
    <x v="0"/>
  </r>
  <r>
    <x v="922"/>
    <s v="26 Mon"/>
    <x v="4"/>
    <x v="0"/>
    <s v="CUST-1183"/>
    <s v="Arjun Mehta"/>
    <x v="3"/>
    <x v="6"/>
    <x v="12"/>
    <n v="2"/>
    <n v="1499"/>
    <n v="2998"/>
    <x v="4"/>
    <n v="299.8"/>
    <n v="2698.2"/>
    <x v="1"/>
    <x v="0"/>
  </r>
  <r>
    <x v="923"/>
    <s v="26 Mon"/>
    <x v="4"/>
    <x v="0"/>
    <s v="CUST-1250"/>
    <s v="Shreya Saxena"/>
    <x v="1"/>
    <x v="6"/>
    <x v="12"/>
    <n v="4"/>
    <n v="1499"/>
    <n v="5996"/>
    <x v="0"/>
    <n v="0"/>
    <n v="5996"/>
    <x v="0"/>
    <x v="0"/>
  </r>
  <r>
    <x v="924"/>
    <s v="26 Mon"/>
    <x v="4"/>
    <x v="0"/>
    <s v="CUST-1002"/>
    <s v="Shreya Mehta"/>
    <x v="0"/>
    <x v="0"/>
    <x v="0"/>
    <n v="1"/>
    <n v="99"/>
    <n v="99"/>
    <x v="1"/>
    <n v="14.85"/>
    <n v="84.15"/>
    <x v="2"/>
    <x v="0"/>
  </r>
  <r>
    <x v="925"/>
    <s v="27 Tue"/>
    <x v="4"/>
    <x v="0"/>
    <s v="CUST-1001"/>
    <s v="Rohan Patel"/>
    <x v="3"/>
    <x v="6"/>
    <x v="12"/>
    <n v="3"/>
    <n v="1499"/>
    <n v="4497"/>
    <x v="0"/>
    <n v="0"/>
    <n v="4497"/>
    <x v="2"/>
    <x v="0"/>
  </r>
  <r>
    <x v="926"/>
    <s v="27 Tue"/>
    <x v="4"/>
    <x v="0"/>
    <s v="CUST-1307"/>
    <s v="Swati Kapoor"/>
    <x v="0"/>
    <x v="3"/>
    <x v="5"/>
    <n v="2"/>
    <n v="1299"/>
    <n v="2598"/>
    <x v="1"/>
    <n v="389.7"/>
    <n v="2208.3000000000002"/>
    <x v="2"/>
    <x v="0"/>
  </r>
  <r>
    <x v="927"/>
    <s v="27 Tue"/>
    <x v="4"/>
    <x v="0"/>
    <s v="CUST-1201"/>
    <s v="Tanya Joshi"/>
    <x v="0"/>
    <x v="0"/>
    <x v="0"/>
    <n v="5"/>
    <n v="99"/>
    <n v="495"/>
    <x v="4"/>
    <n v="49.5"/>
    <n v="445.5"/>
    <x v="4"/>
    <x v="0"/>
  </r>
  <r>
    <x v="928"/>
    <s v="27 Tue"/>
    <x v="4"/>
    <x v="0"/>
    <s v="CUST-1117"/>
    <s v="Aman Saxena"/>
    <x v="1"/>
    <x v="2"/>
    <x v="3"/>
    <n v="3"/>
    <n v="249"/>
    <n v="747"/>
    <x v="0"/>
    <n v="0"/>
    <n v="747"/>
    <x v="1"/>
    <x v="0"/>
  </r>
  <r>
    <x v="929"/>
    <s v="27 Tue"/>
    <x v="4"/>
    <x v="0"/>
    <s v="CUST-1029"/>
    <s v="Swati Patel"/>
    <x v="0"/>
    <x v="4"/>
    <x v="11"/>
    <n v="2"/>
    <n v="499"/>
    <n v="998"/>
    <x v="2"/>
    <n v="49.9"/>
    <n v="948.1"/>
    <x v="1"/>
    <x v="1"/>
  </r>
  <r>
    <x v="930"/>
    <s v="27 Tue"/>
    <x v="4"/>
    <x v="0"/>
    <s v="CUST-1308"/>
    <s v="Shreya Sharma"/>
    <x v="2"/>
    <x v="0"/>
    <x v="1"/>
    <n v="1"/>
    <n v="199"/>
    <n v="199"/>
    <x v="0"/>
    <n v="0"/>
    <n v="199"/>
    <x v="2"/>
    <x v="0"/>
  </r>
  <r>
    <x v="931"/>
    <s v="27 Tue"/>
    <x v="4"/>
    <x v="0"/>
    <s v="CUST-1348"/>
    <s v="Ankit Malhotra"/>
    <x v="2"/>
    <x v="2"/>
    <x v="15"/>
    <n v="1"/>
    <n v="299"/>
    <n v="299"/>
    <x v="0"/>
    <n v="0"/>
    <n v="299"/>
    <x v="2"/>
    <x v="0"/>
  </r>
  <r>
    <x v="932"/>
    <s v="27 Tue"/>
    <x v="4"/>
    <x v="0"/>
    <s v="CUST-1326"/>
    <s v="Rohan Verma"/>
    <x v="1"/>
    <x v="0"/>
    <x v="1"/>
    <n v="4"/>
    <n v="199"/>
    <n v="796"/>
    <x v="0"/>
    <n v="0"/>
    <n v="796"/>
    <x v="1"/>
    <x v="0"/>
  </r>
  <r>
    <x v="933"/>
    <s v="27 Tue"/>
    <x v="4"/>
    <x v="0"/>
    <s v="CUST-1395"/>
    <s v="Rahul Verma"/>
    <x v="3"/>
    <x v="1"/>
    <x v="14"/>
    <n v="1"/>
    <n v="1799"/>
    <n v="1799"/>
    <x v="4"/>
    <n v="179.9"/>
    <n v="1619.1"/>
    <x v="2"/>
    <x v="0"/>
  </r>
  <r>
    <x v="934"/>
    <s v="27 Tue"/>
    <x v="4"/>
    <x v="0"/>
    <s v="CUST-1108"/>
    <s v="Kunal Patel"/>
    <x v="0"/>
    <x v="3"/>
    <x v="6"/>
    <n v="1"/>
    <n v="799"/>
    <n v="799"/>
    <x v="0"/>
    <n v="0"/>
    <n v="799"/>
    <x v="2"/>
    <x v="0"/>
  </r>
  <r>
    <x v="935"/>
    <s v="27 Tue"/>
    <x v="4"/>
    <x v="0"/>
    <s v="CUST-1374"/>
    <s v="Isha Sharma"/>
    <x v="4"/>
    <x v="3"/>
    <x v="5"/>
    <n v="1"/>
    <n v="1299"/>
    <n v="1299"/>
    <x v="4"/>
    <n v="129.9"/>
    <n v="1169.0999999999999"/>
    <x v="1"/>
    <x v="0"/>
  </r>
  <r>
    <x v="936"/>
    <s v="27 Tue"/>
    <x v="4"/>
    <x v="0"/>
    <s v="CUST-1226"/>
    <s v="Tanya Joshi"/>
    <x v="0"/>
    <x v="6"/>
    <x v="13"/>
    <n v="1"/>
    <n v="699"/>
    <n v="699"/>
    <x v="1"/>
    <n v="104.85"/>
    <n v="594.15"/>
    <x v="1"/>
    <x v="0"/>
  </r>
  <r>
    <x v="937"/>
    <s v="28 Wed"/>
    <x v="4"/>
    <x v="0"/>
    <s v="CUST-1208"/>
    <s v="Arjun Singh"/>
    <x v="0"/>
    <x v="2"/>
    <x v="3"/>
    <n v="1"/>
    <n v="249"/>
    <n v="249"/>
    <x v="0"/>
    <n v="0"/>
    <n v="249"/>
    <x v="3"/>
    <x v="0"/>
  </r>
  <r>
    <x v="938"/>
    <s v="28 Wed"/>
    <x v="4"/>
    <x v="0"/>
    <s v="CUST-1183"/>
    <s v="Arjun Mehta"/>
    <x v="1"/>
    <x v="0"/>
    <x v="1"/>
    <n v="2"/>
    <n v="199"/>
    <n v="398"/>
    <x v="0"/>
    <n v="0"/>
    <n v="398"/>
    <x v="2"/>
    <x v="0"/>
  </r>
  <r>
    <x v="939"/>
    <s v="28 Wed"/>
    <x v="4"/>
    <x v="0"/>
    <s v="CUST-1292"/>
    <s v="Aman Singh"/>
    <x v="4"/>
    <x v="6"/>
    <x v="12"/>
    <n v="2"/>
    <n v="1499"/>
    <n v="2998"/>
    <x v="0"/>
    <n v="0"/>
    <n v="2998"/>
    <x v="2"/>
    <x v="1"/>
  </r>
  <r>
    <x v="940"/>
    <s v="28 Wed"/>
    <x v="4"/>
    <x v="0"/>
    <s v="CUST-1018"/>
    <s v="Aditya Gupta"/>
    <x v="0"/>
    <x v="2"/>
    <x v="3"/>
    <n v="1"/>
    <n v="249"/>
    <n v="249"/>
    <x v="1"/>
    <n v="37.35"/>
    <n v="211.65"/>
    <x v="2"/>
    <x v="1"/>
  </r>
  <r>
    <x v="941"/>
    <s v="28 Wed"/>
    <x v="4"/>
    <x v="0"/>
    <s v="CUST-1386"/>
    <s v="Swati Patel"/>
    <x v="3"/>
    <x v="5"/>
    <x v="8"/>
    <n v="3"/>
    <n v="349"/>
    <n v="1047"/>
    <x v="1"/>
    <n v="157.05000000000001"/>
    <n v="889.95"/>
    <x v="2"/>
    <x v="0"/>
  </r>
  <r>
    <x v="942"/>
    <s v="28 Wed"/>
    <x v="4"/>
    <x v="0"/>
    <s v="CUST-1065"/>
    <s v="Vivaan Patel"/>
    <x v="4"/>
    <x v="6"/>
    <x v="12"/>
    <n v="4"/>
    <n v="1499"/>
    <n v="5996"/>
    <x v="0"/>
    <n v="0"/>
    <n v="5996"/>
    <x v="2"/>
    <x v="0"/>
  </r>
  <r>
    <x v="943"/>
    <s v="28 Wed"/>
    <x v="4"/>
    <x v="0"/>
    <s v="CUST-1295"/>
    <s v="Tanya Singh"/>
    <x v="2"/>
    <x v="5"/>
    <x v="8"/>
    <n v="1"/>
    <n v="349"/>
    <n v="349"/>
    <x v="0"/>
    <n v="0"/>
    <n v="349"/>
    <x v="3"/>
    <x v="0"/>
  </r>
  <r>
    <x v="944"/>
    <s v="28 Wed"/>
    <x v="4"/>
    <x v="0"/>
    <s v="CUST-1023"/>
    <s v="Rohan Sharma"/>
    <x v="3"/>
    <x v="3"/>
    <x v="5"/>
    <n v="1"/>
    <n v="1299"/>
    <n v="1299"/>
    <x v="4"/>
    <n v="129.9"/>
    <n v="1169.0999999999999"/>
    <x v="2"/>
    <x v="0"/>
  </r>
  <r>
    <x v="945"/>
    <s v="28 Wed"/>
    <x v="4"/>
    <x v="0"/>
    <s v="CUST-1236"/>
    <s v="Divya Mehta"/>
    <x v="2"/>
    <x v="5"/>
    <x v="8"/>
    <n v="2"/>
    <n v="349"/>
    <n v="698"/>
    <x v="1"/>
    <n v="104.7"/>
    <n v="593.29999999999995"/>
    <x v="2"/>
    <x v="1"/>
  </r>
  <r>
    <x v="946"/>
    <s v="28 Wed"/>
    <x v="4"/>
    <x v="0"/>
    <s v="CUST-1249"/>
    <s v="Kabir Sharma"/>
    <x v="2"/>
    <x v="1"/>
    <x v="4"/>
    <n v="3"/>
    <n v="2999"/>
    <n v="8997"/>
    <x v="4"/>
    <n v="899.7"/>
    <n v="8097.3"/>
    <x v="4"/>
    <x v="0"/>
  </r>
  <r>
    <x v="947"/>
    <s v="28 Wed"/>
    <x v="4"/>
    <x v="0"/>
    <s v="CUST-1363"/>
    <s v="Arjun Joshi"/>
    <x v="3"/>
    <x v="1"/>
    <x v="2"/>
    <n v="1"/>
    <n v="599"/>
    <n v="599"/>
    <x v="4"/>
    <n v="59.9"/>
    <n v="539.1"/>
    <x v="3"/>
    <x v="0"/>
  </r>
  <r>
    <x v="948"/>
    <s v="28 Wed"/>
    <x v="4"/>
    <x v="0"/>
    <s v="CUST-1108"/>
    <s v="Kunal Patel"/>
    <x v="0"/>
    <x v="5"/>
    <x v="8"/>
    <n v="1"/>
    <n v="349"/>
    <n v="349"/>
    <x v="3"/>
    <n v="69.8"/>
    <n v="279.2"/>
    <x v="3"/>
    <x v="0"/>
  </r>
  <r>
    <x v="949"/>
    <s v="29 Thu"/>
    <x v="4"/>
    <x v="0"/>
    <s v="CUST-1364"/>
    <s v="Rahul Malhotra"/>
    <x v="3"/>
    <x v="3"/>
    <x v="5"/>
    <n v="2"/>
    <n v="1299"/>
    <n v="2598"/>
    <x v="4"/>
    <n v="259.8"/>
    <n v="2338.1999999999998"/>
    <x v="3"/>
    <x v="0"/>
  </r>
  <r>
    <x v="950"/>
    <s v="29 Thu"/>
    <x v="4"/>
    <x v="0"/>
    <s v="CUST-1152"/>
    <s v="Kabir Gupta"/>
    <x v="1"/>
    <x v="1"/>
    <x v="2"/>
    <n v="1"/>
    <n v="599"/>
    <n v="599"/>
    <x v="2"/>
    <n v="29.95"/>
    <n v="569.04999999999995"/>
    <x v="2"/>
    <x v="1"/>
  </r>
  <r>
    <x v="951"/>
    <s v="29 Thu"/>
    <x v="4"/>
    <x v="0"/>
    <s v="CUST-1007"/>
    <s v="Aarav Sharma"/>
    <x v="1"/>
    <x v="0"/>
    <x v="0"/>
    <n v="2"/>
    <n v="99"/>
    <n v="198"/>
    <x v="0"/>
    <n v="0"/>
    <n v="198"/>
    <x v="0"/>
    <x v="0"/>
  </r>
  <r>
    <x v="952"/>
    <s v="29 Thu"/>
    <x v="4"/>
    <x v="0"/>
    <s v="CUST-1021"/>
    <s v="Isha Patel"/>
    <x v="4"/>
    <x v="5"/>
    <x v="8"/>
    <n v="3"/>
    <n v="349"/>
    <n v="1047"/>
    <x v="0"/>
    <n v="0"/>
    <n v="1047"/>
    <x v="2"/>
    <x v="1"/>
  </r>
  <r>
    <x v="953"/>
    <s v="29 Thu"/>
    <x v="4"/>
    <x v="0"/>
    <s v="CUST-1291"/>
    <s v="Arjun Saxena"/>
    <x v="3"/>
    <x v="2"/>
    <x v="3"/>
    <n v="1"/>
    <n v="249"/>
    <n v="249"/>
    <x v="1"/>
    <n v="37.35"/>
    <n v="211.65"/>
    <x v="2"/>
    <x v="0"/>
  </r>
  <r>
    <x v="954"/>
    <s v="29 Thu"/>
    <x v="4"/>
    <x v="0"/>
    <s v="CUST-1031"/>
    <s v="Kabir Malhotra"/>
    <x v="1"/>
    <x v="5"/>
    <x v="9"/>
    <n v="1"/>
    <n v="549"/>
    <n v="549"/>
    <x v="2"/>
    <n v="27.45"/>
    <n v="521.54999999999995"/>
    <x v="3"/>
    <x v="0"/>
  </r>
  <r>
    <x v="955"/>
    <s v="30 Fri"/>
    <x v="4"/>
    <x v="0"/>
    <s v="CUST-1347"/>
    <s v="Ankit Joshi"/>
    <x v="1"/>
    <x v="6"/>
    <x v="13"/>
    <n v="2"/>
    <n v="699"/>
    <n v="1398"/>
    <x v="0"/>
    <n v="0"/>
    <n v="1398"/>
    <x v="0"/>
    <x v="1"/>
  </r>
  <r>
    <x v="956"/>
    <s v="30 Fri"/>
    <x v="4"/>
    <x v="0"/>
    <s v="CUST-1397"/>
    <s v="Aman Verma"/>
    <x v="4"/>
    <x v="6"/>
    <x v="13"/>
    <n v="3"/>
    <n v="699"/>
    <n v="2097"/>
    <x v="0"/>
    <n v="0"/>
    <n v="2097"/>
    <x v="3"/>
    <x v="0"/>
  </r>
  <r>
    <x v="957"/>
    <s v="30 Fri"/>
    <x v="4"/>
    <x v="0"/>
    <s v="CUST-1185"/>
    <s v="Meera Sharma"/>
    <x v="4"/>
    <x v="4"/>
    <x v="10"/>
    <n v="1"/>
    <n v="899"/>
    <n v="899"/>
    <x v="1"/>
    <n v="134.85"/>
    <n v="764.15"/>
    <x v="2"/>
    <x v="0"/>
  </r>
  <r>
    <x v="958"/>
    <s v="30 Fri"/>
    <x v="4"/>
    <x v="0"/>
    <s v="CUST-1148"/>
    <s v="Nandini Malhotra"/>
    <x v="1"/>
    <x v="1"/>
    <x v="2"/>
    <n v="2"/>
    <n v="599"/>
    <n v="1198"/>
    <x v="0"/>
    <n v="0"/>
    <n v="1198"/>
    <x v="3"/>
    <x v="0"/>
  </r>
  <r>
    <x v="959"/>
    <s v="30 Fri"/>
    <x v="4"/>
    <x v="0"/>
    <s v="CUST-1171"/>
    <s v="Ankit Verma"/>
    <x v="1"/>
    <x v="6"/>
    <x v="12"/>
    <n v="1"/>
    <n v="1499"/>
    <n v="1499"/>
    <x v="0"/>
    <n v="0"/>
    <n v="1499"/>
    <x v="0"/>
    <x v="0"/>
  </r>
  <r>
    <x v="960"/>
    <s v="30 Fri"/>
    <x v="4"/>
    <x v="0"/>
    <s v="CUST-1336"/>
    <s v="Arjun Singh"/>
    <x v="4"/>
    <x v="4"/>
    <x v="10"/>
    <n v="1"/>
    <n v="899"/>
    <n v="899"/>
    <x v="0"/>
    <n v="0"/>
    <n v="899"/>
    <x v="2"/>
    <x v="0"/>
  </r>
  <r>
    <x v="961"/>
    <s v="30 Fri"/>
    <x v="4"/>
    <x v="0"/>
    <s v="CUST-1076"/>
    <s v="Tanya Saxena"/>
    <x v="1"/>
    <x v="2"/>
    <x v="3"/>
    <n v="3"/>
    <n v="249"/>
    <n v="747"/>
    <x v="0"/>
    <n v="0"/>
    <n v="747"/>
    <x v="3"/>
    <x v="0"/>
  </r>
  <r>
    <x v="962"/>
    <s v="31 Sat"/>
    <x v="4"/>
    <x v="0"/>
    <s v="CUST-1031"/>
    <s v="Kabir Malhotra"/>
    <x v="1"/>
    <x v="4"/>
    <x v="11"/>
    <n v="1"/>
    <n v="499"/>
    <n v="499"/>
    <x v="2"/>
    <n v="24.95"/>
    <n v="474.05"/>
    <x v="2"/>
    <x v="0"/>
  </r>
  <r>
    <x v="963"/>
    <s v="31 Sat"/>
    <x v="4"/>
    <x v="0"/>
    <s v="CUST-1366"/>
    <s v="Vivaan Joshi"/>
    <x v="0"/>
    <x v="3"/>
    <x v="6"/>
    <n v="3"/>
    <n v="799"/>
    <n v="2397"/>
    <x v="0"/>
    <n v="0"/>
    <n v="2397"/>
    <x v="0"/>
    <x v="1"/>
  </r>
  <r>
    <x v="964"/>
    <s v="31 Sat"/>
    <x v="4"/>
    <x v="0"/>
    <s v="CUST-1017"/>
    <s v="Aarav Verma"/>
    <x v="3"/>
    <x v="1"/>
    <x v="14"/>
    <n v="1"/>
    <n v="1799"/>
    <n v="1799"/>
    <x v="1"/>
    <n v="269.85000000000002"/>
    <n v="1529.15"/>
    <x v="4"/>
    <x v="0"/>
  </r>
  <r>
    <x v="965"/>
    <s v="31 Sat"/>
    <x v="4"/>
    <x v="0"/>
    <s v="CUST-1129"/>
    <s v="Nandini Patel"/>
    <x v="2"/>
    <x v="3"/>
    <x v="6"/>
    <n v="2"/>
    <n v="799"/>
    <n v="1598"/>
    <x v="0"/>
    <n v="0"/>
    <n v="1598"/>
    <x v="0"/>
    <x v="0"/>
  </r>
  <r>
    <x v="966"/>
    <s v="31 Sat"/>
    <x v="4"/>
    <x v="0"/>
    <s v="CUST-1026"/>
    <s v="Rahul Saxena"/>
    <x v="1"/>
    <x v="1"/>
    <x v="2"/>
    <n v="1"/>
    <n v="599"/>
    <n v="599"/>
    <x v="0"/>
    <n v="0"/>
    <n v="599"/>
    <x v="1"/>
    <x v="0"/>
  </r>
  <r>
    <x v="967"/>
    <s v="31 Sat"/>
    <x v="4"/>
    <x v="0"/>
    <s v="CUST-1012"/>
    <s v="Shreya Patel"/>
    <x v="4"/>
    <x v="4"/>
    <x v="10"/>
    <n v="2"/>
    <n v="899"/>
    <n v="1798"/>
    <x v="4"/>
    <n v="179.8"/>
    <n v="1618.2"/>
    <x v="0"/>
    <x v="0"/>
  </r>
  <r>
    <x v="968"/>
    <s v="31 Sat"/>
    <x v="4"/>
    <x v="0"/>
    <s v="CUST-1252"/>
    <s v="Arjun Singh"/>
    <x v="3"/>
    <x v="1"/>
    <x v="4"/>
    <n v="2"/>
    <n v="2999"/>
    <n v="5998"/>
    <x v="4"/>
    <n v="599.79999999999995"/>
    <n v="5398.2"/>
    <x v="0"/>
    <x v="0"/>
  </r>
  <r>
    <x v="969"/>
    <s v="31 Sat"/>
    <x v="4"/>
    <x v="0"/>
    <s v="CUST-1394"/>
    <s v="Tanya Malhotra"/>
    <x v="0"/>
    <x v="0"/>
    <x v="0"/>
    <n v="3"/>
    <n v="99"/>
    <n v="297"/>
    <x v="1"/>
    <n v="44.55"/>
    <n v="252.45"/>
    <x v="1"/>
    <x v="0"/>
  </r>
  <r>
    <x v="970"/>
    <s v="31 Sat"/>
    <x v="4"/>
    <x v="0"/>
    <s v="CUST-1209"/>
    <s v="Meera Mehta"/>
    <x v="0"/>
    <x v="5"/>
    <x v="8"/>
    <n v="2"/>
    <n v="349"/>
    <n v="698"/>
    <x v="2"/>
    <n v="34.9"/>
    <n v="663.1"/>
    <x v="0"/>
    <x v="1"/>
  </r>
  <r>
    <x v="971"/>
    <s v="31 Sat"/>
    <x v="4"/>
    <x v="0"/>
    <s v="CUST-1333"/>
    <s v="Aarav Gupta"/>
    <x v="1"/>
    <x v="4"/>
    <x v="11"/>
    <n v="1"/>
    <n v="499"/>
    <n v="499"/>
    <x v="0"/>
    <n v="0"/>
    <n v="499"/>
    <x v="3"/>
    <x v="1"/>
  </r>
  <r>
    <x v="972"/>
    <s v="31 Sat"/>
    <x v="4"/>
    <x v="0"/>
    <s v="CUST-1093"/>
    <s v="Kabir Mehta"/>
    <x v="1"/>
    <x v="6"/>
    <x v="12"/>
    <n v="1"/>
    <n v="1499"/>
    <n v="1499"/>
    <x v="0"/>
    <n v="0"/>
    <n v="1499"/>
    <x v="0"/>
    <x v="0"/>
  </r>
  <r>
    <x v="973"/>
    <s v="1 Sun"/>
    <x v="5"/>
    <x v="0"/>
    <s v="CUST-1393"/>
    <s v="Nandini Singh"/>
    <x v="0"/>
    <x v="5"/>
    <x v="8"/>
    <n v="1"/>
    <n v="349"/>
    <n v="349"/>
    <x v="4"/>
    <n v="34.9"/>
    <n v="314.10000000000002"/>
    <x v="3"/>
    <x v="1"/>
  </r>
  <r>
    <x v="974"/>
    <s v="1 Sun"/>
    <x v="5"/>
    <x v="0"/>
    <s v="CUST-1059"/>
    <s v="Kunal Verma"/>
    <x v="2"/>
    <x v="2"/>
    <x v="3"/>
    <n v="2"/>
    <n v="249"/>
    <n v="498"/>
    <x v="0"/>
    <n v="0"/>
    <n v="498"/>
    <x v="2"/>
    <x v="0"/>
  </r>
  <r>
    <x v="975"/>
    <s v="1 Sun"/>
    <x v="5"/>
    <x v="0"/>
    <s v="CUST-1271"/>
    <s v="Nandini Sharma"/>
    <x v="0"/>
    <x v="0"/>
    <x v="1"/>
    <n v="3"/>
    <n v="199"/>
    <n v="597"/>
    <x v="5"/>
    <n v="149.25"/>
    <n v="447.75"/>
    <x v="1"/>
    <x v="0"/>
  </r>
  <r>
    <x v="976"/>
    <s v="1 Sun"/>
    <x v="5"/>
    <x v="0"/>
    <s v="CUST-1294"/>
    <s v="Kabir Joshi"/>
    <x v="3"/>
    <x v="6"/>
    <x v="12"/>
    <n v="1"/>
    <n v="1499"/>
    <n v="1499"/>
    <x v="5"/>
    <n v="374.75"/>
    <n v="1124.25"/>
    <x v="2"/>
    <x v="0"/>
  </r>
  <r>
    <x v="977"/>
    <s v="1 Sun"/>
    <x v="5"/>
    <x v="0"/>
    <s v="CUST-1354"/>
    <s v="Aman Saxena"/>
    <x v="1"/>
    <x v="1"/>
    <x v="14"/>
    <n v="1"/>
    <n v="1799"/>
    <n v="1799"/>
    <x v="6"/>
    <n v="539.70000000000005"/>
    <n v="1259.3"/>
    <x v="1"/>
    <x v="0"/>
  </r>
  <r>
    <x v="978"/>
    <s v="1 Sun"/>
    <x v="5"/>
    <x v="0"/>
    <s v="CUST-1384"/>
    <s v="Vivaan Singh"/>
    <x v="3"/>
    <x v="5"/>
    <x v="8"/>
    <n v="1"/>
    <n v="349"/>
    <n v="349"/>
    <x v="3"/>
    <n v="69.8"/>
    <n v="279.2"/>
    <x v="2"/>
    <x v="1"/>
  </r>
  <r>
    <x v="979"/>
    <s v="1 Sun"/>
    <x v="5"/>
    <x v="0"/>
    <s v="CUST-1334"/>
    <s v="Kunal Singh"/>
    <x v="1"/>
    <x v="2"/>
    <x v="15"/>
    <n v="1"/>
    <n v="299"/>
    <n v="299"/>
    <x v="6"/>
    <n v="89.7"/>
    <n v="209.3"/>
    <x v="0"/>
    <x v="0"/>
  </r>
  <r>
    <x v="980"/>
    <s v="1 Sun"/>
    <x v="5"/>
    <x v="0"/>
    <s v="CUST-1279"/>
    <s v="Tanya Kapoor"/>
    <x v="3"/>
    <x v="2"/>
    <x v="15"/>
    <n v="1"/>
    <n v="299"/>
    <n v="299"/>
    <x v="0"/>
    <n v="0"/>
    <n v="299"/>
    <x v="0"/>
    <x v="1"/>
  </r>
  <r>
    <x v="981"/>
    <s v="1 Sun"/>
    <x v="5"/>
    <x v="0"/>
    <s v="CUST-1183"/>
    <s v="Arjun Mehta"/>
    <x v="4"/>
    <x v="2"/>
    <x v="15"/>
    <n v="3"/>
    <n v="299"/>
    <n v="897"/>
    <x v="1"/>
    <n v="134.55000000000001"/>
    <n v="762.45"/>
    <x v="1"/>
    <x v="0"/>
  </r>
  <r>
    <x v="982"/>
    <s v="1 Sun"/>
    <x v="5"/>
    <x v="0"/>
    <s v="CUST-1201"/>
    <s v="Tanya Joshi"/>
    <x v="4"/>
    <x v="4"/>
    <x v="7"/>
    <n v="1"/>
    <n v="1999"/>
    <n v="1999"/>
    <x v="2"/>
    <n v="99.95"/>
    <n v="1899.05"/>
    <x v="1"/>
    <x v="0"/>
  </r>
  <r>
    <x v="983"/>
    <s v="1 Sun"/>
    <x v="5"/>
    <x v="0"/>
    <s v="CUST-1192"/>
    <s v="Kunal Singh"/>
    <x v="0"/>
    <x v="4"/>
    <x v="7"/>
    <n v="4"/>
    <n v="1999"/>
    <n v="7996"/>
    <x v="3"/>
    <n v="1599.2"/>
    <n v="6396.8"/>
    <x v="4"/>
    <x v="0"/>
  </r>
  <r>
    <x v="984"/>
    <s v="1 Sun"/>
    <x v="5"/>
    <x v="0"/>
    <s v="CUST-1330"/>
    <s v="Nandini Gupta"/>
    <x v="4"/>
    <x v="0"/>
    <x v="1"/>
    <n v="2"/>
    <n v="199"/>
    <n v="398"/>
    <x v="2"/>
    <n v="19.899999999999999"/>
    <n v="378.1"/>
    <x v="0"/>
    <x v="0"/>
  </r>
  <r>
    <x v="985"/>
    <s v="1 Sun"/>
    <x v="5"/>
    <x v="0"/>
    <s v="CUST-1024"/>
    <s v="Tanya Singh"/>
    <x v="0"/>
    <x v="1"/>
    <x v="2"/>
    <n v="1"/>
    <n v="599"/>
    <n v="599"/>
    <x v="6"/>
    <n v="179.7"/>
    <n v="419.3"/>
    <x v="0"/>
    <x v="1"/>
  </r>
  <r>
    <x v="986"/>
    <s v="1 Sun"/>
    <x v="5"/>
    <x v="0"/>
    <s v="CUST-1010"/>
    <s v="Kabir Singh"/>
    <x v="0"/>
    <x v="1"/>
    <x v="14"/>
    <n v="4"/>
    <n v="1799"/>
    <n v="7196"/>
    <x v="6"/>
    <n v="2158.8000000000002"/>
    <n v="5037.2"/>
    <x v="2"/>
    <x v="1"/>
  </r>
  <r>
    <x v="987"/>
    <s v="2 Mon"/>
    <x v="5"/>
    <x v="0"/>
    <s v="CUST-1222"/>
    <s v="Sakshi Sharma"/>
    <x v="4"/>
    <x v="3"/>
    <x v="5"/>
    <n v="2"/>
    <n v="1299"/>
    <n v="2598"/>
    <x v="2"/>
    <n v="129.9"/>
    <n v="2468.1"/>
    <x v="1"/>
    <x v="0"/>
  </r>
  <r>
    <x v="988"/>
    <s v="2 Mon"/>
    <x v="5"/>
    <x v="0"/>
    <s v="CUST-1253"/>
    <s v="Swati Malhotra"/>
    <x v="1"/>
    <x v="1"/>
    <x v="4"/>
    <n v="1"/>
    <n v="2999"/>
    <n v="2999"/>
    <x v="3"/>
    <n v="599.79999999999995"/>
    <n v="2399.1999999999998"/>
    <x v="3"/>
    <x v="0"/>
  </r>
  <r>
    <x v="989"/>
    <s v="2 Mon"/>
    <x v="5"/>
    <x v="0"/>
    <s v="CUST-1160"/>
    <s v="Komal Singh"/>
    <x v="1"/>
    <x v="1"/>
    <x v="14"/>
    <n v="1"/>
    <n v="1799"/>
    <n v="1799"/>
    <x v="0"/>
    <n v="0"/>
    <n v="1799"/>
    <x v="2"/>
    <x v="1"/>
  </r>
  <r>
    <x v="990"/>
    <s v="2 Mon"/>
    <x v="5"/>
    <x v="0"/>
    <s v="CUST-1010"/>
    <s v="Kabir Singh"/>
    <x v="2"/>
    <x v="0"/>
    <x v="0"/>
    <n v="5"/>
    <n v="99"/>
    <n v="495"/>
    <x v="6"/>
    <n v="148.5"/>
    <n v="346.5"/>
    <x v="3"/>
    <x v="1"/>
  </r>
  <r>
    <x v="991"/>
    <s v="2 Mon"/>
    <x v="5"/>
    <x v="0"/>
    <s v="CUST-1290"/>
    <s v="Kabir Mehta"/>
    <x v="3"/>
    <x v="0"/>
    <x v="0"/>
    <n v="1"/>
    <n v="99"/>
    <n v="99"/>
    <x v="2"/>
    <n v="4.95"/>
    <n v="94.05"/>
    <x v="1"/>
    <x v="0"/>
  </r>
  <r>
    <x v="992"/>
    <s v="3 Tue"/>
    <x v="5"/>
    <x v="0"/>
    <s v="CUST-1088"/>
    <s v="Arjun Patel"/>
    <x v="3"/>
    <x v="3"/>
    <x v="5"/>
    <n v="2"/>
    <n v="1299"/>
    <n v="2598"/>
    <x v="4"/>
    <n v="259.8"/>
    <n v="2338.1999999999998"/>
    <x v="1"/>
    <x v="1"/>
  </r>
  <r>
    <x v="993"/>
    <s v="3 Tue"/>
    <x v="5"/>
    <x v="0"/>
    <s v="CUST-1054"/>
    <s v="Kunal Patel"/>
    <x v="3"/>
    <x v="6"/>
    <x v="12"/>
    <n v="2"/>
    <n v="1499"/>
    <n v="2998"/>
    <x v="5"/>
    <n v="749.5"/>
    <n v="2248.5"/>
    <x v="1"/>
    <x v="1"/>
  </r>
  <r>
    <x v="994"/>
    <s v="3 Tue"/>
    <x v="5"/>
    <x v="0"/>
    <s v="CUST-1256"/>
    <s v="Rohan Singh"/>
    <x v="2"/>
    <x v="3"/>
    <x v="6"/>
    <n v="1"/>
    <n v="799"/>
    <n v="799"/>
    <x v="3"/>
    <n v="159.80000000000001"/>
    <n v="639.20000000000005"/>
    <x v="1"/>
    <x v="0"/>
  </r>
  <r>
    <x v="995"/>
    <s v="3 Tue"/>
    <x v="5"/>
    <x v="0"/>
    <s v="CUST-1296"/>
    <s v="Vivaan Kapoor"/>
    <x v="1"/>
    <x v="1"/>
    <x v="4"/>
    <n v="4"/>
    <n v="2999"/>
    <n v="11996"/>
    <x v="6"/>
    <n v="3598.8"/>
    <n v="8397.2000000000007"/>
    <x v="1"/>
    <x v="0"/>
  </r>
  <r>
    <x v="996"/>
    <s v="3 Tue"/>
    <x v="5"/>
    <x v="0"/>
    <s v="CUST-1022"/>
    <s v="Tanya Verma"/>
    <x v="3"/>
    <x v="5"/>
    <x v="9"/>
    <n v="2"/>
    <n v="549"/>
    <n v="1098"/>
    <x v="1"/>
    <n v="164.7"/>
    <n v="933.3"/>
    <x v="3"/>
    <x v="1"/>
  </r>
  <r>
    <x v="997"/>
    <s v="3 Tue"/>
    <x v="5"/>
    <x v="0"/>
    <s v="CUST-1255"/>
    <s v="Aman Gupta"/>
    <x v="4"/>
    <x v="5"/>
    <x v="8"/>
    <n v="3"/>
    <n v="349"/>
    <n v="1047"/>
    <x v="0"/>
    <n v="0"/>
    <n v="1047"/>
    <x v="1"/>
    <x v="0"/>
  </r>
  <r>
    <x v="998"/>
    <s v="4 Wed"/>
    <x v="5"/>
    <x v="0"/>
    <s v="CUST-1021"/>
    <s v="Isha Patel"/>
    <x v="0"/>
    <x v="0"/>
    <x v="0"/>
    <n v="1"/>
    <n v="99"/>
    <n v="99"/>
    <x v="4"/>
    <n v="9.9"/>
    <n v="89.1"/>
    <x v="0"/>
    <x v="1"/>
  </r>
  <r>
    <x v="999"/>
    <s v="4 Wed"/>
    <x v="5"/>
    <x v="0"/>
    <s v="CUST-1253"/>
    <s v="Swati Malhotra"/>
    <x v="4"/>
    <x v="4"/>
    <x v="10"/>
    <n v="1"/>
    <n v="899"/>
    <n v="899"/>
    <x v="0"/>
    <n v="0"/>
    <n v="899"/>
    <x v="0"/>
    <x v="1"/>
  </r>
  <r>
    <x v="1000"/>
    <s v="4 Wed"/>
    <x v="5"/>
    <x v="0"/>
    <s v="CUST-1038"/>
    <s v="Rohan Joshi"/>
    <x v="1"/>
    <x v="0"/>
    <x v="1"/>
    <n v="1"/>
    <n v="199"/>
    <n v="199"/>
    <x v="4"/>
    <n v="19.899999999999999"/>
    <n v="179.1"/>
    <x v="1"/>
    <x v="0"/>
  </r>
  <r>
    <x v="1001"/>
    <s v="4 Wed"/>
    <x v="5"/>
    <x v="0"/>
    <s v="CUST-1235"/>
    <s v="Meera Verma"/>
    <x v="2"/>
    <x v="1"/>
    <x v="4"/>
    <n v="3"/>
    <n v="2999"/>
    <n v="8997"/>
    <x v="5"/>
    <n v="2249.25"/>
    <n v="6747.75"/>
    <x v="0"/>
    <x v="0"/>
  </r>
  <r>
    <x v="1002"/>
    <s v="4 Wed"/>
    <x v="5"/>
    <x v="0"/>
    <s v="CUST-1227"/>
    <s v="Rohan Joshi"/>
    <x v="3"/>
    <x v="5"/>
    <x v="8"/>
    <n v="2"/>
    <n v="349"/>
    <n v="698"/>
    <x v="1"/>
    <n v="104.7"/>
    <n v="593.29999999999995"/>
    <x v="1"/>
    <x v="0"/>
  </r>
  <r>
    <x v="1003"/>
    <s v="4 Wed"/>
    <x v="5"/>
    <x v="0"/>
    <s v="CUST-1046"/>
    <s v="Rohan Kapoor"/>
    <x v="4"/>
    <x v="3"/>
    <x v="5"/>
    <n v="2"/>
    <n v="1299"/>
    <n v="2598"/>
    <x v="2"/>
    <n v="129.9"/>
    <n v="2468.1"/>
    <x v="3"/>
    <x v="0"/>
  </r>
  <r>
    <x v="1004"/>
    <s v="4 Wed"/>
    <x v="5"/>
    <x v="0"/>
    <s v="CUST-1329"/>
    <s v="Swati Gupta"/>
    <x v="1"/>
    <x v="2"/>
    <x v="3"/>
    <n v="3"/>
    <n v="249"/>
    <n v="747"/>
    <x v="5"/>
    <n v="186.75"/>
    <n v="560.25"/>
    <x v="0"/>
    <x v="0"/>
  </r>
  <r>
    <x v="1005"/>
    <s v="4 Wed"/>
    <x v="5"/>
    <x v="0"/>
    <s v="CUST-1006"/>
    <s v="Sakshi Singh"/>
    <x v="2"/>
    <x v="4"/>
    <x v="10"/>
    <n v="2"/>
    <n v="899"/>
    <n v="1798"/>
    <x v="4"/>
    <n v="179.8"/>
    <n v="1618.2"/>
    <x v="4"/>
    <x v="0"/>
  </r>
  <r>
    <x v="1006"/>
    <s v="4 Wed"/>
    <x v="5"/>
    <x v="0"/>
    <s v="CUST-1190"/>
    <s v="Rahul Patel"/>
    <x v="0"/>
    <x v="0"/>
    <x v="1"/>
    <n v="1"/>
    <n v="199"/>
    <n v="199"/>
    <x v="0"/>
    <n v="0"/>
    <n v="199"/>
    <x v="3"/>
    <x v="1"/>
  </r>
  <r>
    <x v="1007"/>
    <s v="4 Wed"/>
    <x v="5"/>
    <x v="0"/>
    <s v="CUST-1139"/>
    <s v="Aditya Sharma"/>
    <x v="3"/>
    <x v="1"/>
    <x v="4"/>
    <n v="2"/>
    <n v="2999"/>
    <n v="5998"/>
    <x v="1"/>
    <n v="899.7"/>
    <n v="5098.3"/>
    <x v="2"/>
    <x v="1"/>
  </r>
  <r>
    <x v="1008"/>
    <s v="4 Wed"/>
    <x v="5"/>
    <x v="0"/>
    <s v="CUST-1354"/>
    <s v="Aman Saxena"/>
    <x v="2"/>
    <x v="2"/>
    <x v="3"/>
    <n v="1"/>
    <n v="249"/>
    <n v="249"/>
    <x v="5"/>
    <n v="62.25"/>
    <n v="186.75"/>
    <x v="4"/>
    <x v="1"/>
  </r>
  <r>
    <x v="1009"/>
    <s v="5 Thu"/>
    <x v="5"/>
    <x v="0"/>
    <s v="CUST-1011"/>
    <s v="Kunal Sharma"/>
    <x v="0"/>
    <x v="4"/>
    <x v="11"/>
    <n v="2"/>
    <n v="499"/>
    <n v="998"/>
    <x v="1"/>
    <n v="149.69999999999999"/>
    <n v="848.3"/>
    <x v="3"/>
    <x v="0"/>
  </r>
  <r>
    <x v="1010"/>
    <s v="5 Thu"/>
    <x v="5"/>
    <x v="0"/>
    <s v="CUST-1111"/>
    <s v="Swati Joshi"/>
    <x v="1"/>
    <x v="4"/>
    <x v="11"/>
    <n v="1"/>
    <n v="499"/>
    <n v="499"/>
    <x v="1"/>
    <n v="74.849999999999994"/>
    <n v="424.15"/>
    <x v="2"/>
    <x v="1"/>
  </r>
  <r>
    <x v="1011"/>
    <s v="5 Thu"/>
    <x v="5"/>
    <x v="0"/>
    <s v="CUST-1389"/>
    <s v="Ankit Mehta"/>
    <x v="4"/>
    <x v="5"/>
    <x v="8"/>
    <n v="3"/>
    <n v="349"/>
    <n v="1047"/>
    <x v="2"/>
    <n v="52.35"/>
    <n v="994.65"/>
    <x v="1"/>
    <x v="0"/>
  </r>
  <r>
    <x v="1012"/>
    <s v="5 Thu"/>
    <x v="5"/>
    <x v="0"/>
    <s v="CUST-1184"/>
    <s v="Rahul Joshi"/>
    <x v="0"/>
    <x v="2"/>
    <x v="3"/>
    <n v="1"/>
    <n v="249"/>
    <n v="249"/>
    <x v="4"/>
    <n v="24.9"/>
    <n v="224.1"/>
    <x v="1"/>
    <x v="0"/>
  </r>
  <r>
    <x v="1013"/>
    <s v="5 Thu"/>
    <x v="5"/>
    <x v="0"/>
    <s v="CUST-1070"/>
    <s v="Vivaan Mehta"/>
    <x v="0"/>
    <x v="4"/>
    <x v="7"/>
    <n v="1"/>
    <n v="1999"/>
    <n v="1999"/>
    <x v="1"/>
    <n v="299.85000000000002"/>
    <n v="1699.15"/>
    <x v="0"/>
    <x v="1"/>
  </r>
  <r>
    <x v="1014"/>
    <s v="5 Thu"/>
    <x v="5"/>
    <x v="0"/>
    <s v="CUST-1360"/>
    <s v="Muskan Singh"/>
    <x v="4"/>
    <x v="3"/>
    <x v="5"/>
    <n v="2"/>
    <n v="1299"/>
    <n v="2598"/>
    <x v="6"/>
    <n v="779.4"/>
    <n v="1818.6"/>
    <x v="0"/>
    <x v="0"/>
  </r>
  <r>
    <x v="1015"/>
    <s v="5 Thu"/>
    <x v="5"/>
    <x v="0"/>
    <s v="CUST-1282"/>
    <s v="Muskan Saxena"/>
    <x v="1"/>
    <x v="1"/>
    <x v="14"/>
    <n v="1"/>
    <n v="1799"/>
    <n v="1799"/>
    <x v="3"/>
    <n v="359.8"/>
    <n v="1439.2"/>
    <x v="2"/>
    <x v="0"/>
  </r>
  <r>
    <x v="1016"/>
    <s v="6 Fri"/>
    <x v="5"/>
    <x v="0"/>
    <s v="CUST-1309"/>
    <s v="Meera Verma"/>
    <x v="1"/>
    <x v="1"/>
    <x v="14"/>
    <n v="1"/>
    <n v="1799"/>
    <n v="1799"/>
    <x v="5"/>
    <n v="449.75"/>
    <n v="1349.25"/>
    <x v="3"/>
    <x v="0"/>
  </r>
  <r>
    <x v="1017"/>
    <s v="6 Fri"/>
    <x v="5"/>
    <x v="0"/>
    <s v="CUST-1040"/>
    <s v="Aditya Malhotra"/>
    <x v="4"/>
    <x v="4"/>
    <x v="10"/>
    <n v="1"/>
    <n v="899"/>
    <n v="899"/>
    <x v="4"/>
    <n v="89.9"/>
    <n v="809.1"/>
    <x v="2"/>
    <x v="1"/>
  </r>
  <r>
    <x v="1018"/>
    <s v="6 Fri"/>
    <x v="5"/>
    <x v="0"/>
    <s v="CUST-1041"/>
    <s v="Divya Malhotra"/>
    <x v="2"/>
    <x v="4"/>
    <x v="11"/>
    <n v="2"/>
    <n v="499"/>
    <n v="998"/>
    <x v="1"/>
    <n v="149.69999999999999"/>
    <n v="848.3"/>
    <x v="4"/>
    <x v="0"/>
  </r>
  <r>
    <x v="1019"/>
    <s v="6 Fri"/>
    <x v="5"/>
    <x v="0"/>
    <s v="CUST-1286"/>
    <s v="Arjun Singh"/>
    <x v="1"/>
    <x v="6"/>
    <x v="12"/>
    <n v="3"/>
    <n v="1499"/>
    <n v="4497"/>
    <x v="6"/>
    <n v="1349.1"/>
    <n v="3147.9"/>
    <x v="2"/>
    <x v="1"/>
  </r>
  <r>
    <x v="1020"/>
    <s v="6 Fri"/>
    <x v="5"/>
    <x v="0"/>
    <s v="CUST-1213"/>
    <s v="Ankit Patel"/>
    <x v="1"/>
    <x v="4"/>
    <x v="7"/>
    <n v="5"/>
    <n v="1999"/>
    <n v="9995"/>
    <x v="0"/>
    <n v="0"/>
    <n v="9995"/>
    <x v="1"/>
    <x v="0"/>
  </r>
  <r>
    <x v="1021"/>
    <s v="6 Fri"/>
    <x v="5"/>
    <x v="0"/>
    <s v="CUST-1301"/>
    <s v="Shreya Sharma"/>
    <x v="0"/>
    <x v="3"/>
    <x v="6"/>
    <n v="3"/>
    <n v="799"/>
    <n v="2397"/>
    <x v="1"/>
    <n v="359.55"/>
    <n v="2037.45"/>
    <x v="1"/>
    <x v="0"/>
  </r>
  <r>
    <x v="1022"/>
    <s v="6 Fri"/>
    <x v="5"/>
    <x v="0"/>
    <s v="CUST-1010"/>
    <s v="Kabir Singh"/>
    <x v="1"/>
    <x v="6"/>
    <x v="13"/>
    <n v="2"/>
    <n v="699"/>
    <n v="1398"/>
    <x v="5"/>
    <n v="349.5"/>
    <n v="1048.5"/>
    <x v="0"/>
    <x v="0"/>
  </r>
  <r>
    <x v="1023"/>
    <s v="7 Sat"/>
    <x v="5"/>
    <x v="0"/>
    <s v="CUST-1203"/>
    <s v="Ankit Verma"/>
    <x v="4"/>
    <x v="6"/>
    <x v="13"/>
    <n v="1"/>
    <n v="699"/>
    <n v="699"/>
    <x v="3"/>
    <n v="139.80000000000001"/>
    <n v="559.20000000000005"/>
    <x v="3"/>
    <x v="1"/>
  </r>
  <r>
    <x v="1024"/>
    <s v="7 Sat"/>
    <x v="5"/>
    <x v="0"/>
    <s v="CUST-1157"/>
    <s v="Arjun Verma"/>
    <x v="0"/>
    <x v="4"/>
    <x v="10"/>
    <n v="2"/>
    <n v="899"/>
    <n v="1798"/>
    <x v="4"/>
    <n v="179.8"/>
    <n v="1618.2"/>
    <x v="1"/>
    <x v="1"/>
  </r>
  <r>
    <x v="1025"/>
    <s v="7 Sat"/>
    <x v="5"/>
    <x v="0"/>
    <s v="CUST-1290"/>
    <s v="Kabir Mehta"/>
    <x v="1"/>
    <x v="6"/>
    <x v="12"/>
    <n v="2"/>
    <n v="1499"/>
    <n v="2998"/>
    <x v="6"/>
    <n v="899.4"/>
    <n v="2098.6"/>
    <x v="2"/>
    <x v="0"/>
  </r>
  <r>
    <x v="1026"/>
    <s v="7 Sat"/>
    <x v="5"/>
    <x v="0"/>
    <s v="CUST-1151"/>
    <s v="Aman Patel"/>
    <x v="0"/>
    <x v="6"/>
    <x v="13"/>
    <n v="2"/>
    <n v="699"/>
    <n v="1398"/>
    <x v="3"/>
    <n v="279.60000000000002"/>
    <n v="1118.4000000000001"/>
    <x v="4"/>
    <x v="1"/>
  </r>
  <r>
    <x v="1027"/>
    <s v="7 Sat"/>
    <x v="5"/>
    <x v="0"/>
    <s v="CUST-1177"/>
    <s v="Aditya Malhotra"/>
    <x v="0"/>
    <x v="6"/>
    <x v="13"/>
    <n v="2"/>
    <n v="699"/>
    <n v="1398"/>
    <x v="6"/>
    <n v="419.4"/>
    <n v="978.6"/>
    <x v="2"/>
    <x v="1"/>
  </r>
  <r>
    <x v="1028"/>
    <s v="7 Sat"/>
    <x v="5"/>
    <x v="0"/>
    <s v="CUST-1275"/>
    <s v="Tanya Singh"/>
    <x v="1"/>
    <x v="6"/>
    <x v="13"/>
    <n v="2"/>
    <n v="699"/>
    <n v="1398"/>
    <x v="5"/>
    <n v="349.5"/>
    <n v="1048.5"/>
    <x v="4"/>
    <x v="0"/>
  </r>
  <r>
    <x v="1029"/>
    <s v="7 Sat"/>
    <x v="5"/>
    <x v="0"/>
    <s v="CUST-1221"/>
    <s v="Kunal Singh"/>
    <x v="3"/>
    <x v="4"/>
    <x v="10"/>
    <n v="1"/>
    <n v="899"/>
    <n v="899"/>
    <x v="0"/>
    <n v="0"/>
    <n v="899"/>
    <x v="0"/>
    <x v="0"/>
  </r>
  <r>
    <x v="1030"/>
    <s v="8 Sun"/>
    <x v="5"/>
    <x v="0"/>
    <s v="CUST-1184"/>
    <s v="Rahul Joshi"/>
    <x v="4"/>
    <x v="0"/>
    <x v="1"/>
    <n v="1"/>
    <n v="199"/>
    <n v="199"/>
    <x v="5"/>
    <n v="49.75"/>
    <n v="149.25"/>
    <x v="2"/>
    <x v="0"/>
  </r>
  <r>
    <x v="1031"/>
    <s v="8 Sun"/>
    <x v="5"/>
    <x v="0"/>
    <s v="CUST-1351"/>
    <s v="Tanya Mehta"/>
    <x v="3"/>
    <x v="1"/>
    <x v="4"/>
    <n v="3"/>
    <n v="2999"/>
    <n v="8997"/>
    <x v="4"/>
    <n v="899.7"/>
    <n v="8097.3"/>
    <x v="1"/>
    <x v="0"/>
  </r>
  <r>
    <x v="1032"/>
    <s v="8 Sun"/>
    <x v="5"/>
    <x v="0"/>
    <s v="CUST-1160"/>
    <s v="Komal Singh"/>
    <x v="2"/>
    <x v="2"/>
    <x v="3"/>
    <n v="2"/>
    <n v="249"/>
    <n v="498"/>
    <x v="6"/>
    <n v="149.4"/>
    <n v="348.6"/>
    <x v="0"/>
    <x v="0"/>
  </r>
  <r>
    <x v="1033"/>
    <s v="8 Sun"/>
    <x v="5"/>
    <x v="0"/>
    <s v="CUST-1274"/>
    <s v="Muskan Singh"/>
    <x v="0"/>
    <x v="3"/>
    <x v="6"/>
    <n v="1"/>
    <n v="799"/>
    <n v="799"/>
    <x v="4"/>
    <n v="79.900000000000006"/>
    <n v="719.1"/>
    <x v="4"/>
    <x v="0"/>
  </r>
  <r>
    <x v="1034"/>
    <s v="8 Sun"/>
    <x v="5"/>
    <x v="0"/>
    <s v="CUST-1006"/>
    <s v="Sakshi Singh"/>
    <x v="1"/>
    <x v="2"/>
    <x v="15"/>
    <n v="3"/>
    <n v="299"/>
    <n v="897"/>
    <x v="1"/>
    <n v="134.55000000000001"/>
    <n v="762.45"/>
    <x v="3"/>
    <x v="1"/>
  </r>
  <r>
    <x v="1035"/>
    <s v="8 Sun"/>
    <x v="5"/>
    <x v="0"/>
    <s v="CUST-1276"/>
    <s v="Swati Joshi"/>
    <x v="3"/>
    <x v="1"/>
    <x v="2"/>
    <n v="5"/>
    <n v="599"/>
    <n v="2995"/>
    <x v="1"/>
    <n v="449.25"/>
    <n v="2545.75"/>
    <x v="1"/>
    <x v="0"/>
  </r>
  <r>
    <x v="1036"/>
    <s v="8 Sun"/>
    <x v="5"/>
    <x v="0"/>
    <s v="CUST-1392"/>
    <s v="Aarav Singh"/>
    <x v="4"/>
    <x v="1"/>
    <x v="14"/>
    <n v="4"/>
    <n v="1799"/>
    <n v="7196"/>
    <x v="3"/>
    <n v="1439.2"/>
    <n v="5756.8"/>
    <x v="2"/>
    <x v="0"/>
  </r>
  <r>
    <x v="1037"/>
    <s v="8 Sun"/>
    <x v="5"/>
    <x v="0"/>
    <s v="CUST-1072"/>
    <s v="Tanya Sharma"/>
    <x v="2"/>
    <x v="6"/>
    <x v="12"/>
    <n v="3"/>
    <n v="1499"/>
    <n v="4497"/>
    <x v="4"/>
    <n v="449.7"/>
    <n v="4047.3"/>
    <x v="0"/>
    <x v="0"/>
  </r>
  <r>
    <x v="1038"/>
    <s v="8 Sun"/>
    <x v="5"/>
    <x v="0"/>
    <s v="CUST-1356"/>
    <s v="Isha Verma"/>
    <x v="1"/>
    <x v="6"/>
    <x v="12"/>
    <n v="1"/>
    <n v="1499"/>
    <n v="1499"/>
    <x v="3"/>
    <n v="299.8"/>
    <n v="1199.2"/>
    <x v="1"/>
    <x v="1"/>
  </r>
  <r>
    <x v="1039"/>
    <s v="8 Sun"/>
    <x v="5"/>
    <x v="0"/>
    <s v="CUST-1054"/>
    <s v="Kunal Patel"/>
    <x v="1"/>
    <x v="4"/>
    <x v="10"/>
    <n v="3"/>
    <n v="899"/>
    <n v="2697"/>
    <x v="4"/>
    <n v="269.7"/>
    <n v="2427.3000000000002"/>
    <x v="4"/>
    <x v="1"/>
  </r>
  <r>
    <x v="1040"/>
    <s v="8 Sun"/>
    <x v="5"/>
    <x v="0"/>
    <s v="CUST-1205"/>
    <s v="Aman Sharma"/>
    <x v="2"/>
    <x v="2"/>
    <x v="15"/>
    <n v="1"/>
    <n v="299"/>
    <n v="299"/>
    <x v="2"/>
    <n v="14.95"/>
    <n v="284.05"/>
    <x v="3"/>
    <x v="0"/>
  </r>
  <r>
    <x v="1041"/>
    <s v="8 Sun"/>
    <x v="5"/>
    <x v="0"/>
    <s v="CUST-1200"/>
    <s v="Swati Saxena"/>
    <x v="0"/>
    <x v="5"/>
    <x v="9"/>
    <n v="1"/>
    <n v="549"/>
    <n v="549"/>
    <x v="6"/>
    <n v="164.7"/>
    <n v="384.3"/>
    <x v="2"/>
    <x v="1"/>
  </r>
  <r>
    <x v="1042"/>
    <s v="9 Mon"/>
    <x v="5"/>
    <x v="0"/>
    <s v="CUST-1399"/>
    <s v="Vivaan Verma"/>
    <x v="0"/>
    <x v="0"/>
    <x v="0"/>
    <n v="4"/>
    <n v="99"/>
    <n v="396"/>
    <x v="2"/>
    <n v="19.8"/>
    <n v="376.2"/>
    <x v="2"/>
    <x v="0"/>
  </r>
  <r>
    <x v="1043"/>
    <s v="9 Mon"/>
    <x v="5"/>
    <x v="0"/>
    <s v="CUST-1248"/>
    <s v="Meera Saxena"/>
    <x v="1"/>
    <x v="3"/>
    <x v="5"/>
    <n v="2"/>
    <n v="1299"/>
    <n v="2598"/>
    <x v="4"/>
    <n v="259.8"/>
    <n v="2338.1999999999998"/>
    <x v="1"/>
    <x v="0"/>
  </r>
  <r>
    <x v="1044"/>
    <s v="9 Mon"/>
    <x v="5"/>
    <x v="0"/>
    <s v="CUST-1212"/>
    <s v="Komal Joshi"/>
    <x v="1"/>
    <x v="1"/>
    <x v="4"/>
    <n v="2"/>
    <n v="2999"/>
    <n v="5998"/>
    <x v="0"/>
    <n v="0"/>
    <n v="5998"/>
    <x v="1"/>
    <x v="0"/>
  </r>
  <r>
    <x v="1045"/>
    <s v="9 Mon"/>
    <x v="5"/>
    <x v="0"/>
    <s v="CUST-1337"/>
    <s v="Rahul Patel"/>
    <x v="2"/>
    <x v="0"/>
    <x v="1"/>
    <n v="1"/>
    <n v="199"/>
    <n v="199"/>
    <x v="2"/>
    <n v="9.9499999999999993"/>
    <n v="189.05"/>
    <x v="0"/>
    <x v="0"/>
  </r>
  <r>
    <x v="1046"/>
    <s v="9 Mon"/>
    <x v="5"/>
    <x v="0"/>
    <s v="CUST-1192"/>
    <s v="Kunal Singh"/>
    <x v="4"/>
    <x v="2"/>
    <x v="15"/>
    <n v="2"/>
    <n v="299"/>
    <n v="598"/>
    <x v="2"/>
    <n v="29.9"/>
    <n v="568.1"/>
    <x v="3"/>
    <x v="1"/>
  </r>
  <r>
    <x v="1047"/>
    <s v="9 Mon"/>
    <x v="5"/>
    <x v="0"/>
    <s v="CUST-1251"/>
    <s v="Aarav Singh"/>
    <x v="1"/>
    <x v="1"/>
    <x v="4"/>
    <n v="2"/>
    <n v="2999"/>
    <n v="5998"/>
    <x v="3"/>
    <n v="1199.5999999999999"/>
    <n v="4798.3999999999996"/>
    <x v="2"/>
    <x v="1"/>
  </r>
  <r>
    <x v="1048"/>
    <s v="9 Mon"/>
    <x v="5"/>
    <x v="0"/>
    <s v="CUST-1152"/>
    <s v="Kabir Gupta"/>
    <x v="4"/>
    <x v="1"/>
    <x v="4"/>
    <n v="2"/>
    <n v="2999"/>
    <n v="5998"/>
    <x v="6"/>
    <n v="1799.4"/>
    <n v="4198.6000000000004"/>
    <x v="2"/>
    <x v="1"/>
  </r>
  <r>
    <x v="1049"/>
    <s v="9 Mon"/>
    <x v="5"/>
    <x v="0"/>
    <s v="CUST-1249"/>
    <s v="Kabir Sharma"/>
    <x v="2"/>
    <x v="4"/>
    <x v="11"/>
    <n v="2"/>
    <n v="499"/>
    <n v="998"/>
    <x v="3"/>
    <n v="199.6"/>
    <n v="798.4"/>
    <x v="2"/>
    <x v="1"/>
  </r>
  <r>
    <x v="1050"/>
    <s v="10 Tue"/>
    <x v="5"/>
    <x v="0"/>
    <s v="CUST-1252"/>
    <s v="Arjun Singh"/>
    <x v="1"/>
    <x v="2"/>
    <x v="15"/>
    <n v="1"/>
    <n v="299"/>
    <n v="299"/>
    <x v="5"/>
    <n v="74.75"/>
    <n v="224.25"/>
    <x v="0"/>
    <x v="0"/>
  </r>
  <r>
    <x v="1051"/>
    <s v="10 Tue"/>
    <x v="5"/>
    <x v="0"/>
    <s v="CUST-1131"/>
    <s v="Aarav Sharma"/>
    <x v="4"/>
    <x v="6"/>
    <x v="13"/>
    <n v="1"/>
    <n v="699"/>
    <n v="699"/>
    <x v="5"/>
    <n v="174.75"/>
    <n v="524.25"/>
    <x v="2"/>
    <x v="0"/>
  </r>
  <r>
    <x v="1052"/>
    <s v="10 Tue"/>
    <x v="5"/>
    <x v="0"/>
    <s v="CUST-1064"/>
    <s v="Ankit Mehta"/>
    <x v="4"/>
    <x v="5"/>
    <x v="8"/>
    <n v="2"/>
    <n v="349"/>
    <n v="698"/>
    <x v="0"/>
    <n v="0"/>
    <n v="698"/>
    <x v="2"/>
    <x v="0"/>
  </r>
  <r>
    <x v="1053"/>
    <s v="10 Tue"/>
    <x v="5"/>
    <x v="0"/>
    <s v="CUST-1028"/>
    <s v="Swati Joshi"/>
    <x v="4"/>
    <x v="6"/>
    <x v="12"/>
    <n v="1"/>
    <n v="1499"/>
    <n v="1499"/>
    <x v="3"/>
    <n v="299.8"/>
    <n v="1199.2"/>
    <x v="4"/>
    <x v="0"/>
  </r>
  <r>
    <x v="1054"/>
    <s v="10 Tue"/>
    <x v="5"/>
    <x v="0"/>
    <s v="CUST-1016"/>
    <s v="Arjun Kapoor"/>
    <x v="2"/>
    <x v="4"/>
    <x v="7"/>
    <n v="1"/>
    <n v="1999"/>
    <n v="1999"/>
    <x v="4"/>
    <n v="199.9"/>
    <n v="1799.1"/>
    <x v="2"/>
    <x v="1"/>
  </r>
  <r>
    <x v="1055"/>
    <s v="10 Tue"/>
    <x v="5"/>
    <x v="0"/>
    <s v="CUST-1307"/>
    <s v="Swati Kapoor"/>
    <x v="4"/>
    <x v="3"/>
    <x v="6"/>
    <n v="2"/>
    <n v="799"/>
    <n v="1598"/>
    <x v="3"/>
    <n v="319.60000000000002"/>
    <n v="1278.4000000000001"/>
    <x v="4"/>
    <x v="1"/>
  </r>
  <r>
    <x v="1056"/>
    <s v="10 Tue"/>
    <x v="5"/>
    <x v="0"/>
    <s v="CUST-1185"/>
    <s v="Meera Sharma"/>
    <x v="1"/>
    <x v="3"/>
    <x v="6"/>
    <n v="3"/>
    <n v="799"/>
    <n v="2397"/>
    <x v="3"/>
    <n v="479.4"/>
    <n v="1917.6"/>
    <x v="0"/>
    <x v="0"/>
  </r>
  <r>
    <x v="1057"/>
    <s v="10 Tue"/>
    <x v="5"/>
    <x v="0"/>
    <s v="CUST-1300"/>
    <s v="Vivaan Mehta"/>
    <x v="3"/>
    <x v="4"/>
    <x v="11"/>
    <n v="3"/>
    <n v="499"/>
    <n v="1497"/>
    <x v="6"/>
    <n v="449.1"/>
    <n v="1047.9000000000001"/>
    <x v="3"/>
    <x v="0"/>
  </r>
  <r>
    <x v="1058"/>
    <s v="11 Wed"/>
    <x v="5"/>
    <x v="0"/>
    <s v="CUST-1294"/>
    <s v="Kabir Joshi"/>
    <x v="1"/>
    <x v="0"/>
    <x v="0"/>
    <n v="3"/>
    <n v="99"/>
    <n v="297"/>
    <x v="4"/>
    <n v="29.7"/>
    <n v="267.3"/>
    <x v="0"/>
    <x v="1"/>
  </r>
  <r>
    <x v="1059"/>
    <s v="11 Wed"/>
    <x v="5"/>
    <x v="0"/>
    <s v="CUST-1024"/>
    <s v="Tanya Singh"/>
    <x v="1"/>
    <x v="0"/>
    <x v="0"/>
    <n v="1"/>
    <n v="99"/>
    <n v="99"/>
    <x v="0"/>
    <n v="0"/>
    <n v="99"/>
    <x v="1"/>
    <x v="0"/>
  </r>
  <r>
    <x v="1060"/>
    <s v="11 Wed"/>
    <x v="5"/>
    <x v="0"/>
    <s v="CUST-1040"/>
    <s v="Aditya Malhotra"/>
    <x v="4"/>
    <x v="5"/>
    <x v="8"/>
    <n v="2"/>
    <n v="349"/>
    <n v="698"/>
    <x v="5"/>
    <n v="174.5"/>
    <n v="523.5"/>
    <x v="0"/>
    <x v="1"/>
  </r>
  <r>
    <x v="1061"/>
    <s v="11 Wed"/>
    <x v="5"/>
    <x v="0"/>
    <s v="CUST-1191"/>
    <s v="Nandini Malhotra"/>
    <x v="1"/>
    <x v="5"/>
    <x v="8"/>
    <n v="1"/>
    <n v="349"/>
    <n v="349"/>
    <x v="3"/>
    <n v="69.8"/>
    <n v="279.2"/>
    <x v="2"/>
    <x v="0"/>
  </r>
  <r>
    <x v="1062"/>
    <s v="11 Wed"/>
    <x v="5"/>
    <x v="0"/>
    <s v="CUST-1341"/>
    <s v="Meera Patel"/>
    <x v="0"/>
    <x v="0"/>
    <x v="0"/>
    <n v="5"/>
    <n v="99"/>
    <n v="495"/>
    <x v="3"/>
    <n v="99"/>
    <n v="396"/>
    <x v="0"/>
    <x v="1"/>
  </r>
  <r>
    <x v="1063"/>
    <s v="11 Wed"/>
    <x v="5"/>
    <x v="0"/>
    <s v="CUST-1002"/>
    <s v="Shreya Mehta"/>
    <x v="3"/>
    <x v="4"/>
    <x v="7"/>
    <n v="1"/>
    <n v="1999"/>
    <n v="1999"/>
    <x v="1"/>
    <n v="299.85000000000002"/>
    <n v="1699.15"/>
    <x v="2"/>
    <x v="1"/>
  </r>
  <r>
    <x v="1064"/>
    <s v="11 Wed"/>
    <x v="5"/>
    <x v="0"/>
    <s v="CUST-1316"/>
    <s v="Komal Saxena"/>
    <x v="3"/>
    <x v="1"/>
    <x v="4"/>
    <n v="1"/>
    <n v="2999"/>
    <n v="2999"/>
    <x v="2"/>
    <n v="149.94999999999999"/>
    <n v="2849.05"/>
    <x v="4"/>
    <x v="1"/>
  </r>
  <r>
    <x v="1065"/>
    <s v="11 Wed"/>
    <x v="5"/>
    <x v="0"/>
    <s v="CUST-1040"/>
    <s v="Aditya Malhotra"/>
    <x v="1"/>
    <x v="1"/>
    <x v="4"/>
    <n v="1"/>
    <n v="2999"/>
    <n v="2999"/>
    <x v="1"/>
    <n v="449.85"/>
    <n v="2549.15"/>
    <x v="2"/>
    <x v="1"/>
  </r>
  <r>
    <x v="1066"/>
    <s v="11 Wed"/>
    <x v="5"/>
    <x v="0"/>
    <s v="CUST-1142"/>
    <s v="Divya Singh"/>
    <x v="4"/>
    <x v="1"/>
    <x v="2"/>
    <n v="1"/>
    <n v="599"/>
    <n v="599"/>
    <x v="4"/>
    <n v="59.9"/>
    <n v="539.1"/>
    <x v="1"/>
    <x v="1"/>
  </r>
  <r>
    <x v="1067"/>
    <s v="11 Wed"/>
    <x v="5"/>
    <x v="0"/>
    <s v="CUST-1284"/>
    <s v="Arjun Kapoor"/>
    <x v="3"/>
    <x v="5"/>
    <x v="8"/>
    <n v="1"/>
    <n v="349"/>
    <n v="349"/>
    <x v="2"/>
    <n v="17.45"/>
    <n v="331.55"/>
    <x v="1"/>
    <x v="0"/>
  </r>
  <r>
    <x v="1068"/>
    <s v="11 Wed"/>
    <x v="5"/>
    <x v="0"/>
    <s v="CUST-1272"/>
    <s v="Aarav Saxena"/>
    <x v="4"/>
    <x v="6"/>
    <x v="13"/>
    <n v="3"/>
    <n v="699"/>
    <n v="2097"/>
    <x v="2"/>
    <n v="104.85"/>
    <n v="1992.15"/>
    <x v="4"/>
    <x v="0"/>
  </r>
  <r>
    <x v="1069"/>
    <s v="11 Wed"/>
    <x v="5"/>
    <x v="0"/>
    <s v="CUST-1349"/>
    <s v="Rohan Mehta"/>
    <x v="2"/>
    <x v="1"/>
    <x v="2"/>
    <n v="1"/>
    <n v="599"/>
    <n v="599"/>
    <x v="4"/>
    <n v="59.9"/>
    <n v="539.1"/>
    <x v="0"/>
    <x v="1"/>
  </r>
  <r>
    <x v="1070"/>
    <s v="11 Wed"/>
    <x v="5"/>
    <x v="0"/>
    <s v="CUST-1252"/>
    <s v="Arjun Singh"/>
    <x v="2"/>
    <x v="2"/>
    <x v="3"/>
    <n v="2"/>
    <n v="249"/>
    <n v="498"/>
    <x v="5"/>
    <n v="124.5"/>
    <n v="373.5"/>
    <x v="0"/>
    <x v="0"/>
  </r>
  <r>
    <x v="1071"/>
    <s v="12 Thu"/>
    <x v="5"/>
    <x v="0"/>
    <s v="CUST-1166"/>
    <s v="Divya Mehta"/>
    <x v="1"/>
    <x v="4"/>
    <x v="11"/>
    <n v="1"/>
    <n v="499"/>
    <n v="499"/>
    <x v="5"/>
    <n v="124.75"/>
    <n v="374.25"/>
    <x v="1"/>
    <x v="0"/>
  </r>
  <r>
    <x v="1072"/>
    <s v="12 Thu"/>
    <x v="5"/>
    <x v="0"/>
    <s v="CUST-1169"/>
    <s v="Nandini Patel"/>
    <x v="4"/>
    <x v="4"/>
    <x v="7"/>
    <n v="3"/>
    <n v="1999"/>
    <n v="5997"/>
    <x v="1"/>
    <n v="899.55"/>
    <n v="5097.45"/>
    <x v="4"/>
    <x v="0"/>
  </r>
  <r>
    <x v="1073"/>
    <s v="12 Thu"/>
    <x v="5"/>
    <x v="0"/>
    <s v="CUST-1352"/>
    <s v="Nandini Mehta"/>
    <x v="4"/>
    <x v="6"/>
    <x v="12"/>
    <n v="2"/>
    <n v="1499"/>
    <n v="2998"/>
    <x v="6"/>
    <n v="899.4"/>
    <n v="2098.6"/>
    <x v="0"/>
    <x v="0"/>
  </r>
  <r>
    <x v="1074"/>
    <s v="12 Thu"/>
    <x v="5"/>
    <x v="0"/>
    <s v="CUST-1068"/>
    <s v="Isha Verma"/>
    <x v="2"/>
    <x v="2"/>
    <x v="15"/>
    <n v="1"/>
    <n v="299"/>
    <n v="299"/>
    <x v="4"/>
    <n v="29.9"/>
    <n v="269.10000000000002"/>
    <x v="2"/>
    <x v="0"/>
  </r>
  <r>
    <x v="1075"/>
    <s v="12 Thu"/>
    <x v="5"/>
    <x v="0"/>
    <s v="CUST-1228"/>
    <s v="Aarav Mehta"/>
    <x v="2"/>
    <x v="5"/>
    <x v="9"/>
    <n v="3"/>
    <n v="549"/>
    <n v="1647"/>
    <x v="4"/>
    <n v="164.7"/>
    <n v="1482.3"/>
    <x v="1"/>
    <x v="0"/>
  </r>
  <r>
    <x v="1076"/>
    <s v="12 Thu"/>
    <x v="5"/>
    <x v="0"/>
    <s v="CUST-1196"/>
    <s v="Aditya Patel"/>
    <x v="2"/>
    <x v="6"/>
    <x v="13"/>
    <n v="1"/>
    <n v="699"/>
    <n v="699"/>
    <x v="1"/>
    <n v="104.85"/>
    <n v="594.15"/>
    <x v="2"/>
    <x v="1"/>
  </r>
  <r>
    <x v="1077"/>
    <s v="12 Thu"/>
    <x v="5"/>
    <x v="0"/>
    <s v="CUST-1141"/>
    <s v="Tanya Kapoor"/>
    <x v="0"/>
    <x v="5"/>
    <x v="9"/>
    <n v="3"/>
    <n v="549"/>
    <n v="1647"/>
    <x v="1"/>
    <n v="247.05"/>
    <n v="1399.95"/>
    <x v="4"/>
    <x v="0"/>
  </r>
  <r>
    <x v="1078"/>
    <s v="12 Thu"/>
    <x v="5"/>
    <x v="0"/>
    <s v="CUST-1011"/>
    <s v="Kunal Sharma"/>
    <x v="1"/>
    <x v="4"/>
    <x v="11"/>
    <n v="1"/>
    <n v="499"/>
    <n v="499"/>
    <x v="3"/>
    <n v="99.8"/>
    <n v="399.2"/>
    <x v="1"/>
    <x v="0"/>
  </r>
  <r>
    <x v="1079"/>
    <s v="12 Thu"/>
    <x v="5"/>
    <x v="0"/>
    <s v="CUST-1173"/>
    <s v="Ankit Gupta"/>
    <x v="4"/>
    <x v="5"/>
    <x v="9"/>
    <n v="2"/>
    <n v="549"/>
    <n v="1098"/>
    <x v="3"/>
    <n v="219.6"/>
    <n v="878.4"/>
    <x v="3"/>
    <x v="1"/>
  </r>
  <r>
    <x v="1080"/>
    <s v="12 Thu"/>
    <x v="5"/>
    <x v="0"/>
    <s v="CUST-1290"/>
    <s v="Kabir Mehta"/>
    <x v="2"/>
    <x v="1"/>
    <x v="2"/>
    <n v="1"/>
    <n v="599"/>
    <n v="599"/>
    <x v="0"/>
    <n v="0"/>
    <n v="599"/>
    <x v="1"/>
    <x v="0"/>
  </r>
  <r>
    <x v="1081"/>
    <s v="13 Fri"/>
    <x v="5"/>
    <x v="0"/>
    <s v="CUST-1351"/>
    <s v="Tanya Mehta"/>
    <x v="4"/>
    <x v="0"/>
    <x v="0"/>
    <n v="1"/>
    <n v="99"/>
    <n v="99"/>
    <x v="5"/>
    <n v="24.75"/>
    <n v="74.25"/>
    <x v="0"/>
    <x v="0"/>
  </r>
  <r>
    <x v="1082"/>
    <s v="13 Fri"/>
    <x v="5"/>
    <x v="0"/>
    <s v="CUST-1142"/>
    <s v="Divya Singh"/>
    <x v="1"/>
    <x v="3"/>
    <x v="6"/>
    <n v="1"/>
    <n v="799"/>
    <n v="799"/>
    <x v="3"/>
    <n v="159.80000000000001"/>
    <n v="639.20000000000005"/>
    <x v="1"/>
    <x v="1"/>
  </r>
  <r>
    <x v="1083"/>
    <s v="13 Fri"/>
    <x v="5"/>
    <x v="0"/>
    <s v="CUST-1162"/>
    <s v="Aarav Kapoor"/>
    <x v="4"/>
    <x v="3"/>
    <x v="5"/>
    <n v="2"/>
    <n v="1299"/>
    <n v="2598"/>
    <x v="5"/>
    <n v="649.5"/>
    <n v="1948.5"/>
    <x v="0"/>
    <x v="0"/>
  </r>
  <r>
    <x v="1084"/>
    <s v="13 Fri"/>
    <x v="5"/>
    <x v="0"/>
    <s v="CUST-1285"/>
    <s v="Ankit Joshi"/>
    <x v="4"/>
    <x v="3"/>
    <x v="5"/>
    <n v="1"/>
    <n v="1299"/>
    <n v="1299"/>
    <x v="0"/>
    <n v="0"/>
    <n v="1299"/>
    <x v="0"/>
    <x v="0"/>
  </r>
  <r>
    <x v="1085"/>
    <s v="13 Fri"/>
    <x v="5"/>
    <x v="0"/>
    <s v="CUST-1117"/>
    <s v="Aman Saxena"/>
    <x v="4"/>
    <x v="6"/>
    <x v="13"/>
    <n v="4"/>
    <n v="699"/>
    <n v="2796"/>
    <x v="3"/>
    <n v="559.20000000000005"/>
    <n v="2236.8000000000002"/>
    <x v="4"/>
    <x v="0"/>
  </r>
  <r>
    <x v="1086"/>
    <s v="13 Fri"/>
    <x v="5"/>
    <x v="0"/>
    <s v="CUST-1023"/>
    <s v="Rohan Sharma"/>
    <x v="1"/>
    <x v="3"/>
    <x v="6"/>
    <n v="4"/>
    <n v="799"/>
    <n v="3196"/>
    <x v="0"/>
    <n v="0"/>
    <n v="3196"/>
    <x v="4"/>
    <x v="0"/>
  </r>
  <r>
    <x v="1087"/>
    <s v="13 Fri"/>
    <x v="5"/>
    <x v="0"/>
    <s v="CUST-1338"/>
    <s v="Komal Malhotra"/>
    <x v="4"/>
    <x v="1"/>
    <x v="2"/>
    <n v="1"/>
    <n v="599"/>
    <n v="599"/>
    <x v="3"/>
    <n v="119.8"/>
    <n v="479.2"/>
    <x v="3"/>
    <x v="0"/>
  </r>
  <r>
    <x v="1088"/>
    <s v="14 Sat"/>
    <x v="5"/>
    <x v="0"/>
    <s v="CUST-1026"/>
    <s v="Rahul Saxena"/>
    <x v="2"/>
    <x v="3"/>
    <x v="5"/>
    <n v="2"/>
    <n v="1299"/>
    <n v="2598"/>
    <x v="3"/>
    <n v="519.6"/>
    <n v="2078.4"/>
    <x v="1"/>
    <x v="1"/>
  </r>
  <r>
    <x v="1089"/>
    <s v="14 Sat"/>
    <x v="5"/>
    <x v="0"/>
    <s v="CUST-1371"/>
    <s v="Rahul Verma"/>
    <x v="3"/>
    <x v="4"/>
    <x v="10"/>
    <n v="1"/>
    <n v="899"/>
    <n v="899"/>
    <x v="0"/>
    <n v="0"/>
    <n v="899"/>
    <x v="1"/>
    <x v="0"/>
  </r>
  <r>
    <x v="1090"/>
    <s v="14 Sat"/>
    <x v="5"/>
    <x v="0"/>
    <s v="CUST-1136"/>
    <s v="Kunal Patel"/>
    <x v="4"/>
    <x v="1"/>
    <x v="2"/>
    <n v="1"/>
    <n v="599"/>
    <n v="599"/>
    <x v="2"/>
    <n v="29.95"/>
    <n v="569.04999999999995"/>
    <x v="4"/>
    <x v="1"/>
  </r>
  <r>
    <x v="1091"/>
    <s v="14 Sat"/>
    <x v="5"/>
    <x v="0"/>
    <s v="CUST-1028"/>
    <s v="Swati Joshi"/>
    <x v="0"/>
    <x v="2"/>
    <x v="3"/>
    <n v="2"/>
    <n v="249"/>
    <n v="498"/>
    <x v="6"/>
    <n v="149.4"/>
    <n v="348.6"/>
    <x v="0"/>
    <x v="1"/>
  </r>
  <r>
    <x v="1092"/>
    <s v="14 Sat"/>
    <x v="5"/>
    <x v="0"/>
    <s v="CUST-1265"/>
    <s v="Muskan Singh"/>
    <x v="0"/>
    <x v="2"/>
    <x v="15"/>
    <n v="2"/>
    <n v="299"/>
    <n v="598"/>
    <x v="1"/>
    <n v="89.7"/>
    <n v="508.3"/>
    <x v="1"/>
    <x v="1"/>
  </r>
  <r>
    <x v="1093"/>
    <s v="14 Sat"/>
    <x v="5"/>
    <x v="0"/>
    <s v="CUST-1118"/>
    <s v="Sakshi Malhotra"/>
    <x v="3"/>
    <x v="5"/>
    <x v="9"/>
    <n v="4"/>
    <n v="549"/>
    <n v="2196"/>
    <x v="6"/>
    <n v="658.8"/>
    <n v="1537.2"/>
    <x v="4"/>
    <x v="0"/>
  </r>
  <r>
    <x v="1094"/>
    <s v="14 Sat"/>
    <x v="5"/>
    <x v="0"/>
    <s v="CUST-1263"/>
    <s v="Tanya Mehta"/>
    <x v="4"/>
    <x v="5"/>
    <x v="8"/>
    <n v="1"/>
    <n v="349"/>
    <n v="349"/>
    <x v="4"/>
    <n v="34.9"/>
    <n v="314.10000000000002"/>
    <x v="1"/>
    <x v="1"/>
  </r>
  <r>
    <x v="1095"/>
    <s v="14 Sat"/>
    <x v="5"/>
    <x v="0"/>
    <s v="CUST-1384"/>
    <s v="Vivaan Singh"/>
    <x v="4"/>
    <x v="5"/>
    <x v="8"/>
    <n v="2"/>
    <n v="349"/>
    <n v="698"/>
    <x v="3"/>
    <n v="139.6"/>
    <n v="558.4"/>
    <x v="1"/>
    <x v="1"/>
  </r>
  <r>
    <x v="1096"/>
    <s v="14 Sat"/>
    <x v="5"/>
    <x v="0"/>
    <s v="CUST-1164"/>
    <s v="Kabir Malhotra"/>
    <x v="2"/>
    <x v="4"/>
    <x v="7"/>
    <n v="3"/>
    <n v="1999"/>
    <n v="5997"/>
    <x v="3"/>
    <n v="1199.4000000000001"/>
    <n v="4797.6000000000004"/>
    <x v="0"/>
    <x v="1"/>
  </r>
  <r>
    <x v="1097"/>
    <s v="14 Sat"/>
    <x v="5"/>
    <x v="0"/>
    <s v="CUST-1273"/>
    <s v="Aman Saxena"/>
    <x v="3"/>
    <x v="3"/>
    <x v="5"/>
    <n v="2"/>
    <n v="1299"/>
    <n v="2598"/>
    <x v="2"/>
    <n v="129.9"/>
    <n v="2468.1"/>
    <x v="2"/>
    <x v="0"/>
  </r>
  <r>
    <x v="1098"/>
    <s v="14 Sat"/>
    <x v="5"/>
    <x v="0"/>
    <s v="CUST-1084"/>
    <s v="Kunal Saxena"/>
    <x v="1"/>
    <x v="3"/>
    <x v="5"/>
    <n v="1"/>
    <n v="1299"/>
    <n v="1299"/>
    <x v="1"/>
    <n v="194.85"/>
    <n v="1104.1500000000001"/>
    <x v="2"/>
    <x v="0"/>
  </r>
  <r>
    <x v="1099"/>
    <s v="14 Sat"/>
    <x v="5"/>
    <x v="0"/>
    <s v="CUST-1033"/>
    <s v="Meera Joshi"/>
    <x v="2"/>
    <x v="4"/>
    <x v="7"/>
    <n v="2"/>
    <n v="1999"/>
    <n v="3998"/>
    <x v="5"/>
    <n v="999.5"/>
    <n v="2998.5"/>
    <x v="3"/>
    <x v="1"/>
  </r>
  <r>
    <x v="1100"/>
    <s v="14 Sat"/>
    <x v="5"/>
    <x v="0"/>
    <s v="CUST-1325"/>
    <s v="Aarav Saxena"/>
    <x v="0"/>
    <x v="5"/>
    <x v="8"/>
    <n v="3"/>
    <n v="349"/>
    <n v="1047"/>
    <x v="6"/>
    <n v="314.10000000000002"/>
    <n v="732.9"/>
    <x v="0"/>
    <x v="1"/>
  </r>
  <r>
    <x v="1101"/>
    <s v="15 Sun"/>
    <x v="5"/>
    <x v="0"/>
    <s v="CUST-1045"/>
    <s v="Arjun Verma"/>
    <x v="0"/>
    <x v="1"/>
    <x v="2"/>
    <n v="2"/>
    <n v="599"/>
    <n v="1198"/>
    <x v="3"/>
    <n v="239.6"/>
    <n v="958.4"/>
    <x v="1"/>
    <x v="0"/>
  </r>
  <r>
    <x v="1102"/>
    <s v="15 Sun"/>
    <x v="5"/>
    <x v="0"/>
    <s v="CUST-1006"/>
    <s v="Sakshi Singh"/>
    <x v="3"/>
    <x v="6"/>
    <x v="12"/>
    <n v="3"/>
    <n v="1499"/>
    <n v="4497"/>
    <x v="2"/>
    <n v="224.85"/>
    <n v="4272.1499999999996"/>
    <x v="4"/>
    <x v="0"/>
  </r>
  <r>
    <x v="1103"/>
    <s v="15 Sun"/>
    <x v="5"/>
    <x v="0"/>
    <s v="CUST-1365"/>
    <s v="Meera Singh"/>
    <x v="2"/>
    <x v="0"/>
    <x v="1"/>
    <n v="1"/>
    <n v="199"/>
    <n v="199"/>
    <x v="3"/>
    <n v="39.799999999999997"/>
    <n v="159.19999999999999"/>
    <x v="4"/>
    <x v="1"/>
  </r>
  <r>
    <x v="1104"/>
    <s v="15 Sun"/>
    <x v="5"/>
    <x v="0"/>
    <s v="CUST-1334"/>
    <s v="Kunal Singh"/>
    <x v="0"/>
    <x v="4"/>
    <x v="11"/>
    <n v="1"/>
    <n v="499"/>
    <n v="499"/>
    <x v="3"/>
    <n v="99.8"/>
    <n v="399.2"/>
    <x v="4"/>
    <x v="0"/>
  </r>
  <r>
    <x v="1105"/>
    <s v="15 Sun"/>
    <x v="5"/>
    <x v="0"/>
    <s v="CUST-1011"/>
    <s v="Kunal Sharma"/>
    <x v="2"/>
    <x v="0"/>
    <x v="0"/>
    <n v="1"/>
    <n v="99"/>
    <n v="99"/>
    <x v="2"/>
    <n v="4.95"/>
    <n v="94.05"/>
    <x v="1"/>
    <x v="0"/>
  </r>
  <r>
    <x v="1106"/>
    <s v="15 Sun"/>
    <x v="5"/>
    <x v="0"/>
    <s v="CUST-1383"/>
    <s v="Aman Gupta"/>
    <x v="3"/>
    <x v="6"/>
    <x v="13"/>
    <n v="1"/>
    <n v="699"/>
    <n v="699"/>
    <x v="5"/>
    <n v="174.75"/>
    <n v="524.25"/>
    <x v="0"/>
    <x v="0"/>
  </r>
  <r>
    <x v="1107"/>
    <s v="15 Sun"/>
    <x v="5"/>
    <x v="0"/>
    <s v="CUST-1075"/>
    <s v="Divya Patel"/>
    <x v="2"/>
    <x v="6"/>
    <x v="13"/>
    <n v="3"/>
    <n v="699"/>
    <n v="2097"/>
    <x v="3"/>
    <n v="419.4"/>
    <n v="1677.6"/>
    <x v="2"/>
    <x v="1"/>
  </r>
  <r>
    <x v="1108"/>
    <s v="15 Sun"/>
    <x v="5"/>
    <x v="0"/>
    <s v="CUST-1386"/>
    <s v="Swati Patel"/>
    <x v="2"/>
    <x v="3"/>
    <x v="6"/>
    <n v="4"/>
    <n v="799"/>
    <n v="3196"/>
    <x v="1"/>
    <n v="479.4"/>
    <n v="2716.6"/>
    <x v="1"/>
    <x v="1"/>
  </r>
  <r>
    <x v="1109"/>
    <s v="16 Mon"/>
    <x v="5"/>
    <x v="0"/>
    <s v="CUST-1143"/>
    <s v="Muskan Saxena"/>
    <x v="1"/>
    <x v="0"/>
    <x v="1"/>
    <n v="1"/>
    <n v="199"/>
    <n v="199"/>
    <x v="2"/>
    <n v="9.9499999999999993"/>
    <n v="189.05"/>
    <x v="0"/>
    <x v="0"/>
  </r>
  <r>
    <x v="1110"/>
    <s v="16 Mon"/>
    <x v="5"/>
    <x v="0"/>
    <s v="CUST-1161"/>
    <s v="Ankit Gupta"/>
    <x v="2"/>
    <x v="6"/>
    <x v="12"/>
    <n v="2"/>
    <n v="1499"/>
    <n v="2998"/>
    <x v="4"/>
    <n v="299.8"/>
    <n v="2698.2"/>
    <x v="0"/>
    <x v="1"/>
  </r>
  <r>
    <x v="1111"/>
    <s v="17 Tue"/>
    <x v="5"/>
    <x v="0"/>
    <s v="CUST-1092"/>
    <s v="Arjun Mehta"/>
    <x v="3"/>
    <x v="1"/>
    <x v="2"/>
    <n v="2"/>
    <n v="599"/>
    <n v="1198"/>
    <x v="2"/>
    <n v="59.9"/>
    <n v="1138.0999999999999"/>
    <x v="2"/>
    <x v="1"/>
  </r>
  <r>
    <x v="1112"/>
    <s v="17 Tue"/>
    <x v="5"/>
    <x v="0"/>
    <s v="CUST-1061"/>
    <s v="Muskan Patel"/>
    <x v="1"/>
    <x v="0"/>
    <x v="0"/>
    <n v="4"/>
    <n v="99"/>
    <n v="396"/>
    <x v="2"/>
    <n v="19.8"/>
    <n v="376.2"/>
    <x v="2"/>
    <x v="0"/>
  </r>
  <r>
    <x v="1113"/>
    <s v="17 Tue"/>
    <x v="5"/>
    <x v="0"/>
    <s v="CUST-1035"/>
    <s v="Isha Joshi"/>
    <x v="2"/>
    <x v="4"/>
    <x v="11"/>
    <n v="2"/>
    <n v="499"/>
    <n v="998"/>
    <x v="1"/>
    <n v="149.69999999999999"/>
    <n v="848.3"/>
    <x v="0"/>
    <x v="1"/>
  </r>
  <r>
    <x v="1114"/>
    <s v="17 Tue"/>
    <x v="5"/>
    <x v="0"/>
    <s v="CUST-1154"/>
    <s v="Aditya Malhotra"/>
    <x v="3"/>
    <x v="6"/>
    <x v="12"/>
    <n v="3"/>
    <n v="1499"/>
    <n v="4497"/>
    <x v="1"/>
    <n v="674.55"/>
    <n v="3822.45"/>
    <x v="2"/>
    <x v="0"/>
  </r>
  <r>
    <x v="1115"/>
    <s v="17 Tue"/>
    <x v="5"/>
    <x v="0"/>
    <s v="CUST-1260"/>
    <s v="Ankit Verma"/>
    <x v="2"/>
    <x v="2"/>
    <x v="3"/>
    <n v="2"/>
    <n v="249"/>
    <n v="498"/>
    <x v="5"/>
    <n v="124.5"/>
    <n v="373.5"/>
    <x v="2"/>
    <x v="1"/>
  </r>
  <r>
    <x v="1116"/>
    <s v="17 Tue"/>
    <x v="5"/>
    <x v="0"/>
    <s v="CUST-1239"/>
    <s v="Rohan Malhotra"/>
    <x v="3"/>
    <x v="3"/>
    <x v="5"/>
    <n v="1"/>
    <n v="1299"/>
    <n v="1299"/>
    <x v="6"/>
    <n v="389.7"/>
    <n v="909.3"/>
    <x v="1"/>
    <x v="0"/>
  </r>
  <r>
    <x v="1117"/>
    <s v="17 Tue"/>
    <x v="5"/>
    <x v="0"/>
    <s v="CUST-1238"/>
    <s v="Nandini Verma"/>
    <x v="0"/>
    <x v="0"/>
    <x v="1"/>
    <n v="3"/>
    <n v="199"/>
    <n v="597"/>
    <x v="2"/>
    <n v="29.85"/>
    <n v="567.15"/>
    <x v="0"/>
    <x v="1"/>
  </r>
  <r>
    <x v="1118"/>
    <s v="17 Tue"/>
    <x v="5"/>
    <x v="0"/>
    <s v="CUST-1308"/>
    <s v="Shreya Sharma"/>
    <x v="1"/>
    <x v="2"/>
    <x v="3"/>
    <n v="1"/>
    <n v="249"/>
    <n v="249"/>
    <x v="3"/>
    <n v="49.8"/>
    <n v="199.2"/>
    <x v="4"/>
    <x v="1"/>
  </r>
  <r>
    <x v="1119"/>
    <s v="17 Tue"/>
    <x v="5"/>
    <x v="0"/>
    <s v="CUST-1017"/>
    <s v="Aarav Verma"/>
    <x v="4"/>
    <x v="3"/>
    <x v="5"/>
    <n v="1"/>
    <n v="1299"/>
    <n v="1299"/>
    <x v="5"/>
    <n v="324.75"/>
    <n v="974.25"/>
    <x v="0"/>
    <x v="0"/>
  </r>
  <r>
    <x v="1120"/>
    <s v="18 Wed"/>
    <x v="5"/>
    <x v="0"/>
    <s v="CUST-1118"/>
    <s v="Sakshi Malhotra"/>
    <x v="4"/>
    <x v="3"/>
    <x v="6"/>
    <n v="3"/>
    <n v="799"/>
    <n v="2397"/>
    <x v="3"/>
    <n v="479.4"/>
    <n v="1917.6"/>
    <x v="2"/>
    <x v="0"/>
  </r>
  <r>
    <x v="1121"/>
    <s v="18 Wed"/>
    <x v="5"/>
    <x v="0"/>
    <s v="CUST-1152"/>
    <s v="Kabir Gupta"/>
    <x v="1"/>
    <x v="1"/>
    <x v="14"/>
    <n v="5"/>
    <n v="1799"/>
    <n v="8995"/>
    <x v="0"/>
    <n v="0"/>
    <n v="8995"/>
    <x v="4"/>
    <x v="1"/>
  </r>
  <r>
    <x v="1122"/>
    <s v="18 Wed"/>
    <x v="5"/>
    <x v="0"/>
    <s v="CUST-1241"/>
    <s v="Rahul Singh"/>
    <x v="0"/>
    <x v="0"/>
    <x v="0"/>
    <n v="4"/>
    <n v="99"/>
    <n v="396"/>
    <x v="5"/>
    <n v="99"/>
    <n v="297"/>
    <x v="0"/>
    <x v="0"/>
  </r>
  <r>
    <x v="1123"/>
    <s v="18 Wed"/>
    <x v="5"/>
    <x v="0"/>
    <s v="CUST-1024"/>
    <s v="Tanya Singh"/>
    <x v="3"/>
    <x v="0"/>
    <x v="1"/>
    <n v="1"/>
    <n v="199"/>
    <n v="199"/>
    <x v="4"/>
    <n v="19.899999999999999"/>
    <n v="179.1"/>
    <x v="2"/>
    <x v="0"/>
  </r>
  <r>
    <x v="1124"/>
    <s v="18 Wed"/>
    <x v="5"/>
    <x v="0"/>
    <s v="CUST-1241"/>
    <s v="Rahul Singh"/>
    <x v="2"/>
    <x v="4"/>
    <x v="7"/>
    <n v="2"/>
    <n v="1999"/>
    <n v="3998"/>
    <x v="6"/>
    <n v="1199.4000000000001"/>
    <n v="2798.6"/>
    <x v="2"/>
    <x v="0"/>
  </r>
  <r>
    <x v="1125"/>
    <s v="18 Wed"/>
    <x v="5"/>
    <x v="0"/>
    <s v="CUST-1323"/>
    <s v="Muskan Verma"/>
    <x v="4"/>
    <x v="3"/>
    <x v="6"/>
    <n v="2"/>
    <n v="799"/>
    <n v="1598"/>
    <x v="5"/>
    <n v="399.5"/>
    <n v="1198.5"/>
    <x v="1"/>
    <x v="0"/>
  </r>
  <r>
    <x v="1126"/>
    <s v="18 Wed"/>
    <x v="5"/>
    <x v="0"/>
    <s v="CUST-1271"/>
    <s v="Nandini Sharma"/>
    <x v="0"/>
    <x v="4"/>
    <x v="11"/>
    <n v="1"/>
    <n v="499"/>
    <n v="499"/>
    <x v="1"/>
    <n v="74.849999999999994"/>
    <n v="424.15"/>
    <x v="1"/>
    <x v="1"/>
  </r>
  <r>
    <x v="1127"/>
    <s v="18 Wed"/>
    <x v="5"/>
    <x v="0"/>
    <s v="CUST-1149"/>
    <s v="Aarav Verma"/>
    <x v="2"/>
    <x v="2"/>
    <x v="15"/>
    <n v="3"/>
    <n v="299"/>
    <n v="897"/>
    <x v="6"/>
    <n v="269.10000000000002"/>
    <n v="627.9"/>
    <x v="3"/>
    <x v="0"/>
  </r>
  <r>
    <x v="1128"/>
    <s v="18 Wed"/>
    <x v="5"/>
    <x v="0"/>
    <s v="CUST-1110"/>
    <s v="Aman Malhotra"/>
    <x v="0"/>
    <x v="0"/>
    <x v="0"/>
    <n v="1"/>
    <n v="99"/>
    <n v="99"/>
    <x v="0"/>
    <n v="0"/>
    <n v="99"/>
    <x v="0"/>
    <x v="0"/>
  </r>
  <r>
    <x v="1129"/>
    <s v="18 Wed"/>
    <x v="5"/>
    <x v="0"/>
    <s v="CUST-1098"/>
    <s v="Rohan Patel"/>
    <x v="1"/>
    <x v="2"/>
    <x v="3"/>
    <n v="5"/>
    <n v="249"/>
    <n v="1245"/>
    <x v="6"/>
    <n v="373.5"/>
    <n v="871.5"/>
    <x v="1"/>
    <x v="1"/>
  </r>
  <r>
    <x v="1130"/>
    <s v="19 Thu"/>
    <x v="5"/>
    <x v="0"/>
    <s v="CUST-1319"/>
    <s v="Rohan Sharma"/>
    <x v="3"/>
    <x v="2"/>
    <x v="3"/>
    <n v="3"/>
    <n v="249"/>
    <n v="747"/>
    <x v="0"/>
    <n v="0"/>
    <n v="747"/>
    <x v="1"/>
    <x v="1"/>
  </r>
  <r>
    <x v="1131"/>
    <s v="19 Thu"/>
    <x v="5"/>
    <x v="0"/>
    <s v="CUST-1236"/>
    <s v="Divya Mehta"/>
    <x v="0"/>
    <x v="1"/>
    <x v="4"/>
    <n v="3"/>
    <n v="2999"/>
    <n v="8997"/>
    <x v="2"/>
    <n v="449.85"/>
    <n v="8547.15"/>
    <x v="2"/>
    <x v="0"/>
  </r>
  <r>
    <x v="1132"/>
    <s v="19 Thu"/>
    <x v="5"/>
    <x v="0"/>
    <s v="CUST-1375"/>
    <s v="Kunal Joshi"/>
    <x v="1"/>
    <x v="6"/>
    <x v="12"/>
    <n v="4"/>
    <n v="1499"/>
    <n v="5996"/>
    <x v="1"/>
    <n v="899.4"/>
    <n v="5096.6000000000004"/>
    <x v="1"/>
    <x v="0"/>
  </r>
  <r>
    <x v="1133"/>
    <s v="19 Thu"/>
    <x v="5"/>
    <x v="0"/>
    <s v="CUST-1397"/>
    <s v="Aman Verma"/>
    <x v="3"/>
    <x v="1"/>
    <x v="14"/>
    <n v="3"/>
    <n v="1799"/>
    <n v="5397"/>
    <x v="5"/>
    <n v="1349.25"/>
    <n v="4047.75"/>
    <x v="0"/>
    <x v="0"/>
  </r>
  <r>
    <x v="1134"/>
    <s v="19 Thu"/>
    <x v="5"/>
    <x v="0"/>
    <s v="CUST-1182"/>
    <s v="Swati Verma"/>
    <x v="1"/>
    <x v="4"/>
    <x v="7"/>
    <n v="1"/>
    <n v="1999"/>
    <n v="1999"/>
    <x v="1"/>
    <n v="299.85000000000002"/>
    <n v="1699.15"/>
    <x v="4"/>
    <x v="1"/>
  </r>
  <r>
    <x v="1135"/>
    <s v="19 Thu"/>
    <x v="5"/>
    <x v="0"/>
    <s v="CUST-1292"/>
    <s v="Aman Singh"/>
    <x v="3"/>
    <x v="1"/>
    <x v="14"/>
    <n v="1"/>
    <n v="1799"/>
    <n v="1799"/>
    <x v="3"/>
    <n v="359.8"/>
    <n v="1439.2"/>
    <x v="3"/>
    <x v="0"/>
  </r>
  <r>
    <x v="1136"/>
    <s v="19 Thu"/>
    <x v="5"/>
    <x v="0"/>
    <s v="CUST-1341"/>
    <s v="Meera Patel"/>
    <x v="4"/>
    <x v="6"/>
    <x v="12"/>
    <n v="1"/>
    <n v="1499"/>
    <n v="1499"/>
    <x v="6"/>
    <n v="449.7"/>
    <n v="1049.3"/>
    <x v="1"/>
    <x v="1"/>
  </r>
  <r>
    <x v="1137"/>
    <s v="20 Fri"/>
    <x v="5"/>
    <x v="0"/>
    <s v="CUST-1347"/>
    <s v="Ankit Joshi"/>
    <x v="2"/>
    <x v="5"/>
    <x v="8"/>
    <n v="2"/>
    <n v="349"/>
    <n v="698"/>
    <x v="5"/>
    <n v="174.5"/>
    <n v="523.5"/>
    <x v="1"/>
    <x v="0"/>
  </r>
  <r>
    <x v="1138"/>
    <s v="20 Fri"/>
    <x v="5"/>
    <x v="0"/>
    <s v="CUST-1033"/>
    <s v="Meera Joshi"/>
    <x v="4"/>
    <x v="3"/>
    <x v="6"/>
    <n v="1"/>
    <n v="799"/>
    <n v="799"/>
    <x v="3"/>
    <n v="159.80000000000001"/>
    <n v="639.20000000000005"/>
    <x v="4"/>
    <x v="0"/>
  </r>
  <r>
    <x v="1139"/>
    <s v="20 Fri"/>
    <x v="5"/>
    <x v="0"/>
    <s v="CUST-1399"/>
    <s v="Vivaan Verma"/>
    <x v="3"/>
    <x v="3"/>
    <x v="6"/>
    <n v="1"/>
    <n v="799"/>
    <n v="799"/>
    <x v="1"/>
    <n v="119.85"/>
    <n v="679.15"/>
    <x v="0"/>
    <x v="0"/>
  </r>
  <r>
    <x v="1140"/>
    <s v="20 Fri"/>
    <x v="5"/>
    <x v="0"/>
    <s v="CUST-1390"/>
    <s v="Rahul Saxena"/>
    <x v="0"/>
    <x v="5"/>
    <x v="8"/>
    <n v="1"/>
    <n v="349"/>
    <n v="349"/>
    <x v="0"/>
    <n v="0"/>
    <n v="349"/>
    <x v="1"/>
    <x v="1"/>
  </r>
  <r>
    <x v="1141"/>
    <s v="20 Fri"/>
    <x v="5"/>
    <x v="0"/>
    <s v="CUST-1005"/>
    <s v="Rohan Malhotra"/>
    <x v="1"/>
    <x v="1"/>
    <x v="14"/>
    <n v="3"/>
    <n v="1799"/>
    <n v="5397"/>
    <x v="4"/>
    <n v="539.70000000000005"/>
    <n v="4857.3"/>
    <x v="4"/>
    <x v="0"/>
  </r>
  <r>
    <x v="1142"/>
    <s v="21 Sat"/>
    <x v="5"/>
    <x v="0"/>
    <s v="CUST-1092"/>
    <s v="Arjun Mehta"/>
    <x v="4"/>
    <x v="4"/>
    <x v="7"/>
    <n v="2"/>
    <n v="1999"/>
    <n v="3998"/>
    <x v="5"/>
    <n v="999.5"/>
    <n v="2998.5"/>
    <x v="0"/>
    <x v="1"/>
  </r>
  <r>
    <x v="1143"/>
    <s v="21 Sat"/>
    <x v="5"/>
    <x v="0"/>
    <s v="CUST-1317"/>
    <s v="Aditya Kapoor"/>
    <x v="3"/>
    <x v="4"/>
    <x v="7"/>
    <n v="3"/>
    <n v="1999"/>
    <n v="5997"/>
    <x v="4"/>
    <n v="599.70000000000005"/>
    <n v="5397.3"/>
    <x v="1"/>
    <x v="1"/>
  </r>
  <r>
    <x v="1144"/>
    <s v="21 Sat"/>
    <x v="5"/>
    <x v="0"/>
    <s v="CUST-1011"/>
    <s v="Kunal Sharma"/>
    <x v="3"/>
    <x v="6"/>
    <x v="13"/>
    <n v="2"/>
    <n v="699"/>
    <n v="1398"/>
    <x v="0"/>
    <n v="0"/>
    <n v="1398"/>
    <x v="3"/>
    <x v="0"/>
  </r>
  <r>
    <x v="1145"/>
    <s v="21 Sat"/>
    <x v="5"/>
    <x v="0"/>
    <s v="CUST-1233"/>
    <s v="Rahul Joshi"/>
    <x v="3"/>
    <x v="1"/>
    <x v="14"/>
    <n v="1"/>
    <n v="1799"/>
    <n v="1799"/>
    <x v="6"/>
    <n v="539.70000000000005"/>
    <n v="1259.3"/>
    <x v="2"/>
    <x v="0"/>
  </r>
  <r>
    <x v="1146"/>
    <s v="21 Sat"/>
    <x v="5"/>
    <x v="0"/>
    <s v="CUST-1051"/>
    <s v="Rohan Patel"/>
    <x v="0"/>
    <x v="2"/>
    <x v="3"/>
    <n v="2"/>
    <n v="249"/>
    <n v="498"/>
    <x v="0"/>
    <n v="0"/>
    <n v="498"/>
    <x v="4"/>
    <x v="1"/>
  </r>
  <r>
    <x v="1147"/>
    <s v="21 Sat"/>
    <x v="5"/>
    <x v="0"/>
    <s v="CUST-1190"/>
    <s v="Rahul Patel"/>
    <x v="2"/>
    <x v="1"/>
    <x v="14"/>
    <n v="2"/>
    <n v="1799"/>
    <n v="3598"/>
    <x v="2"/>
    <n v="179.9"/>
    <n v="3418.1"/>
    <x v="2"/>
    <x v="1"/>
  </r>
  <r>
    <x v="1148"/>
    <s v="21 Sat"/>
    <x v="5"/>
    <x v="0"/>
    <s v="CUST-1388"/>
    <s v="Aarav Saxena"/>
    <x v="4"/>
    <x v="4"/>
    <x v="11"/>
    <n v="1"/>
    <n v="499"/>
    <n v="499"/>
    <x v="6"/>
    <n v="149.69999999999999"/>
    <n v="349.3"/>
    <x v="2"/>
    <x v="1"/>
  </r>
  <r>
    <x v="1149"/>
    <s v="21 Sat"/>
    <x v="5"/>
    <x v="0"/>
    <s v="CUST-1187"/>
    <s v="Kabir Saxena"/>
    <x v="3"/>
    <x v="0"/>
    <x v="0"/>
    <n v="1"/>
    <n v="99"/>
    <n v="99"/>
    <x v="4"/>
    <n v="9.9"/>
    <n v="89.1"/>
    <x v="0"/>
    <x v="0"/>
  </r>
  <r>
    <x v="1150"/>
    <s v="21 Sat"/>
    <x v="5"/>
    <x v="0"/>
    <s v="CUST-1028"/>
    <s v="Swati Joshi"/>
    <x v="1"/>
    <x v="6"/>
    <x v="12"/>
    <n v="1"/>
    <n v="1499"/>
    <n v="1499"/>
    <x v="6"/>
    <n v="449.7"/>
    <n v="1049.3"/>
    <x v="4"/>
    <x v="0"/>
  </r>
  <r>
    <x v="1151"/>
    <s v="21 Sat"/>
    <x v="5"/>
    <x v="0"/>
    <s v="CUST-1017"/>
    <s v="Aarav Verma"/>
    <x v="0"/>
    <x v="1"/>
    <x v="4"/>
    <n v="1"/>
    <n v="2999"/>
    <n v="2999"/>
    <x v="1"/>
    <n v="449.85"/>
    <n v="2549.15"/>
    <x v="1"/>
    <x v="0"/>
  </r>
  <r>
    <x v="1152"/>
    <s v="21 Sat"/>
    <x v="5"/>
    <x v="0"/>
    <s v="CUST-1296"/>
    <s v="Vivaan Kapoor"/>
    <x v="0"/>
    <x v="2"/>
    <x v="3"/>
    <n v="1"/>
    <n v="249"/>
    <n v="249"/>
    <x v="4"/>
    <n v="24.9"/>
    <n v="224.1"/>
    <x v="0"/>
    <x v="1"/>
  </r>
  <r>
    <x v="1153"/>
    <s v="22 Sun"/>
    <x v="5"/>
    <x v="0"/>
    <s v="CUST-1074"/>
    <s v="Kabir Kapoor"/>
    <x v="4"/>
    <x v="2"/>
    <x v="15"/>
    <n v="1"/>
    <n v="299"/>
    <n v="299"/>
    <x v="6"/>
    <n v="89.7"/>
    <n v="209.3"/>
    <x v="0"/>
    <x v="1"/>
  </r>
  <r>
    <x v="1154"/>
    <s v="22 Sun"/>
    <x v="5"/>
    <x v="0"/>
    <s v="CUST-1255"/>
    <s v="Aman Gupta"/>
    <x v="3"/>
    <x v="1"/>
    <x v="14"/>
    <n v="2"/>
    <n v="1799"/>
    <n v="3598"/>
    <x v="2"/>
    <n v="179.9"/>
    <n v="3418.1"/>
    <x v="3"/>
    <x v="0"/>
  </r>
  <r>
    <x v="1155"/>
    <s v="22 Sun"/>
    <x v="5"/>
    <x v="0"/>
    <s v="CUST-1263"/>
    <s v="Tanya Mehta"/>
    <x v="0"/>
    <x v="1"/>
    <x v="4"/>
    <n v="2"/>
    <n v="2999"/>
    <n v="5998"/>
    <x v="3"/>
    <n v="1199.5999999999999"/>
    <n v="4798.3999999999996"/>
    <x v="2"/>
    <x v="1"/>
  </r>
  <r>
    <x v="1156"/>
    <s v="22 Sun"/>
    <x v="5"/>
    <x v="0"/>
    <s v="CUST-1135"/>
    <s v="Shreya Joshi"/>
    <x v="4"/>
    <x v="3"/>
    <x v="5"/>
    <n v="1"/>
    <n v="1299"/>
    <n v="1299"/>
    <x v="3"/>
    <n v="259.8"/>
    <n v="1039.2"/>
    <x v="0"/>
    <x v="0"/>
  </r>
  <r>
    <x v="1157"/>
    <s v="22 Sun"/>
    <x v="5"/>
    <x v="0"/>
    <s v="CUST-1175"/>
    <s v="Vivaan Kapoor"/>
    <x v="1"/>
    <x v="1"/>
    <x v="14"/>
    <n v="2"/>
    <n v="1799"/>
    <n v="3598"/>
    <x v="2"/>
    <n v="179.9"/>
    <n v="3418.1"/>
    <x v="1"/>
    <x v="0"/>
  </r>
  <r>
    <x v="1158"/>
    <s v="22 Sun"/>
    <x v="5"/>
    <x v="0"/>
    <s v="CUST-1162"/>
    <s v="Aarav Kapoor"/>
    <x v="4"/>
    <x v="1"/>
    <x v="14"/>
    <n v="1"/>
    <n v="1799"/>
    <n v="1799"/>
    <x v="2"/>
    <n v="89.95"/>
    <n v="1709.05"/>
    <x v="4"/>
    <x v="1"/>
  </r>
  <r>
    <x v="1159"/>
    <s v="22 Sun"/>
    <x v="5"/>
    <x v="0"/>
    <s v="CUST-1229"/>
    <s v="Vivaan Singh"/>
    <x v="1"/>
    <x v="1"/>
    <x v="4"/>
    <n v="1"/>
    <n v="2999"/>
    <n v="2999"/>
    <x v="3"/>
    <n v="599.79999999999995"/>
    <n v="2399.1999999999998"/>
    <x v="4"/>
    <x v="1"/>
  </r>
  <r>
    <x v="1160"/>
    <s v="22 Sun"/>
    <x v="5"/>
    <x v="0"/>
    <s v="CUST-1345"/>
    <s v="Tanya Verma"/>
    <x v="2"/>
    <x v="6"/>
    <x v="12"/>
    <n v="2"/>
    <n v="1499"/>
    <n v="2998"/>
    <x v="5"/>
    <n v="749.5"/>
    <n v="2248.5"/>
    <x v="2"/>
    <x v="1"/>
  </r>
  <r>
    <x v="1161"/>
    <s v="22 Sun"/>
    <x v="5"/>
    <x v="0"/>
    <s v="CUST-1242"/>
    <s v="Sakshi Malhotra"/>
    <x v="4"/>
    <x v="2"/>
    <x v="15"/>
    <n v="1"/>
    <n v="299"/>
    <n v="299"/>
    <x v="6"/>
    <n v="89.7"/>
    <n v="209.3"/>
    <x v="2"/>
    <x v="0"/>
  </r>
  <r>
    <x v="1162"/>
    <s v="22 Sun"/>
    <x v="5"/>
    <x v="0"/>
    <s v="CUST-1147"/>
    <s v="Aman Saxena"/>
    <x v="0"/>
    <x v="3"/>
    <x v="6"/>
    <n v="1"/>
    <n v="799"/>
    <n v="799"/>
    <x v="2"/>
    <n v="39.950000000000003"/>
    <n v="759.05"/>
    <x v="3"/>
    <x v="1"/>
  </r>
  <r>
    <x v="1163"/>
    <s v="22 Sun"/>
    <x v="5"/>
    <x v="0"/>
    <s v="CUST-1017"/>
    <s v="Aarav Verma"/>
    <x v="2"/>
    <x v="4"/>
    <x v="10"/>
    <n v="1"/>
    <n v="899"/>
    <n v="899"/>
    <x v="1"/>
    <n v="134.85"/>
    <n v="764.15"/>
    <x v="2"/>
    <x v="0"/>
  </r>
  <r>
    <x v="1164"/>
    <s v="23 Mon"/>
    <x v="5"/>
    <x v="0"/>
    <s v="CUST-1391"/>
    <s v="Kunal Gupta"/>
    <x v="3"/>
    <x v="1"/>
    <x v="14"/>
    <n v="3"/>
    <n v="1799"/>
    <n v="5397"/>
    <x v="6"/>
    <n v="1619.1"/>
    <n v="3777.9"/>
    <x v="3"/>
    <x v="1"/>
  </r>
  <r>
    <x v="1165"/>
    <s v="23 Mon"/>
    <x v="5"/>
    <x v="0"/>
    <s v="CUST-1160"/>
    <s v="Komal Singh"/>
    <x v="1"/>
    <x v="6"/>
    <x v="12"/>
    <n v="2"/>
    <n v="1499"/>
    <n v="2998"/>
    <x v="0"/>
    <n v="0"/>
    <n v="2998"/>
    <x v="2"/>
    <x v="1"/>
  </r>
  <r>
    <x v="1166"/>
    <s v="23 Mon"/>
    <x v="5"/>
    <x v="0"/>
    <s v="CUST-1214"/>
    <s v="Rohan Sharma"/>
    <x v="3"/>
    <x v="4"/>
    <x v="11"/>
    <n v="1"/>
    <n v="499"/>
    <n v="499"/>
    <x v="3"/>
    <n v="99.8"/>
    <n v="399.2"/>
    <x v="1"/>
    <x v="1"/>
  </r>
  <r>
    <x v="1167"/>
    <s v="23 Mon"/>
    <x v="5"/>
    <x v="0"/>
    <s v="CUST-1165"/>
    <s v="Rahul Singh"/>
    <x v="4"/>
    <x v="1"/>
    <x v="4"/>
    <n v="1"/>
    <n v="2999"/>
    <n v="2999"/>
    <x v="2"/>
    <n v="149.94999999999999"/>
    <n v="2849.05"/>
    <x v="0"/>
    <x v="0"/>
  </r>
  <r>
    <x v="1168"/>
    <s v="23 Mon"/>
    <x v="5"/>
    <x v="0"/>
    <s v="CUST-1344"/>
    <s v="Nandini Saxena"/>
    <x v="4"/>
    <x v="1"/>
    <x v="2"/>
    <n v="1"/>
    <n v="599"/>
    <n v="599"/>
    <x v="1"/>
    <n v="89.85"/>
    <n v="509.15"/>
    <x v="1"/>
    <x v="0"/>
  </r>
  <r>
    <x v="1169"/>
    <s v="23 Mon"/>
    <x v="5"/>
    <x v="0"/>
    <s v="CUST-1373"/>
    <s v="Rahul Verma"/>
    <x v="1"/>
    <x v="5"/>
    <x v="9"/>
    <n v="2"/>
    <n v="549"/>
    <n v="1098"/>
    <x v="0"/>
    <n v="0"/>
    <n v="1098"/>
    <x v="1"/>
    <x v="0"/>
  </r>
  <r>
    <x v="1170"/>
    <s v="23 Mon"/>
    <x v="5"/>
    <x v="0"/>
    <s v="CUST-1380"/>
    <s v="Meera Joshi"/>
    <x v="2"/>
    <x v="1"/>
    <x v="4"/>
    <n v="3"/>
    <n v="2999"/>
    <n v="8997"/>
    <x v="3"/>
    <n v="1799.4"/>
    <n v="7197.6"/>
    <x v="1"/>
    <x v="0"/>
  </r>
  <r>
    <x v="1171"/>
    <s v="23 Mon"/>
    <x v="5"/>
    <x v="0"/>
    <s v="CUST-1020"/>
    <s v="Rohan Malhotra"/>
    <x v="1"/>
    <x v="0"/>
    <x v="0"/>
    <n v="3"/>
    <n v="99"/>
    <n v="297"/>
    <x v="5"/>
    <n v="74.25"/>
    <n v="222.75"/>
    <x v="2"/>
    <x v="0"/>
  </r>
  <r>
    <x v="1172"/>
    <s v="23 Mon"/>
    <x v="5"/>
    <x v="0"/>
    <s v="CUST-1345"/>
    <s v="Tanya Verma"/>
    <x v="0"/>
    <x v="4"/>
    <x v="7"/>
    <n v="1"/>
    <n v="1999"/>
    <n v="1999"/>
    <x v="4"/>
    <n v="199.9"/>
    <n v="1799.1"/>
    <x v="2"/>
    <x v="0"/>
  </r>
  <r>
    <x v="1173"/>
    <s v="23 Mon"/>
    <x v="5"/>
    <x v="0"/>
    <s v="CUST-1031"/>
    <s v="Kabir Malhotra"/>
    <x v="1"/>
    <x v="2"/>
    <x v="3"/>
    <n v="2"/>
    <n v="249"/>
    <n v="498"/>
    <x v="6"/>
    <n v="149.4"/>
    <n v="348.6"/>
    <x v="2"/>
    <x v="0"/>
  </r>
  <r>
    <x v="1174"/>
    <s v="23 Mon"/>
    <x v="5"/>
    <x v="0"/>
    <s v="CUST-1364"/>
    <s v="Rahul Malhotra"/>
    <x v="4"/>
    <x v="0"/>
    <x v="1"/>
    <n v="1"/>
    <n v="199"/>
    <n v="199"/>
    <x v="1"/>
    <n v="29.85"/>
    <n v="169.15"/>
    <x v="0"/>
    <x v="0"/>
  </r>
  <r>
    <x v="1175"/>
    <s v="23 Mon"/>
    <x v="5"/>
    <x v="0"/>
    <s v="CUST-1225"/>
    <s v="Aarav Kapoor"/>
    <x v="0"/>
    <x v="1"/>
    <x v="4"/>
    <n v="1"/>
    <n v="2999"/>
    <n v="2999"/>
    <x v="3"/>
    <n v="599.79999999999995"/>
    <n v="2399.1999999999998"/>
    <x v="4"/>
    <x v="0"/>
  </r>
  <r>
    <x v="1176"/>
    <s v="23 Mon"/>
    <x v="5"/>
    <x v="0"/>
    <s v="CUST-1135"/>
    <s v="Shreya Joshi"/>
    <x v="0"/>
    <x v="3"/>
    <x v="6"/>
    <n v="2"/>
    <n v="799"/>
    <n v="1598"/>
    <x v="6"/>
    <n v="479.4"/>
    <n v="1118.5999999999999"/>
    <x v="4"/>
    <x v="1"/>
  </r>
  <r>
    <x v="1177"/>
    <s v="24 Tue"/>
    <x v="5"/>
    <x v="0"/>
    <s v="CUST-1095"/>
    <s v="Nandini Joshi"/>
    <x v="1"/>
    <x v="5"/>
    <x v="9"/>
    <n v="3"/>
    <n v="549"/>
    <n v="1647"/>
    <x v="0"/>
    <n v="0"/>
    <n v="1647"/>
    <x v="1"/>
    <x v="1"/>
  </r>
  <r>
    <x v="1178"/>
    <s v="24 Tue"/>
    <x v="5"/>
    <x v="0"/>
    <s v="CUST-1219"/>
    <s v="Sakshi Patel"/>
    <x v="3"/>
    <x v="4"/>
    <x v="11"/>
    <n v="3"/>
    <n v="499"/>
    <n v="1497"/>
    <x v="3"/>
    <n v="299.39999999999998"/>
    <n v="1197.5999999999999"/>
    <x v="4"/>
    <x v="0"/>
  </r>
  <r>
    <x v="1179"/>
    <s v="24 Tue"/>
    <x v="5"/>
    <x v="0"/>
    <s v="CUST-1103"/>
    <s v="Muskan Gupta"/>
    <x v="1"/>
    <x v="6"/>
    <x v="12"/>
    <n v="2"/>
    <n v="1499"/>
    <n v="2998"/>
    <x v="1"/>
    <n v="449.7"/>
    <n v="2548.3000000000002"/>
    <x v="1"/>
    <x v="0"/>
  </r>
  <r>
    <x v="1180"/>
    <s v="24 Tue"/>
    <x v="5"/>
    <x v="0"/>
    <s v="CUST-1203"/>
    <s v="Ankit Verma"/>
    <x v="1"/>
    <x v="0"/>
    <x v="1"/>
    <n v="1"/>
    <n v="199"/>
    <n v="199"/>
    <x v="1"/>
    <n v="29.85"/>
    <n v="169.15"/>
    <x v="1"/>
    <x v="0"/>
  </r>
  <r>
    <x v="1181"/>
    <s v="24 Tue"/>
    <x v="5"/>
    <x v="0"/>
    <s v="CUST-1309"/>
    <s v="Meera Verma"/>
    <x v="0"/>
    <x v="2"/>
    <x v="3"/>
    <n v="1"/>
    <n v="249"/>
    <n v="249"/>
    <x v="6"/>
    <n v="74.7"/>
    <n v="174.3"/>
    <x v="1"/>
    <x v="0"/>
  </r>
  <r>
    <x v="1182"/>
    <s v="24 Tue"/>
    <x v="5"/>
    <x v="0"/>
    <s v="CUST-1354"/>
    <s v="Aman Saxena"/>
    <x v="1"/>
    <x v="3"/>
    <x v="6"/>
    <n v="2"/>
    <n v="799"/>
    <n v="1598"/>
    <x v="6"/>
    <n v="479.4"/>
    <n v="1118.5999999999999"/>
    <x v="1"/>
    <x v="0"/>
  </r>
  <r>
    <x v="1183"/>
    <s v="24 Tue"/>
    <x v="5"/>
    <x v="0"/>
    <s v="CUST-1001"/>
    <s v="Rohan Patel"/>
    <x v="2"/>
    <x v="1"/>
    <x v="2"/>
    <n v="3"/>
    <n v="599"/>
    <n v="1797"/>
    <x v="5"/>
    <n v="449.25"/>
    <n v="1347.75"/>
    <x v="4"/>
    <x v="0"/>
  </r>
  <r>
    <x v="1184"/>
    <s v="24 Tue"/>
    <x v="5"/>
    <x v="0"/>
    <s v="CUST-1046"/>
    <s v="Rohan Kapoor"/>
    <x v="1"/>
    <x v="4"/>
    <x v="10"/>
    <n v="1"/>
    <n v="899"/>
    <n v="899"/>
    <x v="1"/>
    <n v="134.85"/>
    <n v="764.15"/>
    <x v="0"/>
    <x v="0"/>
  </r>
  <r>
    <x v="1185"/>
    <s v="24 Tue"/>
    <x v="5"/>
    <x v="0"/>
    <s v="CUST-1176"/>
    <s v="Meera Sharma"/>
    <x v="4"/>
    <x v="6"/>
    <x v="13"/>
    <n v="1"/>
    <n v="699"/>
    <n v="699"/>
    <x v="2"/>
    <n v="34.950000000000003"/>
    <n v="664.05"/>
    <x v="1"/>
    <x v="0"/>
  </r>
  <r>
    <x v="1186"/>
    <s v="24 Tue"/>
    <x v="5"/>
    <x v="0"/>
    <s v="CUST-1234"/>
    <s v="Meera Sharma"/>
    <x v="3"/>
    <x v="5"/>
    <x v="9"/>
    <n v="1"/>
    <n v="549"/>
    <n v="549"/>
    <x v="0"/>
    <n v="0"/>
    <n v="549"/>
    <x v="0"/>
    <x v="0"/>
  </r>
  <r>
    <x v="1187"/>
    <s v="24 Tue"/>
    <x v="5"/>
    <x v="0"/>
    <s v="CUST-1220"/>
    <s v="Aditya Kapoor"/>
    <x v="3"/>
    <x v="2"/>
    <x v="15"/>
    <n v="2"/>
    <n v="299"/>
    <n v="598"/>
    <x v="0"/>
    <n v="0"/>
    <n v="598"/>
    <x v="1"/>
    <x v="1"/>
  </r>
  <r>
    <x v="1188"/>
    <s v="24 Tue"/>
    <x v="5"/>
    <x v="0"/>
    <s v="CUST-1057"/>
    <s v="Tanya Malhotra"/>
    <x v="4"/>
    <x v="3"/>
    <x v="6"/>
    <n v="5"/>
    <n v="799"/>
    <n v="3995"/>
    <x v="3"/>
    <n v="799"/>
    <n v="3196"/>
    <x v="1"/>
    <x v="0"/>
  </r>
  <r>
    <x v="1189"/>
    <s v="24 Tue"/>
    <x v="5"/>
    <x v="0"/>
    <s v="CUST-1367"/>
    <s v="Aman Saxena"/>
    <x v="2"/>
    <x v="4"/>
    <x v="11"/>
    <n v="2"/>
    <n v="499"/>
    <n v="998"/>
    <x v="5"/>
    <n v="249.5"/>
    <n v="748.5"/>
    <x v="3"/>
    <x v="0"/>
  </r>
  <r>
    <x v="1190"/>
    <s v="25 Wed"/>
    <x v="5"/>
    <x v="0"/>
    <s v="CUST-1015"/>
    <s v="Swati Joshi"/>
    <x v="2"/>
    <x v="0"/>
    <x v="0"/>
    <n v="5"/>
    <n v="99"/>
    <n v="495"/>
    <x v="0"/>
    <n v="0"/>
    <n v="495"/>
    <x v="1"/>
    <x v="1"/>
  </r>
  <r>
    <x v="1191"/>
    <s v="25 Wed"/>
    <x v="5"/>
    <x v="0"/>
    <s v="CUST-1161"/>
    <s v="Ankit Gupta"/>
    <x v="1"/>
    <x v="4"/>
    <x v="7"/>
    <n v="1"/>
    <n v="1999"/>
    <n v="1999"/>
    <x v="5"/>
    <n v="499.75"/>
    <n v="1499.25"/>
    <x v="2"/>
    <x v="0"/>
  </r>
  <r>
    <x v="1192"/>
    <s v="25 Wed"/>
    <x v="5"/>
    <x v="0"/>
    <s v="CUST-1311"/>
    <s v="Muskan Joshi"/>
    <x v="2"/>
    <x v="2"/>
    <x v="15"/>
    <n v="1"/>
    <n v="299"/>
    <n v="299"/>
    <x v="2"/>
    <n v="14.95"/>
    <n v="284.05"/>
    <x v="0"/>
    <x v="0"/>
  </r>
  <r>
    <x v="1193"/>
    <s v="25 Wed"/>
    <x v="5"/>
    <x v="0"/>
    <s v="CUST-1073"/>
    <s v="Rahul Kapoor"/>
    <x v="0"/>
    <x v="6"/>
    <x v="13"/>
    <n v="1"/>
    <n v="699"/>
    <n v="699"/>
    <x v="4"/>
    <n v="69.900000000000006"/>
    <n v="629.1"/>
    <x v="1"/>
    <x v="1"/>
  </r>
  <r>
    <x v="1194"/>
    <s v="25 Wed"/>
    <x v="5"/>
    <x v="0"/>
    <s v="CUST-1032"/>
    <s v="Shreya Mehta"/>
    <x v="3"/>
    <x v="2"/>
    <x v="15"/>
    <n v="2"/>
    <n v="299"/>
    <n v="598"/>
    <x v="5"/>
    <n v="149.5"/>
    <n v="448.5"/>
    <x v="3"/>
    <x v="0"/>
  </r>
  <r>
    <x v="1195"/>
    <s v="25 Wed"/>
    <x v="5"/>
    <x v="0"/>
    <s v="CUST-1175"/>
    <s v="Vivaan Kapoor"/>
    <x v="0"/>
    <x v="4"/>
    <x v="7"/>
    <n v="1"/>
    <n v="1999"/>
    <n v="1999"/>
    <x v="6"/>
    <n v="599.70000000000005"/>
    <n v="1399.3"/>
    <x v="0"/>
    <x v="1"/>
  </r>
  <r>
    <x v="1196"/>
    <s v="25 Wed"/>
    <x v="5"/>
    <x v="0"/>
    <s v="CUST-1152"/>
    <s v="Kabir Gupta"/>
    <x v="0"/>
    <x v="3"/>
    <x v="5"/>
    <n v="3"/>
    <n v="1299"/>
    <n v="3897"/>
    <x v="1"/>
    <n v="584.54999999999995"/>
    <n v="3312.45"/>
    <x v="1"/>
    <x v="0"/>
  </r>
  <r>
    <x v="1197"/>
    <s v="25 Wed"/>
    <x v="5"/>
    <x v="0"/>
    <s v="CUST-1141"/>
    <s v="Tanya Kapoor"/>
    <x v="4"/>
    <x v="4"/>
    <x v="10"/>
    <n v="2"/>
    <n v="899"/>
    <n v="1798"/>
    <x v="5"/>
    <n v="449.5"/>
    <n v="1348.5"/>
    <x v="0"/>
    <x v="1"/>
  </r>
  <r>
    <x v="1198"/>
    <s v="26 Thu"/>
    <x v="5"/>
    <x v="0"/>
    <s v="CUST-1355"/>
    <s v="Aditya Joshi"/>
    <x v="4"/>
    <x v="1"/>
    <x v="4"/>
    <n v="4"/>
    <n v="2999"/>
    <n v="11996"/>
    <x v="0"/>
    <n v="0"/>
    <n v="11996"/>
    <x v="3"/>
    <x v="1"/>
  </r>
  <r>
    <x v="1199"/>
    <s v="26 Thu"/>
    <x v="5"/>
    <x v="0"/>
    <s v="CUST-1042"/>
    <s v="Kunal Saxena"/>
    <x v="4"/>
    <x v="3"/>
    <x v="6"/>
    <n v="1"/>
    <n v="799"/>
    <n v="799"/>
    <x v="0"/>
    <n v="0"/>
    <n v="799"/>
    <x v="2"/>
    <x v="1"/>
  </r>
  <r>
    <x v="1200"/>
    <s v="26 Thu"/>
    <x v="5"/>
    <x v="0"/>
    <s v="CUST-1098"/>
    <s v="Rohan Patel"/>
    <x v="4"/>
    <x v="4"/>
    <x v="7"/>
    <n v="1"/>
    <n v="1999"/>
    <n v="1999"/>
    <x v="6"/>
    <n v="599.70000000000005"/>
    <n v="1399.3"/>
    <x v="2"/>
    <x v="1"/>
  </r>
  <r>
    <x v="1201"/>
    <s v="26 Thu"/>
    <x v="5"/>
    <x v="0"/>
    <s v="CUST-1298"/>
    <s v="Aarav Singh"/>
    <x v="3"/>
    <x v="1"/>
    <x v="2"/>
    <n v="1"/>
    <n v="599"/>
    <n v="599"/>
    <x v="2"/>
    <n v="29.95"/>
    <n v="569.04999999999995"/>
    <x v="1"/>
    <x v="0"/>
  </r>
  <r>
    <x v="1202"/>
    <s v="26 Thu"/>
    <x v="5"/>
    <x v="0"/>
    <s v="CUST-1368"/>
    <s v="Isha Patel"/>
    <x v="1"/>
    <x v="4"/>
    <x v="10"/>
    <n v="2"/>
    <n v="899"/>
    <n v="1798"/>
    <x v="3"/>
    <n v="359.6"/>
    <n v="1438.4"/>
    <x v="1"/>
    <x v="0"/>
  </r>
  <r>
    <x v="1203"/>
    <s v="26 Thu"/>
    <x v="5"/>
    <x v="0"/>
    <s v="CUST-1038"/>
    <s v="Rohan Joshi"/>
    <x v="1"/>
    <x v="0"/>
    <x v="0"/>
    <n v="1"/>
    <n v="99"/>
    <n v="99"/>
    <x v="0"/>
    <n v="0"/>
    <n v="99"/>
    <x v="3"/>
    <x v="1"/>
  </r>
  <r>
    <x v="1204"/>
    <s v="27 Fri"/>
    <x v="5"/>
    <x v="0"/>
    <s v="CUST-1340"/>
    <s v="Aman Kapoor"/>
    <x v="0"/>
    <x v="1"/>
    <x v="4"/>
    <n v="3"/>
    <n v="2999"/>
    <n v="8997"/>
    <x v="6"/>
    <n v="2699.1"/>
    <n v="6297.9"/>
    <x v="3"/>
    <x v="1"/>
  </r>
  <r>
    <x v="1205"/>
    <s v="27 Fri"/>
    <x v="5"/>
    <x v="0"/>
    <s v="CUST-1382"/>
    <s v="Meera Verma"/>
    <x v="2"/>
    <x v="4"/>
    <x v="11"/>
    <n v="1"/>
    <n v="499"/>
    <n v="499"/>
    <x v="3"/>
    <n v="99.8"/>
    <n v="399.2"/>
    <x v="1"/>
    <x v="1"/>
  </r>
  <r>
    <x v="1206"/>
    <s v="27 Fri"/>
    <x v="5"/>
    <x v="0"/>
    <s v="CUST-1367"/>
    <s v="Aman Saxena"/>
    <x v="0"/>
    <x v="5"/>
    <x v="9"/>
    <n v="3"/>
    <n v="549"/>
    <n v="1647"/>
    <x v="5"/>
    <n v="411.75"/>
    <n v="1235.25"/>
    <x v="2"/>
    <x v="0"/>
  </r>
  <r>
    <x v="1207"/>
    <s v="27 Fri"/>
    <x v="5"/>
    <x v="0"/>
    <s v="CUST-1264"/>
    <s v="Vivaan Malhotra"/>
    <x v="2"/>
    <x v="0"/>
    <x v="1"/>
    <n v="2"/>
    <n v="199"/>
    <n v="398"/>
    <x v="1"/>
    <n v="59.7"/>
    <n v="338.3"/>
    <x v="2"/>
    <x v="0"/>
  </r>
  <r>
    <x v="1208"/>
    <s v="27 Fri"/>
    <x v="5"/>
    <x v="0"/>
    <s v="CUST-1108"/>
    <s v="Kunal Patel"/>
    <x v="2"/>
    <x v="0"/>
    <x v="1"/>
    <n v="1"/>
    <n v="199"/>
    <n v="199"/>
    <x v="1"/>
    <n v="29.85"/>
    <n v="169.15"/>
    <x v="1"/>
    <x v="0"/>
  </r>
  <r>
    <x v="1209"/>
    <s v="27 Fri"/>
    <x v="5"/>
    <x v="0"/>
    <s v="CUST-1077"/>
    <s v="Tanya Mehta"/>
    <x v="3"/>
    <x v="6"/>
    <x v="12"/>
    <n v="1"/>
    <n v="1499"/>
    <n v="1499"/>
    <x v="1"/>
    <n v="224.85"/>
    <n v="1274.1500000000001"/>
    <x v="1"/>
    <x v="0"/>
  </r>
  <r>
    <x v="1210"/>
    <s v="27 Fri"/>
    <x v="5"/>
    <x v="0"/>
    <s v="CUST-1084"/>
    <s v="Kunal Saxena"/>
    <x v="4"/>
    <x v="2"/>
    <x v="15"/>
    <n v="1"/>
    <n v="299"/>
    <n v="299"/>
    <x v="6"/>
    <n v="89.7"/>
    <n v="209.3"/>
    <x v="3"/>
    <x v="0"/>
  </r>
  <r>
    <x v="1211"/>
    <s v="27 Fri"/>
    <x v="5"/>
    <x v="0"/>
    <s v="CUST-1083"/>
    <s v="Komal Kapoor"/>
    <x v="4"/>
    <x v="3"/>
    <x v="5"/>
    <n v="1"/>
    <n v="1299"/>
    <n v="1299"/>
    <x v="6"/>
    <n v="389.7"/>
    <n v="909.3"/>
    <x v="3"/>
    <x v="0"/>
  </r>
  <r>
    <x v="1212"/>
    <s v="28 Sat"/>
    <x v="5"/>
    <x v="0"/>
    <s v="CUST-1190"/>
    <s v="Rahul Patel"/>
    <x v="4"/>
    <x v="4"/>
    <x v="7"/>
    <n v="1"/>
    <n v="1999"/>
    <n v="1999"/>
    <x v="1"/>
    <n v="299.85000000000002"/>
    <n v="1699.15"/>
    <x v="0"/>
    <x v="0"/>
  </r>
  <r>
    <x v="1213"/>
    <s v="28 Sat"/>
    <x v="5"/>
    <x v="0"/>
    <s v="CUST-1291"/>
    <s v="Arjun Saxena"/>
    <x v="1"/>
    <x v="2"/>
    <x v="3"/>
    <n v="2"/>
    <n v="249"/>
    <n v="498"/>
    <x v="1"/>
    <n v="74.7"/>
    <n v="423.3"/>
    <x v="4"/>
    <x v="0"/>
  </r>
  <r>
    <x v="1214"/>
    <s v="28 Sat"/>
    <x v="5"/>
    <x v="0"/>
    <s v="CUST-1069"/>
    <s v="Kabir Joshi"/>
    <x v="1"/>
    <x v="1"/>
    <x v="4"/>
    <n v="2"/>
    <n v="2999"/>
    <n v="5998"/>
    <x v="4"/>
    <n v="599.79999999999995"/>
    <n v="5398.2"/>
    <x v="3"/>
    <x v="0"/>
  </r>
  <r>
    <x v="1215"/>
    <s v="28 Sat"/>
    <x v="5"/>
    <x v="0"/>
    <s v="CUST-1281"/>
    <s v="Nandini Saxena"/>
    <x v="0"/>
    <x v="5"/>
    <x v="9"/>
    <n v="1"/>
    <n v="549"/>
    <n v="549"/>
    <x v="0"/>
    <n v="0"/>
    <n v="549"/>
    <x v="1"/>
    <x v="1"/>
  </r>
  <r>
    <x v="1216"/>
    <s v="28 Sat"/>
    <x v="5"/>
    <x v="0"/>
    <s v="CUST-1355"/>
    <s v="Aditya Joshi"/>
    <x v="2"/>
    <x v="5"/>
    <x v="8"/>
    <n v="4"/>
    <n v="349"/>
    <n v="1396"/>
    <x v="6"/>
    <n v="418.8"/>
    <n v="977.2"/>
    <x v="0"/>
    <x v="0"/>
  </r>
  <r>
    <x v="1217"/>
    <s v="28 Sat"/>
    <x v="5"/>
    <x v="0"/>
    <s v="CUST-1008"/>
    <s v="Meera Saxena"/>
    <x v="1"/>
    <x v="4"/>
    <x v="10"/>
    <n v="1"/>
    <n v="899"/>
    <n v="899"/>
    <x v="5"/>
    <n v="224.75"/>
    <n v="674.25"/>
    <x v="4"/>
    <x v="0"/>
  </r>
  <r>
    <x v="1218"/>
    <s v="28 Sat"/>
    <x v="5"/>
    <x v="0"/>
    <s v="CUST-1169"/>
    <s v="Nandini Patel"/>
    <x v="4"/>
    <x v="5"/>
    <x v="8"/>
    <n v="2"/>
    <n v="349"/>
    <n v="698"/>
    <x v="4"/>
    <n v="69.8"/>
    <n v="628.20000000000005"/>
    <x v="4"/>
    <x v="1"/>
  </r>
  <r>
    <x v="1219"/>
    <s v="28 Sat"/>
    <x v="5"/>
    <x v="0"/>
    <s v="CUST-1228"/>
    <s v="Aarav Mehta"/>
    <x v="0"/>
    <x v="2"/>
    <x v="15"/>
    <n v="1"/>
    <n v="299"/>
    <n v="299"/>
    <x v="3"/>
    <n v="59.8"/>
    <n v="239.2"/>
    <x v="1"/>
    <x v="0"/>
  </r>
  <r>
    <x v="1220"/>
    <s v="28 Sat"/>
    <x v="5"/>
    <x v="0"/>
    <s v="CUST-1154"/>
    <s v="Aditya Malhotra"/>
    <x v="2"/>
    <x v="6"/>
    <x v="12"/>
    <n v="3"/>
    <n v="1499"/>
    <n v="4497"/>
    <x v="0"/>
    <n v="0"/>
    <n v="4497"/>
    <x v="1"/>
    <x v="1"/>
  </r>
  <r>
    <x v="1221"/>
    <s v="28 Sat"/>
    <x v="5"/>
    <x v="0"/>
    <s v="CUST-1182"/>
    <s v="Swati Verma"/>
    <x v="1"/>
    <x v="5"/>
    <x v="8"/>
    <n v="2"/>
    <n v="349"/>
    <n v="698"/>
    <x v="3"/>
    <n v="139.6"/>
    <n v="558.4"/>
    <x v="4"/>
    <x v="0"/>
  </r>
  <r>
    <x v="1222"/>
    <s v="28 Sat"/>
    <x v="5"/>
    <x v="0"/>
    <s v="CUST-1145"/>
    <s v="Kunal Joshi"/>
    <x v="1"/>
    <x v="2"/>
    <x v="3"/>
    <n v="1"/>
    <n v="249"/>
    <n v="249"/>
    <x v="3"/>
    <n v="49.8"/>
    <n v="199.2"/>
    <x v="2"/>
    <x v="1"/>
  </r>
  <r>
    <x v="1223"/>
    <s v="28 Sat"/>
    <x v="5"/>
    <x v="0"/>
    <s v="CUST-1345"/>
    <s v="Tanya Verma"/>
    <x v="2"/>
    <x v="3"/>
    <x v="5"/>
    <n v="4"/>
    <n v="1299"/>
    <n v="5196"/>
    <x v="2"/>
    <n v="259.8"/>
    <n v="4936.2"/>
    <x v="4"/>
    <x v="0"/>
  </r>
  <r>
    <x v="1224"/>
    <s v="29 Sun"/>
    <x v="5"/>
    <x v="0"/>
    <s v="CUST-1386"/>
    <s v="Swati Patel"/>
    <x v="1"/>
    <x v="1"/>
    <x v="2"/>
    <n v="2"/>
    <n v="599"/>
    <n v="1198"/>
    <x v="5"/>
    <n v="299.5"/>
    <n v="898.5"/>
    <x v="2"/>
    <x v="1"/>
  </r>
  <r>
    <x v="1225"/>
    <s v="29 Sun"/>
    <x v="5"/>
    <x v="0"/>
    <s v="CUST-1201"/>
    <s v="Tanya Joshi"/>
    <x v="1"/>
    <x v="3"/>
    <x v="5"/>
    <n v="3"/>
    <n v="1299"/>
    <n v="3897"/>
    <x v="0"/>
    <n v="0"/>
    <n v="3897"/>
    <x v="1"/>
    <x v="0"/>
  </r>
  <r>
    <x v="1226"/>
    <s v="29 Sun"/>
    <x v="5"/>
    <x v="0"/>
    <s v="CUST-1327"/>
    <s v="Kunal Malhotra"/>
    <x v="4"/>
    <x v="0"/>
    <x v="0"/>
    <n v="3"/>
    <n v="99"/>
    <n v="297"/>
    <x v="3"/>
    <n v="59.4"/>
    <n v="237.6"/>
    <x v="0"/>
    <x v="1"/>
  </r>
  <r>
    <x v="1227"/>
    <s v="29 Sun"/>
    <x v="5"/>
    <x v="0"/>
    <s v="CUST-1095"/>
    <s v="Nandini Joshi"/>
    <x v="0"/>
    <x v="1"/>
    <x v="2"/>
    <n v="4"/>
    <n v="599"/>
    <n v="2396"/>
    <x v="4"/>
    <n v="239.6"/>
    <n v="2156.4"/>
    <x v="4"/>
    <x v="0"/>
  </r>
  <r>
    <x v="1228"/>
    <s v="29 Sun"/>
    <x v="5"/>
    <x v="0"/>
    <s v="CUST-1224"/>
    <s v="Swati Verma"/>
    <x v="0"/>
    <x v="6"/>
    <x v="12"/>
    <n v="1"/>
    <n v="1499"/>
    <n v="1499"/>
    <x v="0"/>
    <n v="0"/>
    <n v="1499"/>
    <x v="3"/>
    <x v="0"/>
  </r>
  <r>
    <x v="1229"/>
    <s v="29 Sun"/>
    <x v="5"/>
    <x v="0"/>
    <s v="CUST-1049"/>
    <s v="Kunal Gupta"/>
    <x v="4"/>
    <x v="6"/>
    <x v="12"/>
    <n v="2"/>
    <n v="1499"/>
    <n v="2998"/>
    <x v="1"/>
    <n v="449.7"/>
    <n v="2548.3000000000002"/>
    <x v="4"/>
    <x v="0"/>
  </r>
  <r>
    <x v="1230"/>
    <s v="29 Sun"/>
    <x v="5"/>
    <x v="0"/>
    <s v="CUST-1036"/>
    <s v="Nandini Mehta"/>
    <x v="4"/>
    <x v="3"/>
    <x v="5"/>
    <n v="2"/>
    <n v="1299"/>
    <n v="2598"/>
    <x v="5"/>
    <n v="649.5"/>
    <n v="1948.5"/>
    <x v="3"/>
    <x v="0"/>
  </r>
  <r>
    <x v="1231"/>
    <s v="29 Sun"/>
    <x v="5"/>
    <x v="0"/>
    <s v="CUST-1254"/>
    <s v="Meera Malhotra"/>
    <x v="0"/>
    <x v="2"/>
    <x v="3"/>
    <n v="1"/>
    <n v="249"/>
    <n v="249"/>
    <x v="2"/>
    <n v="12.45"/>
    <n v="236.55"/>
    <x v="1"/>
    <x v="1"/>
  </r>
  <r>
    <x v="1232"/>
    <s v="29 Sun"/>
    <x v="5"/>
    <x v="0"/>
    <s v="CUST-1269"/>
    <s v="Kunal Verma"/>
    <x v="3"/>
    <x v="3"/>
    <x v="6"/>
    <n v="2"/>
    <n v="799"/>
    <n v="1598"/>
    <x v="6"/>
    <n v="479.4"/>
    <n v="1118.5999999999999"/>
    <x v="2"/>
    <x v="1"/>
  </r>
  <r>
    <x v="1233"/>
    <s v="29 Sun"/>
    <x v="5"/>
    <x v="0"/>
    <s v="CUST-1098"/>
    <s v="Rohan Patel"/>
    <x v="4"/>
    <x v="4"/>
    <x v="10"/>
    <n v="2"/>
    <n v="899"/>
    <n v="1798"/>
    <x v="2"/>
    <n v="89.9"/>
    <n v="1708.1"/>
    <x v="0"/>
    <x v="1"/>
  </r>
  <r>
    <x v="1234"/>
    <s v="29 Sun"/>
    <x v="5"/>
    <x v="0"/>
    <s v="CUST-1353"/>
    <s v="Vivaan Gupta"/>
    <x v="2"/>
    <x v="3"/>
    <x v="5"/>
    <n v="1"/>
    <n v="1299"/>
    <n v="1299"/>
    <x v="2"/>
    <n v="64.95"/>
    <n v="1234.05"/>
    <x v="0"/>
    <x v="0"/>
  </r>
  <r>
    <x v="1235"/>
    <s v="29 Sun"/>
    <x v="5"/>
    <x v="0"/>
    <s v="CUST-1222"/>
    <s v="Sakshi Sharma"/>
    <x v="2"/>
    <x v="1"/>
    <x v="2"/>
    <n v="3"/>
    <n v="599"/>
    <n v="1797"/>
    <x v="4"/>
    <n v="179.7"/>
    <n v="1617.3"/>
    <x v="0"/>
    <x v="0"/>
  </r>
  <r>
    <x v="1236"/>
    <s v="29 Sun"/>
    <x v="5"/>
    <x v="0"/>
    <s v="CUST-1076"/>
    <s v="Tanya Saxena"/>
    <x v="3"/>
    <x v="0"/>
    <x v="0"/>
    <n v="3"/>
    <n v="99"/>
    <n v="297"/>
    <x v="4"/>
    <n v="29.7"/>
    <n v="267.3"/>
    <x v="0"/>
    <x v="0"/>
  </r>
  <r>
    <x v="1237"/>
    <s v="29 Sun"/>
    <x v="5"/>
    <x v="0"/>
    <s v="CUST-1034"/>
    <s v="Sakshi Patel"/>
    <x v="0"/>
    <x v="2"/>
    <x v="3"/>
    <n v="1"/>
    <n v="249"/>
    <n v="249"/>
    <x v="4"/>
    <n v="24.9"/>
    <n v="224.1"/>
    <x v="0"/>
    <x v="0"/>
  </r>
  <r>
    <x v="1238"/>
    <s v="29 Sun"/>
    <x v="5"/>
    <x v="0"/>
    <s v="CUST-1086"/>
    <s v="Nandini Verma"/>
    <x v="1"/>
    <x v="1"/>
    <x v="2"/>
    <n v="2"/>
    <n v="599"/>
    <n v="1198"/>
    <x v="6"/>
    <n v="359.4"/>
    <n v="838.6"/>
    <x v="2"/>
    <x v="1"/>
  </r>
  <r>
    <x v="1239"/>
    <s v="29 Sun"/>
    <x v="5"/>
    <x v="0"/>
    <s v="CUST-1260"/>
    <s v="Ankit Verma"/>
    <x v="0"/>
    <x v="1"/>
    <x v="2"/>
    <n v="3"/>
    <n v="599"/>
    <n v="1797"/>
    <x v="1"/>
    <n v="269.55"/>
    <n v="1527.45"/>
    <x v="1"/>
    <x v="0"/>
  </r>
  <r>
    <x v="1240"/>
    <s v="30 Mon"/>
    <x v="5"/>
    <x v="0"/>
    <s v="CUST-1169"/>
    <s v="Nandini Patel"/>
    <x v="2"/>
    <x v="4"/>
    <x v="11"/>
    <n v="1"/>
    <n v="499"/>
    <n v="499"/>
    <x v="0"/>
    <n v="0"/>
    <n v="499"/>
    <x v="0"/>
    <x v="0"/>
  </r>
  <r>
    <x v="1241"/>
    <s v="30 Mon"/>
    <x v="5"/>
    <x v="0"/>
    <s v="CUST-1318"/>
    <s v="Tanya Verma"/>
    <x v="0"/>
    <x v="1"/>
    <x v="2"/>
    <n v="1"/>
    <n v="599"/>
    <n v="599"/>
    <x v="6"/>
    <n v="179.7"/>
    <n v="419.3"/>
    <x v="2"/>
    <x v="0"/>
  </r>
  <r>
    <x v="1242"/>
    <s v="30 Mon"/>
    <x v="5"/>
    <x v="0"/>
    <s v="CUST-1023"/>
    <s v="Rohan Sharma"/>
    <x v="4"/>
    <x v="4"/>
    <x v="7"/>
    <n v="2"/>
    <n v="1999"/>
    <n v="3998"/>
    <x v="2"/>
    <n v="199.9"/>
    <n v="3798.1"/>
    <x v="0"/>
    <x v="0"/>
  </r>
  <r>
    <x v="1243"/>
    <s v="30 Mon"/>
    <x v="5"/>
    <x v="0"/>
    <s v="CUST-1347"/>
    <s v="Ankit Joshi"/>
    <x v="3"/>
    <x v="1"/>
    <x v="2"/>
    <n v="3"/>
    <n v="599"/>
    <n v="1797"/>
    <x v="2"/>
    <n v="89.85"/>
    <n v="1707.15"/>
    <x v="0"/>
    <x v="0"/>
  </r>
  <r>
    <x v="1244"/>
    <s v="30 Mon"/>
    <x v="5"/>
    <x v="0"/>
    <s v="CUST-1184"/>
    <s v="Rahul Joshi"/>
    <x v="2"/>
    <x v="2"/>
    <x v="15"/>
    <n v="4"/>
    <n v="299"/>
    <n v="1196"/>
    <x v="1"/>
    <n v="179.4"/>
    <n v="1016.6"/>
    <x v="2"/>
    <x v="0"/>
  </r>
  <r>
    <x v="1245"/>
    <s v="30 Mon"/>
    <x v="5"/>
    <x v="0"/>
    <s v="CUST-1042"/>
    <s v="Kunal Saxena"/>
    <x v="3"/>
    <x v="4"/>
    <x v="10"/>
    <n v="3"/>
    <n v="899"/>
    <n v="2697"/>
    <x v="0"/>
    <n v="0"/>
    <n v="2697"/>
    <x v="1"/>
    <x v="0"/>
  </r>
  <r>
    <x v="1246"/>
    <s v="30 Mon"/>
    <x v="5"/>
    <x v="0"/>
    <s v="CUST-1121"/>
    <s v="Rahul Kapoor"/>
    <x v="1"/>
    <x v="3"/>
    <x v="6"/>
    <n v="1"/>
    <n v="799"/>
    <n v="799"/>
    <x v="3"/>
    <n v="159.80000000000001"/>
    <n v="639.20000000000005"/>
    <x v="3"/>
    <x v="0"/>
  </r>
  <r>
    <x v="1247"/>
    <s v="30 Mon"/>
    <x v="5"/>
    <x v="0"/>
    <s v="CUST-1038"/>
    <s v="Rohan Joshi"/>
    <x v="3"/>
    <x v="1"/>
    <x v="14"/>
    <n v="1"/>
    <n v="1799"/>
    <n v="1799"/>
    <x v="2"/>
    <n v="89.95"/>
    <n v="1709.05"/>
    <x v="3"/>
    <x v="0"/>
  </r>
  <r>
    <x v="1248"/>
    <s v="30 Mon"/>
    <x v="5"/>
    <x v="0"/>
    <s v="CUST-1124"/>
    <s v="Aditya Gupta"/>
    <x v="0"/>
    <x v="5"/>
    <x v="9"/>
    <n v="1"/>
    <n v="549"/>
    <n v="549"/>
    <x v="5"/>
    <n v="137.25"/>
    <n v="411.75"/>
    <x v="1"/>
    <x v="0"/>
  </r>
  <r>
    <x v="1249"/>
    <s v="30 Mon"/>
    <x v="5"/>
    <x v="0"/>
    <s v="CUST-1125"/>
    <s v="Muskan Malhotra"/>
    <x v="4"/>
    <x v="1"/>
    <x v="2"/>
    <n v="4"/>
    <n v="599"/>
    <n v="2396"/>
    <x v="4"/>
    <n v="239.6"/>
    <n v="2156.4"/>
    <x v="3"/>
    <x v="1"/>
  </r>
  <r>
    <x v="1250"/>
    <s v="30 Mon"/>
    <x v="5"/>
    <x v="0"/>
    <s v="CUST-1043"/>
    <s v="Divya Kapoor"/>
    <x v="2"/>
    <x v="3"/>
    <x v="6"/>
    <n v="2"/>
    <n v="799"/>
    <n v="1598"/>
    <x v="2"/>
    <n v="79.900000000000006"/>
    <n v="1518.1"/>
    <x v="1"/>
    <x v="0"/>
  </r>
  <r>
    <x v="1251"/>
    <s v="1 Tue"/>
    <x v="6"/>
    <x v="0"/>
    <s v="CUST-1102"/>
    <s v="Aarav Patel"/>
    <x v="1"/>
    <x v="3"/>
    <x v="5"/>
    <n v="1"/>
    <n v="1299"/>
    <n v="1299"/>
    <x v="0"/>
    <n v="0"/>
    <n v="1299"/>
    <x v="3"/>
    <x v="1"/>
  </r>
  <r>
    <x v="1252"/>
    <s v="1 Tue"/>
    <x v="6"/>
    <x v="0"/>
    <s v="CUST-1265"/>
    <s v="Muskan Singh"/>
    <x v="0"/>
    <x v="0"/>
    <x v="1"/>
    <n v="1"/>
    <n v="199"/>
    <n v="199"/>
    <x v="0"/>
    <n v="0"/>
    <n v="199"/>
    <x v="2"/>
    <x v="1"/>
  </r>
  <r>
    <x v="1253"/>
    <s v="1 Tue"/>
    <x v="6"/>
    <x v="0"/>
    <s v="CUST-1277"/>
    <s v="Vivaan Sharma"/>
    <x v="4"/>
    <x v="4"/>
    <x v="10"/>
    <n v="2"/>
    <n v="899"/>
    <n v="1798"/>
    <x v="2"/>
    <n v="89.9"/>
    <n v="1708.1"/>
    <x v="0"/>
    <x v="0"/>
  </r>
  <r>
    <x v="1254"/>
    <s v="1 Tue"/>
    <x v="6"/>
    <x v="0"/>
    <s v="CUST-1307"/>
    <s v="Swati Kapoor"/>
    <x v="3"/>
    <x v="3"/>
    <x v="5"/>
    <n v="2"/>
    <n v="1299"/>
    <n v="2598"/>
    <x v="0"/>
    <n v="0"/>
    <n v="2598"/>
    <x v="4"/>
    <x v="0"/>
  </r>
  <r>
    <x v="1255"/>
    <s v="1 Tue"/>
    <x v="6"/>
    <x v="0"/>
    <s v="CUST-1368"/>
    <s v="Isha Patel"/>
    <x v="0"/>
    <x v="0"/>
    <x v="0"/>
    <n v="3"/>
    <n v="99"/>
    <n v="297"/>
    <x v="0"/>
    <n v="0"/>
    <n v="297"/>
    <x v="0"/>
    <x v="0"/>
  </r>
  <r>
    <x v="1256"/>
    <s v="1 Tue"/>
    <x v="6"/>
    <x v="0"/>
    <s v="CUST-1079"/>
    <s v="Komal Mehta"/>
    <x v="2"/>
    <x v="5"/>
    <x v="8"/>
    <n v="1"/>
    <n v="349"/>
    <n v="349"/>
    <x v="4"/>
    <n v="34.9"/>
    <n v="314.10000000000002"/>
    <x v="0"/>
    <x v="1"/>
  </r>
  <r>
    <x v="1257"/>
    <s v="1 Tue"/>
    <x v="6"/>
    <x v="0"/>
    <s v="CUST-1290"/>
    <s v="Kabir Mehta"/>
    <x v="4"/>
    <x v="4"/>
    <x v="10"/>
    <n v="1"/>
    <n v="899"/>
    <n v="899"/>
    <x v="1"/>
    <n v="134.85"/>
    <n v="764.15"/>
    <x v="2"/>
    <x v="0"/>
  </r>
  <r>
    <x v="1258"/>
    <s v="1 Tue"/>
    <x v="6"/>
    <x v="0"/>
    <s v="CUST-1384"/>
    <s v="Vivaan Singh"/>
    <x v="2"/>
    <x v="4"/>
    <x v="7"/>
    <n v="1"/>
    <n v="1999"/>
    <n v="1999"/>
    <x v="0"/>
    <n v="0"/>
    <n v="1999"/>
    <x v="0"/>
    <x v="1"/>
  </r>
  <r>
    <x v="1259"/>
    <s v="1 Tue"/>
    <x v="6"/>
    <x v="0"/>
    <s v="CUST-1099"/>
    <s v="Rahul Malhotra"/>
    <x v="3"/>
    <x v="5"/>
    <x v="9"/>
    <n v="1"/>
    <n v="549"/>
    <n v="549"/>
    <x v="4"/>
    <n v="54.9"/>
    <n v="494.1"/>
    <x v="0"/>
    <x v="1"/>
  </r>
  <r>
    <x v="1260"/>
    <s v="2 Wed"/>
    <x v="6"/>
    <x v="0"/>
    <s v="CUST-1226"/>
    <s v="Tanya Joshi"/>
    <x v="1"/>
    <x v="1"/>
    <x v="2"/>
    <n v="1"/>
    <n v="599"/>
    <n v="599"/>
    <x v="3"/>
    <n v="119.8"/>
    <n v="479.2"/>
    <x v="1"/>
    <x v="0"/>
  </r>
  <r>
    <x v="1261"/>
    <s v="2 Wed"/>
    <x v="6"/>
    <x v="0"/>
    <s v="CUST-1266"/>
    <s v="Vivaan Kapoor"/>
    <x v="0"/>
    <x v="4"/>
    <x v="10"/>
    <n v="1"/>
    <n v="899"/>
    <n v="899"/>
    <x v="0"/>
    <n v="0"/>
    <n v="899"/>
    <x v="3"/>
    <x v="1"/>
  </r>
  <r>
    <x v="1262"/>
    <s v="2 Wed"/>
    <x v="6"/>
    <x v="0"/>
    <s v="CUST-1221"/>
    <s v="Kunal Singh"/>
    <x v="1"/>
    <x v="1"/>
    <x v="2"/>
    <n v="3"/>
    <n v="599"/>
    <n v="1797"/>
    <x v="1"/>
    <n v="269.55"/>
    <n v="1527.45"/>
    <x v="0"/>
    <x v="1"/>
  </r>
  <r>
    <x v="1263"/>
    <s v="2 Wed"/>
    <x v="6"/>
    <x v="0"/>
    <s v="CUST-1283"/>
    <s v="Aditya Mehta"/>
    <x v="0"/>
    <x v="4"/>
    <x v="11"/>
    <n v="1"/>
    <n v="499"/>
    <n v="499"/>
    <x v="3"/>
    <n v="99.8"/>
    <n v="399.2"/>
    <x v="0"/>
    <x v="0"/>
  </r>
  <r>
    <x v="1264"/>
    <s v="2 Wed"/>
    <x v="6"/>
    <x v="0"/>
    <s v="CUST-1358"/>
    <s v="Aman Patel"/>
    <x v="4"/>
    <x v="4"/>
    <x v="7"/>
    <n v="1"/>
    <n v="1999"/>
    <n v="1999"/>
    <x v="3"/>
    <n v="399.8"/>
    <n v="1599.2"/>
    <x v="1"/>
    <x v="1"/>
  </r>
  <r>
    <x v="1265"/>
    <s v="2 Wed"/>
    <x v="6"/>
    <x v="0"/>
    <s v="CUST-1039"/>
    <s v="Aarav Joshi"/>
    <x v="3"/>
    <x v="1"/>
    <x v="14"/>
    <n v="1"/>
    <n v="1799"/>
    <n v="1799"/>
    <x v="3"/>
    <n v="359.8"/>
    <n v="1439.2"/>
    <x v="3"/>
    <x v="0"/>
  </r>
  <r>
    <x v="1266"/>
    <s v="3 Thu"/>
    <x v="6"/>
    <x v="0"/>
    <s v="CUST-1308"/>
    <s v="Shreya Sharma"/>
    <x v="2"/>
    <x v="5"/>
    <x v="9"/>
    <n v="5"/>
    <n v="549"/>
    <n v="2745"/>
    <x v="4"/>
    <n v="274.5"/>
    <n v="2470.5"/>
    <x v="3"/>
    <x v="0"/>
  </r>
  <r>
    <x v="1267"/>
    <s v="3 Thu"/>
    <x v="6"/>
    <x v="0"/>
    <s v="CUST-1034"/>
    <s v="Sakshi Patel"/>
    <x v="1"/>
    <x v="6"/>
    <x v="13"/>
    <n v="4"/>
    <n v="699"/>
    <n v="2796"/>
    <x v="0"/>
    <n v="0"/>
    <n v="2796"/>
    <x v="2"/>
    <x v="0"/>
  </r>
  <r>
    <x v="1268"/>
    <s v="3 Thu"/>
    <x v="6"/>
    <x v="0"/>
    <s v="CUST-1237"/>
    <s v="Divya Sharma"/>
    <x v="3"/>
    <x v="5"/>
    <x v="8"/>
    <n v="1"/>
    <n v="349"/>
    <n v="349"/>
    <x v="1"/>
    <n v="52.35"/>
    <n v="296.64999999999998"/>
    <x v="1"/>
    <x v="1"/>
  </r>
  <r>
    <x v="1269"/>
    <s v="3 Thu"/>
    <x v="6"/>
    <x v="0"/>
    <s v="CUST-1328"/>
    <s v="Arjun Verma"/>
    <x v="1"/>
    <x v="5"/>
    <x v="8"/>
    <n v="2"/>
    <n v="349"/>
    <n v="698"/>
    <x v="0"/>
    <n v="0"/>
    <n v="698"/>
    <x v="1"/>
    <x v="1"/>
  </r>
  <r>
    <x v="1270"/>
    <s v="3 Thu"/>
    <x v="6"/>
    <x v="0"/>
    <s v="CUST-1380"/>
    <s v="Meera Joshi"/>
    <x v="4"/>
    <x v="2"/>
    <x v="15"/>
    <n v="1"/>
    <n v="299"/>
    <n v="299"/>
    <x v="0"/>
    <n v="0"/>
    <n v="299"/>
    <x v="3"/>
    <x v="1"/>
  </r>
  <r>
    <x v="1271"/>
    <s v="3 Thu"/>
    <x v="6"/>
    <x v="0"/>
    <s v="CUST-1078"/>
    <s v="Kabir Malhotra"/>
    <x v="3"/>
    <x v="5"/>
    <x v="8"/>
    <n v="1"/>
    <n v="349"/>
    <n v="349"/>
    <x v="4"/>
    <n v="34.9"/>
    <n v="314.10000000000002"/>
    <x v="1"/>
    <x v="1"/>
  </r>
  <r>
    <x v="1272"/>
    <s v="3 Thu"/>
    <x v="6"/>
    <x v="0"/>
    <s v="CUST-1167"/>
    <s v="Nandini Verma"/>
    <x v="2"/>
    <x v="0"/>
    <x v="0"/>
    <n v="2"/>
    <n v="99"/>
    <n v="198"/>
    <x v="4"/>
    <n v="19.8"/>
    <n v="178.2"/>
    <x v="3"/>
    <x v="1"/>
  </r>
  <r>
    <x v="1273"/>
    <s v="3 Thu"/>
    <x v="6"/>
    <x v="0"/>
    <s v="CUST-1356"/>
    <s v="Isha Verma"/>
    <x v="4"/>
    <x v="2"/>
    <x v="3"/>
    <n v="1"/>
    <n v="249"/>
    <n v="249"/>
    <x v="1"/>
    <n v="37.35"/>
    <n v="211.65"/>
    <x v="3"/>
    <x v="0"/>
  </r>
  <r>
    <x v="1274"/>
    <s v="3 Thu"/>
    <x v="6"/>
    <x v="0"/>
    <s v="CUST-1209"/>
    <s v="Meera Mehta"/>
    <x v="0"/>
    <x v="1"/>
    <x v="4"/>
    <n v="1"/>
    <n v="2999"/>
    <n v="2999"/>
    <x v="0"/>
    <n v="0"/>
    <n v="2999"/>
    <x v="0"/>
    <x v="0"/>
  </r>
  <r>
    <x v="1275"/>
    <s v="3 Thu"/>
    <x v="6"/>
    <x v="0"/>
    <s v="CUST-1390"/>
    <s v="Rahul Saxena"/>
    <x v="2"/>
    <x v="4"/>
    <x v="7"/>
    <n v="4"/>
    <n v="1999"/>
    <n v="7996"/>
    <x v="2"/>
    <n v="399.8"/>
    <n v="7596.2"/>
    <x v="1"/>
    <x v="1"/>
  </r>
  <r>
    <x v="1276"/>
    <s v="3 Thu"/>
    <x v="6"/>
    <x v="0"/>
    <s v="CUST-1327"/>
    <s v="Kunal Malhotra"/>
    <x v="0"/>
    <x v="4"/>
    <x v="7"/>
    <n v="3"/>
    <n v="1999"/>
    <n v="5997"/>
    <x v="0"/>
    <n v="0"/>
    <n v="5997"/>
    <x v="0"/>
    <x v="1"/>
  </r>
  <r>
    <x v="1277"/>
    <s v="4 Fri"/>
    <x v="6"/>
    <x v="0"/>
    <s v="CUST-1103"/>
    <s v="Muskan Gupta"/>
    <x v="0"/>
    <x v="4"/>
    <x v="10"/>
    <n v="1"/>
    <n v="899"/>
    <n v="899"/>
    <x v="0"/>
    <n v="0"/>
    <n v="899"/>
    <x v="0"/>
    <x v="0"/>
  </r>
  <r>
    <x v="1278"/>
    <s v="4 Fri"/>
    <x v="6"/>
    <x v="0"/>
    <s v="CUST-1046"/>
    <s v="Rohan Kapoor"/>
    <x v="2"/>
    <x v="4"/>
    <x v="7"/>
    <n v="1"/>
    <n v="1999"/>
    <n v="1999"/>
    <x v="3"/>
    <n v="399.8"/>
    <n v="1599.2"/>
    <x v="4"/>
    <x v="1"/>
  </r>
  <r>
    <x v="1279"/>
    <s v="4 Fri"/>
    <x v="6"/>
    <x v="0"/>
    <s v="CUST-1256"/>
    <s v="Rohan Singh"/>
    <x v="2"/>
    <x v="4"/>
    <x v="7"/>
    <n v="1"/>
    <n v="1999"/>
    <n v="1999"/>
    <x v="3"/>
    <n v="399.8"/>
    <n v="1599.2"/>
    <x v="1"/>
    <x v="0"/>
  </r>
  <r>
    <x v="1280"/>
    <s v="4 Fri"/>
    <x v="6"/>
    <x v="0"/>
    <s v="CUST-1344"/>
    <s v="Nandini Saxena"/>
    <x v="3"/>
    <x v="5"/>
    <x v="9"/>
    <n v="3"/>
    <n v="549"/>
    <n v="1647"/>
    <x v="0"/>
    <n v="0"/>
    <n v="1647"/>
    <x v="3"/>
    <x v="1"/>
  </r>
  <r>
    <x v="1281"/>
    <s v="4 Fri"/>
    <x v="6"/>
    <x v="0"/>
    <s v="CUST-1004"/>
    <s v="Tanya Malhotra"/>
    <x v="4"/>
    <x v="4"/>
    <x v="7"/>
    <n v="3"/>
    <n v="1999"/>
    <n v="5997"/>
    <x v="0"/>
    <n v="0"/>
    <n v="5997"/>
    <x v="1"/>
    <x v="1"/>
  </r>
  <r>
    <x v="1282"/>
    <s v="4 Fri"/>
    <x v="6"/>
    <x v="0"/>
    <s v="CUST-1306"/>
    <s v="Sakshi Malhotra"/>
    <x v="0"/>
    <x v="0"/>
    <x v="1"/>
    <n v="5"/>
    <n v="199"/>
    <n v="995"/>
    <x v="1"/>
    <n v="149.25"/>
    <n v="845.75"/>
    <x v="2"/>
    <x v="1"/>
  </r>
  <r>
    <x v="1283"/>
    <s v="4 Fri"/>
    <x v="6"/>
    <x v="0"/>
    <s v="CUST-1349"/>
    <s v="Rohan Mehta"/>
    <x v="3"/>
    <x v="6"/>
    <x v="12"/>
    <n v="1"/>
    <n v="1499"/>
    <n v="1499"/>
    <x v="0"/>
    <n v="0"/>
    <n v="1499"/>
    <x v="0"/>
    <x v="1"/>
  </r>
  <r>
    <x v="1284"/>
    <s v="4 Fri"/>
    <x v="6"/>
    <x v="0"/>
    <s v="CUST-1074"/>
    <s v="Kabir Kapoor"/>
    <x v="4"/>
    <x v="5"/>
    <x v="9"/>
    <n v="4"/>
    <n v="549"/>
    <n v="2196"/>
    <x v="2"/>
    <n v="109.8"/>
    <n v="2086.1999999999998"/>
    <x v="0"/>
    <x v="0"/>
  </r>
  <r>
    <x v="1285"/>
    <s v="4 Fri"/>
    <x v="6"/>
    <x v="0"/>
    <s v="CUST-1078"/>
    <s v="Kabir Malhotra"/>
    <x v="4"/>
    <x v="3"/>
    <x v="5"/>
    <n v="1"/>
    <n v="1299"/>
    <n v="1299"/>
    <x v="0"/>
    <n v="0"/>
    <n v="1299"/>
    <x v="1"/>
    <x v="0"/>
  </r>
  <r>
    <x v="1286"/>
    <s v="4 Fri"/>
    <x v="6"/>
    <x v="0"/>
    <s v="CUST-1279"/>
    <s v="Tanya Kapoor"/>
    <x v="3"/>
    <x v="1"/>
    <x v="2"/>
    <n v="2"/>
    <n v="599"/>
    <n v="1198"/>
    <x v="0"/>
    <n v="0"/>
    <n v="1198"/>
    <x v="3"/>
    <x v="1"/>
  </r>
  <r>
    <x v="1287"/>
    <s v="4 Fri"/>
    <x v="6"/>
    <x v="0"/>
    <s v="CUST-1383"/>
    <s v="Aman Gupta"/>
    <x v="0"/>
    <x v="6"/>
    <x v="13"/>
    <n v="1"/>
    <n v="699"/>
    <n v="699"/>
    <x v="1"/>
    <n v="104.85"/>
    <n v="594.15"/>
    <x v="4"/>
    <x v="0"/>
  </r>
  <r>
    <x v="1288"/>
    <s v="4 Fri"/>
    <x v="6"/>
    <x v="0"/>
    <s v="CUST-1168"/>
    <s v="Nandini Joshi"/>
    <x v="1"/>
    <x v="5"/>
    <x v="9"/>
    <n v="1"/>
    <n v="549"/>
    <n v="549"/>
    <x v="2"/>
    <n v="27.45"/>
    <n v="521.54999999999995"/>
    <x v="1"/>
    <x v="0"/>
  </r>
  <r>
    <x v="1289"/>
    <s v="5 Sat"/>
    <x v="6"/>
    <x v="0"/>
    <s v="CUST-1297"/>
    <s v="Sakshi Kapoor"/>
    <x v="3"/>
    <x v="0"/>
    <x v="0"/>
    <n v="2"/>
    <n v="99"/>
    <n v="198"/>
    <x v="1"/>
    <n v="29.7"/>
    <n v="168.3"/>
    <x v="3"/>
    <x v="0"/>
  </r>
  <r>
    <x v="1290"/>
    <s v="5 Sat"/>
    <x v="6"/>
    <x v="0"/>
    <s v="CUST-1247"/>
    <s v="Meera Malhotra"/>
    <x v="0"/>
    <x v="0"/>
    <x v="0"/>
    <n v="2"/>
    <n v="99"/>
    <n v="198"/>
    <x v="0"/>
    <n v="0"/>
    <n v="198"/>
    <x v="1"/>
    <x v="0"/>
  </r>
  <r>
    <x v="1291"/>
    <s v="5 Sat"/>
    <x v="6"/>
    <x v="0"/>
    <s v="CUST-1041"/>
    <s v="Divya Malhotra"/>
    <x v="3"/>
    <x v="0"/>
    <x v="1"/>
    <n v="1"/>
    <n v="199"/>
    <n v="199"/>
    <x v="1"/>
    <n v="29.85"/>
    <n v="169.15"/>
    <x v="0"/>
    <x v="0"/>
  </r>
  <r>
    <x v="1292"/>
    <s v="5 Sat"/>
    <x v="6"/>
    <x v="0"/>
    <s v="CUST-1389"/>
    <s v="Ankit Mehta"/>
    <x v="0"/>
    <x v="4"/>
    <x v="11"/>
    <n v="2"/>
    <n v="499"/>
    <n v="998"/>
    <x v="0"/>
    <n v="0"/>
    <n v="998"/>
    <x v="2"/>
    <x v="1"/>
  </r>
  <r>
    <x v="1293"/>
    <s v="5 Sat"/>
    <x v="6"/>
    <x v="0"/>
    <s v="CUST-1287"/>
    <s v="Divya Kapoor"/>
    <x v="3"/>
    <x v="6"/>
    <x v="12"/>
    <n v="3"/>
    <n v="1499"/>
    <n v="4497"/>
    <x v="4"/>
    <n v="449.7"/>
    <n v="4047.3"/>
    <x v="3"/>
    <x v="0"/>
  </r>
  <r>
    <x v="1294"/>
    <s v="5 Sat"/>
    <x v="6"/>
    <x v="0"/>
    <s v="CUST-1392"/>
    <s v="Aarav Singh"/>
    <x v="0"/>
    <x v="5"/>
    <x v="9"/>
    <n v="1"/>
    <n v="549"/>
    <n v="549"/>
    <x v="1"/>
    <n v="82.35"/>
    <n v="466.65"/>
    <x v="2"/>
    <x v="0"/>
  </r>
  <r>
    <x v="1295"/>
    <s v="5 Sat"/>
    <x v="6"/>
    <x v="0"/>
    <s v="CUST-1086"/>
    <s v="Nandini Verma"/>
    <x v="2"/>
    <x v="0"/>
    <x v="0"/>
    <n v="3"/>
    <n v="99"/>
    <n v="297"/>
    <x v="3"/>
    <n v="59.4"/>
    <n v="237.6"/>
    <x v="2"/>
    <x v="1"/>
  </r>
  <r>
    <x v="1296"/>
    <s v="6 Sun"/>
    <x v="6"/>
    <x v="0"/>
    <s v="CUST-1261"/>
    <s v="Shreya Patel"/>
    <x v="0"/>
    <x v="5"/>
    <x v="8"/>
    <n v="1"/>
    <n v="349"/>
    <n v="349"/>
    <x v="3"/>
    <n v="69.8"/>
    <n v="279.2"/>
    <x v="2"/>
    <x v="1"/>
  </r>
  <r>
    <x v="1297"/>
    <s v="6 Sun"/>
    <x v="6"/>
    <x v="0"/>
    <s v="CUST-1235"/>
    <s v="Meera Verma"/>
    <x v="2"/>
    <x v="6"/>
    <x v="13"/>
    <n v="1"/>
    <n v="699"/>
    <n v="699"/>
    <x v="0"/>
    <n v="0"/>
    <n v="699"/>
    <x v="4"/>
    <x v="0"/>
  </r>
  <r>
    <x v="1298"/>
    <s v="6 Sun"/>
    <x v="6"/>
    <x v="0"/>
    <s v="CUST-1233"/>
    <s v="Rahul Joshi"/>
    <x v="4"/>
    <x v="6"/>
    <x v="12"/>
    <n v="1"/>
    <n v="1499"/>
    <n v="1499"/>
    <x v="0"/>
    <n v="0"/>
    <n v="1499"/>
    <x v="0"/>
    <x v="0"/>
  </r>
  <r>
    <x v="1299"/>
    <s v="6 Sun"/>
    <x v="6"/>
    <x v="0"/>
    <s v="CUST-1285"/>
    <s v="Ankit Joshi"/>
    <x v="1"/>
    <x v="3"/>
    <x v="6"/>
    <n v="2"/>
    <n v="799"/>
    <n v="1598"/>
    <x v="0"/>
    <n v="0"/>
    <n v="1598"/>
    <x v="1"/>
    <x v="0"/>
  </r>
  <r>
    <x v="1300"/>
    <s v="6 Sun"/>
    <x v="6"/>
    <x v="0"/>
    <s v="CUST-1030"/>
    <s v="Rahul Kapoor"/>
    <x v="2"/>
    <x v="4"/>
    <x v="11"/>
    <n v="5"/>
    <n v="499"/>
    <n v="2495"/>
    <x v="2"/>
    <n v="124.75"/>
    <n v="2370.25"/>
    <x v="1"/>
    <x v="0"/>
  </r>
  <r>
    <x v="1301"/>
    <s v="6 Sun"/>
    <x v="6"/>
    <x v="0"/>
    <s v="CUST-1220"/>
    <s v="Aditya Kapoor"/>
    <x v="0"/>
    <x v="5"/>
    <x v="8"/>
    <n v="1"/>
    <n v="349"/>
    <n v="349"/>
    <x v="0"/>
    <n v="0"/>
    <n v="349"/>
    <x v="2"/>
    <x v="0"/>
  </r>
  <r>
    <x v="1302"/>
    <s v="6 Sun"/>
    <x v="6"/>
    <x v="0"/>
    <s v="CUST-1149"/>
    <s v="Aarav Verma"/>
    <x v="3"/>
    <x v="2"/>
    <x v="15"/>
    <n v="2"/>
    <n v="299"/>
    <n v="598"/>
    <x v="0"/>
    <n v="0"/>
    <n v="598"/>
    <x v="2"/>
    <x v="1"/>
  </r>
  <r>
    <x v="1303"/>
    <s v="6 Sun"/>
    <x v="6"/>
    <x v="0"/>
    <s v="CUST-1117"/>
    <s v="Aman Saxena"/>
    <x v="1"/>
    <x v="0"/>
    <x v="0"/>
    <n v="1"/>
    <n v="99"/>
    <n v="99"/>
    <x v="0"/>
    <n v="0"/>
    <n v="99"/>
    <x v="2"/>
    <x v="0"/>
  </r>
  <r>
    <x v="1304"/>
    <s v="6 Sun"/>
    <x v="6"/>
    <x v="0"/>
    <s v="CUST-1013"/>
    <s v="Divya Joshi"/>
    <x v="3"/>
    <x v="1"/>
    <x v="2"/>
    <n v="1"/>
    <n v="599"/>
    <n v="599"/>
    <x v="0"/>
    <n v="0"/>
    <n v="599"/>
    <x v="1"/>
    <x v="0"/>
  </r>
  <r>
    <x v="1305"/>
    <s v="6 Sun"/>
    <x v="6"/>
    <x v="0"/>
    <s v="CUST-1083"/>
    <s v="Komal Kapoor"/>
    <x v="3"/>
    <x v="6"/>
    <x v="13"/>
    <n v="1"/>
    <n v="699"/>
    <n v="699"/>
    <x v="4"/>
    <n v="69.900000000000006"/>
    <n v="629.1"/>
    <x v="3"/>
    <x v="0"/>
  </r>
  <r>
    <x v="1306"/>
    <s v="7 Mon"/>
    <x v="6"/>
    <x v="0"/>
    <s v="CUST-1363"/>
    <s v="Arjun Joshi"/>
    <x v="3"/>
    <x v="2"/>
    <x v="3"/>
    <n v="1"/>
    <n v="249"/>
    <n v="249"/>
    <x v="0"/>
    <n v="0"/>
    <n v="249"/>
    <x v="1"/>
    <x v="0"/>
  </r>
  <r>
    <x v="1307"/>
    <s v="7 Mon"/>
    <x v="6"/>
    <x v="0"/>
    <s v="CUST-1335"/>
    <s v="Divya Saxena"/>
    <x v="0"/>
    <x v="2"/>
    <x v="3"/>
    <n v="4"/>
    <n v="249"/>
    <n v="996"/>
    <x v="0"/>
    <n v="0"/>
    <n v="996"/>
    <x v="2"/>
    <x v="0"/>
  </r>
  <r>
    <x v="1308"/>
    <s v="7 Mon"/>
    <x v="6"/>
    <x v="0"/>
    <s v="CUST-1132"/>
    <s v="Shreya Sharma"/>
    <x v="2"/>
    <x v="1"/>
    <x v="2"/>
    <n v="4"/>
    <n v="599"/>
    <n v="2396"/>
    <x v="2"/>
    <n v="119.8"/>
    <n v="2276.1999999999998"/>
    <x v="1"/>
    <x v="0"/>
  </r>
  <r>
    <x v="1309"/>
    <s v="7 Mon"/>
    <x v="6"/>
    <x v="0"/>
    <s v="CUST-1056"/>
    <s v="Aarav Kapoor"/>
    <x v="4"/>
    <x v="2"/>
    <x v="15"/>
    <n v="1"/>
    <n v="299"/>
    <n v="299"/>
    <x v="0"/>
    <n v="0"/>
    <n v="299"/>
    <x v="0"/>
    <x v="0"/>
  </r>
  <r>
    <x v="1310"/>
    <s v="7 Mon"/>
    <x v="6"/>
    <x v="0"/>
    <s v="CUST-1273"/>
    <s v="Aman Saxena"/>
    <x v="1"/>
    <x v="6"/>
    <x v="12"/>
    <n v="1"/>
    <n v="1499"/>
    <n v="1499"/>
    <x v="1"/>
    <n v="224.85"/>
    <n v="1274.1500000000001"/>
    <x v="1"/>
    <x v="1"/>
  </r>
  <r>
    <x v="1311"/>
    <s v="7 Mon"/>
    <x v="6"/>
    <x v="0"/>
    <s v="CUST-1242"/>
    <s v="Sakshi Malhotra"/>
    <x v="1"/>
    <x v="6"/>
    <x v="12"/>
    <n v="3"/>
    <n v="1499"/>
    <n v="4497"/>
    <x v="3"/>
    <n v="899.4"/>
    <n v="3597.6"/>
    <x v="1"/>
    <x v="0"/>
  </r>
  <r>
    <x v="1312"/>
    <s v="7 Mon"/>
    <x v="6"/>
    <x v="0"/>
    <s v="CUST-1164"/>
    <s v="Kabir Malhotra"/>
    <x v="1"/>
    <x v="5"/>
    <x v="8"/>
    <n v="1"/>
    <n v="349"/>
    <n v="349"/>
    <x v="1"/>
    <n v="52.35"/>
    <n v="296.64999999999998"/>
    <x v="2"/>
    <x v="0"/>
  </r>
  <r>
    <x v="1313"/>
    <s v="7 Mon"/>
    <x v="6"/>
    <x v="0"/>
    <s v="CUST-1164"/>
    <s v="Kabir Malhotra"/>
    <x v="2"/>
    <x v="5"/>
    <x v="8"/>
    <n v="1"/>
    <n v="349"/>
    <n v="349"/>
    <x v="1"/>
    <n v="52.35"/>
    <n v="296.64999999999998"/>
    <x v="3"/>
    <x v="1"/>
  </r>
  <r>
    <x v="1314"/>
    <s v="8 Tue"/>
    <x v="6"/>
    <x v="0"/>
    <s v="CUST-1352"/>
    <s v="Nandini Mehta"/>
    <x v="1"/>
    <x v="4"/>
    <x v="7"/>
    <n v="1"/>
    <n v="1999"/>
    <n v="1999"/>
    <x v="1"/>
    <n v="299.85000000000002"/>
    <n v="1699.15"/>
    <x v="1"/>
    <x v="0"/>
  </r>
  <r>
    <x v="1315"/>
    <s v="8 Tue"/>
    <x v="6"/>
    <x v="0"/>
    <s v="CUST-1064"/>
    <s v="Ankit Mehta"/>
    <x v="0"/>
    <x v="0"/>
    <x v="0"/>
    <n v="1"/>
    <n v="99"/>
    <n v="99"/>
    <x v="0"/>
    <n v="0"/>
    <n v="99"/>
    <x v="1"/>
    <x v="0"/>
  </r>
  <r>
    <x v="1316"/>
    <s v="8 Tue"/>
    <x v="6"/>
    <x v="0"/>
    <s v="CUST-1126"/>
    <s v="Divya Sharma"/>
    <x v="1"/>
    <x v="0"/>
    <x v="0"/>
    <n v="3"/>
    <n v="99"/>
    <n v="297"/>
    <x v="2"/>
    <n v="14.85"/>
    <n v="282.14999999999998"/>
    <x v="1"/>
    <x v="1"/>
  </r>
  <r>
    <x v="1317"/>
    <s v="8 Tue"/>
    <x v="6"/>
    <x v="0"/>
    <s v="CUST-1174"/>
    <s v="Rahul Singh"/>
    <x v="2"/>
    <x v="4"/>
    <x v="7"/>
    <n v="1"/>
    <n v="1999"/>
    <n v="1999"/>
    <x v="4"/>
    <n v="199.9"/>
    <n v="1799.1"/>
    <x v="2"/>
    <x v="1"/>
  </r>
  <r>
    <x v="1318"/>
    <s v="8 Tue"/>
    <x v="6"/>
    <x v="0"/>
    <s v="CUST-1252"/>
    <s v="Arjun Singh"/>
    <x v="0"/>
    <x v="0"/>
    <x v="0"/>
    <n v="1"/>
    <n v="99"/>
    <n v="99"/>
    <x v="4"/>
    <n v="9.9"/>
    <n v="89.1"/>
    <x v="1"/>
    <x v="0"/>
  </r>
  <r>
    <x v="1319"/>
    <s v="9 Wed"/>
    <x v="6"/>
    <x v="0"/>
    <s v="CUST-1331"/>
    <s v="Arjun Singh"/>
    <x v="3"/>
    <x v="1"/>
    <x v="14"/>
    <n v="4"/>
    <n v="1799"/>
    <n v="7196"/>
    <x v="2"/>
    <n v="359.8"/>
    <n v="6836.2"/>
    <x v="0"/>
    <x v="1"/>
  </r>
  <r>
    <x v="1320"/>
    <s v="9 Wed"/>
    <x v="6"/>
    <x v="0"/>
    <s v="CUST-1029"/>
    <s v="Swati Patel"/>
    <x v="2"/>
    <x v="3"/>
    <x v="6"/>
    <n v="2"/>
    <n v="799"/>
    <n v="1598"/>
    <x v="0"/>
    <n v="0"/>
    <n v="1598"/>
    <x v="1"/>
    <x v="0"/>
  </r>
  <r>
    <x v="1321"/>
    <s v="9 Wed"/>
    <x v="6"/>
    <x v="0"/>
    <s v="CUST-1144"/>
    <s v="Divya Mehta"/>
    <x v="2"/>
    <x v="5"/>
    <x v="8"/>
    <n v="1"/>
    <n v="349"/>
    <n v="349"/>
    <x v="0"/>
    <n v="0"/>
    <n v="349"/>
    <x v="0"/>
    <x v="1"/>
  </r>
  <r>
    <x v="1322"/>
    <s v="10 Thu"/>
    <x v="6"/>
    <x v="0"/>
    <s v="CUST-1348"/>
    <s v="Ankit Malhotra"/>
    <x v="4"/>
    <x v="0"/>
    <x v="0"/>
    <n v="2"/>
    <n v="99"/>
    <n v="198"/>
    <x v="1"/>
    <n v="29.7"/>
    <n v="168.3"/>
    <x v="2"/>
    <x v="1"/>
  </r>
  <r>
    <x v="1323"/>
    <s v="10 Thu"/>
    <x v="6"/>
    <x v="0"/>
    <s v="CUST-1026"/>
    <s v="Rahul Saxena"/>
    <x v="4"/>
    <x v="6"/>
    <x v="12"/>
    <n v="1"/>
    <n v="1499"/>
    <n v="1499"/>
    <x v="0"/>
    <n v="0"/>
    <n v="1499"/>
    <x v="2"/>
    <x v="1"/>
  </r>
  <r>
    <x v="1324"/>
    <s v="10 Thu"/>
    <x v="6"/>
    <x v="0"/>
    <s v="CUST-1254"/>
    <s v="Meera Malhotra"/>
    <x v="1"/>
    <x v="5"/>
    <x v="9"/>
    <n v="2"/>
    <n v="549"/>
    <n v="1098"/>
    <x v="2"/>
    <n v="54.9"/>
    <n v="1043.0999999999999"/>
    <x v="0"/>
    <x v="1"/>
  </r>
  <r>
    <x v="1325"/>
    <s v="10 Thu"/>
    <x v="6"/>
    <x v="0"/>
    <s v="CUST-1021"/>
    <s v="Isha Patel"/>
    <x v="1"/>
    <x v="1"/>
    <x v="14"/>
    <n v="1"/>
    <n v="1799"/>
    <n v="1799"/>
    <x v="0"/>
    <n v="0"/>
    <n v="1799"/>
    <x v="1"/>
    <x v="1"/>
  </r>
  <r>
    <x v="1326"/>
    <s v="10 Thu"/>
    <x v="6"/>
    <x v="0"/>
    <s v="CUST-1368"/>
    <s v="Isha Patel"/>
    <x v="1"/>
    <x v="5"/>
    <x v="9"/>
    <n v="1"/>
    <n v="549"/>
    <n v="549"/>
    <x v="0"/>
    <n v="0"/>
    <n v="549"/>
    <x v="1"/>
    <x v="1"/>
  </r>
  <r>
    <x v="1327"/>
    <s v="10 Thu"/>
    <x v="6"/>
    <x v="0"/>
    <s v="CUST-1216"/>
    <s v="Meera Malhotra"/>
    <x v="0"/>
    <x v="0"/>
    <x v="0"/>
    <n v="1"/>
    <n v="99"/>
    <n v="99"/>
    <x v="1"/>
    <n v="14.85"/>
    <n v="84.15"/>
    <x v="2"/>
    <x v="0"/>
  </r>
  <r>
    <x v="1328"/>
    <s v="10 Thu"/>
    <x v="6"/>
    <x v="0"/>
    <s v="CUST-1096"/>
    <s v="Kunal Saxena"/>
    <x v="2"/>
    <x v="4"/>
    <x v="11"/>
    <n v="1"/>
    <n v="499"/>
    <n v="499"/>
    <x v="1"/>
    <n v="74.849999999999994"/>
    <n v="424.15"/>
    <x v="0"/>
    <x v="1"/>
  </r>
  <r>
    <x v="1329"/>
    <s v="10 Thu"/>
    <x v="6"/>
    <x v="0"/>
    <s v="CUST-1251"/>
    <s v="Aarav Singh"/>
    <x v="0"/>
    <x v="3"/>
    <x v="5"/>
    <n v="1"/>
    <n v="1299"/>
    <n v="1299"/>
    <x v="2"/>
    <n v="64.95"/>
    <n v="1234.05"/>
    <x v="4"/>
    <x v="1"/>
  </r>
  <r>
    <x v="1330"/>
    <s v="11 Fri"/>
    <x v="6"/>
    <x v="0"/>
    <s v="CUST-1303"/>
    <s v="Sakshi Sharma"/>
    <x v="1"/>
    <x v="0"/>
    <x v="1"/>
    <n v="1"/>
    <n v="199"/>
    <n v="199"/>
    <x v="1"/>
    <n v="29.85"/>
    <n v="169.15"/>
    <x v="1"/>
    <x v="1"/>
  </r>
  <r>
    <x v="1331"/>
    <s v="11 Fri"/>
    <x v="6"/>
    <x v="0"/>
    <s v="CUST-1386"/>
    <s v="Swati Patel"/>
    <x v="1"/>
    <x v="1"/>
    <x v="14"/>
    <n v="1"/>
    <n v="1799"/>
    <n v="1799"/>
    <x v="1"/>
    <n v="269.85000000000002"/>
    <n v="1529.15"/>
    <x v="1"/>
    <x v="0"/>
  </r>
  <r>
    <x v="1332"/>
    <s v="11 Fri"/>
    <x v="6"/>
    <x v="0"/>
    <s v="CUST-1031"/>
    <s v="Kabir Malhotra"/>
    <x v="0"/>
    <x v="2"/>
    <x v="3"/>
    <n v="3"/>
    <n v="249"/>
    <n v="747"/>
    <x v="0"/>
    <n v="0"/>
    <n v="747"/>
    <x v="2"/>
    <x v="0"/>
  </r>
  <r>
    <x v="1333"/>
    <s v="11 Fri"/>
    <x v="6"/>
    <x v="0"/>
    <s v="CUST-1221"/>
    <s v="Kunal Singh"/>
    <x v="4"/>
    <x v="5"/>
    <x v="9"/>
    <n v="1"/>
    <n v="549"/>
    <n v="549"/>
    <x v="0"/>
    <n v="0"/>
    <n v="549"/>
    <x v="0"/>
    <x v="1"/>
  </r>
  <r>
    <x v="1334"/>
    <s v="11 Fri"/>
    <x v="6"/>
    <x v="0"/>
    <s v="CUST-1286"/>
    <s v="Arjun Singh"/>
    <x v="0"/>
    <x v="2"/>
    <x v="3"/>
    <n v="1"/>
    <n v="249"/>
    <n v="249"/>
    <x v="0"/>
    <n v="0"/>
    <n v="249"/>
    <x v="0"/>
    <x v="0"/>
  </r>
  <r>
    <x v="1335"/>
    <s v="11 Fri"/>
    <x v="6"/>
    <x v="0"/>
    <s v="CUST-1026"/>
    <s v="Rahul Saxena"/>
    <x v="4"/>
    <x v="6"/>
    <x v="13"/>
    <n v="3"/>
    <n v="699"/>
    <n v="2097"/>
    <x v="3"/>
    <n v="419.4"/>
    <n v="1677.6"/>
    <x v="3"/>
    <x v="0"/>
  </r>
  <r>
    <x v="1336"/>
    <s v="11 Fri"/>
    <x v="6"/>
    <x v="0"/>
    <s v="CUST-1088"/>
    <s v="Arjun Patel"/>
    <x v="2"/>
    <x v="1"/>
    <x v="4"/>
    <n v="3"/>
    <n v="2999"/>
    <n v="8997"/>
    <x v="4"/>
    <n v="899.7"/>
    <n v="8097.3"/>
    <x v="2"/>
    <x v="1"/>
  </r>
  <r>
    <x v="1337"/>
    <s v="11 Fri"/>
    <x v="6"/>
    <x v="0"/>
    <s v="CUST-1133"/>
    <s v="Kunal Mehta"/>
    <x v="1"/>
    <x v="2"/>
    <x v="15"/>
    <n v="1"/>
    <n v="299"/>
    <n v="299"/>
    <x v="3"/>
    <n v="59.8"/>
    <n v="239.2"/>
    <x v="1"/>
    <x v="0"/>
  </r>
  <r>
    <x v="1338"/>
    <s v="11 Fri"/>
    <x v="6"/>
    <x v="0"/>
    <s v="CUST-1335"/>
    <s v="Divya Saxena"/>
    <x v="3"/>
    <x v="0"/>
    <x v="1"/>
    <n v="3"/>
    <n v="199"/>
    <n v="597"/>
    <x v="3"/>
    <n v="119.4"/>
    <n v="477.6"/>
    <x v="1"/>
    <x v="1"/>
  </r>
  <r>
    <x v="1339"/>
    <s v="12 Sat"/>
    <x v="6"/>
    <x v="0"/>
    <s v="CUST-1263"/>
    <s v="Tanya Mehta"/>
    <x v="4"/>
    <x v="1"/>
    <x v="2"/>
    <n v="1"/>
    <n v="599"/>
    <n v="599"/>
    <x v="3"/>
    <n v="119.8"/>
    <n v="479.2"/>
    <x v="0"/>
    <x v="0"/>
  </r>
  <r>
    <x v="1340"/>
    <s v="12 Sat"/>
    <x v="6"/>
    <x v="0"/>
    <s v="CUST-1313"/>
    <s v="Kunal Joshi"/>
    <x v="2"/>
    <x v="1"/>
    <x v="4"/>
    <n v="1"/>
    <n v="2999"/>
    <n v="2999"/>
    <x v="0"/>
    <n v="0"/>
    <n v="2999"/>
    <x v="0"/>
    <x v="0"/>
  </r>
  <r>
    <x v="1341"/>
    <s v="13 Sun"/>
    <x v="6"/>
    <x v="0"/>
    <s v="CUST-1351"/>
    <s v="Tanya Mehta"/>
    <x v="3"/>
    <x v="3"/>
    <x v="6"/>
    <n v="1"/>
    <n v="799"/>
    <n v="799"/>
    <x v="0"/>
    <n v="0"/>
    <n v="799"/>
    <x v="1"/>
    <x v="0"/>
  </r>
  <r>
    <x v="1342"/>
    <s v="13 Sun"/>
    <x v="6"/>
    <x v="0"/>
    <s v="CUST-1294"/>
    <s v="Kabir Joshi"/>
    <x v="2"/>
    <x v="6"/>
    <x v="12"/>
    <n v="2"/>
    <n v="1499"/>
    <n v="2998"/>
    <x v="1"/>
    <n v="449.7"/>
    <n v="2548.3000000000002"/>
    <x v="0"/>
    <x v="0"/>
  </r>
  <r>
    <x v="1343"/>
    <s v="13 Sun"/>
    <x v="6"/>
    <x v="0"/>
    <s v="CUST-1086"/>
    <s v="Nandini Verma"/>
    <x v="3"/>
    <x v="4"/>
    <x v="10"/>
    <n v="1"/>
    <n v="899"/>
    <n v="899"/>
    <x v="1"/>
    <n v="134.85"/>
    <n v="764.15"/>
    <x v="2"/>
    <x v="0"/>
  </r>
  <r>
    <x v="1344"/>
    <s v="13 Sun"/>
    <x v="6"/>
    <x v="0"/>
    <s v="CUST-1252"/>
    <s v="Arjun Singh"/>
    <x v="2"/>
    <x v="5"/>
    <x v="8"/>
    <n v="1"/>
    <n v="349"/>
    <n v="349"/>
    <x v="4"/>
    <n v="34.9"/>
    <n v="314.10000000000002"/>
    <x v="2"/>
    <x v="1"/>
  </r>
  <r>
    <x v="1345"/>
    <s v="13 Sun"/>
    <x v="6"/>
    <x v="0"/>
    <s v="CUST-1020"/>
    <s v="Rohan Malhotra"/>
    <x v="0"/>
    <x v="0"/>
    <x v="1"/>
    <n v="1"/>
    <n v="199"/>
    <n v="199"/>
    <x v="0"/>
    <n v="0"/>
    <n v="199"/>
    <x v="0"/>
    <x v="1"/>
  </r>
  <r>
    <x v="1346"/>
    <s v="13 Sun"/>
    <x v="6"/>
    <x v="0"/>
    <s v="CUST-1301"/>
    <s v="Shreya Sharma"/>
    <x v="3"/>
    <x v="4"/>
    <x v="10"/>
    <n v="1"/>
    <n v="899"/>
    <n v="899"/>
    <x v="0"/>
    <n v="0"/>
    <n v="899"/>
    <x v="2"/>
    <x v="1"/>
  </r>
  <r>
    <x v="1347"/>
    <s v="14 Mon"/>
    <x v="6"/>
    <x v="0"/>
    <s v="CUST-1156"/>
    <s v="Nandini Joshi"/>
    <x v="4"/>
    <x v="6"/>
    <x v="12"/>
    <n v="2"/>
    <n v="1499"/>
    <n v="2998"/>
    <x v="4"/>
    <n v="299.8"/>
    <n v="2698.2"/>
    <x v="2"/>
    <x v="0"/>
  </r>
  <r>
    <x v="1348"/>
    <s v="14 Mon"/>
    <x v="6"/>
    <x v="0"/>
    <s v="CUST-1044"/>
    <s v="Swati Saxena"/>
    <x v="4"/>
    <x v="0"/>
    <x v="0"/>
    <n v="3"/>
    <n v="99"/>
    <n v="297"/>
    <x v="3"/>
    <n v="59.4"/>
    <n v="237.6"/>
    <x v="0"/>
    <x v="0"/>
  </r>
  <r>
    <x v="1349"/>
    <s v="14 Mon"/>
    <x v="6"/>
    <x v="0"/>
    <s v="CUST-1141"/>
    <s v="Tanya Kapoor"/>
    <x v="4"/>
    <x v="6"/>
    <x v="12"/>
    <n v="1"/>
    <n v="1499"/>
    <n v="1499"/>
    <x v="2"/>
    <n v="74.95"/>
    <n v="1424.05"/>
    <x v="1"/>
    <x v="0"/>
  </r>
  <r>
    <x v="1350"/>
    <s v="14 Mon"/>
    <x v="6"/>
    <x v="0"/>
    <s v="CUST-1261"/>
    <s v="Shreya Patel"/>
    <x v="0"/>
    <x v="4"/>
    <x v="7"/>
    <n v="1"/>
    <n v="1999"/>
    <n v="1999"/>
    <x v="4"/>
    <n v="199.9"/>
    <n v="1799.1"/>
    <x v="3"/>
    <x v="0"/>
  </r>
  <r>
    <x v="1351"/>
    <s v="14 Mon"/>
    <x v="6"/>
    <x v="0"/>
    <s v="CUST-1266"/>
    <s v="Vivaan Kapoor"/>
    <x v="1"/>
    <x v="2"/>
    <x v="15"/>
    <n v="1"/>
    <n v="299"/>
    <n v="299"/>
    <x v="1"/>
    <n v="44.85"/>
    <n v="254.15"/>
    <x v="1"/>
    <x v="0"/>
  </r>
  <r>
    <x v="1352"/>
    <s v="14 Mon"/>
    <x v="6"/>
    <x v="0"/>
    <s v="CUST-1103"/>
    <s v="Muskan Gupta"/>
    <x v="0"/>
    <x v="5"/>
    <x v="8"/>
    <n v="1"/>
    <n v="349"/>
    <n v="349"/>
    <x v="0"/>
    <n v="0"/>
    <n v="349"/>
    <x v="3"/>
    <x v="0"/>
  </r>
  <r>
    <x v="1353"/>
    <s v="14 Mon"/>
    <x v="6"/>
    <x v="0"/>
    <s v="CUST-1141"/>
    <s v="Tanya Kapoor"/>
    <x v="3"/>
    <x v="6"/>
    <x v="13"/>
    <n v="2"/>
    <n v="699"/>
    <n v="1398"/>
    <x v="4"/>
    <n v="139.80000000000001"/>
    <n v="1258.2"/>
    <x v="0"/>
    <x v="0"/>
  </r>
  <r>
    <x v="1354"/>
    <s v="14 Mon"/>
    <x v="6"/>
    <x v="0"/>
    <s v="CUST-1285"/>
    <s v="Ankit Joshi"/>
    <x v="3"/>
    <x v="1"/>
    <x v="4"/>
    <n v="4"/>
    <n v="2999"/>
    <n v="11996"/>
    <x v="0"/>
    <n v="0"/>
    <n v="11996"/>
    <x v="0"/>
    <x v="1"/>
  </r>
  <r>
    <x v="1355"/>
    <s v="15 Tue"/>
    <x v="6"/>
    <x v="0"/>
    <s v="CUST-1134"/>
    <s v="Komal Patel"/>
    <x v="0"/>
    <x v="3"/>
    <x v="6"/>
    <n v="1"/>
    <n v="799"/>
    <n v="799"/>
    <x v="3"/>
    <n v="159.80000000000001"/>
    <n v="639.20000000000005"/>
    <x v="4"/>
    <x v="0"/>
  </r>
  <r>
    <x v="1356"/>
    <s v="15 Tue"/>
    <x v="6"/>
    <x v="0"/>
    <s v="CUST-1114"/>
    <s v="Vivaan Malhotra"/>
    <x v="4"/>
    <x v="0"/>
    <x v="0"/>
    <n v="2"/>
    <n v="99"/>
    <n v="198"/>
    <x v="1"/>
    <n v="29.7"/>
    <n v="168.3"/>
    <x v="2"/>
    <x v="0"/>
  </r>
  <r>
    <x v="1357"/>
    <s v="15 Tue"/>
    <x v="6"/>
    <x v="0"/>
    <s v="CUST-1355"/>
    <s v="Aditya Joshi"/>
    <x v="0"/>
    <x v="2"/>
    <x v="3"/>
    <n v="1"/>
    <n v="249"/>
    <n v="249"/>
    <x v="0"/>
    <n v="0"/>
    <n v="249"/>
    <x v="1"/>
    <x v="0"/>
  </r>
  <r>
    <x v="1358"/>
    <s v="15 Tue"/>
    <x v="6"/>
    <x v="0"/>
    <s v="CUST-1243"/>
    <s v="Aman Joshi"/>
    <x v="0"/>
    <x v="4"/>
    <x v="7"/>
    <n v="2"/>
    <n v="1999"/>
    <n v="3998"/>
    <x v="0"/>
    <n v="0"/>
    <n v="3998"/>
    <x v="1"/>
    <x v="0"/>
  </r>
  <r>
    <x v="1359"/>
    <s v="15 Tue"/>
    <x v="6"/>
    <x v="0"/>
    <s v="CUST-1271"/>
    <s v="Nandini Sharma"/>
    <x v="4"/>
    <x v="2"/>
    <x v="3"/>
    <n v="1"/>
    <n v="249"/>
    <n v="249"/>
    <x v="4"/>
    <n v="24.9"/>
    <n v="224.1"/>
    <x v="1"/>
    <x v="0"/>
  </r>
  <r>
    <x v="1360"/>
    <s v="15 Tue"/>
    <x v="6"/>
    <x v="0"/>
    <s v="CUST-1146"/>
    <s v="Tanya Patel"/>
    <x v="1"/>
    <x v="1"/>
    <x v="14"/>
    <n v="1"/>
    <n v="1799"/>
    <n v="1799"/>
    <x v="1"/>
    <n v="269.85000000000002"/>
    <n v="1529.15"/>
    <x v="0"/>
    <x v="0"/>
  </r>
  <r>
    <x v="1361"/>
    <s v="15 Tue"/>
    <x v="6"/>
    <x v="0"/>
    <s v="CUST-1182"/>
    <s v="Swati Verma"/>
    <x v="2"/>
    <x v="3"/>
    <x v="6"/>
    <n v="1"/>
    <n v="799"/>
    <n v="799"/>
    <x v="0"/>
    <n v="0"/>
    <n v="799"/>
    <x v="4"/>
    <x v="1"/>
  </r>
  <r>
    <x v="1362"/>
    <s v="15 Tue"/>
    <x v="6"/>
    <x v="0"/>
    <s v="CUST-1037"/>
    <s v="Aarav Gupta"/>
    <x v="3"/>
    <x v="1"/>
    <x v="14"/>
    <n v="1"/>
    <n v="1799"/>
    <n v="1799"/>
    <x v="0"/>
    <n v="0"/>
    <n v="1799"/>
    <x v="3"/>
    <x v="0"/>
  </r>
  <r>
    <x v="1363"/>
    <s v="15 Tue"/>
    <x v="6"/>
    <x v="0"/>
    <s v="CUST-1228"/>
    <s v="Aarav Mehta"/>
    <x v="3"/>
    <x v="1"/>
    <x v="14"/>
    <n v="2"/>
    <n v="1799"/>
    <n v="3598"/>
    <x v="0"/>
    <n v="0"/>
    <n v="3598"/>
    <x v="0"/>
    <x v="1"/>
  </r>
  <r>
    <x v="1364"/>
    <s v="16 Wed"/>
    <x v="6"/>
    <x v="0"/>
    <s v="CUST-1162"/>
    <s v="Aarav Kapoor"/>
    <x v="4"/>
    <x v="1"/>
    <x v="4"/>
    <n v="2"/>
    <n v="2999"/>
    <n v="5998"/>
    <x v="3"/>
    <n v="1199.5999999999999"/>
    <n v="4798.3999999999996"/>
    <x v="1"/>
    <x v="0"/>
  </r>
  <r>
    <x v="1365"/>
    <s v="17 Thu"/>
    <x v="6"/>
    <x v="0"/>
    <s v="CUST-1247"/>
    <s v="Meera Malhotra"/>
    <x v="1"/>
    <x v="4"/>
    <x v="11"/>
    <n v="1"/>
    <n v="499"/>
    <n v="499"/>
    <x v="0"/>
    <n v="0"/>
    <n v="499"/>
    <x v="1"/>
    <x v="0"/>
  </r>
  <r>
    <x v="1366"/>
    <s v="17 Thu"/>
    <x v="6"/>
    <x v="0"/>
    <s v="CUST-1213"/>
    <s v="Ankit Patel"/>
    <x v="2"/>
    <x v="6"/>
    <x v="13"/>
    <n v="3"/>
    <n v="699"/>
    <n v="2097"/>
    <x v="4"/>
    <n v="209.7"/>
    <n v="1887.3"/>
    <x v="1"/>
    <x v="0"/>
  </r>
  <r>
    <x v="1367"/>
    <s v="17 Thu"/>
    <x v="6"/>
    <x v="0"/>
    <s v="CUST-1391"/>
    <s v="Kunal Gupta"/>
    <x v="1"/>
    <x v="3"/>
    <x v="6"/>
    <n v="1"/>
    <n v="799"/>
    <n v="799"/>
    <x v="4"/>
    <n v="79.900000000000006"/>
    <n v="719.1"/>
    <x v="0"/>
    <x v="1"/>
  </r>
  <r>
    <x v="1368"/>
    <s v="17 Thu"/>
    <x v="6"/>
    <x v="0"/>
    <s v="CUST-1246"/>
    <s v="Divya Verma"/>
    <x v="0"/>
    <x v="4"/>
    <x v="10"/>
    <n v="1"/>
    <n v="899"/>
    <n v="899"/>
    <x v="0"/>
    <n v="0"/>
    <n v="899"/>
    <x v="1"/>
    <x v="0"/>
  </r>
  <r>
    <x v="1369"/>
    <s v="17 Thu"/>
    <x v="6"/>
    <x v="0"/>
    <s v="CUST-1175"/>
    <s v="Vivaan Kapoor"/>
    <x v="0"/>
    <x v="5"/>
    <x v="8"/>
    <n v="1"/>
    <n v="349"/>
    <n v="349"/>
    <x v="2"/>
    <n v="17.45"/>
    <n v="331.55"/>
    <x v="0"/>
    <x v="0"/>
  </r>
  <r>
    <x v="1370"/>
    <s v="17 Thu"/>
    <x v="6"/>
    <x v="0"/>
    <s v="CUST-1343"/>
    <s v="Tanya Sharma"/>
    <x v="0"/>
    <x v="2"/>
    <x v="3"/>
    <n v="3"/>
    <n v="249"/>
    <n v="747"/>
    <x v="0"/>
    <n v="0"/>
    <n v="747"/>
    <x v="3"/>
    <x v="1"/>
  </r>
  <r>
    <x v="1371"/>
    <s v="17 Thu"/>
    <x v="6"/>
    <x v="0"/>
    <s v="CUST-1236"/>
    <s v="Divya Mehta"/>
    <x v="3"/>
    <x v="6"/>
    <x v="12"/>
    <n v="2"/>
    <n v="1499"/>
    <n v="2998"/>
    <x v="2"/>
    <n v="149.9"/>
    <n v="2848.1"/>
    <x v="1"/>
    <x v="0"/>
  </r>
  <r>
    <x v="1372"/>
    <s v="18 Fri"/>
    <x v="6"/>
    <x v="0"/>
    <s v="CUST-1377"/>
    <s v="Sakshi Patel"/>
    <x v="2"/>
    <x v="1"/>
    <x v="4"/>
    <n v="1"/>
    <n v="2999"/>
    <n v="2999"/>
    <x v="1"/>
    <n v="449.85"/>
    <n v="2549.15"/>
    <x v="3"/>
    <x v="0"/>
  </r>
  <r>
    <x v="1373"/>
    <s v="18 Fri"/>
    <x v="6"/>
    <x v="0"/>
    <s v="CUST-1032"/>
    <s v="Shreya Mehta"/>
    <x v="1"/>
    <x v="5"/>
    <x v="9"/>
    <n v="1"/>
    <n v="549"/>
    <n v="549"/>
    <x v="4"/>
    <n v="54.9"/>
    <n v="494.1"/>
    <x v="2"/>
    <x v="1"/>
  </r>
  <r>
    <x v="1374"/>
    <s v="18 Fri"/>
    <x v="6"/>
    <x v="0"/>
    <s v="CUST-1196"/>
    <s v="Aditya Patel"/>
    <x v="0"/>
    <x v="4"/>
    <x v="11"/>
    <n v="2"/>
    <n v="499"/>
    <n v="998"/>
    <x v="1"/>
    <n v="149.69999999999999"/>
    <n v="848.3"/>
    <x v="1"/>
    <x v="1"/>
  </r>
  <r>
    <x v="1375"/>
    <s v="18 Fri"/>
    <x v="6"/>
    <x v="0"/>
    <s v="CUST-1068"/>
    <s v="Isha Verma"/>
    <x v="1"/>
    <x v="3"/>
    <x v="6"/>
    <n v="2"/>
    <n v="799"/>
    <n v="1598"/>
    <x v="0"/>
    <n v="0"/>
    <n v="1598"/>
    <x v="0"/>
    <x v="1"/>
  </r>
  <r>
    <x v="1376"/>
    <s v="18 Fri"/>
    <x v="6"/>
    <x v="0"/>
    <s v="CUST-1145"/>
    <s v="Kunal Joshi"/>
    <x v="0"/>
    <x v="0"/>
    <x v="1"/>
    <n v="3"/>
    <n v="199"/>
    <n v="597"/>
    <x v="4"/>
    <n v="59.7"/>
    <n v="537.29999999999995"/>
    <x v="1"/>
    <x v="0"/>
  </r>
  <r>
    <x v="1377"/>
    <s v="18 Fri"/>
    <x v="6"/>
    <x v="0"/>
    <s v="CUST-1173"/>
    <s v="Ankit Gupta"/>
    <x v="4"/>
    <x v="4"/>
    <x v="11"/>
    <n v="3"/>
    <n v="499"/>
    <n v="1497"/>
    <x v="0"/>
    <n v="0"/>
    <n v="1497"/>
    <x v="0"/>
    <x v="0"/>
  </r>
  <r>
    <x v="1378"/>
    <s v="18 Fri"/>
    <x v="6"/>
    <x v="0"/>
    <s v="CUST-1056"/>
    <s v="Aarav Kapoor"/>
    <x v="2"/>
    <x v="6"/>
    <x v="13"/>
    <n v="4"/>
    <n v="699"/>
    <n v="2796"/>
    <x v="0"/>
    <n v="0"/>
    <n v="2796"/>
    <x v="3"/>
    <x v="0"/>
  </r>
  <r>
    <x v="1379"/>
    <s v="18 Fri"/>
    <x v="6"/>
    <x v="0"/>
    <s v="CUST-1248"/>
    <s v="Meera Saxena"/>
    <x v="3"/>
    <x v="6"/>
    <x v="12"/>
    <n v="1"/>
    <n v="1499"/>
    <n v="1499"/>
    <x v="0"/>
    <n v="0"/>
    <n v="1499"/>
    <x v="0"/>
    <x v="0"/>
  </r>
  <r>
    <x v="1380"/>
    <s v="19 Sat"/>
    <x v="6"/>
    <x v="0"/>
    <s v="CUST-1275"/>
    <s v="Tanya Singh"/>
    <x v="4"/>
    <x v="4"/>
    <x v="10"/>
    <n v="3"/>
    <n v="899"/>
    <n v="2697"/>
    <x v="0"/>
    <n v="0"/>
    <n v="2697"/>
    <x v="0"/>
    <x v="0"/>
  </r>
  <r>
    <x v="1381"/>
    <s v="19 Sat"/>
    <x v="6"/>
    <x v="0"/>
    <s v="CUST-1292"/>
    <s v="Aman Singh"/>
    <x v="2"/>
    <x v="2"/>
    <x v="15"/>
    <n v="1"/>
    <n v="299"/>
    <n v="299"/>
    <x v="0"/>
    <n v="0"/>
    <n v="299"/>
    <x v="0"/>
    <x v="0"/>
  </r>
  <r>
    <x v="1382"/>
    <s v="19 Sat"/>
    <x v="6"/>
    <x v="0"/>
    <s v="CUST-1138"/>
    <s v="Tanya Singh"/>
    <x v="4"/>
    <x v="4"/>
    <x v="10"/>
    <n v="1"/>
    <n v="899"/>
    <n v="899"/>
    <x v="3"/>
    <n v="179.8"/>
    <n v="719.2"/>
    <x v="0"/>
    <x v="1"/>
  </r>
  <r>
    <x v="1383"/>
    <s v="19 Sat"/>
    <x v="6"/>
    <x v="0"/>
    <s v="CUST-1186"/>
    <s v="Meera Verma"/>
    <x v="1"/>
    <x v="0"/>
    <x v="1"/>
    <n v="2"/>
    <n v="199"/>
    <n v="398"/>
    <x v="0"/>
    <n v="0"/>
    <n v="398"/>
    <x v="3"/>
    <x v="0"/>
  </r>
  <r>
    <x v="1384"/>
    <s v="19 Sat"/>
    <x v="6"/>
    <x v="0"/>
    <s v="CUST-1006"/>
    <s v="Sakshi Singh"/>
    <x v="4"/>
    <x v="2"/>
    <x v="3"/>
    <n v="1"/>
    <n v="249"/>
    <n v="249"/>
    <x v="4"/>
    <n v="24.9"/>
    <n v="224.1"/>
    <x v="2"/>
    <x v="0"/>
  </r>
  <r>
    <x v="1385"/>
    <s v="19 Sat"/>
    <x v="6"/>
    <x v="0"/>
    <s v="CUST-1326"/>
    <s v="Rohan Verma"/>
    <x v="2"/>
    <x v="0"/>
    <x v="0"/>
    <n v="1"/>
    <n v="99"/>
    <n v="99"/>
    <x v="0"/>
    <n v="0"/>
    <n v="99"/>
    <x v="0"/>
    <x v="1"/>
  </r>
  <r>
    <x v="1386"/>
    <s v="19 Sat"/>
    <x v="6"/>
    <x v="0"/>
    <s v="CUST-1335"/>
    <s v="Divya Saxena"/>
    <x v="1"/>
    <x v="1"/>
    <x v="2"/>
    <n v="1"/>
    <n v="599"/>
    <n v="599"/>
    <x v="2"/>
    <n v="29.95"/>
    <n v="569.04999999999995"/>
    <x v="1"/>
    <x v="0"/>
  </r>
  <r>
    <x v="1387"/>
    <s v="19 Sat"/>
    <x v="6"/>
    <x v="0"/>
    <s v="CUST-1290"/>
    <s v="Kabir Mehta"/>
    <x v="0"/>
    <x v="5"/>
    <x v="9"/>
    <n v="1"/>
    <n v="549"/>
    <n v="549"/>
    <x v="0"/>
    <n v="0"/>
    <n v="549"/>
    <x v="0"/>
    <x v="0"/>
  </r>
  <r>
    <x v="1388"/>
    <s v="20 Sun"/>
    <x v="6"/>
    <x v="0"/>
    <s v="CUST-1107"/>
    <s v="Isha Sharma"/>
    <x v="1"/>
    <x v="1"/>
    <x v="2"/>
    <n v="3"/>
    <n v="599"/>
    <n v="1797"/>
    <x v="0"/>
    <n v="0"/>
    <n v="1797"/>
    <x v="1"/>
    <x v="1"/>
  </r>
  <r>
    <x v="1389"/>
    <s v="20 Sun"/>
    <x v="6"/>
    <x v="0"/>
    <s v="CUST-1337"/>
    <s v="Rahul Patel"/>
    <x v="2"/>
    <x v="2"/>
    <x v="3"/>
    <n v="3"/>
    <n v="249"/>
    <n v="747"/>
    <x v="1"/>
    <n v="112.05"/>
    <n v="634.95000000000005"/>
    <x v="4"/>
    <x v="0"/>
  </r>
  <r>
    <x v="1390"/>
    <s v="20 Sun"/>
    <x v="6"/>
    <x v="0"/>
    <s v="CUST-1020"/>
    <s v="Rohan Malhotra"/>
    <x v="2"/>
    <x v="2"/>
    <x v="15"/>
    <n v="2"/>
    <n v="299"/>
    <n v="598"/>
    <x v="2"/>
    <n v="29.9"/>
    <n v="568.1"/>
    <x v="1"/>
    <x v="0"/>
  </r>
  <r>
    <x v="1391"/>
    <s v="20 Sun"/>
    <x v="6"/>
    <x v="0"/>
    <s v="CUST-1141"/>
    <s v="Tanya Kapoor"/>
    <x v="3"/>
    <x v="6"/>
    <x v="12"/>
    <n v="2"/>
    <n v="1499"/>
    <n v="2998"/>
    <x v="0"/>
    <n v="0"/>
    <n v="2998"/>
    <x v="0"/>
    <x v="0"/>
  </r>
  <r>
    <x v="1392"/>
    <s v="20 Sun"/>
    <x v="6"/>
    <x v="0"/>
    <s v="CUST-1173"/>
    <s v="Ankit Gupta"/>
    <x v="0"/>
    <x v="4"/>
    <x v="11"/>
    <n v="1"/>
    <n v="499"/>
    <n v="499"/>
    <x v="2"/>
    <n v="24.95"/>
    <n v="474.05"/>
    <x v="2"/>
    <x v="0"/>
  </r>
  <r>
    <x v="1393"/>
    <s v="20 Sun"/>
    <x v="6"/>
    <x v="0"/>
    <s v="CUST-1333"/>
    <s v="Aarav Gupta"/>
    <x v="3"/>
    <x v="3"/>
    <x v="5"/>
    <n v="1"/>
    <n v="1299"/>
    <n v="1299"/>
    <x v="0"/>
    <n v="0"/>
    <n v="1299"/>
    <x v="4"/>
    <x v="0"/>
  </r>
  <r>
    <x v="1394"/>
    <s v="20 Sun"/>
    <x v="6"/>
    <x v="0"/>
    <s v="CUST-1049"/>
    <s v="Kunal Gupta"/>
    <x v="1"/>
    <x v="5"/>
    <x v="9"/>
    <n v="3"/>
    <n v="549"/>
    <n v="1647"/>
    <x v="1"/>
    <n v="247.05"/>
    <n v="1399.95"/>
    <x v="3"/>
    <x v="0"/>
  </r>
  <r>
    <x v="1395"/>
    <s v="20 Sun"/>
    <x v="6"/>
    <x v="0"/>
    <s v="CUST-1399"/>
    <s v="Vivaan Verma"/>
    <x v="0"/>
    <x v="1"/>
    <x v="14"/>
    <n v="1"/>
    <n v="1799"/>
    <n v="1799"/>
    <x v="0"/>
    <n v="0"/>
    <n v="1799"/>
    <x v="1"/>
    <x v="0"/>
  </r>
  <r>
    <x v="1396"/>
    <s v="20 Sun"/>
    <x v="6"/>
    <x v="0"/>
    <s v="CUST-1352"/>
    <s v="Nandini Mehta"/>
    <x v="2"/>
    <x v="2"/>
    <x v="15"/>
    <n v="2"/>
    <n v="299"/>
    <n v="598"/>
    <x v="1"/>
    <n v="89.7"/>
    <n v="508.3"/>
    <x v="0"/>
    <x v="0"/>
  </r>
  <r>
    <x v="1397"/>
    <s v="21 Mon"/>
    <x v="6"/>
    <x v="0"/>
    <s v="CUST-1235"/>
    <s v="Meera Verma"/>
    <x v="0"/>
    <x v="1"/>
    <x v="14"/>
    <n v="1"/>
    <n v="1799"/>
    <n v="1799"/>
    <x v="3"/>
    <n v="359.8"/>
    <n v="1439.2"/>
    <x v="4"/>
    <x v="0"/>
  </r>
  <r>
    <x v="1398"/>
    <s v="21 Mon"/>
    <x v="6"/>
    <x v="0"/>
    <s v="CUST-1216"/>
    <s v="Meera Malhotra"/>
    <x v="4"/>
    <x v="6"/>
    <x v="13"/>
    <n v="1"/>
    <n v="699"/>
    <n v="699"/>
    <x v="0"/>
    <n v="0"/>
    <n v="699"/>
    <x v="2"/>
    <x v="0"/>
  </r>
  <r>
    <x v="1399"/>
    <s v="21 Mon"/>
    <x v="6"/>
    <x v="0"/>
    <s v="CUST-1265"/>
    <s v="Muskan Singh"/>
    <x v="0"/>
    <x v="6"/>
    <x v="13"/>
    <n v="1"/>
    <n v="699"/>
    <n v="699"/>
    <x v="0"/>
    <n v="0"/>
    <n v="699"/>
    <x v="2"/>
    <x v="0"/>
  </r>
  <r>
    <x v="1400"/>
    <s v="21 Mon"/>
    <x v="6"/>
    <x v="0"/>
    <s v="CUST-1121"/>
    <s v="Rahul Kapoor"/>
    <x v="4"/>
    <x v="4"/>
    <x v="11"/>
    <n v="1"/>
    <n v="499"/>
    <n v="499"/>
    <x v="1"/>
    <n v="74.849999999999994"/>
    <n v="424.15"/>
    <x v="2"/>
    <x v="0"/>
  </r>
  <r>
    <x v="1401"/>
    <s v="21 Mon"/>
    <x v="6"/>
    <x v="0"/>
    <s v="CUST-1067"/>
    <s v="Nandini Gupta"/>
    <x v="2"/>
    <x v="0"/>
    <x v="0"/>
    <n v="1"/>
    <n v="99"/>
    <n v="99"/>
    <x v="0"/>
    <n v="0"/>
    <n v="99"/>
    <x v="1"/>
    <x v="0"/>
  </r>
  <r>
    <x v="1402"/>
    <s v="21 Mon"/>
    <x v="6"/>
    <x v="0"/>
    <s v="CUST-1120"/>
    <s v="Divya Kapoor"/>
    <x v="3"/>
    <x v="5"/>
    <x v="9"/>
    <n v="3"/>
    <n v="549"/>
    <n v="1647"/>
    <x v="0"/>
    <n v="0"/>
    <n v="1647"/>
    <x v="1"/>
    <x v="0"/>
  </r>
  <r>
    <x v="1403"/>
    <s v="21 Mon"/>
    <x v="6"/>
    <x v="0"/>
    <s v="CUST-1189"/>
    <s v="Vivaan Mehta"/>
    <x v="0"/>
    <x v="6"/>
    <x v="13"/>
    <n v="3"/>
    <n v="699"/>
    <n v="2097"/>
    <x v="0"/>
    <n v="0"/>
    <n v="2097"/>
    <x v="1"/>
    <x v="1"/>
  </r>
  <r>
    <x v="1404"/>
    <s v="22 Tue"/>
    <x v="6"/>
    <x v="0"/>
    <s v="CUST-1310"/>
    <s v="Meera Patel"/>
    <x v="1"/>
    <x v="2"/>
    <x v="3"/>
    <n v="2"/>
    <n v="249"/>
    <n v="498"/>
    <x v="0"/>
    <n v="0"/>
    <n v="498"/>
    <x v="1"/>
    <x v="0"/>
  </r>
  <r>
    <x v="1405"/>
    <s v="22 Tue"/>
    <x v="6"/>
    <x v="0"/>
    <s v="CUST-1249"/>
    <s v="Kabir Sharma"/>
    <x v="4"/>
    <x v="5"/>
    <x v="9"/>
    <n v="3"/>
    <n v="549"/>
    <n v="1647"/>
    <x v="0"/>
    <n v="0"/>
    <n v="1647"/>
    <x v="3"/>
    <x v="1"/>
  </r>
  <r>
    <x v="1406"/>
    <s v="23 Wed"/>
    <x v="6"/>
    <x v="0"/>
    <s v="CUST-1297"/>
    <s v="Sakshi Kapoor"/>
    <x v="0"/>
    <x v="0"/>
    <x v="1"/>
    <n v="2"/>
    <n v="199"/>
    <n v="398"/>
    <x v="0"/>
    <n v="0"/>
    <n v="398"/>
    <x v="0"/>
    <x v="0"/>
  </r>
  <r>
    <x v="1407"/>
    <s v="23 Wed"/>
    <x v="6"/>
    <x v="0"/>
    <s v="CUST-1044"/>
    <s v="Swati Saxena"/>
    <x v="0"/>
    <x v="3"/>
    <x v="5"/>
    <n v="1"/>
    <n v="1299"/>
    <n v="1299"/>
    <x v="3"/>
    <n v="259.8"/>
    <n v="1039.2"/>
    <x v="4"/>
    <x v="0"/>
  </r>
  <r>
    <x v="1408"/>
    <s v="23 Wed"/>
    <x v="6"/>
    <x v="0"/>
    <s v="CUST-1172"/>
    <s v="Nandini Saxena"/>
    <x v="4"/>
    <x v="3"/>
    <x v="5"/>
    <n v="3"/>
    <n v="1299"/>
    <n v="3897"/>
    <x v="0"/>
    <n v="0"/>
    <n v="3897"/>
    <x v="3"/>
    <x v="1"/>
  </r>
  <r>
    <x v="1409"/>
    <s v="23 Wed"/>
    <x v="6"/>
    <x v="0"/>
    <s v="CUST-1321"/>
    <s v="Isha Mehta"/>
    <x v="3"/>
    <x v="2"/>
    <x v="15"/>
    <n v="3"/>
    <n v="299"/>
    <n v="897"/>
    <x v="0"/>
    <n v="0"/>
    <n v="897"/>
    <x v="1"/>
    <x v="0"/>
  </r>
  <r>
    <x v="1410"/>
    <s v="23 Wed"/>
    <x v="6"/>
    <x v="0"/>
    <s v="CUST-1036"/>
    <s v="Nandini Mehta"/>
    <x v="0"/>
    <x v="0"/>
    <x v="1"/>
    <n v="1"/>
    <n v="199"/>
    <n v="199"/>
    <x v="4"/>
    <n v="19.899999999999999"/>
    <n v="179.1"/>
    <x v="0"/>
    <x v="1"/>
  </r>
  <r>
    <x v="1411"/>
    <s v="24 Thu"/>
    <x v="6"/>
    <x v="0"/>
    <s v="CUST-1206"/>
    <s v="Aditya Gupta"/>
    <x v="2"/>
    <x v="6"/>
    <x v="12"/>
    <n v="5"/>
    <n v="1499"/>
    <n v="7495"/>
    <x v="4"/>
    <n v="749.5"/>
    <n v="6745.5"/>
    <x v="3"/>
    <x v="0"/>
  </r>
  <r>
    <x v="1412"/>
    <s v="24 Thu"/>
    <x v="6"/>
    <x v="0"/>
    <s v="CUST-1211"/>
    <s v="Rohan Sharma"/>
    <x v="3"/>
    <x v="4"/>
    <x v="10"/>
    <n v="1"/>
    <n v="899"/>
    <n v="899"/>
    <x v="2"/>
    <n v="44.95"/>
    <n v="854.05"/>
    <x v="2"/>
    <x v="0"/>
  </r>
  <r>
    <x v="1413"/>
    <s v="24 Thu"/>
    <x v="6"/>
    <x v="0"/>
    <s v="CUST-1367"/>
    <s v="Aman Saxena"/>
    <x v="1"/>
    <x v="0"/>
    <x v="0"/>
    <n v="1"/>
    <n v="99"/>
    <n v="99"/>
    <x v="1"/>
    <n v="14.85"/>
    <n v="84.15"/>
    <x v="2"/>
    <x v="1"/>
  </r>
  <r>
    <x v="1414"/>
    <s v="24 Thu"/>
    <x v="6"/>
    <x v="0"/>
    <s v="CUST-1242"/>
    <s v="Sakshi Malhotra"/>
    <x v="4"/>
    <x v="6"/>
    <x v="12"/>
    <n v="5"/>
    <n v="1499"/>
    <n v="7495"/>
    <x v="0"/>
    <n v="0"/>
    <n v="7495"/>
    <x v="2"/>
    <x v="0"/>
  </r>
  <r>
    <x v="1415"/>
    <s v="25 Fri"/>
    <x v="6"/>
    <x v="0"/>
    <s v="CUST-1108"/>
    <s v="Kunal Patel"/>
    <x v="2"/>
    <x v="5"/>
    <x v="9"/>
    <n v="2"/>
    <n v="549"/>
    <n v="1098"/>
    <x v="2"/>
    <n v="54.9"/>
    <n v="1043.0999999999999"/>
    <x v="0"/>
    <x v="0"/>
  </r>
  <r>
    <x v="1416"/>
    <s v="25 Fri"/>
    <x v="6"/>
    <x v="0"/>
    <s v="CUST-1126"/>
    <s v="Divya Sharma"/>
    <x v="0"/>
    <x v="5"/>
    <x v="9"/>
    <n v="3"/>
    <n v="549"/>
    <n v="1647"/>
    <x v="0"/>
    <n v="0"/>
    <n v="1647"/>
    <x v="3"/>
    <x v="0"/>
  </r>
  <r>
    <x v="1417"/>
    <s v="25 Fri"/>
    <x v="6"/>
    <x v="0"/>
    <s v="CUST-1145"/>
    <s v="Kunal Joshi"/>
    <x v="1"/>
    <x v="1"/>
    <x v="2"/>
    <n v="1"/>
    <n v="599"/>
    <n v="599"/>
    <x v="2"/>
    <n v="29.95"/>
    <n v="569.04999999999995"/>
    <x v="1"/>
    <x v="0"/>
  </r>
  <r>
    <x v="1418"/>
    <s v="25 Fri"/>
    <x v="6"/>
    <x v="0"/>
    <s v="CUST-1097"/>
    <s v="Rohan Verma"/>
    <x v="1"/>
    <x v="5"/>
    <x v="8"/>
    <n v="3"/>
    <n v="349"/>
    <n v="1047"/>
    <x v="3"/>
    <n v="209.4"/>
    <n v="837.6"/>
    <x v="1"/>
    <x v="0"/>
  </r>
  <r>
    <x v="1419"/>
    <s v="26 Sat"/>
    <x v="6"/>
    <x v="0"/>
    <s v="CUST-1236"/>
    <s v="Divya Mehta"/>
    <x v="0"/>
    <x v="1"/>
    <x v="14"/>
    <n v="4"/>
    <n v="1799"/>
    <n v="7196"/>
    <x v="1"/>
    <n v="1079.4000000000001"/>
    <n v="6116.6"/>
    <x v="2"/>
    <x v="1"/>
  </r>
  <r>
    <x v="1420"/>
    <s v="26 Sat"/>
    <x v="6"/>
    <x v="0"/>
    <s v="CUST-1110"/>
    <s v="Aman Malhotra"/>
    <x v="0"/>
    <x v="4"/>
    <x v="11"/>
    <n v="4"/>
    <n v="499"/>
    <n v="1996"/>
    <x v="3"/>
    <n v="399.2"/>
    <n v="1596.8"/>
    <x v="1"/>
    <x v="1"/>
  </r>
  <r>
    <x v="1421"/>
    <s v="26 Sat"/>
    <x v="6"/>
    <x v="0"/>
    <s v="CUST-1360"/>
    <s v="Muskan Singh"/>
    <x v="4"/>
    <x v="0"/>
    <x v="1"/>
    <n v="1"/>
    <n v="199"/>
    <n v="199"/>
    <x v="0"/>
    <n v="0"/>
    <n v="199"/>
    <x v="0"/>
    <x v="0"/>
  </r>
  <r>
    <x v="1422"/>
    <s v="26 Sat"/>
    <x v="6"/>
    <x v="0"/>
    <s v="CUST-1264"/>
    <s v="Vivaan Malhotra"/>
    <x v="0"/>
    <x v="4"/>
    <x v="10"/>
    <n v="1"/>
    <n v="899"/>
    <n v="899"/>
    <x v="0"/>
    <n v="0"/>
    <n v="899"/>
    <x v="2"/>
    <x v="1"/>
  </r>
  <r>
    <x v="1423"/>
    <s v="26 Sat"/>
    <x v="6"/>
    <x v="0"/>
    <s v="CUST-1167"/>
    <s v="Nandini Verma"/>
    <x v="2"/>
    <x v="1"/>
    <x v="14"/>
    <n v="1"/>
    <n v="1799"/>
    <n v="1799"/>
    <x v="0"/>
    <n v="0"/>
    <n v="1799"/>
    <x v="3"/>
    <x v="0"/>
  </r>
  <r>
    <x v="1424"/>
    <s v="26 Sat"/>
    <x v="6"/>
    <x v="0"/>
    <s v="CUST-1374"/>
    <s v="Isha Sharma"/>
    <x v="4"/>
    <x v="3"/>
    <x v="6"/>
    <n v="2"/>
    <n v="799"/>
    <n v="1598"/>
    <x v="0"/>
    <n v="0"/>
    <n v="1598"/>
    <x v="0"/>
    <x v="1"/>
  </r>
  <r>
    <x v="1425"/>
    <s v="26 Sat"/>
    <x v="6"/>
    <x v="0"/>
    <s v="CUST-1353"/>
    <s v="Vivaan Gupta"/>
    <x v="2"/>
    <x v="2"/>
    <x v="3"/>
    <n v="1"/>
    <n v="249"/>
    <n v="249"/>
    <x v="3"/>
    <n v="49.8"/>
    <n v="199.2"/>
    <x v="1"/>
    <x v="1"/>
  </r>
  <r>
    <x v="1426"/>
    <s v="26 Sat"/>
    <x v="6"/>
    <x v="0"/>
    <s v="CUST-1287"/>
    <s v="Divya Kapoor"/>
    <x v="3"/>
    <x v="3"/>
    <x v="5"/>
    <n v="3"/>
    <n v="1299"/>
    <n v="3897"/>
    <x v="4"/>
    <n v="389.7"/>
    <n v="3507.3"/>
    <x v="2"/>
    <x v="1"/>
  </r>
  <r>
    <x v="1427"/>
    <s v="27 Sun"/>
    <x v="6"/>
    <x v="0"/>
    <s v="CUST-1088"/>
    <s v="Arjun Patel"/>
    <x v="1"/>
    <x v="4"/>
    <x v="7"/>
    <n v="1"/>
    <n v="1999"/>
    <n v="1999"/>
    <x v="0"/>
    <n v="0"/>
    <n v="1999"/>
    <x v="0"/>
    <x v="1"/>
  </r>
  <r>
    <x v="1428"/>
    <s v="27 Sun"/>
    <x v="6"/>
    <x v="0"/>
    <s v="CUST-1296"/>
    <s v="Vivaan Kapoor"/>
    <x v="4"/>
    <x v="0"/>
    <x v="1"/>
    <n v="2"/>
    <n v="199"/>
    <n v="398"/>
    <x v="1"/>
    <n v="59.7"/>
    <n v="338.3"/>
    <x v="1"/>
    <x v="0"/>
  </r>
  <r>
    <x v="1429"/>
    <s v="27 Sun"/>
    <x v="6"/>
    <x v="0"/>
    <s v="CUST-1312"/>
    <s v="Sakshi Saxena"/>
    <x v="4"/>
    <x v="4"/>
    <x v="10"/>
    <n v="1"/>
    <n v="899"/>
    <n v="899"/>
    <x v="1"/>
    <n v="134.85"/>
    <n v="764.15"/>
    <x v="1"/>
    <x v="1"/>
  </r>
  <r>
    <x v="1430"/>
    <s v="27 Sun"/>
    <x v="6"/>
    <x v="0"/>
    <s v="CUST-1388"/>
    <s v="Aarav Saxena"/>
    <x v="4"/>
    <x v="1"/>
    <x v="2"/>
    <n v="3"/>
    <n v="599"/>
    <n v="1797"/>
    <x v="1"/>
    <n v="269.55"/>
    <n v="1527.45"/>
    <x v="0"/>
    <x v="0"/>
  </r>
  <r>
    <x v="1431"/>
    <s v="27 Sun"/>
    <x v="6"/>
    <x v="0"/>
    <s v="CUST-1244"/>
    <s v="Meera Gupta"/>
    <x v="3"/>
    <x v="2"/>
    <x v="3"/>
    <n v="1"/>
    <n v="249"/>
    <n v="249"/>
    <x v="1"/>
    <n v="37.35"/>
    <n v="211.65"/>
    <x v="0"/>
    <x v="0"/>
  </r>
  <r>
    <x v="1432"/>
    <s v="27 Sun"/>
    <x v="6"/>
    <x v="0"/>
    <s v="CUST-1250"/>
    <s v="Shreya Saxena"/>
    <x v="1"/>
    <x v="3"/>
    <x v="5"/>
    <n v="1"/>
    <n v="1299"/>
    <n v="1299"/>
    <x v="0"/>
    <n v="0"/>
    <n v="1299"/>
    <x v="3"/>
    <x v="0"/>
  </r>
  <r>
    <x v="1433"/>
    <s v="27 Sun"/>
    <x v="6"/>
    <x v="0"/>
    <s v="CUST-1049"/>
    <s v="Kunal Gupta"/>
    <x v="1"/>
    <x v="4"/>
    <x v="11"/>
    <n v="5"/>
    <n v="499"/>
    <n v="2495"/>
    <x v="1"/>
    <n v="374.25"/>
    <n v="2120.75"/>
    <x v="0"/>
    <x v="1"/>
  </r>
  <r>
    <x v="1434"/>
    <s v="27 Sun"/>
    <x v="6"/>
    <x v="0"/>
    <s v="CUST-1199"/>
    <s v="Sakshi Saxena"/>
    <x v="4"/>
    <x v="2"/>
    <x v="3"/>
    <n v="3"/>
    <n v="249"/>
    <n v="747"/>
    <x v="0"/>
    <n v="0"/>
    <n v="747"/>
    <x v="2"/>
    <x v="0"/>
  </r>
  <r>
    <x v="1435"/>
    <s v="27 Sun"/>
    <x v="6"/>
    <x v="0"/>
    <s v="CUST-1016"/>
    <s v="Arjun Kapoor"/>
    <x v="3"/>
    <x v="0"/>
    <x v="0"/>
    <n v="3"/>
    <n v="99"/>
    <n v="297"/>
    <x v="0"/>
    <n v="0"/>
    <n v="297"/>
    <x v="3"/>
    <x v="1"/>
  </r>
  <r>
    <x v="1436"/>
    <s v="27 Sun"/>
    <x v="6"/>
    <x v="0"/>
    <s v="CUST-1215"/>
    <s v="Arjun Singh"/>
    <x v="2"/>
    <x v="2"/>
    <x v="3"/>
    <n v="3"/>
    <n v="249"/>
    <n v="747"/>
    <x v="3"/>
    <n v="149.4"/>
    <n v="597.6"/>
    <x v="2"/>
    <x v="1"/>
  </r>
  <r>
    <x v="1437"/>
    <s v="27 Sun"/>
    <x v="6"/>
    <x v="0"/>
    <s v="CUST-1223"/>
    <s v="Meera Saxena"/>
    <x v="4"/>
    <x v="4"/>
    <x v="11"/>
    <n v="2"/>
    <n v="499"/>
    <n v="998"/>
    <x v="0"/>
    <n v="0"/>
    <n v="998"/>
    <x v="4"/>
    <x v="0"/>
  </r>
  <r>
    <x v="1438"/>
    <s v="27 Sun"/>
    <x v="6"/>
    <x v="0"/>
    <s v="CUST-1268"/>
    <s v="Aman Verma"/>
    <x v="1"/>
    <x v="0"/>
    <x v="0"/>
    <n v="2"/>
    <n v="99"/>
    <n v="198"/>
    <x v="0"/>
    <n v="0"/>
    <n v="198"/>
    <x v="1"/>
    <x v="0"/>
  </r>
  <r>
    <x v="1439"/>
    <s v="28 Mon"/>
    <x v="6"/>
    <x v="0"/>
    <s v="CUST-1283"/>
    <s v="Aditya Mehta"/>
    <x v="3"/>
    <x v="1"/>
    <x v="14"/>
    <n v="1"/>
    <n v="1799"/>
    <n v="1799"/>
    <x v="0"/>
    <n v="0"/>
    <n v="1799"/>
    <x v="0"/>
    <x v="0"/>
  </r>
  <r>
    <x v="1440"/>
    <s v="28 Mon"/>
    <x v="6"/>
    <x v="0"/>
    <s v="CUST-1214"/>
    <s v="Rohan Sharma"/>
    <x v="2"/>
    <x v="4"/>
    <x v="10"/>
    <n v="3"/>
    <n v="899"/>
    <n v="2697"/>
    <x v="4"/>
    <n v="269.7"/>
    <n v="2427.3000000000002"/>
    <x v="2"/>
    <x v="1"/>
  </r>
  <r>
    <x v="1441"/>
    <s v="29 Tue"/>
    <x v="6"/>
    <x v="0"/>
    <s v="CUST-1054"/>
    <s v="Kunal Patel"/>
    <x v="3"/>
    <x v="1"/>
    <x v="4"/>
    <n v="1"/>
    <n v="2999"/>
    <n v="2999"/>
    <x v="2"/>
    <n v="149.94999999999999"/>
    <n v="2849.05"/>
    <x v="3"/>
    <x v="1"/>
  </r>
  <r>
    <x v="1442"/>
    <s v="29 Tue"/>
    <x v="6"/>
    <x v="0"/>
    <s v="CUST-1368"/>
    <s v="Isha Patel"/>
    <x v="1"/>
    <x v="1"/>
    <x v="4"/>
    <n v="1"/>
    <n v="2999"/>
    <n v="2999"/>
    <x v="1"/>
    <n v="449.85"/>
    <n v="2549.15"/>
    <x v="0"/>
    <x v="0"/>
  </r>
  <r>
    <x v="1443"/>
    <s v="29 Tue"/>
    <x v="6"/>
    <x v="0"/>
    <s v="CUST-1015"/>
    <s v="Swati Joshi"/>
    <x v="0"/>
    <x v="6"/>
    <x v="13"/>
    <n v="2"/>
    <n v="699"/>
    <n v="1398"/>
    <x v="1"/>
    <n v="209.7"/>
    <n v="1188.3"/>
    <x v="1"/>
    <x v="1"/>
  </r>
  <r>
    <x v="1444"/>
    <s v="29 Tue"/>
    <x v="6"/>
    <x v="0"/>
    <s v="CUST-1330"/>
    <s v="Nandini Gupta"/>
    <x v="3"/>
    <x v="2"/>
    <x v="3"/>
    <n v="1"/>
    <n v="249"/>
    <n v="249"/>
    <x v="0"/>
    <n v="0"/>
    <n v="249"/>
    <x v="2"/>
    <x v="1"/>
  </r>
  <r>
    <x v="1445"/>
    <s v="29 Tue"/>
    <x v="6"/>
    <x v="0"/>
    <s v="CUST-1019"/>
    <s v="Aarav Joshi"/>
    <x v="1"/>
    <x v="3"/>
    <x v="5"/>
    <n v="1"/>
    <n v="1299"/>
    <n v="1299"/>
    <x v="1"/>
    <n v="194.85"/>
    <n v="1104.1500000000001"/>
    <x v="2"/>
    <x v="0"/>
  </r>
  <r>
    <x v="1446"/>
    <s v="29 Tue"/>
    <x v="6"/>
    <x v="0"/>
    <s v="CUST-1083"/>
    <s v="Komal Kapoor"/>
    <x v="1"/>
    <x v="1"/>
    <x v="14"/>
    <n v="2"/>
    <n v="1799"/>
    <n v="3598"/>
    <x v="0"/>
    <n v="0"/>
    <n v="3598"/>
    <x v="0"/>
    <x v="1"/>
  </r>
  <r>
    <x v="1447"/>
    <s v="29 Tue"/>
    <x v="6"/>
    <x v="0"/>
    <s v="CUST-1125"/>
    <s v="Muskan Malhotra"/>
    <x v="0"/>
    <x v="5"/>
    <x v="8"/>
    <n v="1"/>
    <n v="349"/>
    <n v="349"/>
    <x v="2"/>
    <n v="17.45"/>
    <n v="331.55"/>
    <x v="0"/>
    <x v="1"/>
  </r>
  <r>
    <x v="1448"/>
    <s v="29 Tue"/>
    <x v="6"/>
    <x v="0"/>
    <s v="CUST-1223"/>
    <s v="Meera Saxena"/>
    <x v="3"/>
    <x v="3"/>
    <x v="6"/>
    <n v="3"/>
    <n v="799"/>
    <n v="2397"/>
    <x v="4"/>
    <n v="239.7"/>
    <n v="2157.3000000000002"/>
    <x v="3"/>
    <x v="1"/>
  </r>
  <r>
    <x v="1449"/>
    <s v="29 Tue"/>
    <x v="6"/>
    <x v="0"/>
    <s v="CUST-1247"/>
    <s v="Meera Malhotra"/>
    <x v="2"/>
    <x v="0"/>
    <x v="0"/>
    <n v="2"/>
    <n v="99"/>
    <n v="198"/>
    <x v="0"/>
    <n v="0"/>
    <n v="198"/>
    <x v="1"/>
    <x v="0"/>
  </r>
  <r>
    <x v="1450"/>
    <s v="29 Tue"/>
    <x v="6"/>
    <x v="0"/>
    <s v="CUST-1359"/>
    <s v="Arjun Mehta"/>
    <x v="1"/>
    <x v="5"/>
    <x v="8"/>
    <n v="1"/>
    <n v="349"/>
    <n v="349"/>
    <x v="0"/>
    <n v="0"/>
    <n v="349"/>
    <x v="0"/>
    <x v="0"/>
  </r>
  <r>
    <x v="1451"/>
    <s v="29 Tue"/>
    <x v="6"/>
    <x v="0"/>
    <s v="CUST-1061"/>
    <s v="Muskan Patel"/>
    <x v="2"/>
    <x v="4"/>
    <x v="11"/>
    <n v="1"/>
    <n v="499"/>
    <n v="499"/>
    <x v="0"/>
    <n v="0"/>
    <n v="499"/>
    <x v="2"/>
    <x v="0"/>
  </r>
  <r>
    <x v="1452"/>
    <s v="30 Wed"/>
    <x v="6"/>
    <x v="0"/>
    <s v="CUST-1066"/>
    <s v="Kunal Verma"/>
    <x v="1"/>
    <x v="3"/>
    <x v="6"/>
    <n v="1"/>
    <n v="799"/>
    <n v="799"/>
    <x v="4"/>
    <n v="79.900000000000006"/>
    <n v="719.1"/>
    <x v="3"/>
    <x v="0"/>
  </r>
  <r>
    <x v="1453"/>
    <s v="30 Wed"/>
    <x v="6"/>
    <x v="0"/>
    <s v="CUST-1210"/>
    <s v="Meera Sharma"/>
    <x v="3"/>
    <x v="4"/>
    <x v="7"/>
    <n v="1"/>
    <n v="1999"/>
    <n v="1999"/>
    <x v="0"/>
    <n v="0"/>
    <n v="1999"/>
    <x v="1"/>
    <x v="0"/>
  </r>
  <r>
    <x v="1454"/>
    <s v="31 Thu"/>
    <x v="6"/>
    <x v="0"/>
    <s v="CUST-1043"/>
    <s v="Divya Kapoor"/>
    <x v="4"/>
    <x v="3"/>
    <x v="6"/>
    <n v="3"/>
    <n v="799"/>
    <n v="2397"/>
    <x v="2"/>
    <n v="119.85"/>
    <n v="2277.15"/>
    <x v="0"/>
    <x v="1"/>
  </r>
  <r>
    <x v="1455"/>
    <s v="31 Thu"/>
    <x v="6"/>
    <x v="0"/>
    <s v="CUST-1275"/>
    <s v="Tanya Singh"/>
    <x v="2"/>
    <x v="0"/>
    <x v="1"/>
    <n v="1"/>
    <n v="199"/>
    <n v="199"/>
    <x v="3"/>
    <n v="39.799999999999997"/>
    <n v="159.19999999999999"/>
    <x v="0"/>
    <x v="0"/>
  </r>
  <r>
    <x v="1456"/>
    <s v="31 Thu"/>
    <x v="6"/>
    <x v="0"/>
    <s v="CUST-1041"/>
    <s v="Divya Malhotra"/>
    <x v="3"/>
    <x v="5"/>
    <x v="8"/>
    <n v="1"/>
    <n v="349"/>
    <n v="349"/>
    <x v="0"/>
    <n v="0"/>
    <n v="349"/>
    <x v="1"/>
    <x v="1"/>
  </r>
  <r>
    <x v="1457"/>
    <s v="31 Thu"/>
    <x v="6"/>
    <x v="0"/>
    <s v="CUST-1247"/>
    <s v="Meera Malhotra"/>
    <x v="2"/>
    <x v="3"/>
    <x v="5"/>
    <n v="2"/>
    <n v="1299"/>
    <n v="2598"/>
    <x v="2"/>
    <n v="129.9"/>
    <n v="2468.1"/>
    <x v="4"/>
    <x v="1"/>
  </r>
  <r>
    <x v="1458"/>
    <s v="31 Thu"/>
    <x v="6"/>
    <x v="0"/>
    <s v="CUST-1390"/>
    <s v="Rahul Saxena"/>
    <x v="2"/>
    <x v="0"/>
    <x v="1"/>
    <n v="2"/>
    <n v="199"/>
    <n v="398"/>
    <x v="4"/>
    <n v="39.799999999999997"/>
    <n v="358.2"/>
    <x v="1"/>
    <x v="0"/>
  </r>
  <r>
    <x v="1459"/>
    <s v="31 Thu"/>
    <x v="6"/>
    <x v="0"/>
    <s v="CUST-1290"/>
    <s v="Kabir Mehta"/>
    <x v="3"/>
    <x v="5"/>
    <x v="9"/>
    <n v="1"/>
    <n v="549"/>
    <n v="549"/>
    <x v="0"/>
    <n v="0"/>
    <n v="549"/>
    <x v="2"/>
    <x v="1"/>
  </r>
  <r>
    <x v="1460"/>
    <s v="31 Thu"/>
    <x v="6"/>
    <x v="0"/>
    <s v="CUST-1167"/>
    <s v="Nandini Verma"/>
    <x v="1"/>
    <x v="3"/>
    <x v="6"/>
    <n v="1"/>
    <n v="799"/>
    <n v="799"/>
    <x v="3"/>
    <n v="159.80000000000001"/>
    <n v="639.20000000000005"/>
    <x v="2"/>
    <x v="0"/>
  </r>
  <r>
    <x v="1461"/>
    <s v="31 Thu"/>
    <x v="6"/>
    <x v="0"/>
    <s v="CUST-1331"/>
    <s v="Arjun Singh"/>
    <x v="4"/>
    <x v="6"/>
    <x v="13"/>
    <n v="1"/>
    <n v="699"/>
    <n v="699"/>
    <x v="4"/>
    <n v="69.900000000000006"/>
    <n v="629.1"/>
    <x v="2"/>
    <x v="0"/>
  </r>
  <r>
    <x v="1462"/>
    <s v="1 Fri"/>
    <x v="7"/>
    <x v="0"/>
    <s v="CUST-1341"/>
    <s v="Meera Patel"/>
    <x v="1"/>
    <x v="3"/>
    <x v="5"/>
    <n v="1"/>
    <n v="1299"/>
    <n v="1299"/>
    <x v="0"/>
    <n v="0"/>
    <n v="1299"/>
    <x v="3"/>
    <x v="1"/>
  </r>
  <r>
    <x v="1463"/>
    <s v="1 Fri"/>
    <x v="7"/>
    <x v="0"/>
    <s v="CUST-1056"/>
    <s v="Aarav Kapoor"/>
    <x v="4"/>
    <x v="3"/>
    <x v="6"/>
    <n v="2"/>
    <n v="799"/>
    <n v="1598"/>
    <x v="0"/>
    <n v="0"/>
    <n v="1598"/>
    <x v="2"/>
    <x v="1"/>
  </r>
  <r>
    <x v="1464"/>
    <s v="1 Fri"/>
    <x v="7"/>
    <x v="0"/>
    <s v="CUST-1252"/>
    <s v="Arjun Singh"/>
    <x v="1"/>
    <x v="1"/>
    <x v="14"/>
    <n v="5"/>
    <n v="1799"/>
    <n v="8995"/>
    <x v="0"/>
    <n v="0"/>
    <n v="8995"/>
    <x v="1"/>
    <x v="1"/>
  </r>
  <r>
    <x v="1465"/>
    <s v="1 Fri"/>
    <x v="7"/>
    <x v="0"/>
    <s v="CUST-1297"/>
    <s v="Sakshi Kapoor"/>
    <x v="3"/>
    <x v="5"/>
    <x v="9"/>
    <n v="1"/>
    <n v="549"/>
    <n v="549"/>
    <x v="1"/>
    <n v="82.35"/>
    <n v="466.65"/>
    <x v="2"/>
    <x v="0"/>
  </r>
  <r>
    <x v="1466"/>
    <s v="1 Fri"/>
    <x v="7"/>
    <x v="0"/>
    <s v="CUST-1345"/>
    <s v="Tanya Verma"/>
    <x v="2"/>
    <x v="0"/>
    <x v="1"/>
    <n v="1"/>
    <n v="199"/>
    <n v="199"/>
    <x v="1"/>
    <n v="29.85"/>
    <n v="169.15"/>
    <x v="2"/>
    <x v="0"/>
  </r>
  <r>
    <x v="1467"/>
    <s v="1 Fri"/>
    <x v="7"/>
    <x v="0"/>
    <s v="CUST-1235"/>
    <s v="Meera Verma"/>
    <x v="1"/>
    <x v="6"/>
    <x v="13"/>
    <n v="2"/>
    <n v="699"/>
    <n v="1398"/>
    <x v="0"/>
    <n v="0"/>
    <n v="1398"/>
    <x v="2"/>
    <x v="1"/>
  </r>
  <r>
    <x v="1468"/>
    <s v="1 Fri"/>
    <x v="7"/>
    <x v="0"/>
    <s v="CUST-1197"/>
    <s v="Rahul Verma"/>
    <x v="2"/>
    <x v="0"/>
    <x v="0"/>
    <n v="2"/>
    <n v="99"/>
    <n v="198"/>
    <x v="1"/>
    <n v="29.7"/>
    <n v="168.3"/>
    <x v="0"/>
    <x v="1"/>
  </r>
  <r>
    <x v="1469"/>
    <s v="2 Sat"/>
    <x v="7"/>
    <x v="0"/>
    <s v="CUST-1199"/>
    <s v="Sakshi Saxena"/>
    <x v="4"/>
    <x v="2"/>
    <x v="3"/>
    <n v="2"/>
    <n v="249"/>
    <n v="498"/>
    <x v="0"/>
    <n v="0"/>
    <n v="498"/>
    <x v="2"/>
    <x v="1"/>
  </r>
  <r>
    <x v="1470"/>
    <s v="2 Sat"/>
    <x v="7"/>
    <x v="0"/>
    <s v="CUST-1052"/>
    <s v="Meera Verma"/>
    <x v="1"/>
    <x v="6"/>
    <x v="13"/>
    <n v="1"/>
    <n v="699"/>
    <n v="699"/>
    <x v="4"/>
    <n v="69.900000000000006"/>
    <n v="629.1"/>
    <x v="4"/>
    <x v="0"/>
  </r>
  <r>
    <x v="1471"/>
    <s v="2 Sat"/>
    <x v="7"/>
    <x v="0"/>
    <s v="CUST-1027"/>
    <s v="Aditya Gupta"/>
    <x v="0"/>
    <x v="1"/>
    <x v="14"/>
    <n v="1"/>
    <n v="1799"/>
    <n v="1799"/>
    <x v="4"/>
    <n v="179.9"/>
    <n v="1619.1"/>
    <x v="2"/>
    <x v="1"/>
  </r>
  <r>
    <x v="1472"/>
    <s v="2 Sat"/>
    <x v="7"/>
    <x v="0"/>
    <s v="CUST-1312"/>
    <s v="Sakshi Saxena"/>
    <x v="1"/>
    <x v="0"/>
    <x v="0"/>
    <n v="1"/>
    <n v="99"/>
    <n v="99"/>
    <x v="0"/>
    <n v="0"/>
    <n v="99"/>
    <x v="2"/>
    <x v="0"/>
  </r>
  <r>
    <x v="1473"/>
    <s v="2 Sat"/>
    <x v="7"/>
    <x v="0"/>
    <s v="CUST-1029"/>
    <s v="Swati Patel"/>
    <x v="3"/>
    <x v="3"/>
    <x v="5"/>
    <n v="1"/>
    <n v="1299"/>
    <n v="1299"/>
    <x v="4"/>
    <n v="129.9"/>
    <n v="1169.0999999999999"/>
    <x v="0"/>
    <x v="0"/>
  </r>
  <r>
    <x v="1474"/>
    <s v="2 Sat"/>
    <x v="7"/>
    <x v="0"/>
    <s v="CUST-1080"/>
    <s v="Kabir Sharma"/>
    <x v="2"/>
    <x v="4"/>
    <x v="11"/>
    <n v="1"/>
    <n v="499"/>
    <n v="499"/>
    <x v="0"/>
    <n v="0"/>
    <n v="499"/>
    <x v="3"/>
    <x v="0"/>
  </r>
  <r>
    <x v="1475"/>
    <s v="3 Sun"/>
    <x v="7"/>
    <x v="0"/>
    <s v="CUST-1143"/>
    <s v="Muskan Saxena"/>
    <x v="3"/>
    <x v="4"/>
    <x v="10"/>
    <n v="4"/>
    <n v="899"/>
    <n v="3596"/>
    <x v="3"/>
    <n v="719.2"/>
    <n v="2876.8"/>
    <x v="3"/>
    <x v="0"/>
  </r>
  <r>
    <x v="1476"/>
    <s v="3 Sun"/>
    <x v="7"/>
    <x v="0"/>
    <s v="CUST-1031"/>
    <s v="Kabir Malhotra"/>
    <x v="0"/>
    <x v="4"/>
    <x v="11"/>
    <n v="1"/>
    <n v="499"/>
    <n v="499"/>
    <x v="3"/>
    <n v="99.8"/>
    <n v="399.2"/>
    <x v="1"/>
    <x v="0"/>
  </r>
  <r>
    <x v="1477"/>
    <s v="3 Sun"/>
    <x v="7"/>
    <x v="0"/>
    <s v="CUST-1081"/>
    <s v="Nandini Verma"/>
    <x v="3"/>
    <x v="2"/>
    <x v="15"/>
    <n v="5"/>
    <n v="299"/>
    <n v="1495"/>
    <x v="4"/>
    <n v="149.5"/>
    <n v="1345.5"/>
    <x v="0"/>
    <x v="1"/>
  </r>
  <r>
    <x v="1478"/>
    <s v="3 Sun"/>
    <x v="7"/>
    <x v="0"/>
    <s v="CUST-1329"/>
    <s v="Swati Gupta"/>
    <x v="4"/>
    <x v="1"/>
    <x v="14"/>
    <n v="1"/>
    <n v="1799"/>
    <n v="1799"/>
    <x v="2"/>
    <n v="89.95"/>
    <n v="1709.05"/>
    <x v="2"/>
    <x v="0"/>
  </r>
  <r>
    <x v="1479"/>
    <s v="4 Mon"/>
    <x v="7"/>
    <x v="0"/>
    <s v="CUST-1306"/>
    <s v="Sakshi Malhotra"/>
    <x v="0"/>
    <x v="2"/>
    <x v="3"/>
    <n v="2"/>
    <n v="249"/>
    <n v="498"/>
    <x v="4"/>
    <n v="49.8"/>
    <n v="448.2"/>
    <x v="2"/>
    <x v="0"/>
  </r>
  <r>
    <x v="1480"/>
    <s v="4 Mon"/>
    <x v="7"/>
    <x v="0"/>
    <s v="CUST-1240"/>
    <s v="Sakshi Patel"/>
    <x v="2"/>
    <x v="3"/>
    <x v="6"/>
    <n v="1"/>
    <n v="799"/>
    <n v="799"/>
    <x v="0"/>
    <n v="0"/>
    <n v="799"/>
    <x v="3"/>
    <x v="0"/>
  </r>
  <r>
    <x v="1481"/>
    <s v="4 Mon"/>
    <x v="7"/>
    <x v="0"/>
    <s v="CUST-1053"/>
    <s v="Vivaan Malhotra"/>
    <x v="0"/>
    <x v="6"/>
    <x v="12"/>
    <n v="4"/>
    <n v="1499"/>
    <n v="5996"/>
    <x v="1"/>
    <n v="899.4"/>
    <n v="5096.6000000000004"/>
    <x v="1"/>
    <x v="0"/>
  </r>
  <r>
    <x v="1482"/>
    <s v="4 Mon"/>
    <x v="7"/>
    <x v="0"/>
    <s v="CUST-1123"/>
    <s v="Shreya Gupta"/>
    <x v="3"/>
    <x v="1"/>
    <x v="14"/>
    <n v="5"/>
    <n v="1799"/>
    <n v="8995"/>
    <x v="0"/>
    <n v="0"/>
    <n v="8995"/>
    <x v="2"/>
    <x v="1"/>
  </r>
  <r>
    <x v="1483"/>
    <s v="4 Mon"/>
    <x v="7"/>
    <x v="0"/>
    <s v="CUST-1182"/>
    <s v="Swati Verma"/>
    <x v="4"/>
    <x v="6"/>
    <x v="12"/>
    <n v="2"/>
    <n v="1499"/>
    <n v="2998"/>
    <x v="4"/>
    <n v="299.8"/>
    <n v="2698.2"/>
    <x v="0"/>
    <x v="0"/>
  </r>
  <r>
    <x v="1484"/>
    <s v="4 Mon"/>
    <x v="7"/>
    <x v="0"/>
    <s v="CUST-1228"/>
    <s v="Aarav Mehta"/>
    <x v="0"/>
    <x v="6"/>
    <x v="12"/>
    <n v="1"/>
    <n v="1499"/>
    <n v="1499"/>
    <x v="0"/>
    <n v="0"/>
    <n v="1499"/>
    <x v="0"/>
    <x v="1"/>
  </r>
  <r>
    <x v="1485"/>
    <s v="4 Mon"/>
    <x v="7"/>
    <x v="0"/>
    <s v="CUST-1296"/>
    <s v="Vivaan Kapoor"/>
    <x v="2"/>
    <x v="6"/>
    <x v="13"/>
    <n v="1"/>
    <n v="699"/>
    <n v="699"/>
    <x v="0"/>
    <n v="0"/>
    <n v="699"/>
    <x v="2"/>
    <x v="0"/>
  </r>
  <r>
    <x v="1486"/>
    <s v="4 Mon"/>
    <x v="7"/>
    <x v="0"/>
    <s v="CUST-1104"/>
    <s v="Nandini Saxena"/>
    <x v="1"/>
    <x v="0"/>
    <x v="0"/>
    <n v="1"/>
    <n v="99"/>
    <n v="99"/>
    <x v="3"/>
    <n v="19.8"/>
    <n v="79.2"/>
    <x v="1"/>
    <x v="0"/>
  </r>
  <r>
    <x v="1487"/>
    <s v="5 Tue"/>
    <x v="7"/>
    <x v="0"/>
    <s v="CUST-1219"/>
    <s v="Sakshi Patel"/>
    <x v="2"/>
    <x v="0"/>
    <x v="1"/>
    <n v="3"/>
    <n v="199"/>
    <n v="597"/>
    <x v="3"/>
    <n v="119.4"/>
    <n v="477.6"/>
    <x v="1"/>
    <x v="0"/>
  </r>
  <r>
    <x v="1488"/>
    <s v="5 Tue"/>
    <x v="7"/>
    <x v="0"/>
    <s v="CUST-1078"/>
    <s v="Kabir Malhotra"/>
    <x v="3"/>
    <x v="1"/>
    <x v="4"/>
    <n v="1"/>
    <n v="2999"/>
    <n v="2999"/>
    <x v="1"/>
    <n v="449.85"/>
    <n v="2549.15"/>
    <x v="1"/>
    <x v="0"/>
  </r>
  <r>
    <x v="1489"/>
    <s v="5 Tue"/>
    <x v="7"/>
    <x v="0"/>
    <s v="CUST-1243"/>
    <s v="Aman Joshi"/>
    <x v="4"/>
    <x v="4"/>
    <x v="10"/>
    <n v="2"/>
    <n v="899"/>
    <n v="1798"/>
    <x v="4"/>
    <n v="179.8"/>
    <n v="1618.2"/>
    <x v="0"/>
    <x v="0"/>
  </r>
  <r>
    <x v="1490"/>
    <s v="5 Tue"/>
    <x v="7"/>
    <x v="0"/>
    <s v="CUST-1081"/>
    <s v="Nandini Verma"/>
    <x v="1"/>
    <x v="5"/>
    <x v="8"/>
    <n v="1"/>
    <n v="349"/>
    <n v="349"/>
    <x v="0"/>
    <n v="0"/>
    <n v="349"/>
    <x v="1"/>
    <x v="0"/>
  </r>
  <r>
    <x v="1491"/>
    <s v="5 Tue"/>
    <x v="7"/>
    <x v="0"/>
    <s v="CUST-1151"/>
    <s v="Aman Patel"/>
    <x v="4"/>
    <x v="1"/>
    <x v="2"/>
    <n v="1"/>
    <n v="599"/>
    <n v="599"/>
    <x v="4"/>
    <n v="59.9"/>
    <n v="539.1"/>
    <x v="1"/>
    <x v="0"/>
  </r>
  <r>
    <x v="1492"/>
    <s v="5 Tue"/>
    <x v="7"/>
    <x v="0"/>
    <s v="CUST-1260"/>
    <s v="Ankit Verma"/>
    <x v="1"/>
    <x v="5"/>
    <x v="9"/>
    <n v="4"/>
    <n v="549"/>
    <n v="2196"/>
    <x v="3"/>
    <n v="439.2"/>
    <n v="1756.8"/>
    <x v="0"/>
    <x v="1"/>
  </r>
  <r>
    <x v="1493"/>
    <s v="5 Tue"/>
    <x v="7"/>
    <x v="0"/>
    <s v="CUST-1211"/>
    <s v="Rohan Sharma"/>
    <x v="0"/>
    <x v="3"/>
    <x v="5"/>
    <n v="1"/>
    <n v="1299"/>
    <n v="1299"/>
    <x v="4"/>
    <n v="129.9"/>
    <n v="1169.0999999999999"/>
    <x v="1"/>
    <x v="1"/>
  </r>
  <r>
    <x v="1494"/>
    <s v="5 Tue"/>
    <x v="7"/>
    <x v="0"/>
    <s v="CUST-1106"/>
    <s v="Ankit Saxena"/>
    <x v="2"/>
    <x v="6"/>
    <x v="12"/>
    <n v="2"/>
    <n v="1499"/>
    <n v="2998"/>
    <x v="0"/>
    <n v="0"/>
    <n v="2998"/>
    <x v="2"/>
    <x v="0"/>
  </r>
  <r>
    <x v="1495"/>
    <s v="5 Tue"/>
    <x v="7"/>
    <x v="0"/>
    <s v="CUST-1360"/>
    <s v="Muskan Singh"/>
    <x v="3"/>
    <x v="3"/>
    <x v="6"/>
    <n v="1"/>
    <n v="799"/>
    <n v="799"/>
    <x v="3"/>
    <n v="159.80000000000001"/>
    <n v="639.20000000000005"/>
    <x v="2"/>
    <x v="0"/>
  </r>
  <r>
    <x v="1496"/>
    <s v="6 Wed"/>
    <x v="7"/>
    <x v="0"/>
    <s v="CUST-1289"/>
    <s v="Kunal Verma"/>
    <x v="2"/>
    <x v="2"/>
    <x v="3"/>
    <n v="2"/>
    <n v="249"/>
    <n v="498"/>
    <x v="3"/>
    <n v="99.6"/>
    <n v="398.4"/>
    <x v="3"/>
    <x v="0"/>
  </r>
  <r>
    <x v="1497"/>
    <s v="6 Wed"/>
    <x v="7"/>
    <x v="0"/>
    <s v="CUST-1395"/>
    <s v="Rahul Verma"/>
    <x v="1"/>
    <x v="4"/>
    <x v="11"/>
    <n v="1"/>
    <n v="499"/>
    <n v="499"/>
    <x v="4"/>
    <n v="49.9"/>
    <n v="449.1"/>
    <x v="2"/>
    <x v="0"/>
  </r>
  <r>
    <x v="1498"/>
    <s v="7 Thu"/>
    <x v="7"/>
    <x v="0"/>
    <s v="CUST-1102"/>
    <s v="Aarav Patel"/>
    <x v="3"/>
    <x v="0"/>
    <x v="0"/>
    <n v="3"/>
    <n v="99"/>
    <n v="297"/>
    <x v="0"/>
    <n v="0"/>
    <n v="297"/>
    <x v="2"/>
    <x v="1"/>
  </r>
  <r>
    <x v="1499"/>
    <s v="7 Thu"/>
    <x v="7"/>
    <x v="0"/>
    <s v="CUST-1360"/>
    <s v="Muskan Singh"/>
    <x v="1"/>
    <x v="2"/>
    <x v="3"/>
    <n v="1"/>
    <n v="249"/>
    <n v="249"/>
    <x v="4"/>
    <n v="24.9"/>
    <n v="224.1"/>
    <x v="4"/>
    <x v="0"/>
  </r>
  <r>
    <x v="1500"/>
    <s v="7 Thu"/>
    <x v="7"/>
    <x v="0"/>
    <s v="CUST-1064"/>
    <s v="Ankit Mehta"/>
    <x v="1"/>
    <x v="1"/>
    <x v="2"/>
    <n v="2"/>
    <n v="599"/>
    <n v="1198"/>
    <x v="0"/>
    <n v="0"/>
    <n v="1198"/>
    <x v="2"/>
    <x v="0"/>
  </r>
  <r>
    <x v="1501"/>
    <s v="8 Fri"/>
    <x v="7"/>
    <x v="0"/>
    <s v="CUST-1113"/>
    <s v="Swati Saxena"/>
    <x v="3"/>
    <x v="6"/>
    <x v="12"/>
    <n v="1"/>
    <n v="1499"/>
    <n v="1499"/>
    <x v="3"/>
    <n v="299.8"/>
    <n v="1199.2"/>
    <x v="2"/>
    <x v="1"/>
  </r>
  <r>
    <x v="1502"/>
    <s v="8 Fri"/>
    <x v="7"/>
    <x v="0"/>
    <s v="CUST-1200"/>
    <s v="Swati Saxena"/>
    <x v="0"/>
    <x v="2"/>
    <x v="15"/>
    <n v="3"/>
    <n v="299"/>
    <n v="897"/>
    <x v="0"/>
    <n v="0"/>
    <n v="897"/>
    <x v="0"/>
    <x v="0"/>
  </r>
  <r>
    <x v="1503"/>
    <s v="8 Fri"/>
    <x v="7"/>
    <x v="0"/>
    <s v="CUST-1181"/>
    <s v="Kunal Sharma"/>
    <x v="3"/>
    <x v="5"/>
    <x v="8"/>
    <n v="1"/>
    <n v="349"/>
    <n v="349"/>
    <x v="0"/>
    <n v="0"/>
    <n v="349"/>
    <x v="1"/>
    <x v="1"/>
  </r>
  <r>
    <x v="1504"/>
    <s v="9 Sat"/>
    <x v="7"/>
    <x v="0"/>
    <s v="CUST-1198"/>
    <s v="Vivaan Joshi"/>
    <x v="1"/>
    <x v="6"/>
    <x v="12"/>
    <n v="2"/>
    <n v="1499"/>
    <n v="2998"/>
    <x v="0"/>
    <n v="0"/>
    <n v="2998"/>
    <x v="1"/>
    <x v="1"/>
  </r>
  <r>
    <x v="1505"/>
    <s v="9 Sat"/>
    <x v="7"/>
    <x v="0"/>
    <s v="CUST-1351"/>
    <s v="Tanya Mehta"/>
    <x v="1"/>
    <x v="5"/>
    <x v="8"/>
    <n v="4"/>
    <n v="349"/>
    <n v="1396"/>
    <x v="4"/>
    <n v="139.6"/>
    <n v="1256.4000000000001"/>
    <x v="4"/>
    <x v="0"/>
  </r>
  <r>
    <x v="1506"/>
    <s v="9 Sat"/>
    <x v="7"/>
    <x v="0"/>
    <s v="CUST-1017"/>
    <s v="Aarav Verma"/>
    <x v="1"/>
    <x v="4"/>
    <x v="11"/>
    <n v="3"/>
    <n v="499"/>
    <n v="1497"/>
    <x v="1"/>
    <n v="224.55"/>
    <n v="1272.45"/>
    <x v="2"/>
    <x v="0"/>
  </r>
  <r>
    <x v="1507"/>
    <s v="9 Sat"/>
    <x v="7"/>
    <x v="0"/>
    <s v="CUST-1215"/>
    <s v="Arjun Singh"/>
    <x v="4"/>
    <x v="1"/>
    <x v="4"/>
    <n v="1"/>
    <n v="2999"/>
    <n v="2999"/>
    <x v="1"/>
    <n v="449.85"/>
    <n v="2549.15"/>
    <x v="1"/>
    <x v="1"/>
  </r>
  <r>
    <x v="1508"/>
    <s v="9 Sat"/>
    <x v="7"/>
    <x v="0"/>
    <s v="CUST-1250"/>
    <s v="Shreya Saxena"/>
    <x v="3"/>
    <x v="0"/>
    <x v="1"/>
    <n v="3"/>
    <n v="199"/>
    <n v="597"/>
    <x v="0"/>
    <n v="0"/>
    <n v="597"/>
    <x v="4"/>
    <x v="1"/>
  </r>
  <r>
    <x v="1509"/>
    <s v="9 Sat"/>
    <x v="7"/>
    <x v="0"/>
    <s v="CUST-1142"/>
    <s v="Divya Singh"/>
    <x v="1"/>
    <x v="0"/>
    <x v="0"/>
    <n v="4"/>
    <n v="99"/>
    <n v="396"/>
    <x v="1"/>
    <n v="59.4"/>
    <n v="336.6"/>
    <x v="0"/>
    <x v="0"/>
  </r>
  <r>
    <x v="1510"/>
    <s v="9 Sat"/>
    <x v="7"/>
    <x v="0"/>
    <s v="CUST-1376"/>
    <s v="Kunal Kapoor"/>
    <x v="0"/>
    <x v="3"/>
    <x v="6"/>
    <n v="1"/>
    <n v="799"/>
    <n v="799"/>
    <x v="0"/>
    <n v="0"/>
    <n v="799"/>
    <x v="3"/>
    <x v="1"/>
  </r>
  <r>
    <x v="1511"/>
    <s v="10 Sun"/>
    <x v="7"/>
    <x v="0"/>
    <s v="CUST-1025"/>
    <s v="Aditya Singh"/>
    <x v="2"/>
    <x v="2"/>
    <x v="3"/>
    <n v="2"/>
    <n v="249"/>
    <n v="498"/>
    <x v="4"/>
    <n v="49.8"/>
    <n v="448.2"/>
    <x v="2"/>
    <x v="0"/>
  </r>
  <r>
    <x v="1512"/>
    <s v="10 Sun"/>
    <x v="7"/>
    <x v="0"/>
    <s v="CUST-1033"/>
    <s v="Meera Joshi"/>
    <x v="0"/>
    <x v="1"/>
    <x v="4"/>
    <n v="1"/>
    <n v="2999"/>
    <n v="2999"/>
    <x v="0"/>
    <n v="0"/>
    <n v="2999"/>
    <x v="1"/>
    <x v="1"/>
  </r>
  <r>
    <x v="1513"/>
    <s v="10 Sun"/>
    <x v="7"/>
    <x v="0"/>
    <s v="CUST-1159"/>
    <s v="Isha Kapoor"/>
    <x v="2"/>
    <x v="4"/>
    <x v="7"/>
    <n v="1"/>
    <n v="1999"/>
    <n v="1999"/>
    <x v="0"/>
    <n v="0"/>
    <n v="1999"/>
    <x v="0"/>
    <x v="0"/>
  </r>
  <r>
    <x v="1514"/>
    <s v="10 Sun"/>
    <x v="7"/>
    <x v="0"/>
    <s v="CUST-1105"/>
    <s v="Rohan Singh"/>
    <x v="1"/>
    <x v="4"/>
    <x v="10"/>
    <n v="2"/>
    <n v="899"/>
    <n v="1798"/>
    <x v="0"/>
    <n v="0"/>
    <n v="1798"/>
    <x v="1"/>
    <x v="0"/>
  </r>
  <r>
    <x v="1515"/>
    <s v="10 Sun"/>
    <x v="7"/>
    <x v="0"/>
    <s v="CUST-1232"/>
    <s v="Aman Patel"/>
    <x v="2"/>
    <x v="6"/>
    <x v="12"/>
    <n v="1"/>
    <n v="1499"/>
    <n v="1499"/>
    <x v="0"/>
    <n v="0"/>
    <n v="1499"/>
    <x v="2"/>
    <x v="1"/>
  </r>
  <r>
    <x v="1516"/>
    <s v="10 Sun"/>
    <x v="7"/>
    <x v="0"/>
    <s v="CUST-1308"/>
    <s v="Shreya Sharma"/>
    <x v="4"/>
    <x v="1"/>
    <x v="14"/>
    <n v="1"/>
    <n v="1799"/>
    <n v="1799"/>
    <x v="0"/>
    <n v="0"/>
    <n v="1799"/>
    <x v="2"/>
    <x v="1"/>
  </r>
  <r>
    <x v="1517"/>
    <s v="10 Sun"/>
    <x v="7"/>
    <x v="0"/>
    <s v="CUST-1036"/>
    <s v="Nandini Mehta"/>
    <x v="2"/>
    <x v="6"/>
    <x v="12"/>
    <n v="1"/>
    <n v="1499"/>
    <n v="1499"/>
    <x v="2"/>
    <n v="74.95"/>
    <n v="1424.05"/>
    <x v="2"/>
    <x v="0"/>
  </r>
  <r>
    <x v="1518"/>
    <s v="11 Mon"/>
    <x v="7"/>
    <x v="0"/>
    <s v="CUST-1138"/>
    <s v="Tanya Singh"/>
    <x v="0"/>
    <x v="2"/>
    <x v="3"/>
    <n v="1"/>
    <n v="249"/>
    <n v="249"/>
    <x v="4"/>
    <n v="24.9"/>
    <n v="224.1"/>
    <x v="0"/>
    <x v="1"/>
  </r>
  <r>
    <x v="1519"/>
    <s v="11 Mon"/>
    <x v="7"/>
    <x v="0"/>
    <s v="CUST-1004"/>
    <s v="Tanya Malhotra"/>
    <x v="4"/>
    <x v="4"/>
    <x v="10"/>
    <n v="2"/>
    <n v="899"/>
    <n v="1798"/>
    <x v="3"/>
    <n v="359.6"/>
    <n v="1438.4"/>
    <x v="0"/>
    <x v="0"/>
  </r>
  <r>
    <x v="1520"/>
    <s v="11 Mon"/>
    <x v="7"/>
    <x v="0"/>
    <s v="CUST-1297"/>
    <s v="Sakshi Kapoor"/>
    <x v="2"/>
    <x v="1"/>
    <x v="2"/>
    <n v="1"/>
    <n v="599"/>
    <n v="599"/>
    <x v="4"/>
    <n v="59.9"/>
    <n v="539.1"/>
    <x v="2"/>
    <x v="1"/>
  </r>
  <r>
    <x v="1521"/>
    <s v="11 Mon"/>
    <x v="7"/>
    <x v="0"/>
    <s v="CUST-1143"/>
    <s v="Muskan Saxena"/>
    <x v="4"/>
    <x v="4"/>
    <x v="10"/>
    <n v="2"/>
    <n v="899"/>
    <n v="1798"/>
    <x v="0"/>
    <n v="0"/>
    <n v="1798"/>
    <x v="0"/>
    <x v="0"/>
  </r>
  <r>
    <x v="1522"/>
    <s v="11 Mon"/>
    <x v="7"/>
    <x v="0"/>
    <s v="CUST-1271"/>
    <s v="Nandini Sharma"/>
    <x v="3"/>
    <x v="5"/>
    <x v="8"/>
    <n v="2"/>
    <n v="349"/>
    <n v="698"/>
    <x v="2"/>
    <n v="34.9"/>
    <n v="663.1"/>
    <x v="1"/>
    <x v="0"/>
  </r>
  <r>
    <x v="1523"/>
    <s v="11 Mon"/>
    <x v="7"/>
    <x v="0"/>
    <s v="CUST-1365"/>
    <s v="Meera Singh"/>
    <x v="1"/>
    <x v="1"/>
    <x v="14"/>
    <n v="2"/>
    <n v="1799"/>
    <n v="3598"/>
    <x v="2"/>
    <n v="179.9"/>
    <n v="3418.1"/>
    <x v="2"/>
    <x v="1"/>
  </r>
  <r>
    <x v="1524"/>
    <s v="12 Tue"/>
    <x v="7"/>
    <x v="0"/>
    <s v="CUST-1135"/>
    <s v="Shreya Joshi"/>
    <x v="4"/>
    <x v="4"/>
    <x v="7"/>
    <n v="3"/>
    <n v="1999"/>
    <n v="5997"/>
    <x v="0"/>
    <n v="0"/>
    <n v="5997"/>
    <x v="1"/>
    <x v="1"/>
  </r>
  <r>
    <x v="1525"/>
    <s v="12 Tue"/>
    <x v="7"/>
    <x v="0"/>
    <s v="CUST-1272"/>
    <s v="Aarav Saxena"/>
    <x v="4"/>
    <x v="1"/>
    <x v="2"/>
    <n v="3"/>
    <n v="599"/>
    <n v="1797"/>
    <x v="4"/>
    <n v="179.7"/>
    <n v="1617.3"/>
    <x v="1"/>
    <x v="1"/>
  </r>
  <r>
    <x v="1526"/>
    <s v="12 Tue"/>
    <x v="7"/>
    <x v="0"/>
    <s v="CUST-1179"/>
    <s v="Nandini Saxena"/>
    <x v="1"/>
    <x v="2"/>
    <x v="3"/>
    <n v="3"/>
    <n v="249"/>
    <n v="747"/>
    <x v="0"/>
    <n v="0"/>
    <n v="747"/>
    <x v="0"/>
    <x v="0"/>
  </r>
  <r>
    <x v="1527"/>
    <s v="12 Tue"/>
    <x v="7"/>
    <x v="0"/>
    <s v="CUST-1179"/>
    <s v="Nandini Saxena"/>
    <x v="2"/>
    <x v="1"/>
    <x v="2"/>
    <n v="2"/>
    <n v="599"/>
    <n v="1198"/>
    <x v="0"/>
    <n v="0"/>
    <n v="1198"/>
    <x v="0"/>
    <x v="0"/>
  </r>
  <r>
    <x v="1528"/>
    <s v="12 Tue"/>
    <x v="7"/>
    <x v="0"/>
    <s v="CUST-1304"/>
    <s v="Kunal Saxena"/>
    <x v="4"/>
    <x v="3"/>
    <x v="6"/>
    <n v="1"/>
    <n v="799"/>
    <n v="799"/>
    <x v="0"/>
    <n v="0"/>
    <n v="799"/>
    <x v="1"/>
    <x v="1"/>
  </r>
  <r>
    <x v="1529"/>
    <s v="12 Tue"/>
    <x v="7"/>
    <x v="0"/>
    <s v="CUST-1232"/>
    <s v="Aman Patel"/>
    <x v="4"/>
    <x v="6"/>
    <x v="12"/>
    <n v="1"/>
    <n v="1499"/>
    <n v="1499"/>
    <x v="2"/>
    <n v="74.95"/>
    <n v="1424.05"/>
    <x v="2"/>
    <x v="0"/>
  </r>
  <r>
    <x v="1530"/>
    <s v="12 Tue"/>
    <x v="7"/>
    <x v="0"/>
    <s v="CUST-1349"/>
    <s v="Rohan Mehta"/>
    <x v="1"/>
    <x v="2"/>
    <x v="3"/>
    <n v="5"/>
    <n v="249"/>
    <n v="1245"/>
    <x v="0"/>
    <n v="0"/>
    <n v="1245"/>
    <x v="4"/>
    <x v="0"/>
  </r>
  <r>
    <x v="1531"/>
    <s v="12 Tue"/>
    <x v="7"/>
    <x v="0"/>
    <s v="CUST-1352"/>
    <s v="Nandini Mehta"/>
    <x v="4"/>
    <x v="0"/>
    <x v="1"/>
    <n v="1"/>
    <n v="199"/>
    <n v="199"/>
    <x v="3"/>
    <n v="39.799999999999997"/>
    <n v="159.19999999999999"/>
    <x v="4"/>
    <x v="1"/>
  </r>
  <r>
    <x v="1532"/>
    <s v="12 Tue"/>
    <x v="7"/>
    <x v="0"/>
    <s v="CUST-1027"/>
    <s v="Aditya Gupta"/>
    <x v="3"/>
    <x v="3"/>
    <x v="5"/>
    <n v="3"/>
    <n v="1299"/>
    <n v="3897"/>
    <x v="1"/>
    <n v="584.54999999999995"/>
    <n v="3312.45"/>
    <x v="2"/>
    <x v="1"/>
  </r>
  <r>
    <x v="1533"/>
    <s v="12 Tue"/>
    <x v="7"/>
    <x v="0"/>
    <s v="CUST-1262"/>
    <s v="Kunal Joshi"/>
    <x v="0"/>
    <x v="2"/>
    <x v="15"/>
    <n v="4"/>
    <n v="299"/>
    <n v="1196"/>
    <x v="0"/>
    <n v="0"/>
    <n v="1196"/>
    <x v="1"/>
    <x v="0"/>
  </r>
  <r>
    <x v="1534"/>
    <s v="12 Tue"/>
    <x v="7"/>
    <x v="0"/>
    <s v="CUST-1234"/>
    <s v="Meera Sharma"/>
    <x v="4"/>
    <x v="5"/>
    <x v="9"/>
    <n v="2"/>
    <n v="549"/>
    <n v="1098"/>
    <x v="4"/>
    <n v="109.8"/>
    <n v="988.2"/>
    <x v="2"/>
    <x v="1"/>
  </r>
  <r>
    <x v="1535"/>
    <s v="12 Tue"/>
    <x v="7"/>
    <x v="0"/>
    <s v="CUST-1052"/>
    <s v="Meera Verma"/>
    <x v="4"/>
    <x v="0"/>
    <x v="1"/>
    <n v="1"/>
    <n v="199"/>
    <n v="199"/>
    <x v="2"/>
    <n v="9.9499999999999993"/>
    <n v="189.05"/>
    <x v="3"/>
    <x v="0"/>
  </r>
  <r>
    <x v="1536"/>
    <s v="12 Tue"/>
    <x v="7"/>
    <x v="0"/>
    <s v="CUST-1207"/>
    <s v="Rohan Malhotra"/>
    <x v="1"/>
    <x v="5"/>
    <x v="9"/>
    <n v="1"/>
    <n v="549"/>
    <n v="549"/>
    <x v="1"/>
    <n v="82.35"/>
    <n v="466.65"/>
    <x v="0"/>
    <x v="0"/>
  </r>
  <r>
    <x v="1537"/>
    <s v="12 Tue"/>
    <x v="7"/>
    <x v="0"/>
    <s v="CUST-1271"/>
    <s v="Nandini Sharma"/>
    <x v="2"/>
    <x v="6"/>
    <x v="13"/>
    <n v="1"/>
    <n v="699"/>
    <n v="699"/>
    <x v="0"/>
    <n v="0"/>
    <n v="699"/>
    <x v="2"/>
    <x v="1"/>
  </r>
  <r>
    <x v="1538"/>
    <s v="13 Wed"/>
    <x v="7"/>
    <x v="0"/>
    <s v="CUST-1039"/>
    <s v="Aarav Joshi"/>
    <x v="1"/>
    <x v="3"/>
    <x v="5"/>
    <n v="1"/>
    <n v="1299"/>
    <n v="1299"/>
    <x v="4"/>
    <n v="129.9"/>
    <n v="1169.0999999999999"/>
    <x v="3"/>
    <x v="0"/>
  </r>
  <r>
    <x v="1539"/>
    <s v="13 Wed"/>
    <x v="7"/>
    <x v="0"/>
    <s v="CUST-1019"/>
    <s v="Aarav Joshi"/>
    <x v="0"/>
    <x v="4"/>
    <x v="10"/>
    <n v="1"/>
    <n v="899"/>
    <n v="899"/>
    <x v="3"/>
    <n v="179.8"/>
    <n v="719.2"/>
    <x v="4"/>
    <x v="1"/>
  </r>
  <r>
    <x v="1540"/>
    <s v="13 Wed"/>
    <x v="7"/>
    <x v="0"/>
    <s v="CUST-1372"/>
    <s v="Vivaan Singh"/>
    <x v="0"/>
    <x v="4"/>
    <x v="7"/>
    <n v="4"/>
    <n v="1999"/>
    <n v="7996"/>
    <x v="0"/>
    <n v="0"/>
    <n v="7996"/>
    <x v="1"/>
    <x v="1"/>
  </r>
  <r>
    <x v="1541"/>
    <s v="14 Thu"/>
    <x v="7"/>
    <x v="0"/>
    <s v="CUST-1283"/>
    <s v="Aditya Mehta"/>
    <x v="3"/>
    <x v="0"/>
    <x v="1"/>
    <n v="5"/>
    <n v="199"/>
    <n v="995"/>
    <x v="1"/>
    <n v="149.25"/>
    <n v="845.75"/>
    <x v="1"/>
    <x v="0"/>
  </r>
  <r>
    <x v="1542"/>
    <s v="14 Thu"/>
    <x v="7"/>
    <x v="0"/>
    <s v="CUST-1309"/>
    <s v="Meera Verma"/>
    <x v="1"/>
    <x v="3"/>
    <x v="6"/>
    <n v="1"/>
    <n v="799"/>
    <n v="799"/>
    <x v="1"/>
    <n v="119.85"/>
    <n v="679.15"/>
    <x v="2"/>
    <x v="0"/>
  </r>
  <r>
    <x v="1543"/>
    <s v="14 Thu"/>
    <x v="7"/>
    <x v="0"/>
    <s v="CUST-1202"/>
    <s v="Isha Verma"/>
    <x v="2"/>
    <x v="4"/>
    <x v="11"/>
    <n v="1"/>
    <n v="499"/>
    <n v="499"/>
    <x v="4"/>
    <n v="49.9"/>
    <n v="449.1"/>
    <x v="1"/>
    <x v="0"/>
  </r>
  <r>
    <x v="1544"/>
    <s v="14 Thu"/>
    <x v="7"/>
    <x v="0"/>
    <s v="CUST-1275"/>
    <s v="Tanya Singh"/>
    <x v="3"/>
    <x v="4"/>
    <x v="10"/>
    <n v="1"/>
    <n v="899"/>
    <n v="899"/>
    <x v="4"/>
    <n v="89.9"/>
    <n v="809.1"/>
    <x v="0"/>
    <x v="0"/>
  </r>
  <r>
    <x v="1545"/>
    <s v="14 Thu"/>
    <x v="7"/>
    <x v="0"/>
    <s v="CUST-1332"/>
    <s v="Rahul Malhotra"/>
    <x v="1"/>
    <x v="6"/>
    <x v="12"/>
    <n v="2"/>
    <n v="1499"/>
    <n v="2998"/>
    <x v="2"/>
    <n v="149.9"/>
    <n v="2848.1"/>
    <x v="1"/>
    <x v="0"/>
  </r>
  <r>
    <x v="1546"/>
    <s v="14 Thu"/>
    <x v="7"/>
    <x v="0"/>
    <s v="CUST-1131"/>
    <s v="Aarav Sharma"/>
    <x v="0"/>
    <x v="5"/>
    <x v="9"/>
    <n v="1"/>
    <n v="549"/>
    <n v="549"/>
    <x v="0"/>
    <n v="0"/>
    <n v="549"/>
    <x v="3"/>
    <x v="0"/>
  </r>
  <r>
    <x v="1547"/>
    <s v="14 Thu"/>
    <x v="7"/>
    <x v="0"/>
    <s v="CUST-1273"/>
    <s v="Aman Saxena"/>
    <x v="3"/>
    <x v="6"/>
    <x v="12"/>
    <n v="3"/>
    <n v="1499"/>
    <n v="4497"/>
    <x v="3"/>
    <n v="899.4"/>
    <n v="3597.6"/>
    <x v="2"/>
    <x v="0"/>
  </r>
  <r>
    <x v="1548"/>
    <s v="14 Thu"/>
    <x v="7"/>
    <x v="0"/>
    <s v="CUST-1109"/>
    <s v="Kabir Mehta"/>
    <x v="1"/>
    <x v="1"/>
    <x v="14"/>
    <n v="2"/>
    <n v="1799"/>
    <n v="3598"/>
    <x v="3"/>
    <n v="719.6"/>
    <n v="2878.4"/>
    <x v="1"/>
    <x v="0"/>
  </r>
  <r>
    <x v="1549"/>
    <s v="14 Thu"/>
    <x v="7"/>
    <x v="0"/>
    <s v="CUST-1014"/>
    <s v="Vivaan Kapoor"/>
    <x v="4"/>
    <x v="4"/>
    <x v="11"/>
    <n v="1"/>
    <n v="499"/>
    <n v="499"/>
    <x v="0"/>
    <n v="0"/>
    <n v="499"/>
    <x v="3"/>
    <x v="0"/>
  </r>
  <r>
    <x v="1550"/>
    <s v="15 Fri"/>
    <x v="7"/>
    <x v="0"/>
    <s v="CUST-1222"/>
    <s v="Sakshi Sharma"/>
    <x v="2"/>
    <x v="1"/>
    <x v="4"/>
    <n v="4"/>
    <n v="2999"/>
    <n v="11996"/>
    <x v="2"/>
    <n v="599.79999999999995"/>
    <n v="11396.2"/>
    <x v="2"/>
    <x v="0"/>
  </r>
  <r>
    <x v="1551"/>
    <s v="15 Fri"/>
    <x v="7"/>
    <x v="0"/>
    <s v="CUST-1079"/>
    <s v="Komal Mehta"/>
    <x v="4"/>
    <x v="5"/>
    <x v="9"/>
    <n v="3"/>
    <n v="549"/>
    <n v="1647"/>
    <x v="3"/>
    <n v="329.4"/>
    <n v="1317.6"/>
    <x v="1"/>
    <x v="0"/>
  </r>
  <r>
    <x v="1552"/>
    <s v="15 Fri"/>
    <x v="7"/>
    <x v="0"/>
    <s v="CUST-1347"/>
    <s v="Ankit Joshi"/>
    <x v="2"/>
    <x v="2"/>
    <x v="15"/>
    <n v="1"/>
    <n v="299"/>
    <n v="299"/>
    <x v="0"/>
    <n v="0"/>
    <n v="299"/>
    <x v="2"/>
    <x v="1"/>
  </r>
  <r>
    <x v="1553"/>
    <s v="15 Fri"/>
    <x v="7"/>
    <x v="0"/>
    <s v="CUST-1212"/>
    <s v="Komal Joshi"/>
    <x v="4"/>
    <x v="1"/>
    <x v="2"/>
    <n v="2"/>
    <n v="599"/>
    <n v="1198"/>
    <x v="1"/>
    <n v="179.7"/>
    <n v="1018.3"/>
    <x v="2"/>
    <x v="1"/>
  </r>
  <r>
    <x v="1554"/>
    <s v="15 Fri"/>
    <x v="7"/>
    <x v="0"/>
    <s v="CUST-1199"/>
    <s v="Sakshi Saxena"/>
    <x v="1"/>
    <x v="6"/>
    <x v="13"/>
    <n v="1"/>
    <n v="699"/>
    <n v="699"/>
    <x v="0"/>
    <n v="0"/>
    <n v="699"/>
    <x v="1"/>
    <x v="1"/>
  </r>
  <r>
    <x v="1555"/>
    <s v="15 Fri"/>
    <x v="7"/>
    <x v="0"/>
    <s v="CUST-1144"/>
    <s v="Divya Mehta"/>
    <x v="2"/>
    <x v="0"/>
    <x v="1"/>
    <n v="1"/>
    <n v="199"/>
    <n v="199"/>
    <x v="3"/>
    <n v="39.799999999999997"/>
    <n v="159.19999999999999"/>
    <x v="1"/>
    <x v="1"/>
  </r>
  <r>
    <x v="1556"/>
    <s v="15 Fri"/>
    <x v="7"/>
    <x v="0"/>
    <s v="CUST-1053"/>
    <s v="Vivaan Malhotra"/>
    <x v="0"/>
    <x v="1"/>
    <x v="4"/>
    <n v="1"/>
    <n v="2999"/>
    <n v="2999"/>
    <x v="0"/>
    <n v="0"/>
    <n v="2999"/>
    <x v="2"/>
    <x v="0"/>
  </r>
  <r>
    <x v="1557"/>
    <s v="15 Fri"/>
    <x v="7"/>
    <x v="0"/>
    <s v="CUST-1337"/>
    <s v="Rahul Patel"/>
    <x v="1"/>
    <x v="1"/>
    <x v="4"/>
    <n v="1"/>
    <n v="2999"/>
    <n v="2999"/>
    <x v="0"/>
    <n v="0"/>
    <n v="2999"/>
    <x v="2"/>
    <x v="1"/>
  </r>
  <r>
    <x v="1558"/>
    <s v="15 Fri"/>
    <x v="7"/>
    <x v="0"/>
    <s v="CUST-1361"/>
    <s v="Vivaan Kapoor"/>
    <x v="0"/>
    <x v="4"/>
    <x v="10"/>
    <n v="3"/>
    <n v="899"/>
    <n v="2697"/>
    <x v="4"/>
    <n v="269.7"/>
    <n v="2427.3000000000002"/>
    <x v="1"/>
    <x v="1"/>
  </r>
  <r>
    <x v="1559"/>
    <s v="15 Fri"/>
    <x v="7"/>
    <x v="0"/>
    <s v="CUST-1189"/>
    <s v="Vivaan Mehta"/>
    <x v="3"/>
    <x v="0"/>
    <x v="1"/>
    <n v="3"/>
    <n v="199"/>
    <n v="597"/>
    <x v="4"/>
    <n v="59.7"/>
    <n v="537.29999999999995"/>
    <x v="0"/>
    <x v="0"/>
  </r>
  <r>
    <x v="1560"/>
    <s v="15 Fri"/>
    <x v="7"/>
    <x v="0"/>
    <s v="CUST-1064"/>
    <s v="Ankit Mehta"/>
    <x v="2"/>
    <x v="5"/>
    <x v="8"/>
    <n v="1"/>
    <n v="349"/>
    <n v="349"/>
    <x v="1"/>
    <n v="52.35"/>
    <n v="296.64999999999998"/>
    <x v="1"/>
    <x v="0"/>
  </r>
  <r>
    <x v="1561"/>
    <s v="15 Fri"/>
    <x v="7"/>
    <x v="0"/>
    <s v="CUST-1277"/>
    <s v="Vivaan Sharma"/>
    <x v="3"/>
    <x v="1"/>
    <x v="2"/>
    <n v="3"/>
    <n v="599"/>
    <n v="1797"/>
    <x v="1"/>
    <n v="269.55"/>
    <n v="1527.45"/>
    <x v="1"/>
    <x v="1"/>
  </r>
  <r>
    <x v="1562"/>
    <s v="16 Sat"/>
    <x v="7"/>
    <x v="0"/>
    <s v="CUST-1323"/>
    <s v="Muskan Verma"/>
    <x v="2"/>
    <x v="4"/>
    <x v="10"/>
    <n v="3"/>
    <n v="899"/>
    <n v="2697"/>
    <x v="4"/>
    <n v="269.7"/>
    <n v="2427.3000000000002"/>
    <x v="0"/>
    <x v="1"/>
  </r>
  <r>
    <x v="1563"/>
    <s v="16 Sat"/>
    <x v="7"/>
    <x v="0"/>
    <s v="CUST-1340"/>
    <s v="Aman Kapoor"/>
    <x v="4"/>
    <x v="2"/>
    <x v="15"/>
    <n v="1"/>
    <n v="299"/>
    <n v="299"/>
    <x v="3"/>
    <n v="59.8"/>
    <n v="239.2"/>
    <x v="2"/>
    <x v="1"/>
  </r>
  <r>
    <x v="1564"/>
    <s v="16 Sat"/>
    <x v="7"/>
    <x v="0"/>
    <s v="CUST-1229"/>
    <s v="Vivaan Singh"/>
    <x v="3"/>
    <x v="0"/>
    <x v="1"/>
    <n v="2"/>
    <n v="199"/>
    <n v="398"/>
    <x v="1"/>
    <n v="59.7"/>
    <n v="338.3"/>
    <x v="0"/>
    <x v="1"/>
  </r>
  <r>
    <x v="1565"/>
    <s v="16 Sat"/>
    <x v="7"/>
    <x v="0"/>
    <s v="CUST-1321"/>
    <s v="Isha Mehta"/>
    <x v="1"/>
    <x v="5"/>
    <x v="9"/>
    <n v="2"/>
    <n v="549"/>
    <n v="1098"/>
    <x v="4"/>
    <n v="109.8"/>
    <n v="988.2"/>
    <x v="1"/>
    <x v="1"/>
  </r>
  <r>
    <x v="1566"/>
    <s v="16 Sat"/>
    <x v="7"/>
    <x v="0"/>
    <s v="CUST-1006"/>
    <s v="Sakshi Singh"/>
    <x v="2"/>
    <x v="1"/>
    <x v="2"/>
    <n v="2"/>
    <n v="599"/>
    <n v="1198"/>
    <x v="3"/>
    <n v="239.6"/>
    <n v="958.4"/>
    <x v="2"/>
    <x v="1"/>
  </r>
  <r>
    <x v="1567"/>
    <s v="16 Sat"/>
    <x v="7"/>
    <x v="0"/>
    <s v="CUST-1363"/>
    <s v="Arjun Joshi"/>
    <x v="2"/>
    <x v="1"/>
    <x v="14"/>
    <n v="2"/>
    <n v="1799"/>
    <n v="3598"/>
    <x v="0"/>
    <n v="0"/>
    <n v="3598"/>
    <x v="2"/>
    <x v="1"/>
  </r>
  <r>
    <x v="1568"/>
    <s v="17 Sun"/>
    <x v="7"/>
    <x v="0"/>
    <s v="CUST-1107"/>
    <s v="Isha Sharma"/>
    <x v="2"/>
    <x v="5"/>
    <x v="9"/>
    <n v="3"/>
    <n v="549"/>
    <n v="1647"/>
    <x v="3"/>
    <n v="329.4"/>
    <n v="1317.6"/>
    <x v="2"/>
    <x v="1"/>
  </r>
  <r>
    <x v="1569"/>
    <s v="17 Sun"/>
    <x v="7"/>
    <x v="0"/>
    <s v="CUST-1394"/>
    <s v="Tanya Malhotra"/>
    <x v="4"/>
    <x v="4"/>
    <x v="7"/>
    <n v="1"/>
    <n v="1999"/>
    <n v="1999"/>
    <x v="0"/>
    <n v="0"/>
    <n v="1999"/>
    <x v="2"/>
    <x v="0"/>
  </r>
  <r>
    <x v="1570"/>
    <s v="17 Sun"/>
    <x v="7"/>
    <x v="0"/>
    <s v="CUST-1175"/>
    <s v="Vivaan Kapoor"/>
    <x v="0"/>
    <x v="2"/>
    <x v="15"/>
    <n v="2"/>
    <n v="299"/>
    <n v="598"/>
    <x v="3"/>
    <n v="119.6"/>
    <n v="478.4"/>
    <x v="0"/>
    <x v="0"/>
  </r>
  <r>
    <x v="1571"/>
    <s v="17 Sun"/>
    <x v="7"/>
    <x v="0"/>
    <s v="CUST-1308"/>
    <s v="Shreya Sharma"/>
    <x v="3"/>
    <x v="1"/>
    <x v="4"/>
    <n v="3"/>
    <n v="2999"/>
    <n v="8997"/>
    <x v="3"/>
    <n v="1799.4"/>
    <n v="7197.6"/>
    <x v="2"/>
    <x v="1"/>
  </r>
  <r>
    <x v="1572"/>
    <s v="17 Sun"/>
    <x v="7"/>
    <x v="0"/>
    <s v="CUST-1009"/>
    <s v="Shreya Gupta"/>
    <x v="1"/>
    <x v="6"/>
    <x v="13"/>
    <n v="1"/>
    <n v="699"/>
    <n v="699"/>
    <x v="0"/>
    <n v="0"/>
    <n v="699"/>
    <x v="3"/>
    <x v="1"/>
  </r>
  <r>
    <x v="1573"/>
    <s v="17 Sun"/>
    <x v="7"/>
    <x v="0"/>
    <s v="CUST-1295"/>
    <s v="Tanya Singh"/>
    <x v="3"/>
    <x v="2"/>
    <x v="3"/>
    <n v="2"/>
    <n v="249"/>
    <n v="498"/>
    <x v="1"/>
    <n v="74.7"/>
    <n v="423.3"/>
    <x v="1"/>
    <x v="0"/>
  </r>
  <r>
    <x v="1574"/>
    <s v="17 Sun"/>
    <x v="7"/>
    <x v="0"/>
    <s v="CUST-1266"/>
    <s v="Vivaan Kapoor"/>
    <x v="3"/>
    <x v="3"/>
    <x v="6"/>
    <n v="1"/>
    <n v="799"/>
    <n v="799"/>
    <x v="0"/>
    <n v="0"/>
    <n v="799"/>
    <x v="2"/>
    <x v="0"/>
  </r>
  <r>
    <x v="1575"/>
    <s v="17 Sun"/>
    <x v="7"/>
    <x v="0"/>
    <s v="CUST-1070"/>
    <s v="Vivaan Mehta"/>
    <x v="4"/>
    <x v="4"/>
    <x v="10"/>
    <n v="2"/>
    <n v="899"/>
    <n v="1798"/>
    <x v="0"/>
    <n v="0"/>
    <n v="1798"/>
    <x v="0"/>
    <x v="1"/>
  </r>
  <r>
    <x v="1576"/>
    <s v="17 Sun"/>
    <x v="7"/>
    <x v="0"/>
    <s v="CUST-1376"/>
    <s v="Kunal Kapoor"/>
    <x v="4"/>
    <x v="5"/>
    <x v="9"/>
    <n v="2"/>
    <n v="549"/>
    <n v="1098"/>
    <x v="0"/>
    <n v="0"/>
    <n v="1098"/>
    <x v="2"/>
    <x v="0"/>
  </r>
  <r>
    <x v="1577"/>
    <s v="17 Sun"/>
    <x v="7"/>
    <x v="0"/>
    <s v="CUST-1005"/>
    <s v="Rohan Malhotra"/>
    <x v="4"/>
    <x v="3"/>
    <x v="6"/>
    <n v="1"/>
    <n v="799"/>
    <n v="799"/>
    <x v="0"/>
    <n v="0"/>
    <n v="799"/>
    <x v="2"/>
    <x v="0"/>
  </r>
  <r>
    <x v="1578"/>
    <s v="17 Sun"/>
    <x v="7"/>
    <x v="0"/>
    <s v="CUST-1117"/>
    <s v="Aman Saxena"/>
    <x v="4"/>
    <x v="6"/>
    <x v="13"/>
    <n v="1"/>
    <n v="699"/>
    <n v="699"/>
    <x v="2"/>
    <n v="34.950000000000003"/>
    <n v="664.05"/>
    <x v="3"/>
    <x v="1"/>
  </r>
  <r>
    <x v="1579"/>
    <s v="18 Mon"/>
    <x v="7"/>
    <x v="0"/>
    <s v="CUST-1277"/>
    <s v="Vivaan Sharma"/>
    <x v="3"/>
    <x v="1"/>
    <x v="2"/>
    <n v="1"/>
    <n v="599"/>
    <n v="599"/>
    <x v="0"/>
    <n v="0"/>
    <n v="599"/>
    <x v="4"/>
    <x v="0"/>
  </r>
  <r>
    <x v="1580"/>
    <s v="18 Mon"/>
    <x v="7"/>
    <x v="0"/>
    <s v="CUST-1345"/>
    <s v="Tanya Verma"/>
    <x v="3"/>
    <x v="3"/>
    <x v="5"/>
    <n v="1"/>
    <n v="1299"/>
    <n v="1299"/>
    <x v="3"/>
    <n v="259.8"/>
    <n v="1039.2"/>
    <x v="1"/>
    <x v="0"/>
  </r>
  <r>
    <x v="1581"/>
    <s v="18 Mon"/>
    <x v="7"/>
    <x v="0"/>
    <s v="CUST-1051"/>
    <s v="Rohan Patel"/>
    <x v="2"/>
    <x v="1"/>
    <x v="4"/>
    <n v="1"/>
    <n v="2999"/>
    <n v="2999"/>
    <x v="0"/>
    <n v="0"/>
    <n v="2999"/>
    <x v="0"/>
    <x v="1"/>
  </r>
  <r>
    <x v="1582"/>
    <s v="18 Mon"/>
    <x v="7"/>
    <x v="0"/>
    <s v="CUST-1329"/>
    <s v="Swati Gupta"/>
    <x v="4"/>
    <x v="3"/>
    <x v="5"/>
    <n v="5"/>
    <n v="1299"/>
    <n v="6495"/>
    <x v="0"/>
    <n v="0"/>
    <n v="6495"/>
    <x v="2"/>
    <x v="0"/>
  </r>
  <r>
    <x v="1583"/>
    <s v="18 Mon"/>
    <x v="7"/>
    <x v="0"/>
    <s v="CUST-1251"/>
    <s v="Aarav Singh"/>
    <x v="1"/>
    <x v="2"/>
    <x v="15"/>
    <n v="2"/>
    <n v="299"/>
    <n v="598"/>
    <x v="0"/>
    <n v="0"/>
    <n v="598"/>
    <x v="2"/>
    <x v="0"/>
  </r>
  <r>
    <x v="1584"/>
    <s v="18 Mon"/>
    <x v="7"/>
    <x v="0"/>
    <s v="CUST-1325"/>
    <s v="Aarav Saxena"/>
    <x v="2"/>
    <x v="4"/>
    <x v="11"/>
    <n v="1"/>
    <n v="499"/>
    <n v="499"/>
    <x v="0"/>
    <n v="0"/>
    <n v="499"/>
    <x v="0"/>
    <x v="1"/>
  </r>
  <r>
    <x v="1585"/>
    <s v="18 Mon"/>
    <x v="7"/>
    <x v="0"/>
    <s v="CUST-1191"/>
    <s v="Nandini Malhotra"/>
    <x v="3"/>
    <x v="5"/>
    <x v="8"/>
    <n v="2"/>
    <n v="349"/>
    <n v="698"/>
    <x v="2"/>
    <n v="34.9"/>
    <n v="663.1"/>
    <x v="2"/>
    <x v="1"/>
  </r>
  <r>
    <x v="1586"/>
    <s v="18 Mon"/>
    <x v="7"/>
    <x v="0"/>
    <s v="CUST-1262"/>
    <s v="Kunal Joshi"/>
    <x v="4"/>
    <x v="1"/>
    <x v="2"/>
    <n v="1"/>
    <n v="599"/>
    <n v="599"/>
    <x v="3"/>
    <n v="119.8"/>
    <n v="479.2"/>
    <x v="0"/>
    <x v="1"/>
  </r>
  <r>
    <x v="1587"/>
    <s v="18 Mon"/>
    <x v="7"/>
    <x v="0"/>
    <s v="CUST-1050"/>
    <s v="Rohan Gupta"/>
    <x v="1"/>
    <x v="6"/>
    <x v="12"/>
    <n v="1"/>
    <n v="1499"/>
    <n v="1499"/>
    <x v="0"/>
    <n v="0"/>
    <n v="1499"/>
    <x v="4"/>
    <x v="0"/>
  </r>
  <r>
    <x v="1588"/>
    <s v="19 Tue"/>
    <x v="7"/>
    <x v="0"/>
    <s v="CUST-1133"/>
    <s v="Kunal Mehta"/>
    <x v="0"/>
    <x v="2"/>
    <x v="3"/>
    <n v="1"/>
    <n v="249"/>
    <n v="249"/>
    <x v="0"/>
    <n v="0"/>
    <n v="249"/>
    <x v="4"/>
    <x v="1"/>
  </r>
  <r>
    <x v="1589"/>
    <s v="19 Tue"/>
    <x v="7"/>
    <x v="0"/>
    <s v="CUST-1272"/>
    <s v="Aarav Saxena"/>
    <x v="4"/>
    <x v="2"/>
    <x v="3"/>
    <n v="4"/>
    <n v="249"/>
    <n v="996"/>
    <x v="0"/>
    <n v="0"/>
    <n v="996"/>
    <x v="2"/>
    <x v="1"/>
  </r>
  <r>
    <x v="1590"/>
    <s v="19 Tue"/>
    <x v="7"/>
    <x v="0"/>
    <s v="CUST-1054"/>
    <s v="Kunal Patel"/>
    <x v="2"/>
    <x v="5"/>
    <x v="9"/>
    <n v="1"/>
    <n v="549"/>
    <n v="549"/>
    <x v="4"/>
    <n v="54.9"/>
    <n v="494.1"/>
    <x v="0"/>
    <x v="0"/>
  </r>
  <r>
    <x v="1591"/>
    <s v="19 Tue"/>
    <x v="7"/>
    <x v="0"/>
    <s v="CUST-1365"/>
    <s v="Meera Singh"/>
    <x v="1"/>
    <x v="4"/>
    <x v="7"/>
    <n v="1"/>
    <n v="1999"/>
    <n v="1999"/>
    <x v="1"/>
    <n v="299.85000000000002"/>
    <n v="1699.15"/>
    <x v="3"/>
    <x v="1"/>
  </r>
  <r>
    <x v="1592"/>
    <s v="19 Tue"/>
    <x v="7"/>
    <x v="0"/>
    <s v="CUST-1036"/>
    <s v="Nandini Mehta"/>
    <x v="4"/>
    <x v="1"/>
    <x v="14"/>
    <n v="4"/>
    <n v="1799"/>
    <n v="7196"/>
    <x v="4"/>
    <n v="719.6"/>
    <n v="6476.4"/>
    <x v="4"/>
    <x v="1"/>
  </r>
  <r>
    <x v="1593"/>
    <s v="20 Wed"/>
    <x v="7"/>
    <x v="0"/>
    <s v="CUST-1193"/>
    <s v="Komal Saxena"/>
    <x v="0"/>
    <x v="6"/>
    <x v="12"/>
    <n v="2"/>
    <n v="1499"/>
    <n v="2998"/>
    <x v="0"/>
    <n v="0"/>
    <n v="2998"/>
    <x v="2"/>
    <x v="0"/>
  </r>
  <r>
    <x v="1594"/>
    <s v="20 Wed"/>
    <x v="7"/>
    <x v="0"/>
    <s v="CUST-1359"/>
    <s v="Arjun Mehta"/>
    <x v="4"/>
    <x v="3"/>
    <x v="6"/>
    <n v="1"/>
    <n v="799"/>
    <n v="799"/>
    <x v="0"/>
    <n v="0"/>
    <n v="799"/>
    <x v="0"/>
    <x v="0"/>
  </r>
  <r>
    <x v="1595"/>
    <s v="20 Wed"/>
    <x v="7"/>
    <x v="0"/>
    <s v="CUST-1086"/>
    <s v="Nandini Verma"/>
    <x v="2"/>
    <x v="4"/>
    <x v="7"/>
    <n v="4"/>
    <n v="1999"/>
    <n v="7996"/>
    <x v="2"/>
    <n v="399.8"/>
    <n v="7596.2"/>
    <x v="1"/>
    <x v="1"/>
  </r>
  <r>
    <x v="1596"/>
    <s v="20 Wed"/>
    <x v="7"/>
    <x v="0"/>
    <s v="CUST-1123"/>
    <s v="Shreya Gupta"/>
    <x v="0"/>
    <x v="0"/>
    <x v="0"/>
    <n v="3"/>
    <n v="99"/>
    <n v="297"/>
    <x v="0"/>
    <n v="0"/>
    <n v="297"/>
    <x v="1"/>
    <x v="0"/>
  </r>
  <r>
    <x v="1597"/>
    <s v="20 Wed"/>
    <x v="7"/>
    <x v="0"/>
    <s v="CUST-1223"/>
    <s v="Meera Saxena"/>
    <x v="3"/>
    <x v="2"/>
    <x v="15"/>
    <n v="2"/>
    <n v="299"/>
    <n v="598"/>
    <x v="4"/>
    <n v="59.8"/>
    <n v="538.20000000000005"/>
    <x v="2"/>
    <x v="0"/>
  </r>
  <r>
    <x v="1598"/>
    <s v="21 Thu"/>
    <x v="7"/>
    <x v="0"/>
    <s v="CUST-1171"/>
    <s v="Ankit Verma"/>
    <x v="3"/>
    <x v="1"/>
    <x v="2"/>
    <n v="3"/>
    <n v="599"/>
    <n v="1797"/>
    <x v="4"/>
    <n v="179.7"/>
    <n v="1617.3"/>
    <x v="1"/>
    <x v="1"/>
  </r>
  <r>
    <x v="1599"/>
    <s v="21 Thu"/>
    <x v="7"/>
    <x v="0"/>
    <s v="CUST-1008"/>
    <s v="Meera Saxena"/>
    <x v="3"/>
    <x v="1"/>
    <x v="4"/>
    <n v="1"/>
    <n v="2999"/>
    <n v="2999"/>
    <x v="2"/>
    <n v="149.94999999999999"/>
    <n v="2849.05"/>
    <x v="1"/>
    <x v="1"/>
  </r>
  <r>
    <x v="1600"/>
    <s v="21 Thu"/>
    <x v="7"/>
    <x v="0"/>
    <s v="CUST-1136"/>
    <s v="Kunal Patel"/>
    <x v="4"/>
    <x v="1"/>
    <x v="2"/>
    <n v="2"/>
    <n v="599"/>
    <n v="1198"/>
    <x v="3"/>
    <n v="239.6"/>
    <n v="958.4"/>
    <x v="3"/>
    <x v="0"/>
  </r>
  <r>
    <x v="1601"/>
    <s v="21 Thu"/>
    <x v="7"/>
    <x v="0"/>
    <s v="CUST-1322"/>
    <s v="Rahul Sharma"/>
    <x v="3"/>
    <x v="3"/>
    <x v="5"/>
    <n v="2"/>
    <n v="1299"/>
    <n v="2598"/>
    <x v="0"/>
    <n v="0"/>
    <n v="2598"/>
    <x v="2"/>
    <x v="1"/>
  </r>
  <r>
    <x v="1602"/>
    <s v="21 Thu"/>
    <x v="7"/>
    <x v="0"/>
    <s v="CUST-1328"/>
    <s v="Arjun Verma"/>
    <x v="0"/>
    <x v="0"/>
    <x v="0"/>
    <n v="1"/>
    <n v="99"/>
    <n v="99"/>
    <x v="2"/>
    <n v="4.95"/>
    <n v="94.05"/>
    <x v="3"/>
    <x v="1"/>
  </r>
  <r>
    <x v="1603"/>
    <s v="21 Thu"/>
    <x v="7"/>
    <x v="0"/>
    <s v="CUST-1298"/>
    <s v="Aarav Singh"/>
    <x v="1"/>
    <x v="4"/>
    <x v="7"/>
    <n v="1"/>
    <n v="1999"/>
    <n v="1999"/>
    <x v="0"/>
    <n v="0"/>
    <n v="1999"/>
    <x v="1"/>
    <x v="0"/>
  </r>
  <r>
    <x v="1604"/>
    <s v="22 Fri"/>
    <x v="7"/>
    <x v="0"/>
    <s v="CUST-1184"/>
    <s v="Rahul Joshi"/>
    <x v="4"/>
    <x v="1"/>
    <x v="4"/>
    <n v="2"/>
    <n v="2999"/>
    <n v="5998"/>
    <x v="0"/>
    <n v="0"/>
    <n v="5998"/>
    <x v="2"/>
    <x v="0"/>
  </r>
  <r>
    <x v="1605"/>
    <s v="22 Fri"/>
    <x v="7"/>
    <x v="0"/>
    <s v="CUST-1363"/>
    <s v="Arjun Joshi"/>
    <x v="4"/>
    <x v="1"/>
    <x v="14"/>
    <n v="1"/>
    <n v="1799"/>
    <n v="1799"/>
    <x v="1"/>
    <n v="269.85000000000002"/>
    <n v="1529.15"/>
    <x v="1"/>
    <x v="0"/>
  </r>
  <r>
    <x v="1606"/>
    <s v="22 Fri"/>
    <x v="7"/>
    <x v="0"/>
    <s v="CUST-1361"/>
    <s v="Vivaan Kapoor"/>
    <x v="4"/>
    <x v="3"/>
    <x v="6"/>
    <n v="2"/>
    <n v="799"/>
    <n v="1598"/>
    <x v="0"/>
    <n v="0"/>
    <n v="1598"/>
    <x v="3"/>
    <x v="0"/>
  </r>
  <r>
    <x v="1607"/>
    <s v="22 Fri"/>
    <x v="7"/>
    <x v="0"/>
    <s v="CUST-1290"/>
    <s v="Kabir Mehta"/>
    <x v="0"/>
    <x v="1"/>
    <x v="14"/>
    <n v="4"/>
    <n v="1799"/>
    <n v="7196"/>
    <x v="3"/>
    <n v="1439.2"/>
    <n v="5756.8"/>
    <x v="1"/>
    <x v="1"/>
  </r>
  <r>
    <x v="1608"/>
    <s v="22 Fri"/>
    <x v="7"/>
    <x v="0"/>
    <s v="CUST-1260"/>
    <s v="Ankit Verma"/>
    <x v="2"/>
    <x v="6"/>
    <x v="13"/>
    <n v="2"/>
    <n v="699"/>
    <n v="1398"/>
    <x v="2"/>
    <n v="69.900000000000006"/>
    <n v="1328.1"/>
    <x v="1"/>
    <x v="0"/>
  </r>
  <r>
    <x v="1609"/>
    <s v="23 Sat"/>
    <x v="7"/>
    <x v="0"/>
    <s v="CUST-1029"/>
    <s v="Swati Patel"/>
    <x v="2"/>
    <x v="0"/>
    <x v="0"/>
    <n v="4"/>
    <n v="99"/>
    <n v="396"/>
    <x v="3"/>
    <n v="79.2"/>
    <n v="316.8"/>
    <x v="1"/>
    <x v="1"/>
  </r>
  <r>
    <x v="1610"/>
    <s v="23 Sat"/>
    <x v="7"/>
    <x v="0"/>
    <s v="CUST-1353"/>
    <s v="Vivaan Gupta"/>
    <x v="1"/>
    <x v="3"/>
    <x v="6"/>
    <n v="3"/>
    <n v="799"/>
    <n v="2397"/>
    <x v="0"/>
    <n v="0"/>
    <n v="2397"/>
    <x v="0"/>
    <x v="1"/>
  </r>
  <r>
    <x v="1611"/>
    <s v="23 Sat"/>
    <x v="7"/>
    <x v="0"/>
    <s v="CUST-1377"/>
    <s v="Sakshi Patel"/>
    <x v="3"/>
    <x v="0"/>
    <x v="1"/>
    <n v="1"/>
    <n v="199"/>
    <n v="199"/>
    <x v="4"/>
    <n v="19.899999999999999"/>
    <n v="179.1"/>
    <x v="3"/>
    <x v="0"/>
  </r>
  <r>
    <x v="1612"/>
    <s v="23 Sat"/>
    <x v="7"/>
    <x v="0"/>
    <s v="CUST-1353"/>
    <s v="Vivaan Gupta"/>
    <x v="0"/>
    <x v="6"/>
    <x v="12"/>
    <n v="1"/>
    <n v="1499"/>
    <n v="1499"/>
    <x v="3"/>
    <n v="299.8"/>
    <n v="1199.2"/>
    <x v="2"/>
    <x v="0"/>
  </r>
  <r>
    <x v="1613"/>
    <s v="23 Sat"/>
    <x v="7"/>
    <x v="0"/>
    <s v="CUST-1292"/>
    <s v="Aman Singh"/>
    <x v="0"/>
    <x v="1"/>
    <x v="2"/>
    <n v="2"/>
    <n v="599"/>
    <n v="1198"/>
    <x v="0"/>
    <n v="0"/>
    <n v="1198"/>
    <x v="2"/>
    <x v="1"/>
  </r>
  <r>
    <x v="1614"/>
    <s v="23 Sat"/>
    <x v="7"/>
    <x v="0"/>
    <s v="CUST-1269"/>
    <s v="Kunal Verma"/>
    <x v="4"/>
    <x v="3"/>
    <x v="5"/>
    <n v="1"/>
    <n v="1299"/>
    <n v="1299"/>
    <x v="0"/>
    <n v="0"/>
    <n v="1299"/>
    <x v="0"/>
    <x v="1"/>
  </r>
  <r>
    <x v="1615"/>
    <s v="23 Sat"/>
    <x v="7"/>
    <x v="0"/>
    <s v="CUST-1364"/>
    <s v="Rahul Malhotra"/>
    <x v="1"/>
    <x v="4"/>
    <x v="11"/>
    <n v="1"/>
    <n v="499"/>
    <n v="499"/>
    <x v="0"/>
    <n v="0"/>
    <n v="499"/>
    <x v="2"/>
    <x v="0"/>
  </r>
  <r>
    <x v="1616"/>
    <s v="23 Sat"/>
    <x v="7"/>
    <x v="0"/>
    <s v="CUST-1383"/>
    <s v="Aman Gupta"/>
    <x v="4"/>
    <x v="6"/>
    <x v="12"/>
    <n v="2"/>
    <n v="1499"/>
    <n v="2998"/>
    <x v="0"/>
    <n v="0"/>
    <n v="2998"/>
    <x v="0"/>
    <x v="0"/>
  </r>
  <r>
    <x v="1617"/>
    <s v="23 Sat"/>
    <x v="7"/>
    <x v="0"/>
    <s v="CUST-1135"/>
    <s v="Shreya Joshi"/>
    <x v="0"/>
    <x v="6"/>
    <x v="13"/>
    <n v="2"/>
    <n v="699"/>
    <n v="1398"/>
    <x v="0"/>
    <n v="0"/>
    <n v="1398"/>
    <x v="3"/>
    <x v="0"/>
  </r>
  <r>
    <x v="1618"/>
    <s v="23 Sat"/>
    <x v="7"/>
    <x v="0"/>
    <s v="CUST-1257"/>
    <s v="Shreya Saxena"/>
    <x v="4"/>
    <x v="1"/>
    <x v="2"/>
    <n v="2"/>
    <n v="599"/>
    <n v="1198"/>
    <x v="0"/>
    <n v="0"/>
    <n v="1198"/>
    <x v="3"/>
    <x v="1"/>
  </r>
  <r>
    <x v="1619"/>
    <s v="23 Sat"/>
    <x v="7"/>
    <x v="0"/>
    <s v="CUST-1197"/>
    <s v="Rahul Verma"/>
    <x v="1"/>
    <x v="5"/>
    <x v="9"/>
    <n v="2"/>
    <n v="549"/>
    <n v="1098"/>
    <x v="0"/>
    <n v="0"/>
    <n v="1098"/>
    <x v="1"/>
    <x v="0"/>
  </r>
  <r>
    <x v="1620"/>
    <s v="23 Sat"/>
    <x v="7"/>
    <x v="0"/>
    <s v="CUST-1255"/>
    <s v="Aman Gupta"/>
    <x v="4"/>
    <x v="4"/>
    <x v="11"/>
    <n v="2"/>
    <n v="499"/>
    <n v="998"/>
    <x v="0"/>
    <n v="0"/>
    <n v="998"/>
    <x v="4"/>
    <x v="1"/>
  </r>
  <r>
    <x v="1621"/>
    <s v="24 Sun"/>
    <x v="7"/>
    <x v="0"/>
    <s v="CUST-1353"/>
    <s v="Vivaan Gupta"/>
    <x v="3"/>
    <x v="0"/>
    <x v="1"/>
    <n v="2"/>
    <n v="199"/>
    <n v="398"/>
    <x v="0"/>
    <n v="0"/>
    <n v="398"/>
    <x v="2"/>
    <x v="0"/>
  </r>
  <r>
    <x v="1622"/>
    <s v="24 Sun"/>
    <x v="7"/>
    <x v="0"/>
    <s v="CUST-1330"/>
    <s v="Nandini Gupta"/>
    <x v="3"/>
    <x v="1"/>
    <x v="2"/>
    <n v="2"/>
    <n v="599"/>
    <n v="1198"/>
    <x v="1"/>
    <n v="179.7"/>
    <n v="1018.3"/>
    <x v="2"/>
    <x v="1"/>
  </r>
  <r>
    <x v="1623"/>
    <s v="24 Sun"/>
    <x v="7"/>
    <x v="0"/>
    <s v="CUST-1103"/>
    <s v="Muskan Gupta"/>
    <x v="3"/>
    <x v="1"/>
    <x v="2"/>
    <n v="1"/>
    <n v="599"/>
    <n v="599"/>
    <x v="0"/>
    <n v="0"/>
    <n v="599"/>
    <x v="1"/>
    <x v="0"/>
  </r>
  <r>
    <x v="1624"/>
    <s v="24 Sun"/>
    <x v="7"/>
    <x v="0"/>
    <s v="CUST-1226"/>
    <s v="Tanya Joshi"/>
    <x v="2"/>
    <x v="4"/>
    <x v="10"/>
    <n v="3"/>
    <n v="899"/>
    <n v="2697"/>
    <x v="1"/>
    <n v="404.55"/>
    <n v="2292.4499999999998"/>
    <x v="0"/>
    <x v="1"/>
  </r>
  <r>
    <x v="1625"/>
    <s v="24 Sun"/>
    <x v="7"/>
    <x v="0"/>
    <s v="CUST-1088"/>
    <s v="Arjun Patel"/>
    <x v="1"/>
    <x v="2"/>
    <x v="3"/>
    <n v="1"/>
    <n v="249"/>
    <n v="249"/>
    <x v="4"/>
    <n v="24.9"/>
    <n v="224.1"/>
    <x v="0"/>
    <x v="0"/>
  </r>
  <r>
    <x v="1626"/>
    <s v="24 Sun"/>
    <x v="7"/>
    <x v="0"/>
    <s v="CUST-1333"/>
    <s v="Aarav Gupta"/>
    <x v="2"/>
    <x v="4"/>
    <x v="10"/>
    <n v="2"/>
    <n v="899"/>
    <n v="1798"/>
    <x v="3"/>
    <n v="359.6"/>
    <n v="1438.4"/>
    <x v="0"/>
    <x v="0"/>
  </r>
  <r>
    <x v="1627"/>
    <s v="24 Sun"/>
    <x v="7"/>
    <x v="0"/>
    <s v="CUST-1314"/>
    <s v="Kunal Sharma"/>
    <x v="4"/>
    <x v="5"/>
    <x v="9"/>
    <n v="1"/>
    <n v="549"/>
    <n v="549"/>
    <x v="0"/>
    <n v="0"/>
    <n v="549"/>
    <x v="0"/>
    <x v="1"/>
  </r>
  <r>
    <x v="1628"/>
    <s v="24 Sun"/>
    <x v="7"/>
    <x v="0"/>
    <s v="CUST-1336"/>
    <s v="Arjun Singh"/>
    <x v="1"/>
    <x v="4"/>
    <x v="11"/>
    <n v="1"/>
    <n v="499"/>
    <n v="499"/>
    <x v="4"/>
    <n v="49.9"/>
    <n v="449.1"/>
    <x v="1"/>
    <x v="0"/>
  </r>
  <r>
    <x v="1629"/>
    <s v="24 Sun"/>
    <x v="7"/>
    <x v="0"/>
    <s v="CUST-1224"/>
    <s v="Swati Verma"/>
    <x v="4"/>
    <x v="6"/>
    <x v="12"/>
    <n v="2"/>
    <n v="1499"/>
    <n v="2998"/>
    <x v="0"/>
    <n v="0"/>
    <n v="2998"/>
    <x v="2"/>
    <x v="1"/>
  </r>
  <r>
    <x v="1630"/>
    <s v="24 Sun"/>
    <x v="7"/>
    <x v="0"/>
    <s v="CUST-1086"/>
    <s v="Nandini Verma"/>
    <x v="1"/>
    <x v="1"/>
    <x v="4"/>
    <n v="4"/>
    <n v="2999"/>
    <n v="11996"/>
    <x v="0"/>
    <n v="0"/>
    <n v="11996"/>
    <x v="2"/>
    <x v="1"/>
  </r>
  <r>
    <x v="1631"/>
    <s v="24 Sun"/>
    <x v="7"/>
    <x v="0"/>
    <s v="CUST-1139"/>
    <s v="Aditya Sharma"/>
    <x v="0"/>
    <x v="1"/>
    <x v="2"/>
    <n v="2"/>
    <n v="599"/>
    <n v="1198"/>
    <x v="4"/>
    <n v="119.8"/>
    <n v="1078.2"/>
    <x v="1"/>
    <x v="1"/>
  </r>
  <r>
    <x v="1632"/>
    <s v="24 Sun"/>
    <x v="7"/>
    <x v="0"/>
    <s v="CUST-1347"/>
    <s v="Ankit Joshi"/>
    <x v="1"/>
    <x v="2"/>
    <x v="15"/>
    <n v="1"/>
    <n v="299"/>
    <n v="299"/>
    <x v="4"/>
    <n v="29.9"/>
    <n v="269.10000000000002"/>
    <x v="2"/>
    <x v="0"/>
  </r>
  <r>
    <x v="1633"/>
    <s v="24 Sun"/>
    <x v="7"/>
    <x v="0"/>
    <s v="CUST-1167"/>
    <s v="Nandini Verma"/>
    <x v="3"/>
    <x v="2"/>
    <x v="15"/>
    <n v="1"/>
    <n v="299"/>
    <n v="299"/>
    <x v="1"/>
    <n v="44.85"/>
    <n v="254.15"/>
    <x v="3"/>
    <x v="0"/>
  </r>
  <r>
    <x v="1634"/>
    <s v="25 Mon"/>
    <x v="7"/>
    <x v="0"/>
    <s v="CUST-1054"/>
    <s v="Kunal Patel"/>
    <x v="0"/>
    <x v="6"/>
    <x v="12"/>
    <n v="1"/>
    <n v="1499"/>
    <n v="1499"/>
    <x v="2"/>
    <n v="74.95"/>
    <n v="1424.05"/>
    <x v="2"/>
    <x v="0"/>
  </r>
  <r>
    <x v="1635"/>
    <s v="25 Mon"/>
    <x v="7"/>
    <x v="0"/>
    <s v="CUST-1150"/>
    <s v="Isha Singh"/>
    <x v="1"/>
    <x v="6"/>
    <x v="12"/>
    <n v="1"/>
    <n v="1499"/>
    <n v="1499"/>
    <x v="1"/>
    <n v="224.85"/>
    <n v="1274.1500000000001"/>
    <x v="0"/>
    <x v="1"/>
  </r>
  <r>
    <x v="1636"/>
    <s v="25 Mon"/>
    <x v="7"/>
    <x v="0"/>
    <s v="CUST-1166"/>
    <s v="Divya Mehta"/>
    <x v="3"/>
    <x v="2"/>
    <x v="15"/>
    <n v="1"/>
    <n v="299"/>
    <n v="299"/>
    <x v="4"/>
    <n v="29.9"/>
    <n v="269.10000000000002"/>
    <x v="1"/>
    <x v="0"/>
  </r>
  <r>
    <x v="1637"/>
    <s v="26 Tue"/>
    <x v="7"/>
    <x v="0"/>
    <s v="CUST-1349"/>
    <s v="Rohan Mehta"/>
    <x v="0"/>
    <x v="0"/>
    <x v="0"/>
    <n v="2"/>
    <n v="99"/>
    <n v="198"/>
    <x v="3"/>
    <n v="39.6"/>
    <n v="158.4"/>
    <x v="0"/>
    <x v="0"/>
  </r>
  <r>
    <x v="1638"/>
    <s v="27 Wed"/>
    <x v="7"/>
    <x v="0"/>
    <s v="CUST-1167"/>
    <s v="Nandini Verma"/>
    <x v="2"/>
    <x v="4"/>
    <x v="10"/>
    <n v="1"/>
    <n v="899"/>
    <n v="899"/>
    <x v="1"/>
    <n v="134.85"/>
    <n v="764.15"/>
    <x v="1"/>
    <x v="1"/>
  </r>
  <r>
    <x v="1639"/>
    <s v="27 Wed"/>
    <x v="7"/>
    <x v="0"/>
    <s v="CUST-1314"/>
    <s v="Kunal Sharma"/>
    <x v="4"/>
    <x v="1"/>
    <x v="2"/>
    <n v="2"/>
    <n v="599"/>
    <n v="1198"/>
    <x v="3"/>
    <n v="239.6"/>
    <n v="958.4"/>
    <x v="0"/>
    <x v="0"/>
  </r>
  <r>
    <x v="1640"/>
    <s v="27 Wed"/>
    <x v="7"/>
    <x v="0"/>
    <s v="CUST-1011"/>
    <s v="Kunal Sharma"/>
    <x v="4"/>
    <x v="2"/>
    <x v="15"/>
    <n v="1"/>
    <n v="299"/>
    <n v="299"/>
    <x v="1"/>
    <n v="44.85"/>
    <n v="254.15"/>
    <x v="3"/>
    <x v="1"/>
  </r>
  <r>
    <x v="1641"/>
    <s v="27 Wed"/>
    <x v="7"/>
    <x v="0"/>
    <s v="CUST-1027"/>
    <s v="Aditya Gupta"/>
    <x v="4"/>
    <x v="1"/>
    <x v="2"/>
    <n v="4"/>
    <n v="599"/>
    <n v="2396"/>
    <x v="1"/>
    <n v="359.4"/>
    <n v="2036.6"/>
    <x v="4"/>
    <x v="0"/>
  </r>
  <r>
    <x v="1642"/>
    <s v="27 Wed"/>
    <x v="7"/>
    <x v="0"/>
    <s v="CUST-1084"/>
    <s v="Kunal Saxena"/>
    <x v="2"/>
    <x v="6"/>
    <x v="12"/>
    <n v="2"/>
    <n v="1499"/>
    <n v="2998"/>
    <x v="0"/>
    <n v="0"/>
    <n v="2998"/>
    <x v="0"/>
    <x v="1"/>
  </r>
  <r>
    <x v="1643"/>
    <s v="27 Wed"/>
    <x v="7"/>
    <x v="0"/>
    <s v="CUST-1237"/>
    <s v="Divya Sharma"/>
    <x v="3"/>
    <x v="1"/>
    <x v="4"/>
    <n v="3"/>
    <n v="2999"/>
    <n v="8997"/>
    <x v="0"/>
    <n v="0"/>
    <n v="8997"/>
    <x v="1"/>
    <x v="1"/>
  </r>
  <r>
    <x v="1644"/>
    <s v="27 Wed"/>
    <x v="7"/>
    <x v="0"/>
    <s v="CUST-1217"/>
    <s v="Ankit Patel"/>
    <x v="1"/>
    <x v="1"/>
    <x v="14"/>
    <n v="4"/>
    <n v="1799"/>
    <n v="7196"/>
    <x v="1"/>
    <n v="1079.4000000000001"/>
    <n v="6116.6"/>
    <x v="3"/>
    <x v="0"/>
  </r>
  <r>
    <x v="1645"/>
    <s v="27 Wed"/>
    <x v="7"/>
    <x v="0"/>
    <s v="CUST-1058"/>
    <s v="Nandini Singh"/>
    <x v="0"/>
    <x v="0"/>
    <x v="1"/>
    <n v="1"/>
    <n v="199"/>
    <n v="199"/>
    <x v="2"/>
    <n v="9.9499999999999993"/>
    <n v="189.05"/>
    <x v="3"/>
    <x v="1"/>
  </r>
  <r>
    <x v="1646"/>
    <s v="27 Wed"/>
    <x v="7"/>
    <x v="0"/>
    <s v="CUST-1054"/>
    <s v="Kunal Patel"/>
    <x v="3"/>
    <x v="3"/>
    <x v="5"/>
    <n v="2"/>
    <n v="1299"/>
    <n v="2598"/>
    <x v="0"/>
    <n v="0"/>
    <n v="2598"/>
    <x v="0"/>
    <x v="0"/>
  </r>
  <r>
    <x v="1647"/>
    <s v="28 Thu"/>
    <x v="7"/>
    <x v="0"/>
    <s v="CUST-1371"/>
    <s v="Rahul Verma"/>
    <x v="2"/>
    <x v="1"/>
    <x v="4"/>
    <n v="1"/>
    <n v="2999"/>
    <n v="2999"/>
    <x v="3"/>
    <n v="599.79999999999995"/>
    <n v="2399.1999999999998"/>
    <x v="2"/>
    <x v="0"/>
  </r>
  <r>
    <x v="1648"/>
    <s v="28 Thu"/>
    <x v="7"/>
    <x v="0"/>
    <s v="CUST-1279"/>
    <s v="Tanya Kapoor"/>
    <x v="3"/>
    <x v="1"/>
    <x v="4"/>
    <n v="1"/>
    <n v="2999"/>
    <n v="2999"/>
    <x v="3"/>
    <n v="599.79999999999995"/>
    <n v="2399.1999999999998"/>
    <x v="4"/>
    <x v="0"/>
  </r>
  <r>
    <x v="1649"/>
    <s v="28 Thu"/>
    <x v="7"/>
    <x v="0"/>
    <s v="CUST-1304"/>
    <s v="Kunal Saxena"/>
    <x v="3"/>
    <x v="1"/>
    <x v="2"/>
    <n v="1"/>
    <n v="599"/>
    <n v="599"/>
    <x v="3"/>
    <n v="119.8"/>
    <n v="479.2"/>
    <x v="2"/>
    <x v="0"/>
  </r>
  <r>
    <x v="1650"/>
    <s v="28 Thu"/>
    <x v="7"/>
    <x v="0"/>
    <s v="CUST-1302"/>
    <s v="Arjun Saxena"/>
    <x v="0"/>
    <x v="4"/>
    <x v="10"/>
    <n v="1"/>
    <n v="899"/>
    <n v="899"/>
    <x v="0"/>
    <n v="0"/>
    <n v="899"/>
    <x v="0"/>
    <x v="0"/>
  </r>
  <r>
    <x v="1651"/>
    <s v="28 Thu"/>
    <x v="7"/>
    <x v="0"/>
    <s v="CUST-1013"/>
    <s v="Divya Joshi"/>
    <x v="0"/>
    <x v="4"/>
    <x v="11"/>
    <n v="2"/>
    <n v="499"/>
    <n v="998"/>
    <x v="4"/>
    <n v="99.8"/>
    <n v="898.2"/>
    <x v="1"/>
    <x v="0"/>
  </r>
  <r>
    <x v="1652"/>
    <s v="28 Thu"/>
    <x v="7"/>
    <x v="0"/>
    <s v="CUST-1391"/>
    <s v="Kunal Gupta"/>
    <x v="2"/>
    <x v="5"/>
    <x v="8"/>
    <n v="3"/>
    <n v="349"/>
    <n v="1047"/>
    <x v="0"/>
    <n v="0"/>
    <n v="1047"/>
    <x v="1"/>
    <x v="1"/>
  </r>
  <r>
    <x v="1653"/>
    <s v="29 Fri"/>
    <x v="7"/>
    <x v="0"/>
    <s v="CUST-1341"/>
    <s v="Meera Patel"/>
    <x v="3"/>
    <x v="4"/>
    <x v="10"/>
    <n v="2"/>
    <n v="899"/>
    <n v="1798"/>
    <x v="0"/>
    <n v="0"/>
    <n v="1798"/>
    <x v="0"/>
    <x v="1"/>
  </r>
  <r>
    <x v="1654"/>
    <s v="29 Fri"/>
    <x v="7"/>
    <x v="0"/>
    <s v="CUST-1210"/>
    <s v="Meera Sharma"/>
    <x v="1"/>
    <x v="2"/>
    <x v="3"/>
    <n v="2"/>
    <n v="249"/>
    <n v="498"/>
    <x v="4"/>
    <n v="49.8"/>
    <n v="448.2"/>
    <x v="0"/>
    <x v="1"/>
  </r>
  <r>
    <x v="1655"/>
    <s v="29 Fri"/>
    <x v="7"/>
    <x v="0"/>
    <s v="CUST-1175"/>
    <s v="Vivaan Kapoor"/>
    <x v="4"/>
    <x v="0"/>
    <x v="1"/>
    <n v="1"/>
    <n v="199"/>
    <n v="199"/>
    <x v="0"/>
    <n v="0"/>
    <n v="199"/>
    <x v="0"/>
    <x v="0"/>
  </r>
  <r>
    <x v="1656"/>
    <s v="30 Sat"/>
    <x v="7"/>
    <x v="0"/>
    <s v="CUST-1187"/>
    <s v="Kabir Saxena"/>
    <x v="1"/>
    <x v="5"/>
    <x v="8"/>
    <n v="1"/>
    <n v="349"/>
    <n v="349"/>
    <x v="2"/>
    <n v="17.45"/>
    <n v="331.55"/>
    <x v="2"/>
    <x v="0"/>
  </r>
  <r>
    <x v="1657"/>
    <s v="30 Sat"/>
    <x v="7"/>
    <x v="0"/>
    <s v="CUST-1189"/>
    <s v="Vivaan Mehta"/>
    <x v="4"/>
    <x v="0"/>
    <x v="1"/>
    <n v="2"/>
    <n v="199"/>
    <n v="398"/>
    <x v="3"/>
    <n v="79.599999999999994"/>
    <n v="318.39999999999998"/>
    <x v="0"/>
    <x v="1"/>
  </r>
  <r>
    <x v="1658"/>
    <s v="30 Sat"/>
    <x v="7"/>
    <x v="0"/>
    <s v="CUST-1098"/>
    <s v="Rohan Patel"/>
    <x v="0"/>
    <x v="0"/>
    <x v="1"/>
    <n v="1"/>
    <n v="199"/>
    <n v="199"/>
    <x v="0"/>
    <n v="0"/>
    <n v="199"/>
    <x v="4"/>
    <x v="1"/>
  </r>
  <r>
    <x v="1659"/>
    <s v="30 Sat"/>
    <x v="7"/>
    <x v="0"/>
    <s v="CUST-1289"/>
    <s v="Kunal Verma"/>
    <x v="2"/>
    <x v="1"/>
    <x v="4"/>
    <n v="2"/>
    <n v="2999"/>
    <n v="5998"/>
    <x v="3"/>
    <n v="1199.5999999999999"/>
    <n v="4798.3999999999996"/>
    <x v="1"/>
    <x v="1"/>
  </r>
  <r>
    <x v="1660"/>
    <s v="30 Sat"/>
    <x v="7"/>
    <x v="0"/>
    <s v="CUST-1262"/>
    <s v="Kunal Joshi"/>
    <x v="4"/>
    <x v="3"/>
    <x v="5"/>
    <n v="1"/>
    <n v="1299"/>
    <n v="1299"/>
    <x v="0"/>
    <n v="0"/>
    <n v="1299"/>
    <x v="0"/>
    <x v="0"/>
  </r>
  <r>
    <x v="1661"/>
    <s v="31 Sun"/>
    <x v="7"/>
    <x v="0"/>
    <s v="CUST-1355"/>
    <s v="Aditya Joshi"/>
    <x v="4"/>
    <x v="6"/>
    <x v="12"/>
    <n v="2"/>
    <n v="1499"/>
    <n v="2998"/>
    <x v="4"/>
    <n v="299.8"/>
    <n v="2698.2"/>
    <x v="4"/>
    <x v="0"/>
  </r>
  <r>
    <x v="1662"/>
    <s v="31 Sun"/>
    <x v="7"/>
    <x v="0"/>
    <s v="CUST-1140"/>
    <s v="Tanya Verma"/>
    <x v="3"/>
    <x v="0"/>
    <x v="1"/>
    <n v="1"/>
    <n v="199"/>
    <n v="199"/>
    <x v="0"/>
    <n v="0"/>
    <n v="199"/>
    <x v="4"/>
    <x v="0"/>
  </r>
  <r>
    <x v="1663"/>
    <s v="31 Sun"/>
    <x v="7"/>
    <x v="0"/>
    <s v="CUST-1280"/>
    <s v="Muskan Kapoor"/>
    <x v="2"/>
    <x v="2"/>
    <x v="3"/>
    <n v="2"/>
    <n v="249"/>
    <n v="498"/>
    <x v="0"/>
    <n v="0"/>
    <n v="498"/>
    <x v="0"/>
    <x v="0"/>
  </r>
  <r>
    <x v="1664"/>
    <s v="31 Sun"/>
    <x v="7"/>
    <x v="0"/>
    <s v="CUST-1398"/>
    <s v="Sakshi Patel"/>
    <x v="3"/>
    <x v="2"/>
    <x v="15"/>
    <n v="3"/>
    <n v="299"/>
    <n v="897"/>
    <x v="1"/>
    <n v="134.55000000000001"/>
    <n v="762.45"/>
    <x v="0"/>
    <x v="0"/>
  </r>
  <r>
    <x v="1665"/>
    <s v="31 Sun"/>
    <x v="7"/>
    <x v="0"/>
    <s v="CUST-1120"/>
    <s v="Divya Kapoor"/>
    <x v="2"/>
    <x v="5"/>
    <x v="8"/>
    <n v="1"/>
    <n v="349"/>
    <n v="349"/>
    <x v="3"/>
    <n v="69.8"/>
    <n v="279.2"/>
    <x v="3"/>
    <x v="0"/>
  </r>
  <r>
    <x v="1666"/>
    <s v="1 Mon"/>
    <x v="8"/>
    <x v="0"/>
    <s v="CUST-1394"/>
    <s v="Tanya Malhotra"/>
    <x v="1"/>
    <x v="4"/>
    <x v="7"/>
    <n v="2"/>
    <n v="1999"/>
    <n v="3998"/>
    <x v="1"/>
    <n v="599.70000000000005"/>
    <n v="3398.3"/>
    <x v="3"/>
    <x v="0"/>
  </r>
  <r>
    <x v="1667"/>
    <s v="1 Mon"/>
    <x v="8"/>
    <x v="0"/>
    <s v="CUST-1336"/>
    <s v="Arjun Singh"/>
    <x v="0"/>
    <x v="3"/>
    <x v="6"/>
    <n v="1"/>
    <n v="799"/>
    <n v="799"/>
    <x v="2"/>
    <n v="39.950000000000003"/>
    <n v="759.05"/>
    <x v="2"/>
    <x v="0"/>
  </r>
  <r>
    <x v="1668"/>
    <s v="2 Tue"/>
    <x v="8"/>
    <x v="0"/>
    <s v="CUST-1361"/>
    <s v="Vivaan Kapoor"/>
    <x v="0"/>
    <x v="6"/>
    <x v="12"/>
    <n v="2"/>
    <n v="1499"/>
    <n v="2998"/>
    <x v="1"/>
    <n v="449.7"/>
    <n v="2548.3000000000002"/>
    <x v="2"/>
    <x v="1"/>
  </r>
  <r>
    <x v="1669"/>
    <s v="2 Tue"/>
    <x v="8"/>
    <x v="0"/>
    <s v="CUST-1389"/>
    <s v="Ankit Mehta"/>
    <x v="0"/>
    <x v="4"/>
    <x v="10"/>
    <n v="2"/>
    <n v="899"/>
    <n v="1798"/>
    <x v="2"/>
    <n v="89.9"/>
    <n v="1708.1"/>
    <x v="3"/>
    <x v="0"/>
  </r>
  <r>
    <x v="1670"/>
    <s v="2 Tue"/>
    <x v="8"/>
    <x v="0"/>
    <s v="CUST-1351"/>
    <s v="Tanya Mehta"/>
    <x v="1"/>
    <x v="2"/>
    <x v="15"/>
    <n v="1"/>
    <n v="299"/>
    <n v="299"/>
    <x v="1"/>
    <n v="44.85"/>
    <n v="254.15"/>
    <x v="3"/>
    <x v="0"/>
  </r>
  <r>
    <x v="1671"/>
    <s v="2 Tue"/>
    <x v="8"/>
    <x v="0"/>
    <s v="CUST-1244"/>
    <s v="Meera Gupta"/>
    <x v="3"/>
    <x v="4"/>
    <x v="11"/>
    <n v="4"/>
    <n v="499"/>
    <n v="1996"/>
    <x v="4"/>
    <n v="199.6"/>
    <n v="1796.4"/>
    <x v="1"/>
    <x v="1"/>
  </r>
  <r>
    <x v="1672"/>
    <s v="3 Wed"/>
    <x v="8"/>
    <x v="0"/>
    <s v="CUST-1180"/>
    <s v="Muskan Joshi"/>
    <x v="1"/>
    <x v="4"/>
    <x v="10"/>
    <n v="1"/>
    <n v="899"/>
    <n v="899"/>
    <x v="1"/>
    <n v="134.85"/>
    <n v="764.15"/>
    <x v="1"/>
    <x v="0"/>
  </r>
  <r>
    <x v="1673"/>
    <s v="3 Wed"/>
    <x v="8"/>
    <x v="0"/>
    <s v="CUST-1341"/>
    <s v="Meera Patel"/>
    <x v="3"/>
    <x v="2"/>
    <x v="3"/>
    <n v="1"/>
    <n v="249"/>
    <n v="249"/>
    <x v="0"/>
    <n v="0"/>
    <n v="249"/>
    <x v="4"/>
    <x v="0"/>
  </r>
  <r>
    <x v="1674"/>
    <s v="3 Wed"/>
    <x v="8"/>
    <x v="0"/>
    <s v="CUST-1067"/>
    <s v="Nandini Gupta"/>
    <x v="2"/>
    <x v="4"/>
    <x v="7"/>
    <n v="2"/>
    <n v="1999"/>
    <n v="3998"/>
    <x v="0"/>
    <n v="0"/>
    <n v="3998"/>
    <x v="1"/>
    <x v="0"/>
  </r>
  <r>
    <x v="1675"/>
    <s v="3 Wed"/>
    <x v="8"/>
    <x v="0"/>
    <s v="CUST-1126"/>
    <s v="Divya Sharma"/>
    <x v="0"/>
    <x v="6"/>
    <x v="12"/>
    <n v="2"/>
    <n v="1499"/>
    <n v="2998"/>
    <x v="0"/>
    <n v="0"/>
    <n v="2998"/>
    <x v="0"/>
    <x v="1"/>
  </r>
  <r>
    <x v="1676"/>
    <s v="3 Wed"/>
    <x v="8"/>
    <x v="0"/>
    <s v="CUST-1103"/>
    <s v="Muskan Gupta"/>
    <x v="2"/>
    <x v="4"/>
    <x v="10"/>
    <n v="1"/>
    <n v="899"/>
    <n v="899"/>
    <x v="2"/>
    <n v="44.95"/>
    <n v="854.05"/>
    <x v="1"/>
    <x v="1"/>
  </r>
  <r>
    <x v="1677"/>
    <s v="3 Wed"/>
    <x v="8"/>
    <x v="0"/>
    <s v="CUST-1319"/>
    <s v="Rohan Sharma"/>
    <x v="2"/>
    <x v="2"/>
    <x v="3"/>
    <n v="2"/>
    <n v="249"/>
    <n v="498"/>
    <x v="2"/>
    <n v="24.9"/>
    <n v="473.1"/>
    <x v="1"/>
    <x v="0"/>
  </r>
  <r>
    <x v="1678"/>
    <s v="3 Wed"/>
    <x v="8"/>
    <x v="0"/>
    <s v="CUST-1157"/>
    <s v="Arjun Verma"/>
    <x v="0"/>
    <x v="2"/>
    <x v="3"/>
    <n v="1"/>
    <n v="249"/>
    <n v="249"/>
    <x v="0"/>
    <n v="0"/>
    <n v="249"/>
    <x v="3"/>
    <x v="0"/>
  </r>
  <r>
    <x v="1679"/>
    <s v="3 Wed"/>
    <x v="8"/>
    <x v="0"/>
    <s v="CUST-1075"/>
    <s v="Divya Patel"/>
    <x v="0"/>
    <x v="1"/>
    <x v="4"/>
    <n v="1"/>
    <n v="2999"/>
    <n v="2999"/>
    <x v="3"/>
    <n v="599.79999999999995"/>
    <n v="2399.1999999999998"/>
    <x v="4"/>
    <x v="1"/>
  </r>
  <r>
    <x v="1680"/>
    <s v="4 Thu"/>
    <x v="8"/>
    <x v="0"/>
    <s v="CUST-1122"/>
    <s v="Aditya Kapoor"/>
    <x v="0"/>
    <x v="3"/>
    <x v="5"/>
    <n v="3"/>
    <n v="1299"/>
    <n v="3897"/>
    <x v="0"/>
    <n v="0"/>
    <n v="3897"/>
    <x v="0"/>
    <x v="1"/>
  </r>
  <r>
    <x v="1681"/>
    <s v="4 Thu"/>
    <x v="8"/>
    <x v="0"/>
    <s v="CUST-1153"/>
    <s v="Swati Verma"/>
    <x v="1"/>
    <x v="3"/>
    <x v="6"/>
    <n v="1"/>
    <n v="799"/>
    <n v="799"/>
    <x v="3"/>
    <n v="159.80000000000001"/>
    <n v="639.20000000000005"/>
    <x v="0"/>
    <x v="0"/>
  </r>
  <r>
    <x v="1682"/>
    <s v="4 Thu"/>
    <x v="8"/>
    <x v="0"/>
    <s v="CUST-1138"/>
    <s v="Tanya Singh"/>
    <x v="3"/>
    <x v="5"/>
    <x v="8"/>
    <n v="1"/>
    <n v="349"/>
    <n v="349"/>
    <x v="1"/>
    <n v="52.35"/>
    <n v="296.64999999999998"/>
    <x v="2"/>
    <x v="1"/>
  </r>
  <r>
    <x v="1683"/>
    <s v="4 Thu"/>
    <x v="8"/>
    <x v="0"/>
    <s v="CUST-1284"/>
    <s v="Arjun Kapoor"/>
    <x v="0"/>
    <x v="6"/>
    <x v="13"/>
    <n v="1"/>
    <n v="699"/>
    <n v="699"/>
    <x v="0"/>
    <n v="0"/>
    <n v="699"/>
    <x v="0"/>
    <x v="1"/>
  </r>
  <r>
    <x v="1684"/>
    <s v="4 Thu"/>
    <x v="8"/>
    <x v="0"/>
    <s v="CUST-1105"/>
    <s v="Rohan Singh"/>
    <x v="1"/>
    <x v="2"/>
    <x v="15"/>
    <n v="1"/>
    <n v="299"/>
    <n v="299"/>
    <x v="1"/>
    <n v="44.85"/>
    <n v="254.15"/>
    <x v="1"/>
    <x v="0"/>
  </r>
  <r>
    <x v="1685"/>
    <s v="4 Thu"/>
    <x v="8"/>
    <x v="0"/>
    <s v="CUST-1119"/>
    <s v="Rahul Gupta"/>
    <x v="2"/>
    <x v="4"/>
    <x v="11"/>
    <n v="1"/>
    <n v="499"/>
    <n v="499"/>
    <x v="0"/>
    <n v="0"/>
    <n v="499"/>
    <x v="0"/>
    <x v="0"/>
  </r>
  <r>
    <x v="1686"/>
    <s v="4 Thu"/>
    <x v="8"/>
    <x v="0"/>
    <s v="CUST-1017"/>
    <s v="Aarav Verma"/>
    <x v="1"/>
    <x v="4"/>
    <x v="11"/>
    <n v="1"/>
    <n v="499"/>
    <n v="499"/>
    <x v="1"/>
    <n v="74.849999999999994"/>
    <n v="424.15"/>
    <x v="1"/>
    <x v="0"/>
  </r>
  <r>
    <x v="1687"/>
    <s v="4 Thu"/>
    <x v="8"/>
    <x v="0"/>
    <s v="CUST-1331"/>
    <s v="Arjun Singh"/>
    <x v="0"/>
    <x v="6"/>
    <x v="12"/>
    <n v="1"/>
    <n v="1499"/>
    <n v="1499"/>
    <x v="3"/>
    <n v="299.8"/>
    <n v="1199.2"/>
    <x v="1"/>
    <x v="0"/>
  </r>
  <r>
    <x v="1688"/>
    <s v="5 Fri"/>
    <x v="8"/>
    <x v="0"/>
    <s v="CUST-1243"/>
    <s v="Aman Joshi"/>
    <x v="4"/>
    <x v="5"/>
    <x v="9"/>
    <n v="1"/>
    <n v="549"/>
    <n v="549"/>
    <x v="0"/>
    <n v="0"/>
    <n v="549"/>
    <x v="1"/>
    <x v="1"/>
  </r>
  <r>
    <x v="1689"/>
    <s v="5 Fri"/>
    <x v="8"/>
    <x v="0"/>
    <s v="CUST-1269"/>
    <s v="Kunal Verma"/>
    <x v="4"/>
    <x v="4"/>
    <x v="10"/>
    <n v="1"/>
    <n v="899"/>
    <n v="899"/>
    <x v="2"/>
    <n v="44.95"/>
    <n v="854.05"/>
    <x v="2"/>
    <x v="0"/>
  </r>
  <r>
    <x v="1690"/>
    <s v="5 Fri"/>
    <x v="8"/>
    <x v="0"/>
    <s v="CUST-1158"/>
    <s v="Shreya Singh"/>
    <x v="3"/>
    <x v="4"/>
    <x v="7"/>
    <n v="1"/>
    <n v="1999"/>
    <n v="1999"/>
    <x v="0"/>
    <n v="0"/>
    <n v="1999"/>
    <x v="2"/>
    <x v="0"/>
  </r>
  <r>
    <x v="1691"/>
    <s v="5 Fri"/>
    <x v="8"/>
    <x v="0"/>
    <s v="CUST-1012"/>
    <s v="Shreya Patel"/>
    <x v="0"/>
    <x v="1"/>
    <x v="2"/>
    <n v="1"/>
    <n v="599"/>
    <n v="599"/>
    <x v="0"/>
    <n v="0"/>
    <n v="599"/>
    <x v="2"/>
    <x v="0"/>
  </r>
  <r>
    <x v="1692"/>
    <s v="5 Fri"/>
    <x v="8"/>
    <x v="0"/>
    <s v="CUST-1364"/>
    <s v="Rahul Malhotra"/>
    <x v="3"/>
    <x v="1"/>
    <x v="2"/>
    <n v="1"/>
    <n v="599"/>
    <n v="599"/>
    <x v="0"/>
    <n v="0"/>
    <n v="599"/>
    <x v="1"/>
    <x v="0"/>
  </r>
  <r>
    <x v="1693"/>
    <s v="5 Fri"/>
    <x v="8"/>
    <x v="0"/>
    <s v="CUST-1158"/>
    <s v="Shreya Singh"/>
    <x v="1"/>
    <x v="4"/>
    <x v="7"/>
    <n v="1"/>
    <n v="1999"/>
    <n v="1999"/>
    <x v="1"/>
    <n v="299.85000000000002"/>
    <n v="1699.15"/>
    <x v="3"/>
    <x v="1"/>
  </r>
  <r>
    <x v="1694"/>
    <s v="5 Fri"/>
    <x v="8"/>
    <x v="0"/>
    <s v="CUST-1072"/>
    <s v="Tanya Sharma"/>
    <x v="1"/>
    <x v="1"/>
    <x v="4"/>
    <n v="1"/>
    <n v="2999"/>
    <n v="2999"/>
    <x v="0"/>
    <n v="0"/>
    <n v="2999"/>
    <x v="2"/>
    <x v="1"/>
  </r>
  <r>
    <x v="1695"/>
    <s v="6 Sat"/>
    <x v="8"/>
    <x v="0"/>
    <s v="CUST-1274"/>
    <s v="Muskan Singh"/>
    <x v="2"/>
    <x v="0"/>
    <x v="1"/>
    <n v="2"/>
    <n v="199"/>
    <n v="398"/>
    <x v="0"/>
    <n v="0"/>
    <n v="398"/>
    <x v="4"/>
    <x v="0"/>
  </r>
  <r>
    <x v="1696"/>
    <s v="6 Sat"/>
    <x v="8"/>
    <x v="0"/>
    <s v="CUST-1288"/>
    <s v="Aditya Mehta"/>
    <x v="0"/>
    <x v="4"/>
    <x v="7"/>
    <n v="1"/>
    <n v="1999"/>
    <n v="1999"/>
    <x v="0"/>
    <n v="0"/>
    <n v="1999"/>
    <x v="3"/>
    <x v="0"/>
  </r>
  <r>
    <x v="1697"/>
    <s v="6 Sat"/>
    <x v="8"/>
    <x v="0"/>
    <s v="CUST-1319"/>
    <s v="Rohan Sharma"/>
    <x v="2"/>
    <x v="4"/>
    <x v="10"/>
    <n v="3"/>
    <n v="899"/>
    <n v="2697"/>
    <x v="0"/>
    <n v="0"/>
    <n v="2697"/>
    <x v="3"/>
    <x v="0"/>
  </r>
  <r>
    <x v="1698"/>
    <s v="6 Sat"/>
    <x v="8"/>
    <x v="0"/>
    <s v="CUST-1339"/>
    <s v="Aarav Patel"/>
    <x v="4"/>
    <x v="4"/>
    <x v="11"/>
    <n v="3"/>
    <n v="499"/>
    <n v="1497"/>
    <x v="3"/>
    <n v="299.39999999999998"/>
    <n v="1197.5999999999999"/>
    <x v="1"/>
    <x v="0"/>
  </r>
  <r>
    <x v="1699"/>
    <s v="6 Sat"/>
    <x v="8"/>
    <x v="0"/>
    <s v="CUST-1230"/>
    <s v="Divya Malhotra"/>
    <x v="2"/>
    <x v="3"/>
    <x v="5"/>
    <n v="1"/>
    <n v="1299"/>
    <n v="1299"/>
    <x v="1"/>
    <n v="194.85"/>
    <n v="1104.1500000000001"/>
    <x v="2"/>
    <x v="0"/>
  </r>
  <r>
    <x v="1700"/>
    <s v="6 Sat"/>
    <x v="8"/>
    <x v="0"/>
    <s v="CUST-1337"/>
    <s v="Rahul Patel"/>
    <x v="2"/>
    <x v="1"/>
    <x v="4"/>
    <n v="3"/>
    <n v="2999"/>
    <n v="8997"/>
    <x v="2"/>
    <n v="449.85"/>
    <n v="8547.15"/>
    <x v="4"/>
    <x v="0"/>
  </r>
  <r>
    <x v="1701"/>
    <s v="6 Sat"/>
    <x v="8"/>
    <x v="0"/>
    <s v="CUST-1019"/>
    <s v="Aarav Joshi"/>
    <x v="4"/>
    <x v="0"/>
    <x v="0"/>
    <n v="4"/>
    <n v="99"/>
    <n v="396"/>
    <x v="0"/>
    <n v="0"/>
    <n v="396"/>
    <x v="1"/>
    <x v="0"/>
  </r>
  <r>
    <x v="1702"/>
    <s v="7 Sun"/>
    <x v="8"/>
    <x v="0"/>
    <s v="CUST-1085"/>
    <s v="Shreya Mehta"/>
    <x v="4"/>
    <x v="6"/>
    <x v="13"/>
    <n v="2"/>
    <n v="699"/>
    <n v="1398"/>
    <x v="0"/>
    <n v="0"/>
    <n v="1398"/>
    <x v="0"/>
    <x v="0"/>
  </r>
  <r>
    <x v="1703"/>
    <s v="7 Sun"/>
    <x v="8"/>
    <x v="0"/>
    <s v="CUST-1202"/>
    <s v="Isha Verma"/>
    <x v="2"/>
    <x v="4"/>
    <x v="7"/>
    <n v="3"/>
    <n v="1999"/>
    <n v="5997"/>
    <x v="0"/>
    <n v="0"/>
    <n v="5997"/>
    <x v="2"/>
    <x v="0"/>
  </r>
  <r>
    <x v="1704"/>
    <s v="7 Sun"/>
    <x v="8"/>
    <x v="0"/>
    <s v="CUST-1230"/>
    <s v="Divya Malhotra"/>
    <x v="1"/>
    <x v="5"/>
    <x v="8"/>
    <n v="2"/>
    <n v="349"/>
    <n v="698"/>
    <x v="0"/>
    <n v="0"/>
    <n v="698"/>
    <x v="0"/>
    <x v="0"/>
  </r>
  <r>
    <x v="1705"/>
    <s v="7 Sun"/>
    <x v="8"/>
    <x v="0"/>
    <s v="CUST-1183"/>
    <s v="Arjun Mehta"/>
    <x v="0"/>
    <x v="1"/>
    <x v="4"/>
    <n v="2"/>
    <n v="2999"/>
    <n v="5998"/>
    <x v="0"/>
    <n v="0"/>
    <n v="5998"/>
    <x v="2"/>
    <x v="0"/>
  </r>
  <r>
    <x v="1706"/>
    <s v="7 Sun"/>
    <x v="8"/>
    <x v="0"/>
    <s v="CUST-1042"/>
    <s v="Kunal Saxena"/>
    <x v="1"/>
    <x v="2"/>
    <x v="3"/>
    <n v="1"/>
    <n v="249"/>
    <n v="249"/>
    <x v="1"/>
    <n v="37.35"/>
    <n v="211.65"/>
    <x v="2"/>
    <x v="1"/>
  </r>
  <r>
    <x v="1707"/>
    <s v="7 Sun"/>
    <x v="8"/>
    <x v="0"/>
    <s v="CUST-1138"/>
    <s v="Tanya Singh"/>
    <x v="2"/>
    <x v="2"/>
    <x v="3"/>
    <n v="1"/>
    <n v="249"/>
    <n v="249"/>
    <x v="0"/>
    <n v="0"/>
    <n v="249"/>
    <x v="1"/>
    <x v="1"/>
  </r>
  <r>
    <x v="1708"/>
    <s v="7 Sun"/>
    <x v="8"/>
    <x v="0"/>
    <s v="CUST-1321"/>
    <s v="Isha Mehta"/>
    <x v="0"/>
    <x v="0"/>
    <x v="0"/>
    <n v="1"/>
    <n v="99"/>
    <n v="99"/>
    <x v="1"/>
    <n v="14.85"/>
    <n v="84.15"/>
    <x v="0"/>
    <x v="0"/>
  </r>
  <r>
    <x v="1709"/>
    <s v="7 Sun"/>
    <x v="8"/>
    <x v="0"/>
    <s v="CUST-1395"/>
    <s v="Rahul Verma"/>
    <x v="2"/>
    <x v="1"/>
    <x v="2"/>
    <n v="1"/>
    <n v="599"/>
    <n v="599"/>
    <x v="0"/>
    <n v="0"/>
    <n v="599"/>
    <x v="2"/>
    <x v="0"/>
  </r>
  <r>
    <x v="1710"/>
    <s v="7 Sun"/>
    <x v="8"/>
    <x v="0"/>
    <s v="CUST-1112"/>
    <s v="Komal Gupta"/>
    <x v="3"/>
    <x v="6"/>
    <x v="13"/>
    <n v="2"/>
    <n v="699"/>
    <n v="1398"/>
    <x v="2"/>
    <n v="69.900000000000006"/>
    <n v="1328.1"/>
    <x v="4"/>
    <x v="0"/>
  </r>
  <r>
    <x v="1711"/>
    <s v="7 Sun"/>
    <x v="8"/>
    <x v="0"/>
    <s v="CUST-1186"/>
    <s v="Meera Verma"/>
    <x v="2"/>
    <x v="5"/>
    <x v="8"/>
    <n v="1"/>
    <n v="349"/>
    <n v="349"/>
    <x v="2"/>
    <n v="17.45"/>
    <n v="331.55"/>
    <x v="2"/>
    <x v="0"/>
  </r>
  <r>
    <x v="1712"/>
    <s v="7 Sun"/>
    <x v="8"/>
    <x v="0"/>
    <s v="CUST-1102"/>
    <s v="Aarav Patel"/>
    <x v="3"/>
    <x v="0"/>
    <x v="1"/>
    <n v="3"/>
    <n v="199"/>
    <n v="597"/>
    <x v="0"/>
    <n v="0"/>
    <n v="597"/>
    <x v="2"/>
    <x v="1"/>
  </r>
  <r>
    <x v="1713"/>
    <s v="7 Sun"/>
    <x v="8"/>
    <x v="0"/>
    <s v="CUST-1168"/>
    <s v="Nandini Joshi"/>
    <x v="1"/>
    <x v="1"/>
    <x v="14"/>
    <n v="1"/>
    <n v="1799"/>
    <n v="1799"/>
    <x v="2"/>
    <n v="89.95"/>
    <n v="1709.05"/>
    <x v="0"/>
    <x v="0"/>
  </r>
  <r>
    <x v="1714"/>
    <s v="8 Mon"/>
    <x v="8"/>
    <x v="0"/>
    <s v="CUST-1178"/>
    <s v="Komal Sharma"/>
    <x v="3"/>
    <x v="1"/>
    <x v="2"/>
    <n v="1"/>
    <n v="599"/>
    <n v="599"/>
    <x v="1"/>
    <n v="89.85"/>
    <n v="509.15"/>
    <x v="4"/>
    <x v="0"/>
  </r>
  <r>
    <x v="1715"/>
    <s v="8 Mon"/>
    <x v="8"/>
    <x v="0"/>
    <s v="CUST-1183"/>
    <s v="Arjun Mehta"/>
    <x v="1"/>
    <x v="0"/>
    <x v="1"/>
    <n v="2"/>
    <n v="199"/>
    <n v="398"/>
    <x v="0"/>
    <n v="0"/>
    <n v="398"/>
    <x v="2"/>
    <x v="0"/>
  </r>
  <r>
    <x v="1716"/>
    <s v="8 Mon"/>
    <x v="8"/>
    <x v="0"/>
    <s v="CUST-1370"/>
    <s v="Shreya Malhotra"/>
    <x v="1"/>
    <x v="6"/>
    <x v="12"/>
    <n v="3"/>
    <n v="1499"/>
    <n v="4497"/>
    <x v="1"/>
    <n v="674.55"/>
    <n v="3822.45"/>
    <x v="1"/>
    <x v="1"/>
  </r>
  <r>
    <x v="1717"/>
    <s v="8 Mon"/>
    <x v="8"/>
    <x v="0"/>
    <s v="CUST-1275"/>
    <s v="Tanya Singh"/>
    <x v="3"/>
    <x v="1"/>
    <x v="4"/>
    <n v="1"/>
    <n v="2999"/>
    <n v="2999"/>
    <x v="0"/>
    <n v="0"/>
    <n v="2999"/>
    <x v="0"/>
    <x v="0"/>
  </r>
  <r>
    <x v="1718"/>
    <s v="8 Mon"/>
    <x v="8"/>
    <x v="0"/>
    <s v="CUST-1232"/>
    <s v="Aman Patel"/>
    <x v="1"/>
    <x v="1"/>
    <x v="14"/>
    <n v="2"/>
    <n v="1799"/>
    <n v="3598"/>
    <x v="0"/>
    <n v="0"/>
    <n v="3598"/>
    <x v="1"/>
    <x v="0"/>
  </r>
  <r>
    <x v="1719"/>
    <s v="8 Mon"/>
    <x v="8"/>
    <x v="0"/>
    <s v="CUST-1376"/>
    <s v="Kunal Kapoor"/>
    <x v="3"/>
    <x v="6"/>
    <x v="13"/>
    <n v="2"/>
    <n v="699"/>
    <n v="1398"/>
    <x v="0"/>
    <n v="0"/>
    <n v="1398"/>
    <x v="2"/>
    <x v="1"/>
  </r>
  <r>
    <x v="1720"/>
    <s v="9 Tue"/>
    <x v="8"/>
    <x v="0"/>
    <s v="CUST-1087"/>
    <s v="Kabir Verma"/>
    <x v="3"/>
    <x v="4"/>
    <x v="10"/>
    <n v="1"/>
    <n v="899"/>
    <n v="899"/>
    <x v="1"/>
    <n v="134.85"/>
    <n v="764.15"/>
    <x v="0"/>
    <x v="0"/>
  </r>
  <r>
    <x v="1721"/>
    <s v="9 Tue"/>
    <x v="8"/>
    <x v="0"/>
    <s v="CUST-1145"/>
    <s v="Kunal Joshi"/>
    <x v="4"/>
    <x v="3"/>
    <x v="5"/>
    <n v="1"/>
    <n v="1299"/>
    <n v="1299"/>
    <x v="3"/>
    <n v="259.8"/>
    <n v="1039.2"/>
    <x v="4"/>
    <x v="1"/>
  </r>
  <r>
    <x v="1722"/>
    <s v="9 Tue"/>
    <x v="8"/>
    <x v="0"/>
    <s v="CUST-1116"/>
    <s v="Sakshi Mehta"/>
    <x v="3"/>
    <x v="5"/>
    <x v="9"/>
    <n v="1"/>
    <n v="549"/>
    <n v="549"/>
    <x v="4"/>
    <n v="54.9"/>
    <n v="494.1"/>
    <x v="0"/>
    <x v="0"/>
  </r>
  <r>
    <x v="1723"/>
    <s v="9 Tue"/>
    <x v="8"/>
    <x v="0"/>
    <s v="CUST-1295"/>
    <s v="Tanya Singh"/>
    <x v="2"/>
    <x v="6"/>
    <x v="12"/>
    <n v="1"/>
    <n v="1499"/>
    <n v="1499"/>
    <x v="4"/>
    <n v="149.9"/>
    <n v="1349.1"/>
    <x v="3"/>
    <x v="0"/>
  </r>
  <r>
    <x v="1724"/>
    <s v="9 Tue"/>
    <x v="8"/>
    <x v="0"/>
    <s v="CUST-1018"/>
    <s v="Aditya Gupta"/>
    <x v="2"/>
    <x v="5"/>
    <x v="9"/>
    <n v="2"/>
    <n v="549"/>
    <n v="1098"/>
    <x v="0"/>
    <n v="0"/>
    <n v="1098"/>
    <x v="0"/>
    <x v="0"/>
  </r>
  <r>
    <x v="1725"/>
    <s v="9 Tue"/>
    <x v="8"/>
    <x v="0"/>
    <s v="CUST-1208"/>
    <s v="Arjun Singh"/>
    <x v="2"/>
    <x v="2"/>
    <x v="3"/>
    <n v="3"/>
    <n v="249"/>
    <n v="747"/>
    <x v="2"/>
    <n v="37.35"/>
    <n v="709.65"/>
    <x v="0"/>
    <x v="0"/>
  </r>
  <r>
    <x v="1726"/>
    <s v="9 Tue"/>
    <x v="8"/>
    <x v="0"/>
    <s v="CUST-1265"/>
    <s v="Muskan Singh"/>
    <x v="1"/>
    <x v="1"/>
    <x v="2"/>
    <n v="4"/>
    <n v="599"/>
    <n v="2396"/>
    <x v="2"/>
    <n v="119.8"/>
    <n v="2276.1999999999998"/>
    <x v="4"/>
    <x v="1"/>
  </r>
  <r>
    <x v="1727"/>
    <s v="9 Tue"/>
    <x v="8"/>
    <x v="0"/>
    <s v="CUST-1281"/>
    <s v="Nandini Saxena"/>
    <x v="2"/>
    <x v="0"/>
    <x v="0"/>
    <n v="1"/>
    <n v="99"/>
    <n v="99"/>
    <x v="1"/>
    <n v="14.85"/>
    <n v="84.15"/>
    <x v="1"/>
    <x v="0"/>
  </r>
  <r>
    <x v="1728"/>
    <s v="9 Tue"/>
    <x v="8"/>
    <x v="0"/>
    <s v="CUST-1252"/>
    <s v="Arjun Singh"/>
    <x v="4"/>
    <x v="2"/>
    <x v="3"/>
    <n v="1"/>
    <n v="249"/>
    <n v="249"/>
    <x v="0"/>
    <n v="0"/>
    <n v="249"/>
    <x v="0"/>
    <x v="0"/>
  </r>
  <r>
    <x v="1729"/>
    <s v="9 Tue"/>
    <x v="8"/>
    <x v="0"/>
    <s v="CUST-1387"/>
    <s v="Rohan Patel"/>
    <x v="1"/>
    <x v="1"/>
    <x v="14"/>
    <n v="1"/>
    <n v="1799"/>
    <n v="1799"/>
    <x v="4"/>
    <n v="179.9"/>
    <n v="1619.1"/>
    <x v="3"/>
    <x v="1"/>
  </r>
  <r>
    <x v="1730"/>
    <s v="9 Tue"/>
    <x v="8"/>
    <x v="0"/>
    <s v="CUST-1352"/>
    <s v="Nandini Mehta"/>
    <x v="1"/>
    <x v="5"/>
    <x v="9"/>
    <n v="1"/>
    <n v="549"/>
    <n v="549"/>
    <x v="0"/>
    <n v="0"/>
    <n v="549"/>
    <x v="2"/>
    <x v="1"/>
  </r>
  <r>
    <x v="1731"/>
    <s v="10 Wed"/>
    <x v="8"/>
    <x v="0"/>
    <s v="CUST-1103"/>
    <s v="Muskan Gupta"/>
    <x v="1"/>
    <x v="3"/>
    <x v="6"/>
    <n v="1"/>
    <n v="799"/>
    <n v="799"/>
    <x v="3"/>
    <n v="159.80000000000001"/>
    <n v="639.20000000000005"/>
    <x v="1"/>
    <x v="0"/>
  </r>
  <r>
    <x v="1732"/>
    <s v="10 Wed"/>
    <x v="8"/>
    <x v="0"/>
    <s v="CUST-1178"/>
    <s v="Komal Sharma"/>
    <x v="4"/>
    <x v="0"/>
    <x v="1"/>
    <n v="1"/>
    <n v="199"/>
    <n v="199"/>
    <x v="0"/>
    <n v="0"/>
    <n v="199"/>
    <x v="2"/>
    <x v="0"/>
  </r>
  <r>
    <x v="1733"/>
    <s v="10 Wed"/>
    <x v="8"/>
    <x v="0"/>
    <s v="CUST-1110"/>
    <s v="Aman Malhotra"/>
    <x v="2"/>
    <x v="2"/>
    <x v="15"/>
    <n v="2"/>
    <n v="299"/>
    <n v="598"/>
    <x v="0"/>
    <n v="0"/>
    <n v="598"/>
    <x v="3"/>
    <x v="0"/>
  </r>
  <r>
    <x v="1734"/>
    <s v="10 Wed"/>
    <x v="8"/>
    <x v="0"/>
    <s v="CUST-1269"/>
    <s v="Kunal Verma"/>
    <x v="4"/>
    <x v="4"/>
    <x v="10"/>
    <n v="1"/>
    <n v="899"/>
    <n v="899"/>
    <x v="0"/>
    <n v="0"/>
    <n v="899"/>
    <x v="1"/>
    <x v="0"/>
  </r>
  <r>
    <x v="1735"/>
    <s v="10 Wed"/>
    <x v="8"/>
    <x v="0"/>
    <s v="CUST-1385"/>
    <s v="Aman Kapoor"/>
    <x v="0"/>
    <x v="3"/>
    <x v="6"/>
    <n v="1"/>
    <n v="799"/>
    <n v="799"/>
    <x v="0"/>
    <n v="0"/>
    <n v="799"/>
    <x v="0"/>
    <x v="1"/>
  </r>
  <r>
    <x v="1736"/>
    <s v="10 Wed"/>
    <x v="8"/>
    <x v="0"/>
    <s v="CUST-1297"/>
    <s v="Sakshi Kapoor"/>
    <x v="1"/>
    <x v="4"/>
    <x v="11"/>
    <n v="2"/>
    <n v="499"/>
    <n v="998"/>
    <x v="3"/>
    <n v="199.6"/>
    <n v="798.4"/>
    <x v="2"/>
    <x v="0"/>
  </r>
  <r>
    <x v="1737"/>
    <s v="11 Thu"/>
    <x v="8"/>
    <x v="0"/>
    <s v="CUST-1234"/>
    <s v="Meera Sharma"/>
    <x v="0"/>
    <x v="1"/>
    <x v="14"/>
    <n v="1"/>
    <n v="1799"/>
    <n v="1799"/>
    <x v="2"/>
    <n v="89.95"/>
    <n v="1709.05"/>
    <x v="1"/>
    <x v="0"/>
  </r>
  <r>
    <x v="1738"/>
    <s v="11 Thu"/>
    <x v="8"/>
    <x v="0"/>
    <s v="CUST-1060"/>
    <s v="Swati Gupta"/>
    <x v="4"/>
    <x v="4"/>
    <x v="11"/>
    <n v="2"/>
    <n v="499"/>
    <n v="998"/>
    <x v="4"/>
    <n v="99.8"/>
    <n v="898.2"/>
    <x v="1"/>
    <x v="1"/>
  </r>
  <r>
    <x v="1739"/>
    <s v="11 Thu"/>
    <x v="8"/>
    <x v="0"/>
    <s v="CUST-1335"/>
    <s v="Divya Saxena"/>
    <x v="0"/>
    <x v="1"/>
    <x v="4"/>
    <n v="2"/>
    <n v="2999"/>
    <n v="5998"/>
    <x v="4"/>
    <n v="599.79999999999995"/>
    <n v="5398.2"/>
    <x v="2"/>
    <x v="0"/>
  </r>
  <r>
    <x v="1740"/>
    <s v="11 Thu"/>
    <x v="8"/>
    <x v="0"/>
    <s v="CUST-1184"/>
    <s v="Rahul Joshi"/>
    <x v="1"/>
    <x v="6"/>
    <x v="13"/>
    <n v="3"/>
    <n v="699"/>
    <n v="2097"/>
    <x v="0"/>
    <n v="0"/>
    <n v="2097"/>
    <x v="3"/>
    <x v="0"/>
  </r>
  <r>
    <x v="1741"/>
    <s v="11 Thu"/>
    <x v="8"/>
    <x v="0"/>
    <s v="CUST-1196"/>
    <s v="Aditya Patel"/>
    <x v="2"/>
    <x v="0"/>
    <x v="1"/>
    <n v="1"/>
    <n v="199"/>
    <n v="199"/>
    <x v="2"/>
    <n v="9.9499999999999993"/>
    <n v="189.05"/>
    <x v="1"/>
    <x v="1"/>
  </r>
  <r>
    <x v="1742"/>
    <s v="12 Fri"/>
    <x v="8"/>
    <x v="0"/>
    <s v="CUST-1143"/>
    <s v="Muskan Saxena"/>
    <x v="0"/>
    <x v="4"/>
    <x v="7"/>
    <n v="1"/>
    <n v="1999"/>
    <n v="1999"/>
    <x v="0"/>
    <n v="0"/>
    <n v="1999"/>
    <x v="2"/>
    <x v="1"/>
  </r>
  <r>
    <x v="1743"/>
    <s v="12 Fri"/>
    <x v="8"/>
    <x v="0"/>
    <s v="CUST-1221"/>
    <s v="Kunal Singh"/>
    <x v="2"/>
    <x v="6"/>
    <x v="13"/>
    <n v="4"/>
    <n v="699"/>
    <n v="2796"/>
    <x v="0"/>
    <n v="0"/>
    <n v="2796"/>
    <x v="1"/>
    <x v="0"/>
  </r>
  <r>
    <x v="1744"/>
    <s v="12 Fri"/>
    <x v="8"/>
    <x v="0"/>
    <s v="CUST-1122"/>
    <s v="Aditya Kapoor"/>
    <x v="4"/>
    <x v="4"/>
    <x v="11"/>
    <n v="4"/>
    <n v="499"/>
    <n v="1996"/>
    <x v="0"/>
    <n v="0"/>
    <n v="1996"/>
    <x v="2"/>
    <x v="0"/>
  </r>
  <r>
    <x v="1745"/>
    <s v="12 Fri"/>
    <x v="8"/>
    <x v="0"/>
    <s v="CUST-1071"/>
    <s v="Kabir Malhotra"/>
    <x v="0"/>
    <x v="1"/>
    <x v="2"/>
    <n v="3"/>
    <n v="599"/>
    <n v="1797"/>
    <x v="0"/>
    <n v="0"/>
    <n v="1797"/>
    <x v="2"/>
    <x v="1"/>
  </r>
  <r>
    <x v="1746"/>
    <s v="13 Sat"/>
    <x v="8"/>
    <x v="0"/>
    <s v="CUST-1039"/>
    <s v="Aarav Joshi"/>
    <x v="2"/>
    <x v="2"/>
    <x v="3"/>
    <n v="1"/>
    <n v="249"/>
    <n v="249"/>
    <x v="0"/>
    <n v="0"/>
    <n v="249"/>
    <x v="0"/>
    <x v="0"/>
  </r>
  <r>
    <x v="1747"/>
    <s v="13 Sat"/>
    <x v="8"/>
    <x v="0"/>
    <s v="CUST-1067"/>
    <s v="Nandini Gupta"/>
    <x v="1"/>
    <x v="4"/>
    <x v="7"/>
    <n v="1"/>
    <n v="1999"/>
    <n v="1999"/>
    <x v="0"/>
    <n v="0"/>
    <n v="1999"/>
    <x v="2"/>
    <x v="0"/>
  </r>
  <r>
    <x v="1748"/>
    <s v="13 Sat"/>
    <x v="8"/>
    <x v="0"/>
    <s v="CUST-1171"/>
    <s v="Ankit Verma"/>
    <x v="4"/>
    <x v="2"/>
    <x v="15"/>
    <n v="2"/>
    <n v="299"/>
    <n v="598"/>
    <x v="2"/>
    <n v="29.9"/>
    <n v="568.1"/>
    <x v="0"/>
    <x v="1"/>
  </r>
  <r>
    <x v="1749"/>
    <s v="13 Sat"/>
    <x v="8"/>
    <x v="0"/>
    <s v="CUST-1250"/>
    <s v="Shreya Saxena"/>
    <x v="3"/>
    <x v="5"/>
    <x v="9"/>
    <n v="1"/>
    <n v="549"/>
    <n v="549"/>
    <x v="0"/>
    <n v="0"/>
    <n v="549"/>
    <x v="1"/>
    <x v="1"/>
  </r>
  <r>
    <x v="1750"/>
    <s v="13 Sat"/>
    <x v="8"/>
    <x v="0"/>
    <s v="CUST-1360"/>
    <s v="Muskan Singh"/>
    <x v="0"/>
    <x v="2"/>
    <x v="15"/>
    <n v="1"/>
    <n v="299"/>
    <n v="299"/>
    <x v="2"/>
    <n v="14.95"/>
    <n v="284.05"/>
    <x v="1"/>
    <x v="1"/>
  </r>
  <r>
    <x v="1751"/>
    <s v="13 Sat"/>
    <x v="8"/>
    <x v="0"/>
    <s v="CUST-1209"/>
    <s v="Meera Mehta"/>
    <x v="2"/>
    <x v="4"/>
    <x v="11"/>
    <n v="3"/>
    <n v="499"/>
    <n v="1497"/>
    <x v="3"/>
    <n v="299.39999999999998"/>
    <n v="1197.5999999999999"/>
    <x v="0"/>
    <x v="0"/>
  </r>
  <r>
    <x v="1752"/>
    <s v="13 Sat"/>
    <x v="8"/>
    <x v="0"/>
    <s v="CUST-1327"/>
    <s v="Kunal Malhotra"/>
    <x v="4"/>
    <x v="6"/>
    <x v="12"/>
    <n v="2"/>
    <n v="1499"/>
    <n v="2998"/>
    <x v="0"/>
    <n v="0"/>
    <n v="2998"/>
    <x v="2"/>
    <x v="0"/>
  </r>
  <r>
    <x v="1753"/>
    <s v="13 Sat"/>
    <x v="8"/>
    <x v="0"/>
    <s v="CUST-1180"/>
    <s v="Muskan Joshi"/>
    <x v="3"/>
    <x v="2"/>
    <x v="3"/>
    <n v="2"/>
    <n v="249"/>
    <n v="498"/>
    <x v="2"/>
    <n v="24.9"/>
    <n v="473.1"/>
    <x v="1"/>
    <x v="1"/>
  </r>
  <r>
    <x v="1754"/>
    <s v="14 Sun"/>
    <x v="8"/>
    <x v="0"/>
    <s v="CUST-1358"/>
    <s v="Aman Patel"/>
    <x v="3"/>
    <x v="0"/>
    <x v="0"/>
    <n v="3"/>
    <n v="99"/>
    <n v="297"/>
    <x v="0"/>
    <n v="0"/>
    <n v="297"/>
    <x v="2"/>
    <x v="1"/>
  </r>
  <r>
    <x v="1755"/>
    <s v="14 Sun"/>
    <x v="8"/>
    <x v="0"/>
    <s v="CUST-1352"/>
    <s v="Nandini Mehta"/>
    <x v="2"/>
    <x v="2"/>
    <x v="3"/>
    <n v="1"/>
    <n v="249"/>
    <n v="249"/>
    <x v="4"/>
    <n v="24.9"/>
    <n v="224.1"/>
    <x v="3"/>
    <x v="0"/>
  </r>
  <r>
    <x v="1756"/>
    <s v="14 Sun"/>
    <x v="8"/>
    <x v="0"/>
    <s v="CUST-1140"/>
    <s v="Tanya Verma"/>
    <x v="2"/>
    <x v="1"/>
    <x v="14"/>
    <n v="1"/>
    <n v="1799"/>
    <n v="1799"/>
    <x v="1"/>
    <n v="269.85000000000002"/>
    <n v="1529.15"/>
    <x v="2"/>
    <x v="0"/>
  </r>
  <r>
    <x v="1757"/>
    <s v="14 Sun"/>
    <x v="8"/>
    <x v="0"/>
    <s v="CUST-1139"/>
    <s v="Aditya Sharma"/>
    <x v="4"/>
    <x v="1"/>
    <x v="2"/>
    <n v="4"/>
    <n v="599"/>
    <n v="2396"/>
    <x v="1"/>
    <n v="359.4"/>
    <n v="2036.6"/>
    <x v="3"/>
    <x v="1"/>
  </r>
  <r>
    <x v="1758"/>
    <s v="14 Sun"/>
    <x v="8"/>
    <x v="0"/>
    <s v="CUST-1348"/>
    <s v="Ankit Malhotra"/>
    <x v="1"/>
    <x v="1"/>
    <x v="4"/>
    <n v="2"/>
    <n v="2999"/>
    <n v="5998"/>
    <x v="0"/>
    <n v="0"/>
    <n v="5998"/>
    <x v="1"/>
    <x v="0"/>
  </r>
  <r>
    <x v="1759"/>
    <s v="14 Sun"/>
    <x v="8"/>
    <x v="0"/>
    <s v="CUST-1254"/>
    <s v="Meera Malhotra"/>
    <x v="1"/>
    <x v="4"/>
    <x v="10"/>
    <n v="1"/>
    <n v="899"/>
    <n v="899"/>
    <x v="0"/>
    <n v="0"/>
    <n v="899"/>
    <x v="4"/>
    <x v="1"/>
  </r>
  <r>
    <x v="1760"/>
    <s v="14 Sun"/>
    <x v="8"/>
    <x v="0"/>
    <s v="CUST-1344"/>
    <s v="Nandini Saxena"/>
    <x v="2"/>
    <x v="6"/>
    <x v="13"/>
    <n v="1"/>
    <n v="699"/>
    <n v="699"/>
    <x v="0"/>
    <n v="0"/>
    <n v="699"/>
    <x v="1"/>
    <x v="0"/>
  </r>
  <r>
    <x v="1761"/>
    <s v="15 Mon"/>
    <x v="8"/>
    <x v="0"/>
    <s v="CUST-1050"/>
    <s v="Rohan Gupta"/>
    <x v="3"/>
    <x v="6"/>
    <x v="13"/>
    <n v="3"/>
    <n v="699"/>
    <n v="2097"/>
    <x v="4"/>
    <n v="209.7"/>
    <n v="1887.3"/>
    <x v="1"/>
    <x v="0"/>
  </r>
  <r>
    <x v="1762"/>
    <s v="15 Mon"/>
    <x v="8"/>
    <x v="0"/>
    <s v="CUST-1105"/>
    <s v="Rohan Singh"/>
    <x v="3"/>
    <x v="0"/>
    <x v="0"/>
    <n v="2"/>
    <n v="99"/>
    <n v="198"/>
    <x v="4"/>
    <n v="19.8"/>
    <n v="178.2"/>
    <x v="0"/>
    <x v="1"/>
  </r>
  <r>
    <x v="1763"/>
    <s v="15 Mon"/>
    <x v="8"/>
    <x v="0"/>
    <s v="CUST-1127"/>
    <s v="Muskan Joshi"/>
    <x v="2"/>
    <x v="6"/>
    <x v="12"/>
    <n v="1"/>
    <n v="1499"/>
    <n v="1499"/>
    <x v="2"/>
    <n v="74.95"/>
    <n v="1424.05"/>
    <x v="3"/>
    <x v="0"/>
  </r>
  <r>
    <x v="1764"/>
    <s v="15 Mon"/>
    <x v="8"/>
    <x v="0"/>
    <s v="CUST-1297"/>
    <s v="Sakshi Kapoor"/>
    <x v="0"/>
    <x v="2"/>
    <x v="15"/>
    <n v="1"/>
    <n v="299"/>
    <n v="299"/>
    <x v="1"/>
    <n v="44.85"/>
    <n v="254.15"/>
    <x v="2"/>
    <x v="1"/>
  </r>
  <r>
    <x v="1765"/>
    <s v="15 Mon"/>
    <x v="8"/>
    <x v="0"/>
    <s v="CUST-1152"/>
    <s v="Kabir Gupta"/>
    <x v="3"/>
    <x v="4"/>
    <x v="7"/>
    <n v="1"/>
    <n v="1999"/>
    <n v="1999"/>
    <x v="0"/>
    <n v="0"/>
    <n v="1999"/>
    <x v="3"/>
    <x v="0"/>
  </r>
  <r>
    <x v="1766"/>
    <s v="15 Mon"/>
    <x v="8"/>
    <x v="0"/>
    <s v="CUST-1203"/>
    <s v="Ankit Verma"/>
    <x v="3"/>
    <x v="2"/>
    <x v="3"/>
    <n v="3"/>
    <n v="249"/>
    <n v="747"/>
    <x v="4"/>
    <n v="74.7"/>
    <n v="672.3"/>
    <x v="4"/>
    <x v="0"/>
  </r>
  <r>
    <x v="1767"/>
    <s v="15 Mon"/>
    <x v="8"/>
    <x v="0"/>
    <s v="CUST-1114"/>
    <s v="Vivaan Malhotra"/>
    <x v="3"/>
    <x v="1"/>
    <x v="4"/>
    <n v="2"/>
    <n v="2999"/>
    <n v="5998"/>
    <x v="4"/>
    <n v="599.79999999999995"/>
    <n v="5398.2"/>
    <x v="2"/>
    <x v="0"/>
  </r>
  <r>
    <x v="1768"/>
    <s v="15 Mon"/>
    <x v="8"/>
    <x v="0"/>
    <s v="CUST-1159"/>
    <s v="Isha Kapoor"/>
    <x v="2"/>
    <x v="6"/>
    <x v="12"/>
    <n v="4"/>
    <n v="1499"/>
    <n v="5996"/>
    <x v="1"/>
    <n v="899.4"/>
    <n v="5096.6000000000004"/>
    <x v="1"/>
    <x v="1"/>
  </r>
  <r>
    <x v="1769"/>
    <s v="16 Tue"/>
    <x v="8"/>
    <x v="0"/>
    <s v="CUST-1050"/>
    <s v="Rohan Gupta"/>
    <x v="0"/>
    <x v="6"/>
    <x v="12"/>
    <n v="1"/>
    <n v="1499"/>
    <n v="1499"/>
    <x v="2"/>
    <n v="74.95"/>
    <n v="1424.05"/>
    <x v="4"/>
    <x v="0"/>
  </r>
  <r>
    <x v="1770"/>
    <s v="16 Tue"/>
    <x v="8"/>
    <x v="0"/>
    <s v="CUST-1130"/>
    <s v="Aditya Singh"/>
    <x v="0"/>
    <x v="0"/>
    <x v="1"/>
    <n v="2"/>
    <n v="199"/>
    <n v="398"/>
    <x v="0"/>
    <n v="0"/>
    <n v="398"/>
    <x v="0"/>
    <x v="0"/>
  </r>
  <r>
    <x v="1771"/>
    <s v="16 Tue"/>
    <x v="8"/>
    <x v="0"/>
    <s v="CUST-1308"/>
    <s v="Shreya Sharma"/>
    <x v="2"/>
    <x v="4"/>
    <x v="7"/>
    <n v="4"/>
    <n v="1999"/>
    <n v="7996"/>
    <x v="4"/>
    <n v="799.6"/>
    <n v="7196.4"/>
    <x v="3"/>
    <x v="1"/>
  </r>
  <r>
    <x v="1772"/>
    <s v="16 Tue"/>
    <x v="8"/>
    <x v="0"/>
    <s v="CUST-1364"/>
    <s v="Rahul Malhotra"/>
    <x v="2"/>
    <x v="5"/>
    <x v="9"/>
    <n v="4"/>
    <n v="549"/>
    <n v="2196"/>
    <x v="0"/>
    <n v="0"/>
    <n v="2196"/>
    <x v="2"/>
    <x v="0"/>
  </r>
  <r>
    <x v="1773"/>
    <s v="16 Tue"/>
    <x v="8"/>
    <x v="0"/>
    <s v="CUST-1330"/>
    <s v="Nandini Gupta"/>
    <x v="3"/>
    <x v="3"/>
    <x v="6"/>
    <n v="3"/>
    <n v="799"/>
    <n v="2397"/>
    <x v="0"/>
    <n v="0"/>
    <n v="2397"/>
    <x v="2"/>
    <x v="0"/>
  </r>
  <r>
    <x v="1774"/>
    <s v="16 Tue"/>
    <x v="8"/>
    <x v="0"/>
    <s v="CUST-1120"/>
    <s v="Divya Kapoor"/>
    <x v="3"/>
    <x v="5"/>
    <x v="9"/>
    <n v="5"/>
    <n v="549"/>
    <n v="2745"/>
    <x v="2"/>
    <n v="137.25"/>
    <n v="2607.75"/>
    <x v="1"/>
    <x v="1"/>
  </r>
  <r>
    <x v="1775"/>
    <s v="16 Tue"/>
    <x v="8"/>
    <x v="0"/>
    <s v="CUST-1176"/>
    <s v="Meera Sharma"/>
    <x v="3"/>
    <x v="5"/>
    <x v="9"/>
    <n v="5"/>
    <n v="549"/>
    <n v="2745"/>
    <x v="0"/>
    <n v="0"/>
    <n v="2745"/>
    <x v="2"/>
    <x v="0"/>
  </r>
  <r>
    <x v="1776"/>
    <s v="16 Tue"/>
    <x v="8"/>
    <x v="0"/>
    <s v="CUST-1180"/>
    <s v="Muskan Joshi"/>
    <x v="2"/>
    <x v="4"/>
    <x v="7"/>
    <n v="1"/>
    <n v="1999"/>
    <n v="1999"/>
    <x v="0"/>
    <n v="0"/>
    <n v="1999"/>
    <x v="4"/>
    <x v="0"/>
  </r>
  <r>
    <x v="1777"/>
    <s v="16 Tue"/>
    <x v="8"/>
    <x v="0"/>
    <s v="CUST-1096"/>
    <s v="Kunal Saxena"/>
    <x v="1"/>
    <x v="6"/>
    <x v="12"/>
    <n v="4"/>
    <n v="1499"/>
    <n v="5996"/>
    <x v="3"/>
    <n v="1199.2"/>
    <n v="4796.8"/>
    <x v="2"/>
    <x v="0"/>
  </r>
  <r>
    <x v="1778"/>
    <s v="16 Tue"/>
    <x v="8"/>
    <x v="0"/>
    <s v="CUST-1342"/>
    <s v="Vivaan Saxena"/>
    <x v="0"/>
    <x v="2"/>
    <x v="15"/>
    <n v="1"/>
    <n v="299"/>
    <n v="299"/>
    <x v="0"/>
    <n v="0"/>
    <n v="299"/>
    <x v="0"/>
    <x v="0"/>
  </r>
  <r>
    <x v="1779"/>
    <s v="16 Tue"/>
    <x v="8"/>
    <x v="0"/>
    <s v="CUST-1120"/>
    <s v="Divya Kapoor"/>
    <x v="2"/>
    <x v="0"/>
    <x v="1"/>
    <n v="3"/>
    <n v="199"/>
    <n v="597"/>
    <x v="1"/>
    <n v="89.55"/>
    <n v="507.45"/>
    <x v="2"/>
    <x v="0"/>
  </r>
  <r>
    <x v="1780"/>
    <s v="16 Tue"/>
    <x v="8"/>
    <x v="0"/>
    <s v="CUST-1338"/>
    <s v="Komal Malhotra"/>
    <x v="2"/>
    <x v="3"/>
    <x v="6"/>
    <n v="1"/>
    <n v="799"/>
    <n v="799"/>
    <x v="0"/>
    <n v="0"/>
    <n v="799"/>
    <x v="1"/>
    <x v="0"/>
  </r>
  <r>
    <x v="1781"/>
    <s v="17 Wed"/>
    <x v="8"/>
    <x v="0"/>
    <s v="CUST-1002"/>
    <s v="Shreya Mehta"/>
    <x v="2"/>
    <x v="6"/>
    <x v="12"/>
    <n v="2"/>
    <n v="1499"/>
    <n v="2998"/>
    <x v="4"/>
    <n v="299.8"/>
    <n v="2698.2"/>
    <x v="0"/>
    <x v="0"/>
  </r>
  <r>
    <x v="1782"/>
    <s v="17 Wed"/>
    <x v="8"/>
    <x v="0"/>
    <s v="CUST-1107"/>
    <s v="Isha Sharma"/>
    <x v="0"/>
    <x v="5"/>
    <x v="9"/>
    <n v="1"/>
    <n v="549"/>
    <n v="549"/>
    <x v="2"/>
    <n v="27.45"/>
    <n v="521.54999999999995"/>
    <x v="0"/>
    <x v="1"/>
  </r>
  <r>
    <x v="1783"/>
    <s v="17 Wed"/>
    <x v="8"/>
    <x v="0"/>
    <s v="CUST-1302"/>
    <s v="Arjun Saxena"/>
    <x v="0"/>
    <x v="0"/>
    <x v="0"/>
    <n v="1"/>
    <n v="99"/>
    <n v="99"/>
    <x v="4"/>
    <n v="9.9"/>
    <n v="89.1"/>
    <x v="1"/>
    <x v="0"/>
  </r>
  <r>
    <x v="1784"/>
    <s v="17 Wed"/>
    <x v="8"/>
    <x v="0"/>
    <s v="CUST-1340"/>
    <s v="Aman Kapoor"/>
    <x v="3"/>
    <x v="6"/>
    <x v="13"/>
    <n v="3"/>
    <n v="699"/>
    <n v="2097"/>
    <x v="3"/>
    <n v="419.4"/>
    <n v="1677.6"/>
    <x v="2"/>
    <x v="0"/>
  </r>
  <r>
    <x v="1785"/>
    <s v="17 Wed"/>
    <x v="8"/>
    <x v="0"/>
    <s v="CUST-1379"/>
    <s v="Divya Verma"/>
    <x v="1"/>
    <x v="1"/>
    <x v="4"/>
    <n v="3"/>
    <n v="2999"/>
    <n v="8997"/>
    <x v="4"/>
    <n v="899.7"/>
    <n v="8097.3"/>
    <x v="2"/>
    <x v="0"/>
  </r>
  <r>
    <x v="1786"/>
    <s v="17 Wed"/>
    <x v="8"/>
    <x v="0"/>
    <s v="CUST-1064"/>
    <s v="Ankit Mehta"/>
    <x v="3"/>
    <x v="4"/>
    <x v="10"/>
    <n v="1"/>
    <n v="899"/>
    <n v="899"/>
    <x v="0"/>
    <n v="0"/>
    <n v="899"/>
    <x v="0"/>
    <x v="0"/>
  </r>
  <r>
    <x v="1787"/>
    <s v="17 Wed"/>
    <x v="8"/>
    <x v="0"/>
    <s v="CUST-1144"/>
    <s v="Divya Mehta"/>
    <x v="4"/>
    <x v="1"/>
    <x v="14"/>
    <n v="4"/>
    <n v="1799"/>
    <n v="7196"/>
    <x v="1"/>
    <n v="1079.4000000000001"/>
    <n v="6116.6"/>
    <x v="0"/>
    <x v="0"/>
  </r>
  <r>
    <x v="1788"/>
    <s v="18 Thu"/>
    <x v="8"/>
    <x v="0"/>
    <s v="CUST-1269"/>
    <s v="Kunal Verma"/>
    <x v="4"/>
    <x v="6"/>
    <x v="12"/>
    <n v="1"/>
    <n v="1499"/>
    <n v="1499"/>
    <x v="2"/>
    <n v="74.95"/>
    <n v="1424.05"/>
    <x v="3"/>
    <x v="1"/>
  </r>
  <r>
    <x v="1789"/>
    <s v="18 Thu"/>
    <x v="8"/>
    <x v="0"/>
    <s v="CUST-1276"/>
    <s v="Swati Joshi"/>
    <x v="0"/>
    <x v="5"/>
    <x v="9"/>
    <n v="3"/>
    <n v="549"/>
    <n v="1647"/>
    <x v="1"/>
    <n v="247.05"/>
    <n v="1399.95"/>
    <x v="0"/>
    <x v="0"/>
  </r>
  <r>
    <x v="1790"/>
    <s v="18 Thu"/>
    <x v="8"/>
    <x v="0"/>
    <s v="CUST-1004"/>
    <s v="Tanya Malhotra"/>
    <x v="1"/>
    <x v="2"/>
    <x v="15"/>
    <n v="1"/>
    <n v="299"/>
    <n v="299"/>
    <x v="0"/>
    <n v="0"/>
    <n v="299"/>
    <x v="3"/>
    <x v="0"/>
  </r>
  <r>
    <x v="1791"/>
    <s v="18 Thu"/>
    <x v="8"/>
    <x v="0"/>
    <s v="CUST-1180"/>
    <s v="Muskan Joshi"/>
    <x v="2"/>
    <x v="4"/>
    <x v="10"/>
    <n v="1"/>
    <n v="899"/>
    <n v="899"/>
    <x v="0"/>
    <n v="0"/>
    <n v="899"/>
    <x v="1"/>
    <x v="1"/>
  </r>
  <r>
    <x v="1792"/>
    <s v="18 Thu"/>
    <x v="8"/>
    <x v="0"/>
    <s v="CUST-1057"/>
    <s v="Tanya Malhotra"/>
    <x v="1"/>
    <x v="1"/>
    <x v="4"/>
    <n v="1"/>
    <n v="2999"/>
    <n v="2999"/>
    <x v="2"/>
    <n v="149.94999999999999"/>
    <n v="2849.05"/>
    <x v="2"/>
    <x v="0"/>
  </r>
  <r>
    <x v="1793"/>
    <s v="19 Fri"/>
    <x v="8"/>
    <x v="0"/>
    <s v="CUST-1144"/>
    <s v="Divya Mehta"/>
    <x v="1"/>
    <x v="6"/>
    <x v="13"/>
    <n v="1"/>
    <n v="699"/>
    <n v="699"/>
    <x v="2"/>
    <n v="34.950000000000003"/>
    <n v="664.05"/>
    <x v="2"/>
    <x v="0"/>
  </r>
  <r>
    <x v="1794"/>
    <s v="19 Fri"/>
    <x v="8"/>
    <x v="0"/>
    <s v="CUST-1288"/>
    <s v="Aditya Mehta"/>
    <x v="0"/>
    <x v="3"/>
    <x v="5"/>
    <n v="1"/>
    <n v="1299"/>
    <n v="1299"/>
    <x v="4"/>
    <n v="129.9"/>
    <n v="1169.0999999999999"/>
    <x v="2"/>
    <x v="0"/>
  </r>
  <r>
    <x v="1795"/>
    <s v="19 Fri"/>
    <x v="8"/>
    <x v="0"/>
    <s v="CUST-1138"/>
    <s v="Tanya Singh"/>
    <x v="4"/>
    <x v="3"/>
    <x v="6"/>
    <n v="3"/>
    <n v="799"/>
    <n v="2397"/>
    <x v="0"/>
    <n v="0"/>
    <n v="2397"/>
    <x v="2"/>
    <x v="1"/>
  </r>
  <r>
    <x v="1796"/>
    <s v="19 Fri"/>
    <x v="8"/>
    <x v="0"/>
    <s v="CUST-1020"/>
    <s v="Rohan Malhotra"/>
    <x v="0"/>
    <x v="2"/>
    <x v="3"/>
    <n v="3"/>
    <n v="249"/>
    <n v="747"/>
    <x v="2"/>
    <n v="37.35"/>
    <n v="709.65"/>
    <x v="3"/>
    <x v="0"/>
  </r>
  <r>
    <x v="1797"/>
    <s v="19 Fri"/>
    <x v="8"/>
    <x v="0"/>
    <s v="CUST-1355"/>
    <s v="Aditya Joshi"/>
    <x v="4"/>
    <x v="3"/>
    <x v="6"/>
    <n v="2"/>
    <n v="799"/>
    <n v="1598"/>
    <x v="4"/>
    <n v="159.80000000000001"/>
    <n v="1438.2"/>
    <x v="1"/>
    <x v="0"/>
  </r>
  <r>
    <x v="1798"/>
    <s v="19 Fri"/>
    <x v="8"/>
    <x v="0"/>
    <s v="CUST-1339"/>
    <s v="Aarav Patel"/>
    <x v="2"/>
    <x v="1"/>
    <x v="14"/>
    <n v="1"/>
    <n v="1799"/>
    <n v="1799"/>
    <x v="0"/>
    <n v="0"/>
    <n v="1799"/>
    <x v="3"/>
    <x v="0"/>
  </r>
  <r>
    <x v="1799"/>
    <s v="19 Fri"/>
    <x v="8"/>
    <x v="0"/>
    <s v="CUST-1222"/>
    <s v="Sakshi Sharma"/>
    <x v="4"/>
    <x v="3"/>
    <x v="6"/>
    <n v="1"/>
    <n v="799"/>
    <n v="799"/>
    <x v="0"/>
    <n v="0"/>
    <n v="799"/>
    <x v="1"/>
    <x v="0"/>
  </r>
  <r>
    <x v="1800"/>
    <s v="19 Fri"/>
    <x v="8"/>
    <x v="0"/>
    <s v="CUST-1172"/>
    <s v="Nandini Saxena"/>
    <x v="1"/>
    <x v="1"/>
    <x v="2"/>
    <n v="3"/>
    <n v="599"/>
    <n v="1797"/>
    <x v="0"/>
    <n v="0"/>
    <n v="1797"/>
    <x v="1"/>
    <x v="1"/>
  </r>
  <r>
    <x v="1801"/>
    <s v="19 Fri"/>
    <x v="8"/>
    <x v="0"/>
    <s v="CUST-1152"/>
    <s v="Kabir Gupta"/>
    <x v="3"/>
    <x v="1"/>
    <x v="4"/>
    <n v="3"/>
    <n v="2999"/>
    <n v="8997"/>
    <x v="0"/>
    <n v="0"/>
    <n v="8997"/>
    <x v="0"/>
    <x v="0"/>
  </r>
  <r>
    <x v="1802"/>
    <s v="19 Fri"/>
    <x v="8"/>
    <x v="0"/>
    <s v="CUST-1233"/>
    <s v="Rahul Joshi"/>
    <x v="2"/>
    <x v="0"/>
    <x v="1"/>
    <n v="1"/>
    <n v="199"/>
    <n v="199"/>
    <x v="3"/>
    <n v="39.799999999999997"/>
    <n v="159.19999999999999"/>
    <x v="2"/>
    <x v="0"/>
  </r>
  <r>
    <x v="1803"/>
    <s v="19 Fri"/>
    <x v="8"/>
    <x v="0"/>
    <s v="CUST-1108"/>
    <s v="Kunal Patel"/>
    <x v="2"/>
    <x v="4"/>
    <x v="10"/>
    <n v="1"/>
    <n v="899"/>
    <n v="899"/>
    <x v="1"/>
    <n v="134.85"/>
    <n v="764.15"/>
    <x v="2"/>
    <x v="0"/>
  </r>
  <r>
    <x v="1804"/>
    <s v="20 Sat"/>
    <x v="8"/>
    <x v="0"/>
    <s v="CUST-1009"/>
    <s v="Shreya Gupta"/>
    <x v="1"/>
    <x v="5"/>
    <x v="9"/>
    <n v="3"/>
    <n v="549"/>
    <n v="1647"/>
    <x v="0"/>
    <n v="0"/>
    <n v="1647"/>
    <x v="2"/>
    <x v="1"/>
  </r>
  <r>
    <x v="1805"/>
    <s v="20 Sat"/>
    <x v="8"/>
    <x v="0"/>
    <s v="CUST-1136"/>
    <s v="Kunal Patel"/>
    <x v="2"/>
    <x v="6"/>
    <x v="12"/>
    <n v="3"/>
    <n v="1499"/>
    <n v="4497"/>
    <x v="3"/>
    <n v="899.4"/>
    <n v="3597.6"/>
    <x v="3"/>
    <x v="0"/>
  </r>
  <r>
    <x v="1806"/>
    <s v="20 Sat"/>
    <x v="8"/>
    <x v="0"/>
    <s v="CUST-1315"/>
    <s v="Muskan Singh"/>
    <x v="1"/>
    <x v="2"/>
    <x v="3"/>
    <n v="1"/>
    <n v="249"/>
    <n v="249"/>
    <x v="2"/>
    <n v="12.45"/>
    <n v="236.55"/>
    <x v="2"/>
    <x v="0"/>
  </r>
  <r>
    <x v="1807"/>
    <s v="20 Sat"/>
    <x v="8"/>
    <x v="0"/>
    <s v="CUST-1376"/>
    <s v="Kunal Kapoor"/>
    <x v="0"/>
    <x v="0"/>
    <x v="1"/>
    <n v="1"/>
    <n v="199"/>
    <n v="199"/>
    <x v="3"/>
    <n v="39.799999999999997"/>
    <n v="159.19999999999999"/>
    <x v="4"/>
    <x v="0"/>
  </r>
  <r>
    <x v="1808"/>
    <s v="20 Sat"/>
    <x v="8"/>
    <x v="0"/>
    <s v="CUST-1327"/>
    <s v="Kunal Malhotra"/>
    <x v="3"/>
    <x v="1"/>
    <x v="2"/>
    <n v="1"/>
    <n v="599"/>
    <n v="599"/>
    <x v="0"/>
    <n v="0"/>
    <n v="599"/>
    <x v="0"/>
    <x v="0"/>
  </r>
  <r>
    <x v="1809"/>
    <s v="20 Sat"/>
    <x v="8"/>
    <x v="0"/>
    <s v="CUST-1283"/>
    <s v="Aditya Mehta"/>
    <x v="1"/>
    <x v="4"/>
    <x v="11"/>
    <n v="1"/>
    <n v="499"/>
    <n v="499"/>
    <x v="4"/>
    <n v="49.9"/>
    <n v="449.1"/>
    <x v="2"/>
    <x v="0"/>
  </r>
  <r>
    <x v="1810"/>
    <s v="20 Sat"/>
    <x v="8"/>
    <x v="0"/>
    <s v="CUST-1162"/>
    <s v="Aarav Kapoor"/>
    <x v="0"/>
    <x v="1"/>
    <x v="2"/>
    <n v="3"/>
    <n v="599"/>
    <n v="1797"/>
    <x v="2"/>
    <n v="89.85"/>
    <n v="1707.15"/>
    <x v="3"/>
    <x v="0"/>
  </r>
  <r>
    <x v="1811"/>
    <s v="20 Sat"/>
    <x v="8"/>
    <x v="0"/>
    <s v="CUST-1278"/>
    <s v="Meera Verma"/>
    <x v="2"/>
    <x v="5"/>
    <x v="8"/>
    <n v="1"/>
    <n v="349"/>
    <n v="349"/>
    <x v="0"/>
    <n v="0"/>
    <n v="349"/>
    <x v="0"/>
    <x v="0"/>
  </r>
  <r>
    <x v="1812"/>
    <s v="20 Sat"/>
    <x v="8"/>
    <x v="0"/>
    <s v="CUST-1004"/>
    <s v="Tanya Malhotra"/>
    <x v="4"/>
    <x v="1"/>
    <x v="14"/>
    <n v="3"/>
    <n v="1799"/>
    <n v="5397"/>
    <x v="0"/>
    <n v="0"/>
    <n v="5397"/>
    <x v="2"/>
    <x v="0"/>
  </r>
  <r>
    <x v="1813"/>
    <s v="20 Sat"/>
    <x v="8"/>
    <x v="0"/>
    <s v="CUST-1226"/>
    <s v="Tanya Joshi"/>
    <x v="1"/>
    <x v="5"/>
    <x v="8"/>
    <n v="2"/>
    <n v="349"/>
    <n v="698"/>
    <x v="2"/>
    <n v="34.9"/>
    <n v="663.1"/>
    <x v="0"/>
    <x v="0"/>
  </r>
  <r>
    <x v="1814"/>
    <s v="20 Sat"/>
    <x v="8"/>
    <x v="0"/>
    <s v="CUST-1226"/>
    <s v="Tanya Joshi"/>
    <x v="3"/>
    <x v="2"/>
    <x v="3"/>
    <n v="3"/>
    <n v="249"/>
    <n v="747"/>
    <x v="0"/>
    <n v="0"/>
    <n v="747"/>
    <x v="0"/>
    <x v="1"/>
  </r>
  <r>
    <x v="1815"/>
    <s v="20 Sat"/>
    <x v="8"/>
    <x v="0"/>
    <s v="CUST-1145"/>
    <s v="Kunal Joshi"/>
    <x v="4"/>
    <x v="3"/>
    <x v="5"/>
    <n v="1"/>
    <n v="1299"/>
    <n v="1299"/>
    <x v="4"/>
    <n v="129.9"/>
    <n v="1169.0999999999999"/>
    <x v="2"/>
    <x v="1"/>
  </r>
  <r>
    <x v="1816"/>
    <s v="20 Sat"/>
    <x v="8"/>
    <x v="0"/>
    <s v="CUST-1251"/>
    <s v="Aarav Singh"/>
    <x v="0"/>
    <x v="1"/>
    <x v="4"/>
    <n v="4"/>
    <n v="2999"/>
    <n v="11996"/>
    <x v="0"/>
    <n v="0"/>
    <n v="11996"/>
    <x v="1"/>
    <x v="0"/>
  </r>
  <r>
    <x v="1817"/>
    <s v="21 Sun"/>
    <x v="8"/>
    <x v="0"/>
    <s v="CUST-1262"/>
    <s v="Kunal Joshi"/>
    <x v="3"/>
    <x v="4"/>
    <x v="11"/>
    <n v="4"/>
    <n v="499"/>
    <n v="1996"/>
    <x v="3"/>
    <n v="399.2"/>
    <n v="1596.8"/>
    <x v="3"/>
    <x v="0"/>
  </r>
  <r>
    <x v="1818"/>
    <s v="21 Sun"/>
    <x v="8"/>
    <x v="0"/>
    <s v="CUST-1350"/>
    <s v="Isha Kapoor"/>
    <x v="1"/>
    <x v="4"/>
    <x v="7"/>
    <n v="1"/>
    <n v="1999"/>
    <n v="1999"/>
    <x v="0"/>
    <n v="0"/>
    <n v="1999"/>
    <x v="0"/>
    <x v="1"/>
  </r>
  <r>
    <x v="1819"/>
    <s v="21 Sun"/>
    <x v="8"/>
    <x v="0"/>
    <s v="CUST-1244"/>
    <s v="Meera Gupta"/>
    <x v="4"/>
    <x v="0"/>
    <x v="0"/>
    <n v="1"/>
    <n v="99"/>
    <n v="99"/>
    <x v="2"/>
    <n v="4.95"/>
    <n v="94.05"/>
    <x v="0"/>
    <x v="0"/>
  </r>
  <r>
    <x v="1820"/>
    <s v="21 Sun"/>
    <x v="8"/>
    <x v="0"/>
    <s v="CUST-1393"/>
    <s v="Nandini Singh"/>
    <x v="1"/>
    <x v="5"/>
    <x v="8"/>
    <n v="1"/>
    <n v="349"/>
    <n v="349"/>
    <x v="3"/>
    <n v="69.8"/>
    <n v="279.2"/>
    <x v="0"/>
    <x v="0"/>
  </r>
  <r>
    <x v="1821"/>
    <s v="21 Sun"/>
    <x v="8"/>
    <x v="0"/>
    <s v="CUST-1203"/>
    <s v="Ankit Verma"/>
    <x v="2"/>
    <x v="6"/>
    <x v="12"/>
    <n v="1"/>
    <n v="1499"/>
    <n v="1499"/>
    <x v="3"/>
    <n v="299.8"/>
    <n v="1199.2"/>
    <x v="0"/>
    <x v="1"/>
  </r>
  <r>
    <x v="1822"/>
    <s v="21 Sun"/>
    <x v="8"/>
    <x v="0"/>
    <s v="CUST-1391"/>
    <s v="Kunal Gupta"/>
    <x v="4"/>
    <x v="1"/>
    <x v="4"/>
    <n v="5"/>
    <n v="2999"/>
    <n v="14995"/>
    <x v="4"/>
    <n v="1499.5"/>
    <n v="13495.5"/>
    <x v="0"/>
    <x v="0"/>
  </r>
  <r>
    <x v="1823"/>
    <s v="21 Sun"/>
    <x v="8"/>
    <x v="0"/>
    <s v="CUST-1371"/>
    <s v="Rahul Verma"/>
    <x v="1"/>
    <x v="1"/>
    <x v="14"/>
    <n v="2"/>
    <n v="1799"/>
    <n v="3598"/>
    <x v="0"/>
    <n v="0"/>
    <n v="3598"/>
    <x v="0"/>
    <x v="1"/>
  </r>
  <r>
    <x v="1824"/>
    <s v="21 Sun"/>
    <x v="8"/>
    <x v="0"/>
    <s v="CUST-1069"/>
    <s v="Kabir Joshi"/>
    <x v="2"/>
    <x v="0"/>
    <x v="1"/>
    <n v="1"/>
    <n v="199"/>
    <n v="199"/>
    <x v="0"/>
    <n v="0"/>
    <n v="199"/>
    <x v="0"/>
    <x v="0"/>
  </r>
  <r>
    <x v="1825"/>
    <s v="21 Sun"/>
    <x v="8"/>
    <x v="0"/>
    <s v="CUST-1331"/>
    <s v="Arjun Singh"/>
    <x v="1"/>
    <x v="1"/>
    <x v="4"/>
    <n v="1"/>
    <n v="2999"/>
    <n v="2999"/>
    <x v="0"/>
    <n v="0"/>
    <n v="2999"/>
    <x v="4"/>
    <x v="1"/>
  </r>
  <r>
    <x v="1826"/>
    <s v="21 Sun"/>
    <x v="8"/>
    <x v="0"/>
    <s v="CUST-1122"/>
    <s v="Aditya Kapoor"/>
    <x v="1"/>
    <x v="1"/>
    <x v="4"/>
    <n v="1"/>
    <n v="2999"/>
    <n v="2999"/>
    <x v="0"/>
    <n v="0"/>
    <n v="2999"/>
    <x v="0"/>
    <x v="1"/>
  </r>
  <r>
    <x v="1827"/>
    <s v="21 Sun"/>
    <x v="8"/>
    <x v="0"/>
    <s v="CUST-1052"/>
    <s v="Meera Verma"/>
    <x v="3"/>
    <x v="5"/>
    <x v="9"/>
    <n v="4"/>
    <n v="549"/>
    <n v="2196"/>
    <x v="0"/>
    <n v="0"/>
    <n v="2196"/>
    <x v="2"/>
    <x v="1"/>
  </r>
  <r>
    <x v="1828"/>
    <s v="21 Sun"/>
    <x v="8"/>
    <x v="0"/>
    <s v="CUST-1082"/>
    <s v="Aarav Mehta"/>
    <x v="2"/>
    <x v="6"/>
    <x v="13"/>
    <n v="1"/>
    <n v="699"/>
    <n v="699"/>
    <x v="0"/>
    <n v="0"/>
    <n v="699"/>
    <x v="3"/>
    <x v="0"/>
  </r>
  <r>
    <x v="1829"/>
    <s v="21 Sun"/>
    <x v="8"/>
    <x v="0"/>
    <s v="CUST-1369"/>
    <s v="Rohan Sharma"/>
    <x v="2"/>
    <x v="6"/>
    <x v="12"/>
    <n v="1"/>
    <n v="1499"/>
    <n v="1499"/>
    <x v="0"/>
    <n v="0"/>
    <n v="1499"/>
    <x v="2"/>
    <x v="1"/>
  </r>
  <r>
    <x v="1830"/>
    <s v="22 Mon"/>
    <x v="8"/>
    <x v="0"/>
    <s v="CUST-1399"/>
    <s v="Vivaan Verma"/>
    <x v="2"/>
    <x v="6"/>
    <x v="13"/>
    <n v="2"/>
    <n v="699"/>
    <n v="1398"/>
    <x v="3"/>
    <n v="279.60000000000002"/>
    <n v="1118.4000000000001"/>
    <x v="0"/>
    <x v="0"/>
  </r>
  <r>
    <x v="1831"/>
    <s v="22 Mon"/>
    <x v="8"/>
    <x v="0"/>
    <s v="CUST-1254"/>
    <s v="Meera Malhotra"/>
    <x v="1"/>
    <x v="2"/>
    <x v="3"/>
    <n v="1"/>
    <n v="249"/>
    <n v="249"/>
    <x v="1"/>
    <n v="37.35"/>
    <n v="211.65"/>
    <x v="2"/>
    <x v="1"/>
  </r>
  <r>
    <x v="1832"/>
    <s v="22 Mon"/>
    <x v="8"/>
    <x v="0"/>
    <s v="CUST-1217"/>
    <s v="Ankit Patel"/>
    <x v="3"/>
    <x v="2"/>
    <x v="15"/>
    <n v="1"/>
    <n v="299"/>
    <n v="299"/>
    <x v="1"/>
    <n v="44.85"/>
    <n v="254.15"/>
    <x v="1"/>
    <x v="0"/>
  </r>
  <r>
    <x v="1833"/>
    <s v="22 Mon"/>
    <x v="8"/>
    <x v="0"/>
    <s v="CUST-1362"/>
    <s v="Shreya Malhotra"/>
    <x v="4"/>
    <x v="5"/>
    <x v="8"/>
    <n v="1"/>
    <n v="349"/>
    <n v="349"/>
    <x v="1"/>
    <n v="52.35"/>
    <n v="296.64999999999998"/>
    <x v="1"/>
    <x v="0"/>
  </r>
  <r>
    <x v="1834"/>
    <s v="22 Mon"/>
    <x v="8"/>
    <x v="0"/>
    <s v="CUST-1313"/>
    <s v="Kunal Joshi"/>
    <x v="1"/>
    <x v="0"/>
    <x v="0"/>
    <n v="2"/>
    <n v="99"/>
    <n v="198"/>
    <x v="3"/>
    <n v="39.6"/>
    <n v="158.4"/>
    <x v="2"/>
    <x v="0"/>
  </r>
  <r>
    <x v="1835"/>
    <s v="22 Mon"/>
    <x v="8"/>
    <x v="0"/>
    <s v="CUST-1300"/>
    <s v="Vivaan Mehta"/>
    <x v="2"/>
    <x v="0"/>
    <x v="1"/>
    <n v="1"/>
    <n v="199"/>
    <n v="199"/>
    <x v="2"/>
    <n v="9.9499999999999993"/>
    <n v="189.05"/>
    <x v="1"/>
    <x v="0"/>
  </r>
  <r>
    <x v="1836"/>
    <s v="23 Tue"/>
    <x v="8"/>
    <x v="0"/>
    <s v="CUST-1307"/>
    <s v="Swati Kapoor"/>
    <x v="2"/>
    <x v="3"/>
    <x v="5"/>
    <n v="1"/>
    <n v="1299"/>
    <n v="1299"/>
    <x v="1"/>
    <n v="194.85"/>
    <n v="1104.1500000000001"/>
    <x v="0"/>
    <x v="0"/>
  </r>
  <r>
    <x v="1837"/>
    <s v="23 Tue"/>
    <x v="8"/>
    <x v="0"/>
    <s v="CUST-1369"/>
    <s v="Rohan Sharma"/>
    <x v="4"/>
    <x v="0"/>
    <x v="0"/>
    <n v="1"/>
    <n v="99"/>
    <n v="99"/>
    <x v="0"/>
    <n v="0"/>
    <n v="99"/>
    <x v="0"/>
    <x v="1"/>
  </r>
  <r>
    <x v="1838"/>
    <s v="23 Tue"/>
    <x v="8"/>
    <x v="0"/>
    <s v="CUST-1125"/>
    <s v="Muskan Malhotra"/>
    <x v="4"/>
    <x v="0"/>
    <x v="0"/>
    <n v="3"/>
    <n v="99"/>
    <n v="297"/>
    <x v="0"/>
    <n v="0"/>
    <n v="297"/>
    <x v="1"/>
    <x v="0"/>
  </r>
  <r>
    <x v="1839"/>
    <s v="23 Tue"/>
    <x v="8"/>
    <x v="0"/>
    <s v="CUST-1315"/>
    <s v="Muskan Singh"/>
    <x v="0"/>
    <x v="4"/>
    <x v="7"/>
    <n v="1"/>
    <n v="1999"/>
    <n v="1999"/>
    <x v="1"/>
    <n v="299.85000000000002"/>
    <n v="1699.15"/>
    <x v="4"/>
    <x v="0"/>
  </r>
  <r>
    <x v="1840"/>
    <s v="23 Tue"/>
    <x v="8"/>
    <x v="0"/>
    <s v="CUST-1400"/>
    <s v="Aarav Gupta"/>
    <x v="4"/>
    <x v="4"/>
    <x v="10"/>
    <n v="1"/>
    <n v="899"/>
    <n v="899"/>
    <x v="0"/>
    <n v="0"/>
    <n v="899"/>
    <x v="0"/>
    <x v="0"/>
  </r>
  <r>
    <x v="1841"/>
    <s v="23 Tue"/>
    <x v="8"/>
    <x v="0"/>
    <s v="CUST-1038"/>
    <s v="Rohan Joshi"/>
    <x v="3"/>
    <x v="0"/>
    <x v="1"/>
    <n v="4"/>
    <n v="199"/>
    <n v="796"/>
    <x v="1"/>
    <n v="119.4"/>
    <n v="676.6"/>
    <x v="2"/>
    <x v="0"/>
  </r>
  <r>
    <x v="1842"/>
    <s v="23 Tue"/>
    <x v="8"/>
    <x v="0"/>
    <s v="CUST-1164"/>
    <s v="Kabir Malhotra"/>
    <x v="0"/>
    <x v="5"/>
    <x v="9"/>
    <n v="3"/>
    <n v="549"/>
    <n v="1647"/>
    <x v="2"/>
    <n v="82.35"/>
    <n v="1564.65"/>
    <x v="1"/>
    <x v="0"/>
  </r>
  <r>
    <x v="1843"/>
    <s v="24 Wed"/>
    <x v="8"/>
    <x v="0"/>
    <s v="CUST-1249"/>
    <s v="Kabir Sharma"/>
    <x v="4"/>
    <x v="1"/>
    <x v="4"/>
    <n v="1"/>
    <n v="2999"/>
    <n v="2999"/>
    <x v="4"/>
    <n v="299.89999999999998"/>
    <n v="2699.1"/>
    <x v="0"/>
    <x v="1"/>
  </r>
  <r>
    <x v="1844"/>
    <s v="24 Wed"/>
    <x v="8"/>
    <x v="0"/>
    <s v="CUST-1359"/>
    <s v="Arjun Mehta"/>
    <x v="1"/>
    <x v="6"/>
    <x v="12"/>
    <n v="1"/>
    <n v="1499"/>
    <n v="1499"/>
    <x v="0"/>
    <n v="0"/>
    <n v="1499"/>
    <x v="0"/>
    <x v="0"/>
  </r>
  <r>
    <x v="1845"/>
    <s v="24 Wed"/>
    <x v="8"/>
    <x v="0"/>
    <s v="CUST-1398"/>
    <s v="Sakshi Patel"/>
    <x v="3"/>
    <x v="2"/>
    <x v="3"/>
    <n v="1"/>
    <n v="249"/>
    <n v="249"/>
    <x v="3"/>
    <n v="49.8"/>
    <n v="199.2"/>
    <x v="0"/>
    <x v="1"/>
  </r>
  <r>
    <x v="1846"/>
    <s v="24 Wed"/>
    <x v="8"/>
    <x v="0"/>
    <s v="CUST-1252"/>
    <s v="Arjun Singh"/>
    <x v="3"/>
    <x v="1"/>
    <x v="14"/>
    <n v="1"/>
    <n v="1799"/>
    <n v="1799"/>
    <x v="1"/>
    <n v="269.85000000000002"/>
    <n v="1529.15"/>
    <x v="2"/>
    <x v="0"/>
  </r>
  <r>
    <x v="1847"/>
    <s v="24 Wed"/>
    <x v="8"/>
    <x v="0"/>
    <s v="CUST-1198"/>
    <s v="Vivaan Joshi"/>
    <x v="3"/>
    <x v="4"/>
    <x v="11"/>
    <n v="1"/>
    <n v="499"/>
    <n v="499"/>
    <x v="0"/>
    <n v="0"/>
    <n v="499"/>
    <x v="1"/>
    <x v="1"/>
  </r>
  <r>
    <x v="1848"/>
    <s v="24 Wed"/>
    <x v="8"/>
    <x v="0"/>
    <s v="CUST-1204"/>
    <s v="Meera Mehta"/>
    <x v="4"/>
    <x v="4"/>
    <x v="10"/>
    <n v="2"/>
    <n v="899"/>
    <n v="1798"/>
    <x v="3"/>
    <n v="359.6"/>
    <n v="1438.4"/>
    <x v="2"/>
    <x v="0"/>
  </r>
  <r>
    <x v="1849"/>
    <s v="24 Wed"/>
    <x v="8"/>
    <x v="0"/>
    <s v="CUST-1301"/>
    <s v="Shreya Sharma"/>
    <x v="3"/>
    <x v="1"/>
    <x v="4"/>
    <n v="2"/>
    <n v="2999"/>
    <n v="5998"/>
    <x v="0"/>
    <n v="0"/>
    <n v="5998"/>
    <x v="1"/>
    <x v="0"/>
  </r>
  <r>
    <x v="1850"/>
    <s v="25 Thu"/>
    <x v="8"/>
    <x v="0"/>
    <s v="CUST-1350"/>
    <s v="Isha Kapoor"/>
    <x v="4"/>
    <x v="2"/>
    <x v="15"/>
    <n v="2"/>
    <n v="299"/>
    <n v="598"/>
    <x v="0"/>
    <n v="0"/>
    <n v="598"/>
    <x v="0"/>
    <x v="1"/>
  </r>
  <r>
    <x v="1851"/>
    <s v="25 Thu"/>
    <x v="8"/>
    <x v="0"/>
    <s v="CUST-1361"/>
    <s v="Vivaan Kapoor"/>
    <x v="2"/>
    <x v="1"/>
    <x v="2"/>
    <n v="3"/>
    <n v="599"/>
    <n v="1797"/>
    <x v="0"/>
    <n v="0"/>
    <n v="1797"/>
    <x v="0"/>
    <x v="1"/>
  </r>
  <r>
    <x v="1852"/>
    <s v="25 Thu"/>
    <x v="8"/>
    <x v="0"/>
    <s v="CUST-1367"/>
    <s v="Aman Saxena"/>
    <x v="4"/>
    <x v="4"/>
    <x v="11"/>
    <n v="2"/>
    <n v="499"/>
    <n v="998"/>
    <x v="0"/>
    <n v="0"/>
    <n v="998"/>
    <x v="0"/>
    <x v="0"/>
  </r>
  <r>
    <x v="1853"/>
    <s v="25 Thu"/>
    <x v="8"/>
    <x v="0"/>
    <s v="CUST-1068"/>
    <s v="Isha Verma"/>
    <x v="2"/>
    <x v="2"/>
    <x v="15"/>
    <n v="1"/>
    <n v="299"/>
    <n v="299"/>
    <x v="0"/>
    <n v="0"/>
    <n v="299"/>
    <x v="0"/>
    <x v="1"/>
  </r>
  <r>
    <x v="1854"/>
    <s v="25 Thu"/>
    <x v="8"/>
    <x v="0"/>
    <s v="CUST-1099"/>
    <s v="Rahul Malhotra"/>
    <x v="4"/>
    <x v="6"/>
    <x v="13"/>
    <n v="1"/>
    <n v="699"/>
    <n v="699"/>
    <x v="2"/>
    <n v="34.950000000000003"/>
    <n v="664.05"/>
    <x v="0"/>
    <x v="0"/>
  </r>
  <r>
    <x v="1855"/>
    <s v="25 Thu"/>
    <x v="8"/>
    <x v="0"/>
    <s v="CUST-1251"/>
    <s v="Aarav Singh"/>
    <x v="3"/>
    <x v="5"/>
    <x v="9"/>
    <n v="5"/>
    <n v="549"/>
    <n v="2745"/>
    <x v="4"/>
    <n v="274.5"/>
    <n v="2470.5"/>
    <x v="1"/>
    <x v="1"/>
  </r>
  <r>
    <x v="1856"/>
    <s v="25 Thu"/>
    <x v="8"/>
    <x v="0"/>
    <s v="CUST-1116"/>
    <s v="Sakshi Mehta"/>
    <x v="1"/>
    <x v="5"/>
    <x v="9"/>
    <n v="1"/>
    <n v="549"/>
    <n v="549"/>
    <x v="0"/>
    <n v="0"/>
    <n v="549"/>
    <x v="1"/>
    <x v="1"/>
  </r>
  <r>
    <x v="1857"/>
    <s v="25 Thu"/>
    <x v="8"/>
    <x v="0"/>
    <s v="CUST-1248"/>
    <s v="Meera Saxena"/>
    <x v="0"/>
    <x v="3"/>
    <x v="5"/>
    <n v="4"/>
    <n v="1299"/>
    <n v="5196"/>
    <x v="3"/>
    <n v="1039.2"/>
    <n v="4156.8"/>
    <x v="0"/>
    <x v="0"/>
  </r>
  <r>
    <x v="1858"/>
    <s v="26 Fri"/>
    <x v="8"/>
    <x v="0"/>
    <s v="CUST-1008"/>
    <s v="Meera Saxena"/>
    <x v="4"/>
    <x v="4"/>
    <x v="7"/>
    <n v="2"/>
    <n v="1999"/>
    <n v="3998"/>
    <x v="0"/>
    <n v="0"/>
    <n v="3998"/>
    <x v="0"/>
    <x v="1"/>
  </r>
  <r>
    <x v="1859"/>
    <s v="26 Fri"/>
    <x v="8"/>
    <x v="0"/>
    <s v="CUST-1147"/>
    <s v="Aman Saxena"/>
    <x v="4"/>
    <x v="4"/>
    <x v="7"/>
    <n v="2"/>
    <n v="1999"/>
    <n v="3998"/>
    <x v="0"/>
    <n v="0"/>
    <n v="3998"/>
    <x v="4"/>
    <x v="0"/>
  </r>
  <r>
    <x v="1860"/>
    <s v="26 Fri"/>
    <x v="8"/>
    <x v="0"/>
    <s v="CUST-1321"/>
    <s v="Isha Mehta"/>
    <x v="3"/>
    <x v="4"/>
    <x v="7"/>
    <n v="2"/>
    <n v="1999"/>
    <n v="3998"/>
    <x v="0"/>
    <n v="0"/>
    <n v="3998"/>
    <x v="2"/>
    <x v="1"/>
  </r>
  <r>
    <x v="1861"/>
    <s v="26 Fri"/>
    <x v="8"/>
    <x v="0"/>
    <s v="CUST-1021"/>
    <s v="Isha Patel"/>
    <x v="1"/>
    <x v="4"/>
    <x v="11"/>
    <n v="1"/>
    <n v="499"/>
    <n v="499"/>
    <x v="1"/>
    <n v="74.849999999999994"/>
    <n v="424.15"/>
    <x v="1"/>
    <x v="1"/>
  </r>
  <r>
    <x v="1862"/>
    <s v="26 Fri"/>
    <x v="8"/>
    <x v="0"/>
    <s v="CUST-1083"/>
    <s v="Komal Kapoor"/>
    <x v="2"/>
    <x v="6"/>
    <x v="12"/>
    <n v="2"/>
    <n v="1499"/>
    <n v="2998"/>
    <x v="1"/>
    <n v="449.7"/>
    <n v="2548.3000000000002"/>
    <x v="1"/>
    <x v="0"/>
  </r>
  <r>
    <x v="1863"/>
    <s v="26 Fri"/>
    <x v="8"/>
    <x v="0"/>
    <s v="CUST-1332"/>
    <s v="Rahul Malhotra"/>
    <x v="2"/>
    <x v="5"/>
    <x v="9"/>
    <n v="2"/>
    <n v="549"/>
    <n v="1098"/>
    <x v="0"/>
    <n v="0"/>
    <n v="1098"/>
    <x v="2"/>
    <x v="0"/>
  </r>
  <r>
    <x v="1864"/>
    <s v="26 Fri"/>
    <x v="8"/>
    <x v="0"/>
    <s v="CUST-1174"/>
    <s v="Rahul Singh"/>
    <x v="1"/>
    <x v="4"/>
    <x v="10"/>
    <n v="1"/>
    <n v="899"/>
    <n v="899"/>
    <x v="0"/>
    <n v="0"/>
    <n v="899"/>
    <x v="0"/>
    <x v="0"/>
  </r>
  <r>
    <x v="1865"/>
    <s v="26 Fri"/>
    <x v="8"/>
    <x v="0"/>
    <s v="CUST-1250"/>
    <s v="Shreya Saxena"/>
    <x v="2"/>
    <x v="1"/>
    <x v="2"/>
    <n v="2"/>
    <n v="599"/>
    <n v="1198"/>
    <x v="2"/>
    <n v="59.9"/>
    <n v="1138.0999999999999"/>
    <x v="3"/>
    <x v="1"/>
  </r>
  <r>
    <x v="1866"/>
    <s v="26 Fri"/>
    <x v="8"/>
    <x v="0"/>
    <s v="CUST-1377"/>
    <s v="Sakshi Patel"/>
    <x v="1"/>
    <x v="2"/>
    <x v="3"/>
    <n v="2"/>
    <n v="249"/>
    <n v="498"/>
    <x v="2"/>
    <n v="24.9"/>
    <n v="473.1"/>
    <x v="1"/>
    <x v="1"/>
  </r>
  <r>
    <x v="1867"/>
    <s v="26 Fri"/>
    <x v="8"/>
    <x v="0"/>
    <s v="CUST-1184"/>
    <s v="Rahul Joshi"/>
    <x v="3"/>
    <x v="1"/>
    <x v="2"/>
    <n v="2"/>
    <n v="599"/>
    <n v="1198"/>
    <x v="3"/>
    <n v="239.6"/>
    <n v="958.4"/>
    <x v="0"/>
    <x v="0"/>
  </r>
  <r>
    <x v="1868"/>
    <s v="26 Fri"/>
    <x v="8"/>
    <x v="0"/>
    <s v="CUST-1091"/>
    <s v="Kabir Gupta"/>
    <x v="0"/>
    <x v="0"/>
    <x v="1"/>
    <n v="4"/>
    <n v="199"/>
    <n v="796"/>
    <x v="0"/>
    <n v="0"/>
    <n v="796"/>
    <x v="1"/>
    <x v="0"/>
  </r>
  <r>
    <x v="1869"/>
    <s v="26 Fri"/>
    <x v="8"/>
    <x v="0"/>
    <s v="CUST-1377"/>
    <s v="Sakshi Patel"/>
    <x v="3"/>
    <x v="1"/>
    <x v="14"/>
    <n v="1"/>
    <n v="1799"/>
    <n v="1799"/>
    <x v="0"/>
    <n v="0"/>
    <n v="1799"/>
    <x v="4"/>
    <x v="0"/>
  </r>
  <r>
    <x v="1870"/>
    <s v="27 Sat"/>
    <x v="8"/>
    <x v="0"/>
    <s v="CUST-1214"/>
    <s v="Rohan Sharma"/>
    <x v="0"/>
    <x v="1"/>
    <x v="14"/>
    <n v="2"/>
    <n v="1799"/>
    <n v="3598"/>
    <x v="1"/>
    <n v="539.70000000000005"/>
    <n v="3058.3"/>
    <x v="2"/>
    <x v="1"/>
  </r>
  <r>
    <x v="1871"/>
    <s v="27 Sat"/>
    <x v="8"/>
    <x v="0"/>
    <s v="CUST-1332"/>
    <s v="Rahul Malhotra"/>
    <x v="0"/>
    <x v="0"/>
    <x v="1"/>
    <n v="2"/>
    <n v="199"/>
    <n v="398"/>
    <x v="2"/>
    <n v="19.899999999999999"/>
    <n v="378.1"/>
    <x v="0"/>
    <x v="0"/>
  </r>
  <r>
    <x v="1872"/>
    <s v="27 Sat"/>
    <x v="8"/>
    <x v="0"/>
    <s v="CUST-1099"/>
    <s v="Rahul Malhotra"/>
    <x v="1"/>
    <x v="0"/>
    <x v="0"/>
    <n v="2"/>
    <n v="99"/>
    <n v="198"/>
    <x v="0"/>
    <n v="0"/>
    <n v="198"/>
    <x v="1"/>
    <x v="1"/>
  </r>
  <r>
    <x v="1873"/>
    <s v="27 Sat"/>
    <x v="8"/>
    <x v="0"/>
    <s v="CUST-1151"/>
    <s v="Aman Patel"/>
    <x v="3"/>
    <x v="3"/>
    <x v="6"/>
    <n v="4"/>
    <n v="799"/>
    <n v="3196"/>
    <x v="0"/>
    <n v="0"/>
    <n v="3196"/>
    <x v="2"/>
    <x v="0"/>
  </r>
  <r>
    <x v="1874"/>
    <s v="27 Sat"/>
    <x v="8"/>
    <x v="0"/>
    <s v="CUST-1059"/>
    <s v="Kunal Verma"/>
    <x v="0"/>
    <x v="3"/>
    <x v="5"/>
    <n v="2"/>
    <n v="1299"/>
    <n v="2598"/>
    <x v="1"/>
    <n v="389.7"/>
    <n v="2208.3000000000002"/>
    <x v="1"/>
    <x v="0"/>
  </r>
  <r>
    <x v="1875"/>
    <s v="27 Sat"/>
    <x v="8"/>
    <x v="0"/>
    <s v="CUST-1262"/>
    <s v="Kunal Joshi"/>
    <x v="1"/>
    <x v="2"/>
    <x v="3"/>
    <n v="2"/>
    <n v="249"/>
    <n v="498"/>
    <x v="0"/>
    <n v="0"/>
    <n v="498"/>
    <x v="0"/>
    <x v="0"/>
  </r>
  <r>
    <x v="1876"/>
    <s v="27 Sat"/>
    <x v="8"/>
    <x v="0"/>
    <s v="CUST-1149"/>
    <s v="Aarav Verma"/>
    <x v="4"/>
    <x v="0"/>
    <x v="1"/>
    <n v="1"/>
    <n v="199"/>
    <n v="199"/>
    <x v="0"/>
    <n v="0"/>
    <n v="199"/>
    <x v="2"/>
    <x v="1"/>
  </r>
  <r>
    <x v="1877"/>
    <s v="27 Sat"/>
    <x v="8"/>
    <x v="0"/>
    <s v="CUST-1024"/>
    <s v="Tanya Singh"/>
    <x v="2"/>
    <x v="5"/>
    <x v="9"/>
    <n v="1"/>
    <n v="549"/>
    <n v="549"/>
    <x v="2"/>
    <n v="27.45"/>
    <n v="521.54999999999995"/>
    <x v="0"/>
    <x v="0"/>
  </r>
  <r>
    <x v="1878"/>
    <s v="27 Sat"/>
    <x v="8"/>
    <x v="0"/>
    <s v="CUST-1072"/>
    <s v="Tanya Sharma"/>
    <x v="1"/>
    <x v="1"/>
    <x v="14"/>
    <n v="1"/>
    <n v="1799"/>
    <n v="1799"/>
    <x v="4"/>
    <n v="179.9"/>
    <n v="1619.1"/>
    <x v="0"/>
    <x v="0"/>
  </r>
  <r>
    <x v="1879"/>
    <s v="27 Sat"/>
    <x v="8"/>
    <x v="0"/>
    <s v="CUST-1296"/>
    <s v="Vivaan Kapoor"/>
    <x v="1"/>
    <x v="1"/>
    <x v="2"/>
    <n v="1"/>
    <n v="599"/>
    <n v="599"/>
    <x v="0"/>
    <n v="0"/>
    <n v="599"/>
    <x v="4"/>
    <x v="1"/>
  </r>
  <r>
    <x v="1880"/>
    <s v="28 Sun"/>
    <x v="8"/>
    <x v="0"/>
    <s v="CUST-1069"/>
    <s v="Kabir Joshi"/>
    <x v="1"/>
    <x v="5"/>
    <x v="9"/>
    <n v="3"/>
    <n v="549"/>
    <n v="1647"/>
    <x v="1"/>
    <n v="247.05"/>
    <n v="1399.95"/>
    <x v="0"/>
    <x v="0"/>
  </r>
  <r>
    <x v="1881"/>
    <s v="28 Sun"/>
    <x v="8"/>
    <x v="0"/>
    <s v="CUST-1347"/>
    <s v="Ankit Joshi"/>
    <x v="0"/>
    <x v="0"/>
    <x v="1"/>
    <n v="1"/>
    <n v="199"/>
    <n v="199"/>
    <x v="0"/>
    <n v="0"/>
    <n v="199"/>
    <x v="4"/>
    <x v="0"/>
  </r>
  <r>
    <x v="1882"/>
    <s v="28 Sun"/>
    <x v="8"/>
    <x v="0"/>
    <s v="CUST-1016"/>
    <s v="Arjun Kapoor"/>
    <x v="3"/>
    <x v="4"/>
    <x v="10"/>
    <n v="3"/>
    <n v="899"/>
    <n v="2697"/>
    <x v="3"/>
    <n v="539.4"/>
    <n v="2157.6"/>
    <x v="0"/>
    <x v="1"/>
  </r>
  <r>
    <x v="1883"/>
    <s v="28 Sun"/>
    <x v="8"/>
    <x v="0"/>
    <s v="CUST-1111"/>
    <s v="Swati Joshi"/>
    <x v="0"/>
    <x v="3"/>
    <x v="6"/>
    <n v="1"/>
    <n v="799"/>
    <n v="799"/>
    <x v="0"/>
    <n v="0"/>
    <n v="799"/>
    <x v="1"/>
    <x v="0"/>
  </r>
  <r>
    <x v="1884"/>
    <s v="28 Sun"/>
    <x v="8"/>
    <x v="0"/>
    <s v="CUST-1091"/>
    <s v="Kabir Gupta"/>
    <x v="1"/>
    <x v="3"/>
    <x v="5"/>
    <n v="1"/>
    <n v="1299"/>
    <n v="1299"/>
    <x v="2"/>
    <n v="64.95"/>
    <n v="1234.05"/>
    <x v="0"/>
    <x v="1"/>
  </r>
  <r>
    <x v="1885"/>
    <s v="28 Sun"/>
    <x v="8"/>
    <x v="0"/>
    <s v="CUST-1064"/>
    <s v="Ankit Mehta"/>
    <x v="4"/>
    <x v="1"/>
    <x v="14"/>
    <n v="4"/>
    <n v="1799"/>
    <n v="7196"/>
    <x v="0"/>
    <n v="0"/>
    <n v="7196"/>
    <x v="3"/>
    <x v="1"/>
  </r>
  <r>
    <x v="1886"/>
    <s v="28 Sun"/>
    <x v="8"/>
    <x v="0"/>
    <s v="CUST-1205"/>
    <s v="Aman Sharma"/>
    <x v="1"/>
    <x v="4"/>
    <x v="10"/>
    <n v="2"/>
    <n v="899"/>
    <n v="1798"/>
    <x v="3"/>
    <n v="359.6"/>
    <n v="1438.4"/>
    <x v="2"/>
    <x v="0"/>
  </r>
  <r>
    <x v="1887"/>
    <s v="28 Sun"/>
    <x v="8"/>
    <x v="0"/>
    <s v="CUST-1379"/>
    <s v="Divya Verma"/>
    <x v="1"/>
    <x v="3"/>
    <x v="6"/>
    <n v="2"/>
    <n v="799"/>
    <n v="1598"/>
    <x v="4"/>
    <n v="159.80000000000001"/>
    <n v="1438.2"/>
    <x v="3"/>
    <x v="1"/>
  </r>
  <r>
    <x v="1888"/>
    <s v="28 Sun"/>
    <x v="8"/>
    <x v="0"/>
    <s v="CUST-1245"/>
    <s v="Kunal Patel"/>
    <x v="1"/>
    <x v="2"/>
    <x v="3"/>
    <n v="4"/>
    <n v="249"/>
    <n v="996"/>
    <x v="4"/>
    <n v="99.6"/>
    <n v="896.4"/>
    <x v="3"/>
    <x v="0"/>
  </r>
  <r>
    <x v="1889"/>
    <s v="28 Sun"/>
    <x v="8"/>
    <x v="0"/>
    <s v="CUST-1089"/>
    <s v="Arjun Verma"/>
    <x v="3"/>
    <x v="1"/>
    <x v="2"/>
    <n v="2"/>
    <n v="599"/>
    <n v="1198"/>
    <x v="0"/>
    <n v="0"/>
    <n v="1198"/>
    <x v="2"/>
    <x v="0"/>
  </r>
  <r>
    <x v="1890"/>
    <s v="28 Sun"/>
    <x v="8"/>
    <x v="0"/>
    <s v="CUST-1008"/>
    <s v="Meera Saxena"/>
    <x v="1"/>
    <x v="1"/>
    <x v="4"/>
    <n v="1"/>
    <n v="2999"/>
    <n v="2999"/>
    <x v="4"/>
    <n v="299.89999999999998"/>
    <n v="2699.1"/>
    <x v="2"/>
    <x v="0"/>
  </r>
  <r>
    <x v="1891"/>
    <s v="28 Sun"/>
    <x v="8"/>
    <x v="0"/>
    <s v="CUST-1300"/>
    <s v="Vivaan Mehta"/>
    <x v="0"/>
    <x v="4"/>
    <x v="10"/>
    <n v="2"/>
    <n v="899"/>
    <n v="1798"/>
    <x v="0"/>
    <n v="0"/>
    <n v="1798"/>
    <x v="1"/>
    <x v="1"/>
  </r>
  <r>
    <x v="1892"/>
    <s v="29 Mon"/>
    <x v="8"/>
    <x v="0"/>
    <s v="CUST-1268"/>
    <s v="Aman Verma"/>
    <x v="0"/>
    <x v="0"/>
    <x v="0"/>
    <n v="1"/>
    <n v="99"/>
    <n v="99"/>
    <x v="0"/>
    <n v="0"/>
    <n v="99"/>
    <x v="0"/>
    <x v="0"/>
  </r>
  <r>
    <x v="1893"/>
    <s v="29 Mon"/>
    <x v="8"/>
    <x v="0"/>
    <s v="CUST-1397"/>
    <s v="Aman Verma"/>
    <x v="4"/>
    <x v="1"/>
    <x v="2"/>
    <n v="1"/>
    <n v="599"/>
    <n v="599"/>
    <x v="0"/>
    <n v="0"/>
    <n v="599"/>
    <x v="3"/>
    <x v="0"/>
  </r>
  <r>
    <x v="1894"/>
    <s v="29 Mon"/>
    <x v="8"/>
    <x v="0"/>
    <s v="CUST-1067"/>
    <s v="Nandini Gupta"/>
    <x v="3"/>
    <x v="6"/>
    <x v="12"/>
    <n v="1"/>
    <n v="1499"/>
    <n v="1499"/>
    <x v="0"/>
    <n v="0"/>
    <n v="1499"/>
    <x v="1"/>
    <x v="1"/>
  </r>
  <r>
    <x v="1895"/>
    <s v="29 Mon"/>
    <x v="8"/>
    <x v="0"/>
    <s v="CUST-1025"/>
    <s v="Aditya Singh"/>
    <x v="0"/>
    <x v="1"/>
    <x v="14"/>
    <n v="1"/>
    <n v="1799"/>
    <n v="1799"/>
    <x v="0"/>
    <n v="0"/>
    <n v="1799"/>
    <x v="1"/>
    <x v="1"/>
  </r>
  <r>
    <x v="1896"/>
    <s v="29 Mon"/>
    <x v="8"/>
    <x v="0"/>
    <s v="CUST-1270"/>
    <s v="Nandini Verma"/>
    <x v="1"/>
    <x v="2"/>
    <x v="15"/>
    <n v="5"/>
    <n v="299"/>
    <n v="1495"/>
    <x v="0"/>
    <n v="0"/>
    <n v="1495"/>
    <x v="2"/>
    <x v="0"/>
  </r>
  <r>
    <x v="1897"/>
    <s v="29 Mon"/>
    <x v="8"/>
    <x v="0"/>
    <s v="CUST-1316"/>
    <s v="Komal Saxena"/>
    <x v="2"/>
    <x v="0"/>
    <x v="1"/>
    <n v="3"/>
    <n v="199"/>
    <n v="597"/>
    <x v="1"/>
    <n v="89.55"/>
    <n v="507.45"/>
    <x v="0"/>
    <x v="0"/>
  </r>
  <r>
    <x v="1898"/>
    <s v="29 Mon"/>
    <x v="8"/>
    <x v="0"/>
    <s v="CUST-1393"/>
    <s v="Nandini Singh"/>
    <x v="4"/>
    <x v="2"/>
    <x v="3"/>
    <n v="1"/>
    <n v="249"/>
    <n v="249"/>
    <x v="2"/>
    <n v="12.45"/>
    <n v="236.55"/>
    <x v="1"/>
    <x v="1"/>
  </r>
  <r>
    <x v="1899"/>
    <s v="30 Tue"/>
    <x v="8"/>
    <x v="0"/>
    <s v="CUST-1258"/>
    <s v="Muskan Joshi"/>
    <x v="0"/>
    <x v="5"/>
    <x v="9"/>
    <n v="1"/>
    <n v="549"/>
    <n v="549"/>
    <x v="0"/>
    <n v="0"/>
    <n v="549"/>
    <x v="0"/>
    <x v="1"/>
  </r>
  <r>
    <x v="1900"/>
    <s v="30 Tue"/>
    <x v="8"/>
    <x v="0"/>
    <s v="CUST-1197"/>
    <s v="Rahul Verma"/>
    <x v="1"/>
    <x v="1"/>
    <x v="14"/>
    <n v="3"/>
    <n v="1799"/>
    <n v="5397"/>
    <x v="2"/>
    <n v="269.85000000000002"/>
    <n v="5127.1499999999996"/>
    <x v="0"/>
    <x v="0"/>
  </r>
  <r>
    <x v="1901"/>
    <s v="30 Tue"/>
    <x v="8"/>
    <x v="0"/>
    <s v="CUST-1120"/>
    <s v="Divya Kapoor"/>
    <x v="1"/>
    <x v="2"/>
    <x v="3"/>
    <n v="3"/>
    <n v="249"/>
    <n v="747"/>
    <x v="1"/>
    <n v="112.05"/>
    <n v="634.95000000000005"/>
    <x v="0"/>
    <x v="1"/>
  </r>
  <r>
    <x v="1902"/>
    <s v="30 Tue"/>
    <x v="8"/>
    <x v="0"/>
    <s v="CUST-1325"/>
    <s v="Aarav Saxena"/>
    <x v="4"/>
    <x v="3"/>
    <x v="6"/>
    <n v="1"/>
    <n v="799"/>
    <n v="799"/>
    <x v="4"/>
    <n v="79.900000000000006"/>
    <n v="719.1"/>
    <x v="0"/>
    <x v="1"/>
  </r>
  <r>
    <x v="1903"/>
    <s v="30 Tue"/>
    <x v="8"/>
    <x v="0"/>
    <s v="CUST-1281"/>
    <s v="Nandini Saxena"/>
    <x v="2"/>
    <x v="4"/>
    <x v="10"/>
    <n v="1"/>
    <n v="899"/>
    <n v="899"/>
    <x v="3"/>
    <n v="179.8"/>
    <n v="719.2"/>
    <x v="2"/>
    <x v="1"/>
  </r>
  <r>
    <x v="1904"/>
    <s v="30 Tue"/>
    <x v="8"/>
    <x v="0"/>
    <s v="CUST-1149"/>
    <s v="Aarav Verma"/>
    <x v="0"/>
    <x v="1"/>
    <x v="2"/>
    <n v="1"/>
    <n v="599"/>
    <n v="599"/>
    <x v="2"/>
    <n v="29.95"/>
    <n v="569.04999999999995"/>
    <x v="2"/>
    <x v="0"/>
  </r>
  <r>
    <x v="1905"/>
    <s v="1 Wed"/>
    <x v="9"/>
    <x v="0"/>
    <s v="CUST-1003"/>
    <s v="Tanya Singh"/>
    <x v="4"/>
    <x v="1"/>
    <x v="14"/>
    <n v="2"/>
    <n v="1799"/>
    <n v="3598"/>
    <x v="1"/>
    <n v="539.70000000000005"/>
    <n v="3058.3"/>
    <x v="2"/>
    <x v="0"/>
  </r>
  <r>
    <x v="1906"/>
    <s v="1 Wed"/>
    <x v="9"/>
    <x v="0"/>
    <s v="CUST-1164"/>
    <s v="Kabir Malhotra"/>
    <x v="3"/>
    <x v="0"/>
    <x v="1"/>
    <n v="1"/>
    <n v="199"/>
    <n v="199"/>
    <x v="6"/>
    <n v="59.7"/>
    <n v="139.30000000000001"/>
    <x v="2"/>
    <x v="1"/>
  </r>
  <r>
    <x v="1907"/>
    <s v="1 Wed"/>
    <x v="9"/>
    <x v="0"/>
    <s v="CUST-1234"/>
    <s v="Meera Sharma"/>
    <x v="1"/>
    <x v="4"/>
    <x v="7"/>
    <n v="2"/>
    <n v="1999"/>
    <n v="3998"/>
    <x v="1"/>
    <n v="599.70000000000005"/>
    <n v="3398.3"/>
    <x v="1"/>
    <x v="1"/>
  </r>
  <r>
    <x v="1908"/>
    <s v="1 Wed"/>
    <x v="9"/>
    <x v="0"/>
    <s v="CUST-1241"/>
    <s v="Rahul Singh"/>
    <x v="4"/>
    <x v="4"/>
    <x v="7"/>
    <n v="4"/>
    <n v="1999"/>
    <n v="7996"/>
    <x v="5"/>
    <n v="1999"/>
    <n v="5997"/>
    <x v="0"/>
    <x v="0"/>
  </r>
  <r>
    <x v="1909"/>
    <s v="1 Wed"/>
    <x v="9"/>
    <x v="0"/>
    <s v="CUST-1297"/>
    <s v="Sakshi Kapoor"/>
    <x v="3"/>
    <x v="0"/>
    <x v="0"/>
    <n v="1"/>
    <n v="99"/>
    <n v="99"/>
    <x v="1"/>
    <n v="14.85"/>
    <n v="84.15"/>
    <x v="2"/>
    <x v="0"/>
  </r>
  <r>
    <x v="1910"/>
    <s v="1 Wed"/>
    <x v="9"/>
    <x v="0"/>
    <s v="CUST-1280"/>
    <s v="Muskan Kapoor"/>
    <x v="4"/>
    <x v="5"/>
    <x v="8"/>
    <n v="1"/>
    <n v="349"/>
    <n v="349"/>
    <x v="1"/>
    <n v="52.35"/>
    <n v="296.64999999999998"/>
    <x v="0"/>
    <x v="0"/>
  </r>
  <r>
    <x v="1911"/>
    <s v="1 Wed"/>
    <x v="9"/>
    <x v="0"/>
    <s v="CUST-1116"/>
    <s v="Sakshi Mehta"/>
    <x v="0"/>
    <x v="6"/>
    <x v="12"/>
    <n v="1"/>
    <n v="1499"/>
    <n v="1499"/>
    <x v="6"/>
    <n v="449.7"/>
    <n v="1049.3"/>
    <x v="1"/>
    <x v="0"/>
  </r>
  <r>
    <x v="1912"/>
    <s v="1 Wed"/>
    <x v="9"/>
    <x v="0"/>
    <s v="CUST-1297"/>
    <s v="Sakshi Kapoor"/>
    <x v="3"/>
    <x v="3"/>
    <x v="6"/>
    <n v="2"/>
    <n v="799"/>
    <n v="1598"/>
    <x v="4"/>
    <n v="159.80000000000001"/>
    <n v="1438.2"/>
    <x v="4"/>
    <x v="1"/>
  </r>
  <r>
    <x v="1913"/>
    <s v="2 Thu"/>
    <x v="9"/>
    <x v="0"/>
    <s v="CUST-1392"/>
    <s v="Aarav Singh"/>
    <x v="3"/>
    <x v="3"/>
    <x v="6"/>
    <n v="1"/>
    <n v="799"/>
    <n v="799"/>
    <x v="2"/>
    <n v="39.950000000000003"/>
    <n v="759.05"/>
    <x v="3"/>
    <x v="1"/>
  </r>
  <r>
    <x v="1914"/>
    <s v="2 Thu"/>
    <x v="9"/>
    <x v="0"/>
    <s v="CUST-1041"/>
    <s v="Divya Malhotra"/>
    <x v="4"/>
    <x v="2"/>
    <x v="3"/>
    <n v="1"/>
    <n v="249"/>
    <n v="249"/>
    <x v="0"/>
    <n v="0"/>
    <n v="249"/>
    <x v="1"/>
    <x v="1"/>
  </r>
  <r>
    <x v="1915"/>
    <s v="2 Thu"/>
    <x v="9"/>
    <x v="0"/>
    <s v="CUST-1122"/>
    <s v="Aditya Kapoor"/>
    <x v="3"/>
    <x v="3"/>
    <x v="5"/>
    <n v="1"/>
    <n v="1299"/>
    <n v="1299"/>
    <x v="5"/>
    <n v="324.75"/>
    <n v="974.25"/>
    <x v="4"/>
    <x v="1"/>
  </r>
  <r>
    <x v="1916"/>
    <s v="2 Thu"/>
    <x v="9"/>
    <x v="0"/>
    <s v="CUST-1072"/>
    <s v="Tanya Sharma"/>
    <x v="4"/>
    <x v="4"/>
    <x v="7"/>
    <n v="2"/>
    <n v="1999"/>
    <n v="3998"/>
    <x v="0"/>
    <n v="0"/>
    <n v="3998"/>
    <x v="0"/>
    <x v="1"/>
  </r>
  <r>
    <x v="1917"/>
    <s v="2 Thu"/>
    <x v="9"/>
    <x v="0"/>
    <s v="CUST-1331"/>
    <s v="Arjun Singh"/>
    <x v="0"/>
    <x v="0"/>
    <x v="0"/>
    <n v="3"/>
    <n v="99"/>
    <n v="297"/>
    <x v="6"/>
    <n v="89.1"/>
    <n v="207.9"/>
    <x v="2"/>
    <x v="1"/>
  </r>
  <r>
    <x v="1918"/>
    <s v="2 Thu"/>
    <x v="9"/>
    <x v="0"/>
    <s v="CUST-1164"/>
    <s v="Kabir Malhotra"/>
    <x v="3"/>
    <x v="0"/>
    <x v="1"/>
    <n v="1"/>
    <n v="199"/>
    <n v="199"/>
    <x v="6"/>
    <n v="59.7"/>
    <n v="139.30000000000001"/>
    <x v="1"/>
    <x v="0"/>
  </r>
  <r>
    <x v="1919"/>
    <s v="2 Thu"/>
    <x v="9"/>
    <x v="0"/>
    <s v="CUST-1167"/>
    <s v="Nandini Verma"/>
    <x v="3"/>
    <x v="6"/>
    <x v="13"/>
    <n v="2"/>
    <n v="699"/>
    <n v="1398"/>
    <x v="5"/>
    <n v="349.5"/>
    <n v="1048.5"/>
    <x v="1"/>
    <x v="1"/>
  </r>
  <r>
    <x v="1920"/>
    <s v="2 Thu"/>
    <x v="9"/>
    <x v="0"/>
    <s v="CUST-1328"/>
    <s v="Arjun Verma"/>
    <x v="3"/>
    <x v="4"/>
    <x v="10"/>
    <n v="1"/>
    <n v="899"/>
    <n v="899"/>
    <x v="3"/>
    <n v="179.8"/>
    <n v="719.2"/>
    <x v="1"/>
    <x v="0"/>
  </r>
  <r>
    <x v="1921"/>
    <s v="2 Thu"/>
    <x v="9"/>
    <x v="0"/>
    <s v="CUST-1309"/>
    <s v="Meera Verma"/>
    <x v="3"/>
    <x v="3"/>
    <x v="6"/>
    <n v="1"/>
    <n v="799"/>
    <n v="799"/>
    <x v="6"/>
    <n v="239.7"/>
    <n v="559.29999999999995"/>
    <x v="2"/>
    <x v="0"/>
  </r>
  <r>
    <x v="1922"/>
    <s v="3 Fri"/>
    <x v="9"/>
    <x v="0"/>
    <s v="CUST-1221"/>
    <s v="Kunal Singh"/>
    <x v="0"/>
    <x v="6"/>
    <x v="12"/>
    <n v="1"/>
    <n v="1499"/>
    <n v="1499"/>
    <x v="4"/>
    <n v="149.9"/>
    <n v="1349.1"/>
    <x v="1"/>
    <x v="0"/>
  </r>
  <r>
    <x v="1923"/>
    <s v="3 Fri"/>
    <x v="9"/>
    <x v="0"/>
    <s v="CUST-1281"/>
    <s v="Nandini Saxena"/>
    <x v="3"/>
    <x v="6"/>
    <x v="13"/>
    <n v="1"/>
    <n v="699"/>
    <n v="699"/>
    <x v="6"/>
    <n v="209.7"/>
    <n v="489.3"/>
    <x v="3"/>
    <x v="0"/>
  </r>
  <r>
    <x v="1924"/>
    <s v="3 Fri"/>
    <x v="9"/>
    <x v="0"/>
    <s v="CUST-1234"/>
    <s v="Meera Sharma"/>
    <x v="0"/>
    <x v="0"/>
    <x v="0"/>
    <n v="1"/>
    <n v="99"/>
    <n v="99"/>
    <x v="4"/>
    <n v="9.9"/>
    <n v="89.1"/>
    <x v="3"/>
    <x v="0"/>
  </r>
  <r>
    <x v="1925"/>
    <s v="3 Fri"/>
    <x v="9"/>
    <x v="0"/>
    <s v="CUST-1315"/>
    <s v="Muskan Singh"/>
    <x v="0"/>
    <x v="0"/>
    <x v="0"/>
    <n v="1"/>
    <n v="99"/>
    <n v="99"/>
    <x v="1"/>
    <n v="14.85"/>
    <n v="84.15"/>
    <x v="4"/>
    <x v="1"/>
  </r>
  <r>
    <x v="1926"/>
    <s v="3 Fri"/>
    <x v="9"/>
    <x v="0"/>
    <s v="CUST-1087"/>
    <s v="Kabir Verma"/>
    <x v="1"/>
    <x v="1"/>
    <x v="4"/>
    <n v="2"/>
    <n v="2999"/>
    <n v="5998"/>
    <x v="6"/>
    <n v="1799.4"/>
    <n v="4198.6000000000004"/>
    <x v="2"/>
    <x v="1"/>
  </r>
  <r>
    <x v="1927"/>
    <s v="3 Fri"/>
    <x v="9"/>
    <x v="0"/>
    <s v="CUST-1339"/>
    <s v="Aarav Patel"/>
    <x v="2"/>
    <x v="1"/>
    <x v="2"/>
    <n v="1"/>
    <n v="599"/>
    <n v="599"/>
    <x v="0"/>
    <n v="0"/>
    <n v="599"/>
    <x v="1"/>
    <x v="0"/>
  </r>
  <r>
    <x v="1928"/>
    <s v="3 Fri"/>
    <x v="9"/>
    <x v="0"/>
    <s v="CUST-1040"/>
    <s v="Aditya Malhotra"/>
    <x v="1"/>
    <x v="6"/>
    <x v="13"/>
    <n v="5"/>
    <n v="699"/>
    <n v="3495"/>
    <x v="2"/>
    <n v="174.75"/>
    <n v="3320.25"/>
    <x v="3"/>
    <x v="1"/>
  </r>
  <r>
    <x v="1929"/>
    <s v="3 Fri"/>
    <x v="9"/>
    <x v="0"/>
    <s v="CUST-1098"/>
    <s v="Rohan Patel"/>
    <x v="4"/>
    <x v="3"/>
    <x v="5"/>
    <n v="1"/>
    <n v="1299"/>
    <n v="1299"/>
    <x v="0"/>
    <n v="0"/>
    <n v="1299"/>
    <x v="0"/>
    <x v="0"/>
  </r>
  <r>
    <x v="1930"/>
    <s v="3 Fri"/>
    <x v="9"/>
    <x v="0"/>
    <s v="CUST-1054"/>
    <s v="Kunal Patel"/>
    <x v="2"/>
    <x v="4"/>
    <x v="10"/>
    <n v="1"/>
    <n v="899"/>
    <n v="899"/>
    <x v="4"/>
    <n v="89.9"/>
    <n v="809.1"/>
    <x v="3"/>
    <x v="1"/>
  </r>
  <r>
    <x v="1931"/>
    <s v="3 Fri"/>
    <x v="9"/>
    <x v="0"/>
    <s v="CUST-1251"/>
    <s v="Aarav Singh"/>
    <x v="3"/>
    <x v="3"/>
    <x v="5"/>
    <n v="1"/>
    <n v="1299"/>
    <n v="1299"/>
    <x v="4"/>
    <n v="129.9"/>
    <n v="1169.0999999999999"/>
    <x v="2"/>
    <x v="0"/>
  </r>
  <r>
    <x v="1932"/>
    <s v="3 Fri"/>
    <x v="9"/>
    <x v="0"/>
    <s v="CUST-1063"/>
    <s v="Aman Sharma"/>
    <x v="0"/>
    <x v="5"/>
    <x v="9"/>
    <n v="2"/>
    <n v="549"/>
    <n v="1098"/>
    <x v="5"/>
    <n v="274.5"/>
    <n v="823.5"/>
    <x v="0"/>
    <x v="1"/>
  </r>
  <r>
    <x v="1933"/>
    <s v="3 Fri"/>
    <x v="9"/>
    <x v="0"/>
    <s v="CUST-1069"/>
    <s v="Kabir Joshi"/>
    <x v="4"/>
    <x v="0"/>
    <x v="0"/>
    <n v="1"/>
    <n v="99"/>
    <n v="99"/>
    <x v="4"/>
    <n v="9.9"/>
    <n v="89.1"/>
    <x v="3"/>
    <x v="0"/>
  </r>
  <r>
    <x v="1934"/>
    <s v="3 Fri"/>
    <x v="9"/>
    <x v="0"/>
    <s v="CUST-1008"/>
    <s v="Meera Saxena"/>
    <x v="2"/>
    <x v="6"/>
    <x v="12"/>
    <n v="3"/>
    <n v="1499"/>
    <n v="4497"/>
    <x v="6"/>
    <n v="1349.1"/>
    <n v="3147.9"/>
    <x v="4"/>
    <x v="0"/>
  </r>
  <r>
    <x v="1935"/>
    <s v="4 Sat"/>
    <x v="9"/>
    <x v="0"/>
    <s v="CUST-1134"/>
    <s v="Komal Patel"/>
    <x v="4"/>
    <x v="6"/>
    <x v="13"/>
    <n v="3"/>
    <n v="699"/>
    <n v="2097"/>
    <x v="2"/>
    <n v="104.85"/>
    <n v="1992.15"/>
    <x v="3"/>
    <x v="1"/>
  </r>
  <r>
    <x v="1936"/>
    <s v="4 Sat"/>
    <x v="9"/>
    <x v="0"/>
    <s v="CUST-1344"/>
    <s v="Nandini Saxena"/>
    <x v="2"/>
    <x v="2"/>
    <x v="3"/>
    <n v="5"/>
    <n v="249"/>
    <n v="1245"/>
    <x v="6"/>
    <n v="373.5"/>
    <n v="871.5"/>
    <x v="4"/>
    <x v="0"/>
  </r>
  <r>
    <x v="1937"/>
    <s v="4 Sat"/>
    <x v="9"/>
    <x v="0"/>
    <s v="CUST-1391"/>
    <s v="Kunal Gupta"/>
    <x v="3"/>
    <x v="6"/>
    <x v="12"/>
    <n v="1"/>
    <n v="1499"/>
    <n v="1499"/>
    <x v="6"/>
    <n v="449.7"/>
    <n v="1049.3"/>
    <x v="3"/>
    <x v="1"/>
  </r>
  <r>
    <x v="1938"/>
    <s v="4 Sat"/>
    <x v="9"/>
    <x v="0"/>
    <s v="CUST-1126"/>
    <s v="Divya Sharma"/>
    <x v="4"/>
    <x v="1"/>
    <x v="2"/>
    <n v="3"/>
    <n v="599"/>
    <n v="1797"/>
    <x v="5"/>
    <n v="449.25"/>
    <n v="1347.75"/>
    <x v="0"/>
    <x v="1"/>
  </r>
  <r>
    <x v="1939"/>
    <s v="4 Sat"/>
    <x v="9"/>
    <x v="0"/>
    <s v="CUST-1023"/>
    <s v="Rohan Sharma"/>
    <x v="3"/>
    <x v="4"/>
    <x v="11"/>
    <n v="1"/>
    <n v="499"/>
    <n v="499"/>
    <x v="5"/>
    <n v="124.75"/>
    <n v="374.25"/>
    <x v="2"/>
    <x v="0"/>
  </r>
  <r>
    <x v="1940"/>
    <s v="4 Sat"/>
    <x v="9"/>
    <x v="0"/>
    <s v="CUST-1132"/>
    <s v="Shreya Sharma"/>
    <x v="3"/>
    <x v="4"/>
    <x v="11"/>
    <n v="1"/>
    <n v="499"/>
    <n v="499"/>
    <x v="3"/>
    <n v="99.8"/>
    <n v="399.2"/>
    <x v="4"/>
    <x v="0"/>
  </r>
  <r>
    <x v="1941"/>
    <s v="4 Sat"/>
    <x v="9"/>
    <x v="0"/>
    <s v="CUST-1308"/>
    <s v="Shreya Sharma"/>
    <x v="1"/>
    <x v="4"/>
    <x v="7"/>
    <n v="1"/>
    <n v="1999"/>
    <n v="1999"/>
    <x v="6"/>
    <n v="599.70000000000005"/>
    <n v="1399.3"/>
    <x v="0"/>
    <x v="0"/>
  </r>
  <r>
    <x v="1942"/>
    <s v="4 Sat"/>
    <x v="9"/>
    <x v="0"/>
    <s v="CUST-1223"/>
    <s v="Meera Saxena"/>
    <x v="3"/>
    <x v="0"/>
    <x v="0"/>
    <n v="3"/>
    <n v="99"/>
    <n v="297"/>
    <x v="5"/>
    <n v="74.25"/>
    <n v="222.75"/>
    <x v="0"/>
    <x v="0"/>
  </r>
  <r>
    <x v="1943"/>
    <s v="4 Sat"/>
    <x v="9"/>
    <x v="0"/>
    <s v="CUST-1184"/>
    <s v="Rahul Joshi"/>
    <x v="0"/>
    <x v="4"/>
    <x v="11"/>
    <n v="1"/>
    <n v="499"/>
    <n v="499"/>
    <x v="4"/>
    <n v="49.9"/>
    <n v="449.1"/>
    <x v="1"/>
    <x v="0"/>
  </r>
  <r>
    <x v="1944"/>
    <s v="4 Sat"/>
    <x v="9"/>
    <x v="0"/>
    <s v="CUST-1349"/>
    <s v="Rohan Mehta"/>
    <x v="1"/>
    <x v="2"/>
    <x v="3"/>
    <n v="2"/>
    <n v="249"/>
    <n v="498"/>
    <x v="4"/>
    <n v="49.8"/>
    <n v="448.2"/>
    <x v="0"/>
    <x v="0"/>
  </r>
  <r>
    <x v="1945"/>
    <s v="4 Sat"/>
    <x v="9"/>
    <x v="0"/>
    <s v="CUST-1311"/>
    <s v="Muskan Joshi"/>
    <x v="1"/>
    <x v="6"/>
    <x v="13"/>
    <n v="1"/>
    <n v="699"/>
    <n v="699"/>
    <x v="2"/>
    <n v="34.950000000000003"/>
    <n v="664.05"/>
    <x v="1"/>
    <x v="1"/>
  </r>
  <r>
    <x v="1946"/>
    <s v="5 Sun"/>
    <x v="9"/>
    <x v="0"/>
    <s v="CUST-1321"/>
    <s v="Isha Mehta"/>
    <x v="4"/>
    <x v="1"/>
    <x v="2"/>
    <n v="2"/>
    <n v="599"/>
    <n v="1198"/>
    <x v="3"/>
    <n v="239.6"/>
    <n v="958.4"/>
    <x v="2"/>
    <x v="1"/>
  </r>
  <r>
    <x v="1947"/>
    <s v="5 Sun"/>
    <x v="9"/>
    <x v="0"/>
    <s v="CUST-1146"/>
    <s v="Tanya Patel"/>
    <x v="1"/>
    <x v="2"/>
    <x v="15"/>
    <n v="1"/>
    <n v="299"/>
    <n v="299"/>
    <x v="4"/>
    <n v="29.9"/>
    <n v="269.10000000000002"/>
    <x v="1"/>
    <x v="0"/>
  </r>
  <r>
    <x v="1948"/>
    <s v="5 Sun"/>
    <x v="9"/>
    <x v="0"/>
    <s v="CUST-1015"/>
    <s v="Swati Joshi"/>
    <x v="0"/>
    <x v="4"/>
    <x v="10"/>
    <n v="1"/>
    <n v="899"/>
    <n v="899"/>
    <x v="2"/>
    <n v="44.95"/>
    <n v="854.05"/>
    <x v="2"/>
    <x v="1"/>
  </r>
  <r>
    <x v="1949"/>
    <s v="5 Sun"/>
    <x v="9"/>
    <x v="0"/>
    <s v="CUST-1209"/>
    <s v="Meera Mehta"/>
    <x v="3"/>
    <x v="6"/>
    <x v="13"/>
    <n v="1"/>
    <n v="699"/>
    <n v="699"/>
    <x v="4"/>
    <n v="69.900000000000006"/>
    <n v="629.1"/>
    <x v="0"/>
    <x v="1"/>
  </r>
  <r>
    <x v="1950"/>
    <s v="5 Sun"/>
    <x v="9"/>
    <x v="0"/>
    <s v="CUST-1239"/>
    <s v="Rohan Malhotra"/>
    <x v="1"/>
    <x v="3"/>
    <x v="5"/>
    <n v="1"/>
    <n v="1299"/>
    <n v="1299"/>
    <x v="2"/>
    <n v="64.95"/>
    <n v="1234.05"/>
    <x v="3"/>
    <x v="1"/>
  </r>
  <r>
    <x v="1951"/>
    <s v="5 Sun"/>
    <x v="9"/>
    <x v="0"/>
    <s v="CUST-1088"/>
    <s v="Arjun Patel"/>
    <x v="1"/>
    <x v="1"/>
    <x v="2"/>
    <n v="1"/>
    <n v="599"/>
    <n v="599"/>
    <x v="3"/>
    <n v="119.8"/>
    <n v="479.2"/>
    <x v="0"/>
    <x v="1"/>
  </r>
  <r>
    <x v="1952"/>
    <s v="5 Sun"/>
    <x v="9"/>
    <x v="0"/>
    <s v="CUST-1334"/>
    <s v="Kunal Singh"/>
    <x v="2"/>
    <x v="1"/>
    <x v="2"/>
    <n v="1"/>
    <n v="599"/>
    <n v="599"/>
    <x v="4"/>
    <n v="59.9"/>
    <n v="539.1"/>
    <x v="0"/>
    <x v="0"/>
  </r>
  <r>
    <x v="1953"/>
    <s v="5 Sun"/>
    <x v="9"/>
    <x v="0"/>
    <s v="CUST-1208"/>
    <s v="Arjun Singh"/>
    <x v="1"/>
    <x v="3"/>
    <x v="6"/>
    <n v="2"/>
    <n v="799"/>
    <n v="1598"/>
    <x v="0"/>
    <n v="0"/>
    <n v="1598"/>
    <x v="2"/>
    <x v="0"/>
  </r>
  <r>
    <x v="1954"/>
    <s v="5 Sun"/>
    <x v="9"/>
    <x v="0"/>
    <s v="CUST-1004"/>
    <s v="Tanya Malhotra"/>
    <x v="0"/>
    <x v="0"/>
    <x v="1"/>
    <n v="2"/>
    <n v="199"/>
    <n v="398"/>
    <x v="4"/>
    <n v="39.799999999999997"/>
    <n v="358.2"/>
    <x v="1"/>
    <x v="1"/>
  </r>
  <r>
    <x v="1955"/>
    <s v="5 Sun"/>
    <x v="9"/>
    <x v="0"/>
    <s v="CUST-1261"/>
    <s v="Shreya Patel"/>
    <x v="1"/>
    <x v="6"/>
    <x v="13"/>
    <n v="1"/>
    <n v="699"/>
    <n v="699"/>
    <x v="5"/>
    <n v="174.75"/>
    <n v="524.25"/>
    <x v="2"/>
    <x v="0"/>
  </r>
  <r>
    <x v="1956"/>
    <s v="6 Mon"/>
    <x v="9"/>
    <x v="0"/>
    <s v="CUST-1087"/>
    <s v="Kabir Verma"/>
    <x v="3"/>
    <x v="4"/>
    <x v="10"/>
    <n v="1"/>
    <n v="899"/>
    <n v="899"/>
    <x v="5"/>
    <n v="224.75"/>
    <n v="674.25"/>
    <x v="4"/>
    <x v="0"/>
  </r>
  <r>
    <x v="1957"/>
    <s v="6 Mon"/>
    <x v="9"/>
    <x v="0"/>
    <s v="CUST-1039"/>
    <s v="Aarav Joshi"/>
    <x v="1"/>
    <x v="1"/>
    <x v="4"/>
    <n v="2"/>
    <n v="2999"/>
    <n v="5998"/>
    <x v="5"/>
    <n v="1499.5"/>
    <n v="4498.5"/>
    <x v="3"/>
    <x v="0"/>
  </r>
  <r>
    <x v="1958"/>
    <s v="6 Mon"/>
    <x v="9"/>
    <x v="0"/>
    <s v="CUST-1315"/>
    <s v="Muskan Singh"/>
    <x v="4"/>
    <x v="6"/>
    <x v="13"/>
    <n v="1"/>
    <n v="699"/>
    <n v="699"/>
    <x v="2"/>
    <n v="34.950000000000003"/>
    <n v="664.05"/>
    <x v="0"/>
    <x v="0"/>
  </r>
  <r>
    <x v="1959"/>
    <s v="6 Mon"/>
    <x v="9"/>
    <x v="0"/>
    <s v="CUST-1245"/>
    <s v="Kunal Patel"/>
    <x v="0"/>
    <x v="5"/>
    <x v="9"/>
    <n v="4"/>
    <n v="549"/>
    <n v="2196"/>
    <x v="2"/>
    <n v="109.8"/>
    <n v="2086.1999999999998"/>
    <x v="0"/>
    <x v="1"/>
  </r>
  <r>
    <x v="1960"/>
    <s v="6 Mon"/>
    <x v="9"/>
    <x v="0"/>
    <s v="CUST-1296"/>
    <s v="Vivaan Kapoor"/>
    <x v="3"/>
    <x v="6"/>
    <x v="12"/>
    <n v="1"/>
    <n v="1499"/>
    <n v="1499"/>
    <x v="5"/>
    <n v="374.75"/>
    <n v="1124.25"/>
    <x v="2"/>
    <x v="0"/>
  </r>
  <r>
    <x v="1961"/>
    <s v="6 Mon"/>
    <x v="9"/>
    <x v="0"/>
    <s v="CUST-1263"/>
    <s v="Tanya Mehta"/>
    <x v="0"/>
    <x v="1"/>
    <x v="4"/>
    <n v="2"/>
    <n v="2999"/>
    <n v="5998"/>
    <x v="2"/>
    <n v="299.89999999999998"/>
    <n v="5698.1"/>
    <x v="1"/>
    <x v="0"/>
  </r>
  <r>
    <x v="1962"/>
    <s v="6 Mon"/>
    <x v="9"/>
    <x v="0"/>
    <s v="CUST-1297"/>
    <s v="Sakshi Kapoor"/>
    <x v="0"/>
    <x v="5"/>
    <x v="9"/>
    <n v="2"/>
    <n v="549"/>
    <n v="1098"/>
    <x v="5"/>
    <n v="274.5"/>
    <n v="823.5"/>
    <x v="0"/>
    <x v="0"/>
  </r>
  <r>
    <x v="1963"/>
    <s v="6 Mon"/>
    <x v="9"/>
    <x v="0"/>
    <s v="CUST-1325"/>
    <s v="Aarav Saxena"/>
    <x v="4"/>
    <x v="0"/>
    <x v="0"/>
    <n v="1"/>
    <n v="99"/>
    <n v="99"/>
    <x v="0"/>
    <n v="0"/>
    <n v="99"/>
    <x v="2"/>
    <x v="1"/>
  </r>
  <r>
    <x v="1964"/>
    <s v="6 Mon"/>
    <x v="9"/>
    <x v="0"/>
    <s v="CUST-1080"/>
    <s v="Kabir Sharma"/>
    <x v="4"/>
    <x v="2"/>
    <x v="3"/>
    <n v="5"/>
    <n v="249"/>
    <n v="1245"/>
    <x v="0"/>
    <n v="0"/>
    <n v="1245"/>
    <x v="1"/>
    <x v="1"/>
  </r>
  <r>
    <x v="1965"/>
    <s v="6 Mon"/>
    <x v="9"/>
    <x v="0"/>
    <s v="CUST-1331"/>
    <s v="Arjun Singh"/>
    <x v="2"/>
    <x v="5"/>
    <x v="8"/>
    <n v="2"/>
    <n v="349"/>
    <n v="698"/>
    <x v="2"/>
    <n v="34.9"/>
    <n v="663.1"/>
    <x v="3"/>
    <x v="1"/>
  </r>
  <r>
    <x v="1966"/>
    <s v="6 Mon"/>
    <x v="9"/>
    <x v="0"/>
    <s v="CUST-1235"/>
    <s v="Meera Verma"/>
    <x v="3"/>
    <x v="6"/>
    <x v="12"/>
    <n v="1"/>
    <n v="1499"/>
    <n v="1499"/>
    <x v="5"/>
    <n v="374.75"/>
    <n v="1124.25"/>
    <x v="0"/>
    <x v="0"/>
  </r>
  <r>
    <x v="1967"/>
    <s v="6 Mon"/>
    <x v="9"/>
    <x v="0"/>
    <s v="CUST-1040"/>
    <s v="Aditya Malhotra"/>
    <x v="2"/>
    <x v="5"/>
    <x v="9"/>
    <n v="1"/>
    <n v="549"/>
    <n v="549"/>
    <x v="1"/>
    <n v="82.35"/>
    <n v="466.65"/>
    <x v="1"/>
    <x v="0"/>
  </r>
  <r>
    <x v="1968"/>
    <s v="7 Tue"/>
    <x v="9"/>
    <x v="0"/>
    <s v="CUST-1113"/>
    <s v="Swati Saxena"/>
    <x v="1"/>
    <x v="3"/>
    <x v="6"/>
    <n v="2"/>
    <n v="799"/>
    <n v="1598"/>
    <x v="5"/>
    <n v="399.5"/>
    <n v="1198.5"/>
    <x v="3"/>
    <x v="1"/>
  </r>
  <r>
    <x v="1969"/>
    <s v="7 Tue"/>
    <x v="9"/>
    <x v="0"/>
    <s v="CUST-1274"/>
    <s v="Muskan Singh"/>
    <x v="3"/>
    <x v="4"/>
    <x v="11"/>
    <n v="1"/>
    <n v="499"/>
    <n v="499"/>
    <x v="0"/>
    <n v="0"/>
    <n v="499"/>
    <x v="3"/>
    <x v="0"/>
  </r>
  <r>
    <x v="1970"/>
    <s v="7 Tue"/>
    <x v="9"/>
    <x v="0"/>
    <s v="CUST-1030"/>
    <s v="Rahul Kapoor"/>
    <x v="4"/>
    <x v="0"/>
    <x v="1"/>
    <n v="1"/>
    <n v="199"/>
    <n v="199"/>
    <x v="3"/>
    <n v="39.799999999999997"/>
    <n v="159.19999999999999"/>
    <x v="1"/>
    <x v="0"/>
  </r>
  <r>
    <x v="1971"/>
    <s v="7 Tue"/>
    <x v="9"/>
    <x v="0"/>
    <s v="CUST-1221"/>
    <s v="Kunal Singh"/>
    <x v="3"/>
    <x v="3"/>
    <x v="5"/>
    <n v="3"/>
    <n v="1299"/>
    <n v="3897"/>
    <x v="0"/>
    <n v="0"/>
    <n v="3897"/>
    <x v="2"/>
    <x v="0"/>
  </r>
  <r>
    <x v="1972"/>
    <s v="7 Tue"/>
    <x v="9"/>
    <x v="0"/>
    <s v="CUST-1145"/>
    <s v="Kunal Joshi"/>
    <x v="0"/>
    <x v="1"/>
    <x v="14"/>
    <n v="1"/>
    <n v="1799"/>
    <n v="1799"/>
    <x v="6"/>
    <n v="539.70000000000005"/>
    <n v="1259.3"/>
    <x v="0"/>
    <x v="0"/>
  </r>
  <r>
    <x v="1973"/>
    <s v="7 Tue"/>
    <x v="9"/>
    <x v="0"/>
    <s v="CUST-1306"/>
    <s v="Sakshi Malhotra"/>
    <x v="0"/>
    <x v="3"/>
    <x v="6"/>
    <n v="2"/>
    <n v="799"/>
    <n v="1598"/>
    <x v="4"/>
    <n v="159.80000000000001"/>
    <n v="1438.2"/>
    <x v="2"/>
    <x v="0"/>
  </r>
  <r>
    <x v="1974"/>
    <s v="7 Tue"/>
    <x v="9"/>
    <x v="0"/>
    <s v="CUST-1033"/>
    <s v="Meera Joshi"/>
    <x v="0"/>
    <x v="3"/>
    <x v="6"/>
    <n v="1"/>
    <n v="799"/>
    <n v="799"/>
    <x v="3"/>
    <n v="159.80000000000001"/>
    <n v="639.20000000000005"/>
    <x v="2"/>
    <x v="0"/>
  </r>
  <r>
    <x v="1975"/>
    <s v="7 Tue"/>
    <x v="9"/>
    <x v="0"/>
    <s v="CUST-1294"/>
    <s v="Kabir Joshi"/>
    <x v="4"/>
    <x v="6"/>
    <x v="13"/>
    <n v="2"/>
    <n v="699"/>
    <n v="1398"/>
    <x v="1"/>
    <n v="209.7"/>
    <n v="1188.3"/>
    <x v="4"/>
    <x v="1"/>
  </r>
  <r>
    <x v="1976"/>
    <s v="7 Tue"/>
    <x v="9"/>
    <x v="0"/>
    <s v="CUST-1135"/>
    <s v="Shreya Joshi"/>
    <x v="0"/>
    <x v="6"/>
    <x v="12"/>
    <n v="2"/>
    <n v="1499"/>
    <n v="2998"/>
    <x v="4"/>
    <n v="299.8"/>
    <n v="2698.2"/>
    <x v="2"/>
    <x v="0"/>
  </r>
  <r>
    <x v="1977"/>
    <s v="7 Tue"/>
    <x v="9"/>
    <x v="0"/>
    <s v="CUST-1183"/>
    <s v="Arjun Mehta"/>
    <x v="2"/>
    <x v="0"/>
    <x v="0"/>
    <n v="3"/>
    <n v="99"/>
    <n v="297"/>
    <x v="2"/>
    <n v="14.85"/>
    <n v="282.14999999999998"/>
    <x v="1"/>
    <x v="0"/>
  </r>
  <r>
    <x v="1978"/>
    <s v="7 Tue"/>
    <x v="9"/>
    <x v="0"/>
    <s v="CUST-1355"/>
    <s v="Aditya Joshi"/>
    <x v="1"/>
    <x v="3"/>
    <x v="6"/>
    <n v="1"/>
    <n v="799"/>
    <n v="799"/>
    <x v="2"/>
    <n v="39.950000000000003"/>
    <n v="759.05"/>
    <x v="2"/>
    <x v="1"/>
  </r>
  <r>
    <x v="1979"/>
    <s v="8 Wed"/>
    <x v="9"/>
    <x v="0"/>
    <s v="CUST-1047"/>
    <s v="Isha Kapoor"/>
    <x v="1"/>
    <x v="0"/>
    <x v="0"/>
    <n v="1"/>
    <n v="99"/>
    <n v="99"/>
    <x v="0"/>
    <n v="0"/>
    <n v="99"/>
    <x v="2"/>
    <x v="1"/>
  </r>
  <r>
    <x v="1980"/>
    <s v="8 Wed"/>
    <x v="9"/>
    <x v="0"/>
    <s v="CUST-1118"/>
    <s v="Sakshi Malhotra"/>
    <x v="2"/>
    <x v="4"/>
    <x v="11"/>
    <n v="1"/>
    <n v="499"/>
    <n v="499"/>
    <x v="1"/>
    <n v="74.849999999999994"/>
    <n v="424.15"/>
    <x v="4"/>
    <x v="1"/>
  </r>
  <r>
    <x v="1981"/>
    <s v="8 Wed"/>
    <x v="9"/>
    <x v="0"/>
    <s v="CUST-1217"/>
    <s v="Ankit Patel"/>
    <x v="3"/>
    <x v="1"/>
    <x v="4"/>
    <n v="1"/>
    <n v="2999"/>
    <n v="2999"/>
    <x v="5"/>
    <n v="749.75"/>
    <n v="2249.25"/>
    <x v="0"/>
    <x v="0"/>
  </r>
  <r>
    <x v="1982"/>
    <s v="8 Wed"/>
    <x v="9"/>
    <x v="0"/>
    <s v="CUST-1323"/>
    <s v="Muskan Verma"/>
    <x v="0"/>
    <x v="6"/>
    <x v="12"/>
    <n v="4"/>
    <n v="1499"/>
    <n v="5996"/>
    <x v="2"/>
    <n v="299.8"/>
    <n v="5696.2"/>
    <x v="1"/>
    <x v="0"/>
  </r>
  <r>
    <x v="1983"/>
    <s v="8 Wed"/>
    <x v="9"/>
    <x v="0"/>
    <s v="CUST-1308"/>
    <s v="Shreya Sharma"/>
    <x v="2"/>
    <x v="6"/>
    <x v="13"/>
    <n v="1"/>
    <n v="699"/>
    <n v="699"/>
    <x v="0"/>
    <n v="0"/>
    <n v="699"/>
    <x v="1"/>
    <x v="1"/>
  </r>
  <r>
    <x v="1984"/>
    <s v="8 Wed"/>
    <x v="9"/>
    <x v="0"/>
    <s v="CUST-1335"/>
    <s v="Divya Saxena"/>
    <x v="1"/>
    <x v="6"/>
    <x v="12"/>
    <n v="1"/>
    <n v="1499"/>
    <n v="1499"/>
    <x v="0"/>
    <n v="0"/>
    <n v="1499"/>
    <x v="1"/>
    <x v="1"/>
  </r>
  <r>
    <x v="1985"/>
    <s v="9 Thu"/>
    <x v="9"/>
    <x v="0"/>
    <s v="CUST-1186"/>
    <s v="Meera Verma"/>
    <x v="0"/>
    <x v="4"/>
    <x v="11"/>
    <n v="1"/>
    <n v="499"/>
    <n v="499"/>
    <x v="4"/>
    <n v="49.9"/>
    <n v="449.1"/>
    <x v="3"/>
    <x v="0"/>
  </r>
  <r>
    <x v="1986"/>
    <s v="9 Thu"/>
    <x v="9"/>
    <x v="0"/>
    <s v="CUST-1029"/>
    <s v="Swati Patel"/>
    <x v="3"/>
    <x v="0"/>
    <x v="0"/>
    <n v="2"/>
    <n v="99"/>
    <n v="198"/>
    <x v="0"/>
    <n v="0"/>
    <n v="198"/>
    <x v="1"/>
    <x v="0"/>
  </r>
  <r>
    <x v="1987"/>
    <s v="9 Thu"/>
    <x v="9"/>
    <x v="0"/>
    <s v="CUST-1307"/>
    <s v="Swati Kapoor"/>
    <x v="2"/>
    <x v="1"/>
    <x v="14"/>
    <n v="2"/>
    <n v="1799"/>
    <n v="3598"/>
    <x v="6"/>
    <n v="1079.4000000000001"/>
    <n v="2518.6"/>
    <x v="0"/>
    <x v="0"/>
  </r>
  <r>
    <x v="1988"/>
    <s v="9 Thu"/>
    <x v="9"/>
    <x v="0"/>
    <s v="CUST-1384"/>
    <s v="Vivaan Singh"/>
    <x v="2"/>
    <x v="3"/>
    <x v="5"/>
    <n v="5"/>
    <n v="1299"/>
    <n v="6495"/>
    <x v="1"/>
    <n v="974.25"/>
    <n v="5520.75"/>
    <x v="1"/>
    <x v="1"/>
  </r>
  <r>
    <x v="1989"/>
    <s v="9 Thu"/>
    <x v="9"/>
    <x v="0"/>
    <s v="CUST-1375"/>
    <s v="Kunal Joshi"/>
    <x v="1"/>
    <x v="0"/>
    <x v="1"/>
    <n v="2"/>
    <n v="199"/>
    <n v="398"/>
    <x v="3"/>
    <n v="79.599999999999994"/>
    <n v="318.39999999999998"/>
    <x v="3"/>
    <x v="0"/>
  </r>
  <r>
    <x v="1990"/>
    <s v="9 Thu"/>
    <x v="9"/>
    <x v="0"/>
    <s v="CUST-1368"/>
    <s v="Isha Patel"/>
    <x v="1"/>
    <x v="1"/>
    <x v="2"/>
    <n v="1"/>
    <n v="599"/>
    <n v="599"/>
    <x v="3"/>
    <n v="119.8"/>
    <n v="479.2"/>
    <x v="2"/>
    <x v="0"/>
  </r>
  <r>
    <x v="1991"/>
    <s v="9 Thu"/>
    <x v="9"/>
    <x v="0"/>
    <s v="CUST-1258"/>
    <s v="Muskan Joshi"/>
    <x v="4"/>
    <x v="0"/>
    <x v="0"/>
    <n v="1"/>
    <n v="99"/>
    <n v="99"/>
    <x v="3"/>
    <n v="19.8"/>
    <n v="79.2"/>
    <x v="2"/>
    <x v="0"/>
  </r>
  <r>
    <x v="1992"/>
    <s v="9 Thu"/>
    <x v="9"/>
    <x v="0"/>
    <s v="CUST-1041"/>
    <s v="Divya Malhotra"/>
    <x v="4"/>
    <x v="0"/>
    <x v="1"/>
    <n v="1"/>
    <n v="199"/>
    <n v="199"/>
    <x v="4"/>
    <n v="19.899999999999999"/>
    <n v="179.1"/>
    <x v="4"/>
    <x v="0"/>
  </r>
  <r>
    <x v="1993"/>
    <s v="9 Thu"/>
    <x v="9"/>
    <x v="0"/>
    <s v="CUST-1003"/>
    <s v="Tanya Singh"/>
    <x v="1"/>
    <x v="6"/>
    <x v="13"/>
    <n v="3"/>
    <n v="699"/>
    <n v="2097"/>
    <x v="4"/>
    <n v="209.7"/>
    <n v="1887.3"/>
    <x v="4"/>
    <x v="1"/>
  </r>
  <r>
    <x v="1994"/>
    <s v="9 Thu"/>
    <x v="9"/>
    <x v="0"/>
    <s v="CUST-1204"/>
    <s v="Meera Mehta"/>
    <x v="4"/>
    <x v="1"/>
    <x v="2"/>
    <n v="2"/>
    <n v="599"/>
    <n v="1198"/>
    <x v="1"/>
    <n v="179.7"/>
    <n v="1018.3"/>
    <x v="2"/>
    <x v="0"/>
  </r>
  <r>
    <x v="1995"/>
    <s v="9 Thu"/>
    <x v="9"/>
    <x v="0"/>
    <s v="CUST-1089"/>
    <s v="Arjun Verma"/>
    <x v="0"/>
    <x v="3"/>
    <x v="5"/>
    <n v="1"/>
    <n v="1299"/>
    <n v="1299"/>
    <x v="2"/>
    <n v="64.95"/>
    <n v="1234.05"/>
    <x v="2"/>
    <x v="0"/>
  </r>
  <r>
    <x v="1996"/>
    <s v="9 Thu"/>
    <x v="9"/>
    <x v="0"/>
    <s v="CUST-1076"/>
    <s v="Tanya Saxena"/>
    <x v="3"/>
    <x v="3"/>
    <x v="5"/>
    <n v="2"/>
    <n v="1299"/>
    <n v="2598"/>
    <x v="6"/>
    <n v="779.4"/>
    <n v="1818.6"/>
    <x v="3"/>
    <x v="0"/>
  </r>
  <r>
    <x v="1997"/>
    <s v="9 Thu"/>
    <x v="9"/>
    <x v="0"/>
    <s v="CUST-1298"/>
    <s v="Aarav Singh"/>
    <x v="2"/>
    <x v="6"/>
    <x v="13"/>
    <n v="3"/>
    <n v="699"/>
    <n v="2097"/>
    <x v="4"/>
    <n v="209.7"/>
    <n v="1887.3"/>
    <x v="2"/>
    <x v="0"/>
  </r>
  <r>
    <x v="1998"/>
    <s v="10 Fri"/>
    <x v="9"/>
    <x v="0"/>
    <s v="CUST-1375"/>
    <s v="Kunal Joshi"/>
    <x v="2"/>
    <x v="5"/>
    <x v="9"/>
    <n v="4"/>
    <n v="549"/>
    <n v="2196"/>
    <x v="1"/>
    <n v="329.4"/>
    <n v="1866.6"/>
    <x v="3"/>
    <x v="0"/>
  </r>
  <r>
    <x v="1999"/>
    <s v="10 Fri"/>
    <x v="9"/>
    <x v="0"/>
    <s v="CUST-1313"/>
    <s v="Kunal Joshi"/>
    <x v="2"/>
    <x v="0"/>
    <x v="0"/>
    <n v="1"/>
    <n v="99"/>
    <n v="99"/>
    <x v="0"/>
    <n v="0"/>
    <n v="99"/>
    <x v="4"/>
    <x v="0"/>
  </r>
  <r>
    <x v="2000"/>
    <s v="10 Fri"/>
    <x v="9"/>
    <x v="0"/>
    <s v="CUST-1213"/>
    <s v="Ankit Patel"/>
    <x v="1"/>
    <x v="4"/>
    <x v="10"/>
    <n v="3"/>
    <n v="899"/>
    <n v="2697"/>
    <x v="4"/>
    <n v="269.7"/>
    <n v="2427.3000000000002"/>
    <x v="0"/>
    <x v="0"/>
  </r>
  <r>
    <x v="2001"/>
    <s v="10 Fri"/>
    <x v="9"/>
    <x v="0"/>
    <s v="CUST-1262"/>
    <s v="Kunal Joshi"/>
    <x v="0"/>
    <x v="3"/>
    <x v="6"/>
    <n v="1"/>
    <n v="799"/>
    <n v="799"/>
    <x v="4"/>
    <n v="79.900000000000006"/>
    <n v="719.1"/>
    <x v="1"/>
    <x v="1"/>
  </r>
  <r>
    <x v="2002"/>
    <s v="10 Fri"/>
    <x v="9"/>
    <x v="0"/>
    <s v="CUST-1017"/>
    <s v="Aarav Verma"/>
    <x v="4"/>
    <x v="1"/>
    <x v="2"/>
    <n v="1"/>
    <n v="599"/>
    <n v="599"/>
    <x v="0"/>
    <n v="0"/>
    <n v="599"/>
    <x v="1"/>
    <x v="0"/>
  </r>
  <r>
    <x v="2003"/>
    <s v="10 Fri"/>
    <x v="9"/>
    <x v="0"/>
    <s v="CUST-1305"/>
    <s v="Muskan Joshi"/>
    <x v="4"/>
    <x v="1"/>
    <x v="2"/>
    <n v="5"/>
    <n v="599"/>
    <n v="2995"/>
    <x v="1"/>
    <n v="449.25"/>
    <n v="2545.75"/>
    <x v="1"/>
    <x v="0"/>
  </r>
  <r>
    <x v="2004"/>
    <s v="10 Fri"/>
    <x v="9"/>
    <x v="0"/>
    <s v="CUST-1098"/>
    <s v="Rohan Patel"/>
    <x v="2"/>
    <x v="2"/>
    <x v="3"/>
    <n v="5"/>
    <n v="249"/>
    <n v="1245"/>
    <x v="5"/>
    <n v="311.25"/>
    <n v="933.75"/>
    <x v="3"/>
    <x v="1"/>
  </r>
  <r>
    <x v="2005"/>
    <s v="10 Fri"/>
    <x v="9"/>
    <x v="0"/>
    <s v="CUST-1104"/>
    <s v="Nandini Saxena"/>
    <x v="4"/>
    <x v="6"/>
    <x v="13"/>
    <n v="1"/>
    <n v="699"/>
    <n v="699"/>
    <x v="1"/>
    <n v="104.85"/>
    <n v="594.15"/>
    <x v="0"/>
    <x v="1"/>
  </r>
  <r>
    <x v="2006"/>
    <s v="11 Sat"/>
    <x v="9"/>
    <x v="0"/>
    <s v="CUST-1356"/>
    <s v="Isha Verma"/>
    <x v="3"/>
    <x v="2"/>
    <x v="15"/>
    <n v="3"/>
    <n v="299"/>
    <n v="897"/>
    <x v="4"/>
    <n v="89.7"/>
    <n v="807.3"/>
    <x v="2"/>
    <x v="0"/>
  </r>
  <r>
    <x v="2007"/>
    <s v="11 Sat"/>
    <x v="9"/>
    <x v="0"/>
    <s v="CUST-1191"/>
    <s v="Nandini Malhotra"/>
    <x v="1"/>
    <x v="5"/>
    <x v="8"/>
    <n v="3"/>
    <n v="349"/>
    <n v="1047"/>
    <x v="0"/>
    <n v="0"/>
    <n v="1047"/>
    <x v="4"/>
    <x v="0"/>
  </r>
  <r>
    <x v="2008"/>
    <s v="11 Sat"/>
    <x v="9"/>
    <x v="0"/>
    <s v="CUST-1090"/>
    <s v="Aarav Joshi"/>
    <x v="0"/>
    <x v="1"/>
    <x v="2"/>
    <n v="2"/>
    <n v="599"/>
    <n v="1198"/>
    <x v="2"/>
    <n v="59.9"/>
    <n v="1138.0999999999999"/>
    <x v="0"/>
    <x v="0"/>
  </r>
  <r>
    <x v="2009"/>
    <s v="11 Sat"/>
    <x v="9"/>
    <x v="0"/>
    <s v="CUST-1253"/>
    <s v="Swati Malhotra"/>
    <x v="3"/>
    <x v="0"/>
    <x v="1"/>
    <n v="1"/>
    <n v="199"/>
    <n v="199"/>
    <x v="1"/>
    <n v="29.85"/>
    <n v="169.15"/>
    <x v="1"/>
    <x v="0"/>
  </r>
  <r>
    <x v="2010"/>
    <s v="11 Sat"/>
    <x v="9"/>
    <x v="0"/>
    <s v="CUST-1159"/>
    <s v="Isha Kapoor"/>
    <x v="3"/>
    <x v="0"/>
    <x v="1"/>
    <n v="3"/>
    <n v="199"/>
    <n v="597"/>
    <x v="4"/>
    <n v="59.7"/>
    <n v="537.29999999999995"/>
    <x v="0"/>
    <x v="0"/>
  </r>
  <r>
    <x v="2011"/>
    <s v="11 Sat"/>
    <x v="9"/>
    <x v="0"/>
    <s v="CUST-1137"/>
    <s v="Nandini Kapoor"/>
    <x v="3"/>
    <x v="0"/>
    <x v="1"/>
    <n v="2"/>
    <n v="199"/>
    <n v="398"/>
    <x v="1"/>
    <n v="59.7"/>
    <n v="338.3"/>
    <x v="3"/>
    <x v="1"/>
  </r>
  <r>
    <x v="2012"/>
    <s v="11 Sat"/>
    <x v="9"/>
    <x v="0"/>
    <s v="CUST-1118"/>
    <s v="Sakshi Malhotra"/>
    <x v="4"/>
    <x v="0"/>
    <x v="1"/>
    <n v="1"/>
    <n v="199"/>
    <n v="199"/>
    <x v="4"/>
    <n v="19.899999999999999"/>
    <n v="179.1"/>
    <x v="2"/>
    <x v="1"/>
  </r>
  <r>
    <x v="2013"/>
    <s v="11 Sat"/>
    <x v="9"/>
    <x v="0"/>
    <s v="CUST-1143"/>
    <s v="Muskan Saxena"/>
    <x v="2"/>
    <x v="5"/>
    <x v="9"/>
    <n v="2"/>
    <n v="549"/>
    <n v="1098"/>
    <x v="5"/>
    <n v="274.5"/>
    <n v="823.5"/>
    <x v="0"/>
    <x v="0"/>
  </r>
  <r>
    <x v="2014"/>
    <s v="11 Sat"/>
    <x v="9"/>
    <x v="0"/>
    <s v="CUST-1155"/>
    <s v="Aman Saxena"/>
    <x v="1"/>
    <x v="1"/>
    <x v="4"/>
    <n v="2"/>
    <n v="2999"/>
    <n v="5998"/>
    <x v="4"/>
    <n v="599.79999999999995"/>
    <n v="5398.2"/>
    <x v="3"/>
    <x v="0"/>
  </r>
  <r>
    <x v="2015"/>
    <s v="11 Sat"/>
    <x v="9"/>
    <x v="0"/>
    <s v="CUST-1220"/>
    <s v="Aditya Kapoor"/>
    <x v="4"/>
    <x v="1"/>
    <x v="2"/>
    <n v="2"/>
    <n v="599"/>
    <n v="1198"/>
    <x v="3"/>
    <n v="239.6"/>
    <n v="958.4"/>
    <x v="4"/>
    <x v="0"/>
  </r>
  <r>
    <x v="2016"/>
    <s v="12 Sun"/>
    <x v="9"/>
    <x v="0"/>
    <s v="CUST-1260"/>
    <s v="Ankit Verma"/>
    <x v="2"/>
    <x v="4"/>
    <x v="11"/>
    <n v="4"/>
    <n v="499"/>
    <n v="1996"/>
    <x v="0"/>
    <n v="0"/>
    <n v="1996"/>
    <x v="0"/>
    <x v="1"/>
  </r>
  <r>
    <x v="2017"/>
    <s v="12 Sun"/>
    <x v="9"/>
    <x v="0"/>
    <s v="CUST-1069"/>
    <s v="Kabir Joshi"/>
    <x v="0"/>
    <x v="6"/>
    <x v="13"/>
    <n v="1"/>
    <n v="699"/>
    <n v="699"/>
    <x v="6"/>
    <n v="209.7"/>
    <n v="489.3"/>
    <x v="1"/>
    <x v="0"/>
  </r>
  <r>
    <x v="2018"/>
    <s v="12 Sun"/>
    <x v="9"/>
    <x v="0"/>
    <s v="CUST-1224"/>
    <s v="Swati Verma"/>
    <x v="4"/>
    <x v="6"/>
    <x v="12"/>
    <n v="1"/>
    <n v="1499"/>
    <n v="1499"/>
    <x v="6"/>
    <n v="449.7"/>
    <n v="1049.3"/>
    <x v="2"/>
    <x v="0"/>
  </r>
  <r>
    <x v="2019"/>
    <s v="12 Sun"/>
    <x v="9"/>
    <x v="0"/>
    <s v="CUST-1055"/>
    <s v="Rohan Saxena"/>
    <x v="0"/>
    <x v="6"/>
    <x v="13"/>
    <n v="1"/>
    <n v="699"/>
    <n v="699"/>
    <x v="0"/>
    <n v="0"/>
    <n v="699"/>
    <x v="0"/>
    <x v="0"/>
  </r>
  <r>
    <x v="2020"/>
    <s v="12 Sun"/>
    <x v="9"/>
    <x v="0"/>
    <s v="CUST-1204"/>
    <s v="Meera Mehta"/>
    <x v="3"/>
    <x v="3"/>
    <x v="6"/>
    <n v="1"/>
    <n v="799"/>
    <n v="799"/>
    <x v="6"/>
    <n v="239.7"/>
    <n v="559.29999999999995"/>
    <x v="1"/>
    <x v="1"/>
  </r>
  <r>
    <x v="2021"/>
    <s v="12 Sun"/>
    <x v="9"/>
    <x v="0"/>
    <s v="CUST-1152"/>
    <s v="Kabir Gupta"/>
    <x v="3"/>
    <x v="4"/>
    <x v="7"/>
    <n v="2"/>
    <n v="1999"/>
    <n v="3998"/>
    <x v="0"/>
    <n v="0"/>
    <n v="3998"/>
    <x v="2"/>
    <x v="0"/>
  </r>
  <r>
    <x v="2022"/>
    <s v="12 Sun"/>
    <x v="9"/>
    <x v="0"/>
    <s v="CUST-1090"/>
    <s v="Aarav Joshi"/>
    <x v="0"/>
    <x v="0"/>
    <x v="1"/>
    <n v="2"/>
    <n v="199"/>
    <n v="398"/>
    <x v="6"/>
    <n v="119.4"/>
    <n v="278.60000000000002"/>
    <x v="1"/>
    <x v="0"/>
  </r>
  <r>
    <x v="2023"/>
    <s v="12 Sun"/>
    <x v="9"/>
    <x v="0"/>
    <s v="CUST-1336"/>
    <s v="Arjun Singh"/>
    <x v="1"/>
    <x v="2"/>
    <x v="3"/>
    <n v="1"/>
    <n v="249"/>
    <n v="249"/>
    <x v="2"/>
    <n v="12.45"/>
    <n v="236.55"/>
    <x v="1"/>
    <x v="1"/>
  </r>
  <r>
    <x v="2024"/>
    <s v="12 Sun"/>
    <x v="9"/>
    <x v="0"/>
    <s v="CUST-1334"/>
    <s v="Kunal Singh"/>
    <x v="3"/>
    <x v="3"/>
    <x v="5"/>
    <n v="4"/>
    <n v="1299"/>
    <n v="5196"/>
    <x v="1"/>
    <n v="779.4"/>
    <n v="4416.6000000000004"/>
    <x v="2"/>
    <x v="0"/>
  </r>
  <r>
    <x v="2025"/>
    <s v="12 Sun"/>
    <x v="9"/>
    <x v="0"/>
    <s v="CUST-1293"/>
    <s v="Sakshi Singh"/>
    <x v="4"/>
    <x v="4"/>
    <x v="11"/>
    <n v="3"/>
    <n v="499"/>
    <n v="1497"/>
    <x v="4"/>
    <n v="149.69999999999999"/>
    <n v="1347.3"/>
    <x v="3"/>
    <x v="0"/>
  </r>
  <r>
    <x v="2026"/>
    <s v="12 Sun"/>
    <x v="9"/>
    <x v="0"/>
    <s v="CUST-1153"/>
    <s v="Swati Verma"/>
    <x v="4"/>
    <x v="1"/>
    <x v="14"/>
    <n v="1"/>
    <n v="1799"/>
    <n v="1799"/>
    <x v="3"/>
    <n v="359.8"/>
    <n v="1439.2"/>
    <x v="1"/>
    <x v="0"/>
  </r>
  <r>
    <x v="2027"/>
    <s v="12 Sun"/>
    <x v="9"/>
    <x v="0"/>
    <s v="CUST-1178"/>
    <s v="Komal Sharma"/>
    <x v="2"/>
    <x v="6"/>
    <x v="12"/>
    <n v="1"/>
    <n v="1499"/>
    <n v="1499"/>
    <x v="4"/>
    <n v="149.9"/>
    <n v="1349.1"/>
    <x v="1"/>
    <x v="1"/>
  </r>
  <r>
    <x v="2028"/>
    <s v="12 Sun"/>
    <x v="9"/>
    <x v="0"/>
    <s v="CUST-1176"/>
    <s v="Meera Sharma"/>
    <x v="1"/>
    <x v="4"/>
    <x v="11"/>
    <n v="3"/>
    <n v="499"/>
    <n v="1497"/>
    <x v="0"/>
    <n v="0"/>
    <n v="1497"/>
    <x v="1"/>
    <x v="0"/>
  </r>
  <r>
    <x v="2029"/>
    <s v="12 Sun"/>
    <x v="9"/>
    <x v="0"/>
    <s v="CUST-1072"/>
    <s v="Tanya Sharma"/>
    <x v="4"/>
    <x v="1"/>
    <x v="14"/>
    <n v="4"/>
    <n v="1799"/>
    <n v="7196"/>
    <x v="4"/>
    <n v="719.6"/>
    <n v="6476.4"/>
    <x v="2"/>
    <x v="0"/>
  </r>
  <r>
    <x v="2030"/>
    <s v="12 Sun"/>
    <x v="9"/>
    <x v="0"/>
    <s v="CUST-1132"/>
    <s v="Shreya Sharma"/>
    <x v="3"/>
    <x v="1"/>
    <x v="14"/>
    <n v="1"/>
    <n v="1799"/>
    <n v="1799"/>
    <x v="5"/>
    <n v="449.75"/>
    <n v="1349.25"/>
    <x v="1"/>
    <x v="0"/>
  </r>
  <r>
    <x v="2031"/>
    <s v="12 Sun"/>
    <x v="9"/>
    <x v="0"/>
    <s v="CUST-1227"/>
    <s v="Rohan Joshi"/>
    <x v="4"/>
    <x v="1"/>
    <x v="4"/>
    <n v="1"/>
    <n v="2999"/>
    <n v="2999"/>
    <x v="5"/>
    <n v="749.75"/>
    <n v="2249.25"/>
    <x v="2"/>
    <x v="0"/>
  </r>
  <r>
    <x v="2032"/>
    <s v="13 Mon"/>
    <x v="9"/>
    <x v="0"/>
    <s v="CUST-1290"/>
    <s v="Kabir Mehta"/>
    <x v="0"/>
    <x v="3"/>
    <x v="6"/>
    <n v="2"/>
    <n v="799"/>
    <n v="1598"/>
    <x v="5"/>
    <n v="399.5"/>
    <n v="1198.5"/>
    <x v="3"/>
    <x v="1"/>
  </r>
  <r>
    <x v="2033"/>
    <s v="13 Mon"/>
    <x v="9"/>
    <x v="0"/>
    <s v="CUST-1175"/>
    <s v="Vivaan Kapoor"/>
    <x v="0"/>
    <x v="4"/>
    <x v="11"/>
    <n v="1"/>
    <n v="499"/>
    <n v="499"/>
    <x v="1"/>
    <n v="74.849999999999994"/>
    <n v="424.15"/>
    <x v="0"/>
    <x v="0"/>
  </r>
  <r>
    <x v="2034"/>
    <s v="13 Mon"/>
    <x v="9"/>
    <x v="0"/>
    <s v="CUST-1266"/>
    <s v="Vivaan Kapoor"/>
    <x v="3"/>
    <x v="4"/>
    <x v="10"/>
    <n v="4"/>
    <n v="899"/>
    <n v="3596"/>
    <x v="3"/>
    <n v="719.2"/>
    <n v="2876.8"/>
    <x v="2"/>
    <x v="1"/>
  </r>
  <r>
    <x v="2035"/>
    <s v="13 Mon"/>
    <x v="9"/>
    <x v="0"/>
    <s v="CUST-1098"/>
    <s v="Rohan Patel"/>
    <x v="4"/>
    <x v="4"/>
    <x v="7"/>
    <n v="1"/>
    <n v="1999"/>
    <n v="1999"/>
    <x v="5"/>
    <n v="499.75"/>
    <n v="1499.25"/>
    <x v="1"/>
    <x v="0"/>
  </r>
  <r>
    <x v="2036"/>
    <s v="13 Mon"/>
    <x v="9"/>
    <x v="0"/>
    <s v="CUST-1258"/>
    <s v="Muskan Joshi"/>
    <x v="1"/>
    <x v="5"/>
    <x v="9"/>
    <n v="2"/>
    <n v="549"/>
    <n v="1098"/>
    <x v="4"/>
    <n v="109.8"/>
    <n v="988.2"/>
    <x v="2"/>
    <x v="0"/>
  </r>
  <r>
    <x v="2037"/>
    <s v="13 Mon"/>
    <x v="9"/>
    <x v="0"/>
    <s v="CUST-1381"/>
    <s v="Kabir Kapoor"/>
    <x v="0"/>
    <x v="0"/>
    <x v="0"/>
    <n v="2"/>
    <n v="99"/>
    <n v="198"/>
    <x v="3"/>
    <n v="39.6"/>
    <n v="158.4"/>
    <x v="0"/>
    <x v="1"/>
  </r>
  <r>
    <x v="2038"/>
    <s v="13 Mon"/>
    <x v="9"/>
    <x v="0"/>
    <s v="CUST-1001"/>
    <s v="Rohan Patel"/>
    <x v="1"/>
    <x v="2"/>
    <x v="15"/>
    <n v="3"/>
    <n v="299"/>
    <n v="897"/>
    <x v="0"/>
    <n v="0"/>
    <n v="897"/>
    <x v="3"/>
    <x v="1"/>
  </r>
  <r>
    <x v="2039"/>
    <s v="13 Mon"/>
    <x v="9"/>
    <x v="0"/>
    <s v="CUST-1240"/>
    <s v="Sakshi Patel"/>
    <x v="4"/>
    <x v="6"/>
    <x v="13"/>
    <n v="2"/>
    <n v="699"/>
    <n v="1398"/>
    <x v="2"/>
    <n v="69.900000000000006"/>
    <n v="1328.1"/>
    <x v="1"/>
    <x v="1"/>
  </r>
  <r>
    <x v="2040"/>
    <s v="14 Tue"/>
    <x v="9"/>
    <x v="0"/>
    <s v="CUST-1158"/>
    <s v="Shreya Singh"/>
    <x v="0"/>
    <x v="0"/>
    <x v="1"/>
    <n v="3"/>
    <n v="199"/>
    <n v="597"/>
    <x v="3"/>
    <n v="119.4"/>
    <n v="477.6"/>
    <x v="0"/>
    <x v="0"/>
  </r>
  <r>
    <x v="2041"/>
    <s v="14 Tue"/>
    <x v="9"/>
    <x v="0"/>
    <s v="CUST-1075"/>
    <s v="Divya Patel"/>
    <x v="2"/>
    <x v="4"/>
    <x v="7"/>
    <n v="3"/>
    <n v="1999"/>
    <n v="5997"/>
    <x v="2"/>
    <n v="299.85000000000002"/>
    <n v="5697.15"/>
    <x v="1"/>
    <x v="1"/>
  </r>
  <r>
    <x v="2042"/>
    <s v="14 Tue"/>
    <x v="9"/>
    <x v="0"/>
    <s v="CUST-1330"/>
    <s v="Nandini Gupta"/>
    <x v="1"/>
    <x v="3"/>
    <x v="5"/>
    <n v="1"/>
    <n v="1299"/>
    <n v="1299"/>
    <x v="0"/>
    <n v="0"/>
    <n v="1299"/>
    <x v="1"/>
    <x v="1"/>
  </r>
  <r>
    <x v="2043"/>
    <s v="14 Tue"/>
    <x v="9"/>
    <x v="0"/>
    <s v="CUST-1284"/>
    <s v="Arjun Kapoor"/>
    <x v="1"/>
    <x v="4"/>
    <x v="7"/>
    <n v="2"/>
    <n v="1999"/>
    <n v="3998"/>
    <x v="6"/>
    <n v="1199.4000000000001"/>
    <n v="2798.6"/>
    <x v="2"/>
    <x v="1"/>
  </r>
  <r>
    <x v="2044"/>
    <s v="14 Tue"/>
    <x v="9"/>
    <x v="0"/>
    <s v="CUST-1066"/>
    <s v="Kunal Verma"/>
    <x v="4"/>
    <x v="1"/>
    <x v="4"/>
    <n v="2"/>
    <n v="2999"/>
    <n v="5998"/>
    <x v="3"/>
    <n v="1199.5999999999999"/>
    <n v="4798.3999999999996"/>
    <x v="3"/>
    <x v="0"/>
  </r>
  <r>
    <x v="2045"/>
    <s v="14 Tue"/>
    <x v="9"/>
    <x v="0"/>
    <s v="CUST-1280"/>
    <s v="Muskan Kapoor"/>
    <x v="3"/>
    <x v="4"/>
    <x v="10"/>
    <n v="2"/>
    <n v="899"/>
    <n v="1798"/>
    <x v="4"/>
    <n v="179.8"/>
    <n v="1618.2"/>
    <x v="2"/>
    <x v="0"/>
  </r>
  <r>
    <x v="2046"/>
    <s v="14 Tue"/>
    <x v="9"/>
    <x v="0"/>
    <s v="CUST-1362"/>
    <s v="Shreya Malhotra"/>
    <x v="1"/>
    <x v="6"/>
    <x v="13"/>
    <n v="2"/>
    <n v="699"/>
    <n v="1398"/>
    <x v="1"/>
    <n v="209.7"/>
    <n v="1188.3"/>
    <x v="2"/>
    <x v="0"/>
  </r>
  <r>
    <x v="2047"/>
    <s v="14 Tue"/>
    <x v="9"/>
    <x v="0"/>
    <s v="CUST-1019"/>
    <s v="Aarav Joshi"/>
    <x v="0"/>
    <x v="2"/>
    <x v="15"/>
    <n v="2"/>
    <n v="299"/>
    <n v="598"/>
    <x v="0"/>
    <n v="0"/>
    <n v="598"/>
    <x v="2"/>
    <x v="0"/>
  </r>
  <r>
    <x v="2048"/>
    <s v="14 Tue"/>
    <x v="9"/>
    <x v="0"/>
    <s v="CUST-1301"/>
    <s v="Shreya Sharma"/>
    <x v="3"/>
    <x v="6"/>
    <x v="13"/>
    <n v="1"/>
    <n v="699"/>
    <n v="699"/>
    <x v="0"/>
    <n v="0"/>
    <n v="699"/>
    <x v="2"/>
    <x v="1"/>
  </r>
  <r>
    <x v="2049"/>
    <s v="14 Tue"/>
    <x v="9"/>
    <x v="0"/>
    <s v="CUST-1285"/>
    <s v="Ankit Joshi"/>
    <x v="3"/>
    <x v="1"/>
    <x v="4"/>
    <n v="1"/>
    <n v="2999"/>
    <n v="2999"/>
    <x v="1"/>
    <n v="449.85"/>
    <n v="2549.15"/>
    <x v="1"/>
    <x v="0"/>
  </r>
  <r>
    <x v="2050"/>
    <s v="14 Tue"/>
    <x v="9"/>
    <x v="0"/>
    <s v="CUST-1264"/>
    <s v="Vivaan Malhotra"/>
    <x v="4"/>
    <x v="2"/>
    <x v="3"/>
    <n v="1"/>
    <n v="249"/>
    <n v="249"/>
    <x v="4"/>
    <n v="24.9"/>
    <n v="224.1"/>
    <x v="3"/>
    <x v="1"/>
  </r>
  <r>
    <x v="2051"/>
    <s v="14 Tue"/>
    <x v="9"/>
    <x v="0"/>
    <s v="CUST-1067"/>
    <s v="Nandini Gupta"/>
    <x v="1"/>
    <x v="1"/>
    <x v="2"/>
    <n v="1"/>
    <n v="599"/>
    <n v="599"/>
    <x v="5"/>
    <n v="149.75"/>
    <n v="449.25"/>
    <x v="2"/>
    <x v="0"/>
  </r>
  <r>
    <x v="2052"/>
    <s v="14 Tue"/>
    <x v="9"/>
    <x v="0"/>
    <s v="CUST-1362"/>
    <s v="Shreya Malhotra"/>
    <x v="3"/>
    <x v="4"/>
    <x v="7"/>
    <n v="1"/>
    <n v="1999"/>
    <n v="1999"/>
    <x v="2"/>
    <n v="99.95"/>
    <n v="1899.05"/>
    <x v="0"/>
    <x v="0"/>
  </r>
  <r>
    <x v="2053"/>
    <s v="14 Tue"/>
    <x v="9"/>
    <x v="0"/>
    <s v="CUST-1049"/>
    <s v="Kunal Gupta"/>
    <x v="4"/>
    <x v="0"/>
    <x v="0"/>
    <n v="1"/>
    <n v="99"/>
    <n v="99"/>
    <x v="2"/>
    <n v="4.95"/>
    <n v="94.05"/>
    <x v="0"/>
    <x v="1"/>
  </r>
  <r>
    <x v="2054"/>
    <s v="14 Tue"/>
    <x v="9"/>
    <x v="0"/>
    <s v="CUST-1334"/>
    <s v="Kunal Singh"/>
    <x v="0"/>
    <x v="1"/>
    <x v="4"/>
    <n v="1"/>
    <n v="2999"/>
    <n v="2999"/>
    <x v="0"/>
    <n v="0"/>
    <n v="2999"/>
    <x v="2"/>
    <x v="0"/>
  </r>
  <r>
    <x v="2055"/>
    <s v="14 Tue"/>
    <x v="9"/>
    <x v="0"/>
    <s v="CUST-1106"/>
    <s v="Ankit Saxena"/>
    <x v="1"/>
    <x v="1"/>
    <x v="14"/>
    <n v="4"/>
    <n v="1799"/>
    <n v="7196"/>
    <x v="0"/>
    <n v="0"/>
    <n v="7196"/>
    <x v="0"/>
    <x v="0"/>
  </r>
  <r>
    <x v="2056"/>
    <s v="15 Wed"/>
    <x v="9"/>
    <x v="0"/>
    <s v="CUST-1011"/>
    <s v="Kunal Sharma"/>
    <x v="2"/>
    <x v="3"/>
    <x v="6"/>
    <n v="1"/>
    <n v="799"/>
    <n v="799"/>
    <x v="0"/>
    <n v="0"/>
    <n v="799"/>
    <x v="0"/>
    <x v="1"/>
  </r>
  <r>
    <x v="2057"/>
    <s v="15 Wed"/>
    <x v="9"/>
    <x v="0"/>
    <s v="CUST-1156"/>
    <s v="Nandini Joshi"/>
    <x v="1"/>
    <x v="0"/>
    <x v="1"/>
    <n v="1"/>
    <n v="199"/>
    <n v="199"/>
    <x v="0"/>
    <n v="0"/>
    <n v="199"/>
    <x v="0"/>
    <x v="0"/>
  </r>
  <r>
    <x v="2058"/>
    <s v="15 Wed"/>
    <x v="9"/>
    <x v="0"/>
    <s v="CUST-1328"/>
    <s v="Arjun Verma"/>
    <x v="4"/>
    <x v="5"/>
    <x v="9"/>
    <n v="3"/>
    <n v="549"/>
    <n v="1647"/>
    <x v="5"/>
    <n v="411.75"/>
    <n v="1235.25"/>
    <x v="0"/>
    <x v="0"/>
  </r>
  <r>
    <x v="2059"/>
    <s v="15 Wed"/>
    <x v="9"/>
    <x v="0"/>
    <s v="CUST-1009"/>
    <s v="Shreya Gupta"/>
    <x v="3"/>
    <x v="6"/>
    <x v="13"/>
    <n v="2"/>
    <n v="699"/>
    <n v="1398"/>
    <x v="6"/>
    <n v="419.4"/>
    <n v="978.6"/>
    <x v="4"/>
    <x v="1"/>
  </r>
  <r>
    <x v="2060"/>
    <s v="15 Wed"/>
    <x v="9"/>
    <x v="0"/>
    <s v="CUST-1279"/>
    <s v="Tanya Kapoor"/>
    <x v="2"/>
    <x v="3"/>
    <x v="5"/>
    <n v="2"/>
    <n v="1299"/>
    <n v="2598"/>
    <x v="0"/>
    <n v="0"/>
    <n v="2598"/>
    <x v="0"/>
    <x v="1"/>
  </r>
  <r>
    <x v="2061"/>
    <s v="15 Wed"/>
    <x v="9"/>
    <x v="0"/>
    <s v="CUST-1387"/>
    <s v="Rohan Patel"/>
    <x v="0"/>
    <x v="4"/>
    <x v="7"/>
    <n v="1"/>
    <n v="1999"/>
    <n v="1999"/>
    <x v="5"/>
    <n v="499.75"/>
    <n v="1499.25"/>
    <x v="1"/>
    <x v="0"/>
  </r>
  <r>
    <x v="2062"/>
    <s v="15 Wed"/>
    <x v="9"/>
    <x v="0"/>
    <s v="CUST-1184"/>
    <s v="Rahul Joshi"/>
    <x v="3"/>
    <x v="5"/>
    <x v="9"/>
    <n v="1"/>
    <n v="549"/>
    <n v="549"/>
    <x v="6"/>
    <n v="164.7"/>
    <n v="384.3"/>
    <x v="0"/>
    <x v="1"/>
  </r>
  <r>
    <x v="2063"/>
    <s v="16 Thu"/>
    <x v="9"/>
    <x v="0"/>
    <s v="CUST-1329"/>
    <s v="Swati Gupta"/>
    <x v="0"/>
    <x v="0"/>
    <x v="1"/>
    <n v="1"/>
    <n v="199"/>
    <n v="199"/>
    <x v="4"/>
    <n v="19.899999999999999"/>
    <n v="179.1"/>
    <x v="4"/>
    <x v="0"/>
  </r>
  <r>
    <x v="2064"/>
    <s v="16 Thu"/>
    <x v="9"/>
    <x v="0"/>
    <s v="CUST-1241"/>
    <s v="Rahul Singh"/>
    <x v="0"/>
    <x v="2"/>
    <x v="3"/>
    <n v="2"/>
    <n v="249"/>
    <n v="498"/>
    <x v="4"/>
    <n v="49.8"/>
    <n v="448.2"/>
    <x v="1"/>
    <x v="0"/>
  </r>
  <r>
    <x v="2065"/>
    <s v="16 Thu"/>
    <x v="9"/>
    <x v="0"/>
    <s v="CUST-1028"/>
    <s v="Swati Joshi"/>
    <x v="0"/>
    <x v="3"/>
    <x v="6"/>
    <n v="2"/>
    <n v="799"/>
    <n v="1598"/>
    <x v="3"/>
    <n v="319.60000000000002"/>
    <n v="1278.4000000000001"/>
    <x v="2"/>
    <x v="0"/>
  </r>
  <r>
    <x v="2066"/>
    <s v="16 Thu"/>
    <x v="9"/>
    <x v="0"/>
    <s v="CUST-1168"/>
    <s v="Nandini Joshi"/>
    <x v="2"/>
    <x v="2"/>
    <x v="3"/>
    <n v="1"/>
    <n v="249"/>
    <n v="249"/>
    <x v="1"/>
    <n v="37.35"/>
    <n v="211.65"/>
    <x v="4"/>
    <x v="1"/>
  </r>
  <r>
    <x v="2067"/>
    <s v="16 Thu"/>
    <x v="9"/>
    <x v="0"/>
    <s v="CUST-1016"/>
    <s v="Arjun Kapoor"/>
    <x v="1"/>
    <x v="3"/>
    <x v="5"/>
    <n v="5"/>
    <n v="1299"/>
    <n v="6495"/>
    <x v="3"/>
    <n v="1299"/>
    <n v="5196"/>
    <x v="2"/>
    <x v="1"/>
  </r>
  <r>
    <x v="2068"/>
    <s v="16 Thu"/>
    <x v="9"/>
    <x v="0"/>
    <s v="CUST-1169"/>
    <s v="Nandini Patel"/>
    <x v="2"/>
    <x v="2"/>
    <x v="15"/>
    <n v="4"/>
    <n v="299"/>
    <n v="1196"/>
    <x v="0"/>
    <n v="0"/>
    <n v="1196"/>
    <x v="4"/>
    <x v="0"/>
  </r>
  <r>
    <x v="2069"/>
    <s v="16 Thu"/>
    <x v="9"/>
    <x v="0"/>
    <s v="CUST-1310"/>
    <s v="Meera Patel"/>
    <x v="2"/>
    <x v="0"/>
    <x v="0"/>
    <n v="2"/>
    <n v="99"/>
    <n v="198"/>
    <x v="4"/>
    <n v="19.8"/>
    <n v="178.2"/>
    <x v="4"/>
    <x v="0"/>
  </r>
  <r>
    <x v="2070"/>
    <s v="16 Thu"/>
    <x v="9"/>
    <x v="0"/>
    <s v="CUST-1247"/>
    <s v="Meera Malhotra"/>
    <x v="3"/>
    <x v="4"/>
    <x v="10"/>
    <n v="1"/>
    <n v="899"/>
    <n v="899"/>
    <x v="0"/>
    <n v="0"/>
    <n v="899"/>
    <x v="3"/>
    <x v="1"/>
  </r>
  <r>
    <x v="2071"/>
    <s v="16 Thu"/>
    <x v="9"/>
    <x v="0"/>
    <s v="CUST-1190"/>
    <s v="Rahul Patel"/>
    <x v="2"/>
    <x v="6"/>
    <x v="13"/>
    <n v="1"/>
    <n v="699"/>
    <n v="699"/>
    <x v="1"/>
    <n v="104.85"/>
    <n v="594.15"/>
    <x v="1"/>
    <x v="1"/>
  </r>
  <r>
    <x v="2072"/>
    <s v="16 Thu"/>
    <x v="9"/>
    <x v="0"/>
    <s v="CUST-1148"/>
    <s v="Nandini Malhotra"/>
    <x v="1"/>
    <x v="2"/>
    <x v="15"/>
    <n v="1"/>
    <n v="299"/>
    <n v="299"/>
    <x v="2"/>
    <n v="14.95"/>
    <n v="284.05"/>
    <x v="2"/>
    <x v="1"/>
  </r>
  <r>
    <x v="2073"/>
    <s v="16 Thu"/>
    <x v="9"/>
    <x v="0"/>
    <s v="CUST-1306"/>
    <s v="Sakshi Malhotra"/>
    <x v="2"/>
    <x v="4"/>
    <x v="10"/>
    <n v="1"/>
    <n v="899"/>
    <n v="899"/>
    <x v="3"/>
    <n v="179.8"/>
    <n v="719.2"/>
    <x v="0"/>
    <x v="0"/>
  </r>
  <r>
    <x v="2074"/>
    <s v="17 Fri"/>
    <x v="9"/>
    <x v="0"/>
    <s v="CUST-1168"/>
    <s v="Nandini Joshi"/>
    <x v="1"/>
    <x v="6"/>
    <x v="12"/>
    <n v="1"/>
    <n v="1499"/>
    <n v="1499"/>
    <x v="2"/>
    <n v="74.95"/>
    <n v="1424.05"/>
    <x v="2"/>
    <x v="0"/>
  </r>
  <r>
    <x v="2075"/>
    <s v="17 Fri"/>
    <x v="9"/>
    <x v="0"/>
    <s v="CUST-1046"/>
    <s v="Rohan Kapoor"/>
    <x v="0"/>
    <x v="5"/>
    <x v="9"/>
    <n v="3"/>
    <n v="549"/>
    <n v="1647"/>
    <x v="3"/>
    <n v="329.4"/>
    <n v="1317.6"/>
    <x v="2"/>
    <x v="0"/>
  </r>
  <r>
    <x v="2076"/>
    <s v="17 Fri"/>
    <x v="9"/>
    <x v="0"/>
    <s v="CUST-1320"/>
    <s v="Ankit Kapoor"/>
    <x v="2"/>
    <x v="0"/>
    <x v="0"/>
    <n v="1"/>
    <n v="99"/>
    <n v="99"/>
    <x v="2"/>
    <n v="4.95"/>
    <n v="94.05"/>
    <x v="2"/>
    <x v="0"/>
  </r>
  <r>
    <x v="2077"/>
    <s v="17 Fri"/>
    <x v="9"/>
    <x v="0"/>
    <s v="CUST-1331"/>
    <s v="Arjun Singh"/>
    <x v="0"/>
    <x v="0"/>
    <x v="0"/>
    <n v="1"/>
    <n v="99"/>
    <n v="99"/>
    <x v="3"/>
    <n v="19.8"/>
    <n v="79.2"/>
    <x v="1"/>
    <x v="0"/>
  </r>
  <r>
    <x v="2078"/>
    <s v="17 Fri"/>
    <x v="9"/>
    <x v="0"/>
    <s v="CUST-1111"/>
    <s v="Swati Joshi"/>
    <x v="2"/>
    <x v="0"/>
    <x v="1"/>
    <n v="1"/>
    <n v="199"/>
    <n v="199"/>
    <x v="4"/>
    <n v="19.899999999999999"/>
    <n v="179.1"/>
    <x v="0"/>
    <x v="0"/>
  </r>
  <r>
    <x v="2079"/>
    <s v="17 Fri"/>
    <x v="9"/>
    <x v="0"/>
    <s v="CUST-1349"/>
    <s v="Rohan Mehta"/>
    <x v="0"/>
    <x v="1"/>
    <x v="4"/>
    <n v="2"/>
    <n v="2999"/>
    <n v="5998"/>
    <x v="6"/>
    <n v="1799.4"/>
    <n v="4198.6000000000004"/>
    <x v="3"/>
    <x v="0"/>
  </r>
  <r>
    <x v="2080"/>
    <s v="17 Fri"/>
    <x v="9"/>
    <x v="0"/>
    <s v="CUST-1332"/>
    <s v="Rahul Malhotra"/>
    <x v="2"/>
    <x v="6"/>
    <x v="13"/>
    <n v="1"/>
    <n v="699"/>
    <n v="699"/>
    <x v="0"/>
    <n v="0"/>
    <n v="699"/>
    <x v="2"/>
    <x v="0"/>
  </r>
  <r>
    <x v="2081"/>
    <s v="17 Fri"/>
    <x v="9"/>
    <x v="0"/>
    <s v="CUST-1232"/>
    <s v="Aman Patel"/>
    <x v="3"/>
    <x v="6"/>
    <x v="12"/>
    <n v="1"/>
    <n v="1499"/>
    <n v="1499"/>
    <x v="5"/>
    <n v="374.75"/>
    <n v="1124.25"/>
    <x v="4"/>
    <x v="0"/>
  </r>
  <r>
    <x v="2082"/>
    <s v="17 Fri"/>
    <x v="9"/>
    <x v="0"/>
    <s v="CUST-1306"/>
    <s v="Sakshi Malhotra"/>
    <x v="4"/>
    <x v="6"/>
    <x v="13"/>
    <n v="2"/>
    <n v="699"/>
    <n v="1398"/>
    <x v="4"/>
    <n v="139.80000000000001"/>
    <n v="1258.2"/>
    <x v="3"/>
    <x v="1"/>
  </r>
  <r>
    <x v="2083"/>
    <s v="17 Fri"/>
    <x v="9"/>
    <x v="0"/>
    <s v="CUST-1168"/>
    <s v="Nandini Joshi"/>
    <x v="2"/>
    <x v="2"/>
    <x v="3"/>
    <n v="1"/>
    <n v="249"/>
    <n v="249"/>
    <x v="6"/>
    <n v="74.7"/>
    <n v="174.3"/>
    <x v="0"/>
    <x v="0"/>
  </r>
  <r>
    <x v="2084"/>
    <s v="17 Fri"/>
    <x v="9"/>
    <x v="0"/>
    <s v="CUST-1185"/>
    <s v="Meera Sharma"/>
    <x v="0"/>
    <x v="3"/>
    <x v="6"/>
    <n v="1"/>
    <n v="799"/>
    <n v="799"/>
    <x v="6"/>
    <n v="239.7"/>
    <n v="559.29999999999995"/>
    <x v="3"/>
    <x v="1"/>
  </r>
  <r>
    <x v="2085"/>
    <s v="17 Fri"/>
    <x v="9"/>
    <x v="0"/>
    <s v="CUST-1062"/>
    <s v="Tanya Sharma"/>
    <x v="0"/>
    <x v="6"/>
    <x v="13"/>
    <n v="3"/>
    <n v="699"/>
    <n v="2097"/>
    <x v="2"/>
    <n v="104.85"/>
    <n v="1992.15"/>
    <x v="3"/>
    <x v="0"/>
  </r>
  <r>
    <x v="2086"/>
    <s v="17 Fri"/>
    <x v="9"/>
    <x v="0"/>
    <s v="CUST-1355"/>
    <s v="Aditya Joshi"/>
    <x v="3"/>
    <x v="1"/>
    <x v="4"/>
    <n v="3"/>
    <n v="2999"/>
    <n v="8997"/>
    <x v="3"/>
    <n v="1799.4"/>
    <n v="7197.6"/>
    <x v="2"/>
    <x v="1"/>
  </r>
  <r>
    <x v="2087"/>
    <s v="18 Sat"/>
    <x v="9"/>
    <x v="0"/>
    <s v="CUST-1252"/>
    <s v="Arjun Singh"/>
    <x v="1"/>
    <x v="4"/>
    <x v="10"/>
    <n v="1"/>
    <n v="899"/>
    <n v="899"/>
    <x v="2"/>
    <n v="44.95"/>
    <n v="854.05"/>
    <x v="0"/>
    <x v="0"/>
  </r>
  <r>
    <x v="2088"/>
    <s v="18 Sat"/>
    <x v="9"/>
    <x v="0"/>
    <s v="CUST-1291"/>
    <s v="Arjun Saxena"/>
    <x v="1"/>
    <x v="2"/>
    <x v="3"/>
    <n v="1"/>
    <n v="249"/>
    <n v="249"/>
    <x v="0"/>
    <n v="0"/>
    <n v="249"/>
    <x v="3"/>
    <x v="0"/>
  </r>
  <r>
    <x v="2089"/>
    <s v="18 Sat"/>
    <x v="9"/>
    <x v="0"/>
    <s v="CUST-1250"/>
    <s v="Shreya Saxena"/>
    <x v="1"/>
    <x v="1"/>
    <x v="4"/>
    <n v="2"/>
    <n v="2999"/>
    <n v="5998"/>
    <x v="2"/>
    <n v="299.89999999999998"/>
    <n v="5698.1"/>
    <x v="1"/>
    <x v="1"/>
  </r>
  <r>
    <x v="2090"/>
    <s v="18 Sat"/>
    <x v="9"/>
    <x v="0"/>
    <s v="CUST-1174"/>
    <s v="Rahul Singh"/>
    <x v="1"/>
    <x v="0"/>
    <x v="1"/>
    <n v="4"/>
    <n v="199"/>
    <n v="796"/>
    <x v="5"/>
    <n v="199"/>
    <n v="597"/>
    <x v="3"/>
    <x v="0"/>
  </r>
  <r>
    <x v="2091"/>
    <s v="18 Sat"/>
    <x v="9"/>
    <x v="0"/>
    <s v="CUST-1032"/>
    <s v="Shreya Mehta"/>
    <x v="0"/>
    <x v="4"/>
    <x v="7"/>
    <n v="3"/>
    <n v="1999"/>
    <n v="5997"/>
    <x v="5"/>
    <n v="1499.25"/>
    <n v="4497.75"/>
    <x v="1"/>
    <x v="0"/>
  </r>
  <r>
    <x v="2092"/>
    <s v="18 Sat"/>
    <x v="9"/>
    <x v="0"/>
    <s v="CUST-1139"/>
    <s v="Aditya Sharma"/>
    <x v="2"/>
    <x v="1"/>
    <x v="14"/>
    <n v="2"/>
    <n v="1799"/>
    <n v="3598"/>
    <x v="0"/>
    <n v="0"/>
    <n v="3598"/>
    <x v="2"/>
    <x v="1"/>
  </r>
  <r>
    <x v="2093"/>
    <s v="18 Sat"/>
    <x v="9"/>
    <x v="0"/>
    <s v="CUST-1263"/>
    <s v="Tanya Mehta"/>
    <x v="4"/>
    <x v="3"/>
    <x v="5"/>
    <n v="3"/>
    <n v="1299"/>
    <n v="3897"/>
    <x v="2"/>
    <n v="194.85"/>
    <n v="3702.15"/>
    <x v="0"/>
    <x v="1"/>
  </r>
  <r>
    <x v="2094"/>
    <s v="18 Sat"/>
    <x v="9"/>
    <x v="0"/>
    <s v="CUST-1162"/>
    <s v="Aarav Kapoor"/>
    <x v="3"/>
    <x v="0"/>
    <x v="0"/>
    <n v="3"/>
    <n v="99"/>
    <n v="297"/>
    <x v="3"/>
    <n v="59.4"/>
    <n v="237.6"/>
    <x v="1"/>
    <x v="0"/>
  </r>
  <r>
    <x v="2095"/>
    <s v="18 Sat"/>
    <x v="9"/>
    <x v="0"/>
    <s v="CUST-1359"/>
    <s v="Arjun Mehta"/>
    <x v="3"/>
    <x v="1"/>
    <x v="2"/>
    <n v="1"/>
    <n v="599"/>
    <n v="599"/>
    <x v="5"/>
    <n v="149.75"/>
    <n v="449.25"/>
    <x v="1"/>
    <x v="0"/>
  </r>
  <r>
    <x v="2096"/>
    <s v="18 Sat"/>
    <x v="9"/>
    <x v="0"/>
    <s v="CUST-1115"/>
    <s v="Divya Kapoor"/>
    <x v="3"/>
    <x v="3"/>
    <x v="5"/>
    <n v="2"/>
    <n v="1299"/>
    <n v="2598"/>
    <x v="1"/>
    <n v="389.7"/>
    <n v="2208.3000000000002"/>
    <x v="1"/>
    <x v="1"/>
  </r>
  <r>
    <x v="2097"/>
    <s v="18 Sat"/>
    <x v="9"/>
    <x v="0"/>
    <s v="CUST-1328"/>
    <s v="Arjun Verma"/>
    <x v="2"/>
    <x v="0"/>
    <x v="1"/>
    <n v="1"/>
    <n v="199"/>
    <n v="199"/>
    <x v="2"/>
    <n v="9.9499999999999993"/>
    <n v="189.05"/>
    <x v="2"/>
    <x v="0"/>
  </r>
  <r>
    <x v="2098"/>
    <s v="19 Sun"/>
    <x v="9"/>
    <x v="0"/>
    <s v="CUST-1367"/>
    <s v="Aman Saxena"/>
    <x v="4"/>
    <x v="6"/>
    <x v="13"/>
    <n v="1"/>
    <n v="699"/>
    <n v="699"/>
    <x v="0"/>
    <n v="0"/>
    <n v="699"/>
    <x v="4"/>
    <x v="0"/>
  </r>
  <r>
    <x v="2099"/>
    <s v="19 Sun"/>
    <x v="9"/>
    <x v="0"/>
    <s v="CUST-1172"/>
    <s v="Nandini Saxena"/>
    <x v="2"/>
    <x v="5"/>
    <x v="9"/>
    <n v="2"/>
    <n v="549"/>
    <n v="1098"/>
    <x v="0"/>
    <n v="0"/>
    <n v="1098"/>
    <x v="4"/>
    <x v="1"/>
  </r>
  <r>
    <x v="2100"/>
    <s v="19 Sun"/>
    <x v="9"/>
    <x v="0"/>
    <s v="CUST-1174"/>
    <s v="Rahul Singh"/>
    <x v="2"/>
    <x v="1"/>
    <x v="2"/>
    <n v="1"/>
    <n v="599"/>
    <n v="599"/>
    <x v="1"/>
    <n v="89.85"/>
    <n v="509.15"/>
    <x v="4"/>
    <x v="0"/>
  </r>
  <r>
    <x v="2101"/>
    <s v="19 Sun"/>
    <x v="9"/>
    <x v="0"/>
    <s v="CUST-1244"/>
    <s v="Meera Gupta"/>
    <x v="4"/>
    <x v="6"/>
    <x v="12"/>
    <n v="1"/>
    <n v="1499"/>
    <n v="1499"/>
    <x v="4"/>
    <n v="149.9"/>
    <n v="1349.1"/>
    <x v="1"/>
    <x v="1"/>
  </r>
  <r>
    <x v="2102"/>
    <s v="19 Sun"/>
    <x v="9"/>
    <x v="0"/>
    <s v="CUST-1316"/>
    <s v="Komal Saxena"/>
    <x v="1"/>
    <x v="2"/>
    <x v="3"/>
    <n v="4"/>
    <n v="249"/>
    <n v="996"/>
    <x v="3"/>
    <n v="199.2"/>
    <n v="796.8"/>
    <x v="2"/>
    <x v="0"/>
  </r>
  <r>
    <x v="2103"/>
    <s v="19 Sun"/>
    <x v="9"/>
    <x v="0"/>
    <s v="CUST-1350"/>
    <s v="Isha Kapoor"/>
    <x v="0"/>
    <x v="3"/>
    <x v="6"/>
    <n v="4"/>
    <n v="799"/>
    <n v="3196"/>
    <x v="4"/>
    <n v="319.60000000000002"/>
    <n v="2876.4"/>
    <x v="0"/>
    <x v="0"/>
  </r>
  <r>
    <x v="2104"/>
    <s v="19 Sun"/>
    <x v="9"/>
    <x v="0"/>
    <s v="CUST-1209"/>
    <s v="Meera Mehta"/>
    <x v="1"/>
    <x v="1"/>
    <x v="14"/>
    <n v="1"/>
    <n v="1799"/>
    <n v="1799"/>
    <x v="4"/>
    <n v="179.9"/>
    <n v="1619.1"/>
    <x v="3"/>
    <x v="1"/>
  </r>
  <r>
    <x v="2105"/>
    <s v="19 Sun"/>
    <x v="9"/>
    <x v="0"/>
    <s v="CUST-1353"/>
    <s v="Vivaan Gupta"/>
    <x v="0"/>
    <x v="4"/>
    <x v="7"/>
    <n v="1"/>
    <n v="1999"/>
    <n v="1999"/>
    <x v="1"/>
    <n v="299.85000000000002"/>
    <n v="1699.15"/>
    <x v="0"/>
    <x v="1"/>
  </r>
  <r>
    <x v="2106"/>
    <s v="19 Sun"/>
    <x v="9"/>
    <x v="0"/>
    <s v="CUST-1342"/>
    <s v="Vivaan Saxena"/>
    <x v="1"/>
    <x v="1"/>
    <x v="2"/>
    <n v="1"/>
    <n v="599"/>
    <n v="599"/>
    <x v="4"/>
    <n v="59.9"/>
    <n v="539.1"/>
    <x v="1"/>
    <x v="1"/>
  </r>
  <r>
    <x v="2107"/>
    <s v="19 Sun"/>
    <x v="9"/>
    <x v="0"/>
    <s v="CUST-1147"/>
    <s v="Aman Saxena"/>
    <x v="0"/>
    <x v="5"/>
    <x v="8"/>
    <n v="1"/>
    <n v="349"/>
    <n v="349"/>
    <x v="0"/>
    <n v="0"/>
    <n v="349"/>
    <x v="1"/>
    <x v="0"/>
  </r>
  <r>
    <x v="2108"/>
    <s v="19 Sun"/>
    <x v="9"/>
    <x v="0"/>
    <s v="CUST-1114"/>
    <s v="Vivaan Malhotra"/>
    <x v="2"/>
    <x v="4"/>
    <x v="11"/>
    <n v="2"/>
    <n v="499"/>
    <n v="998"/>
    <x v="2"/>
    <n v="49.9"/>
    <n v="948.1"/>
    <x v="4"/>
    <x v="0"/>
  </r>
  <r>
    <x v="2109"/>
    <s v="20 Mon"/>
    <x v="9"/>
    <x v="0"/>
    <s v="CUST-1046"/>
    <s v="Rohan Kapoor"/>
    <x v="1"/>
    <x v="4"/>
    <x v="7"/>
    <n v="5"/>
    <n v="1999"/>
    <n v="9995"/>
    <x v="4"/>
    <n v="999.5"/>
    <n v="8995.5"/>
    <x v="3"/>
    <x v="0"/>
  </r>
  <r>
    <x v="2110"/>
    <s v="20 Mon"/>
    <x v="9"/>
    <x v="0"/>
    <s v="CUST-1142"/>
    <s v="Divya Singh"/>
    <x v="1"/>
    <x v="2"/>
    <x v="15"/>
    <n v="4"/>
    <n v="299"/>
    <n v="1196"/>
    <x v="4"/>
    <n v="119.6"/>
    <n v="1076.4000000000001"/>
    <x v="2"/>
    <x v="0"/>
  </r>
  <r>
    <x v="2111"/>
    <s v="20 Mon"/>
    <x v="9"/>
    <x v="0"/>
    <s v="CUST-1333"/>
    <s v="Aarav Gupta"/>
    <x v="0"/>
    <x v="2"/>
    <x v="3"/>
    <n v="2"/>
    <n v="249"/>
    <n v="498"/>
    <x v="3"/>
    <n v="99.6"/>
    <n v="398.4"/>
    <x v="4"/>
    <x v="1"/>
  </r>
  <r>
    <x v="2112"/>
    <s v="20 Mon"/>
    <x v="9"/>
    <x v="0"/>
    <s v="CUST-1392"/>
    <s v="Aarav Singh"/>
    <x v="1"/>
    <x v="3"/>
    <x v="5"/>
    <n v="1"/>
    <n v="1299"/>
    <n v="1299"/>
    <x v="2"/>
    <n v="64.95"/>
    <n v="1234.05"/>
    <x v="0"/>
    <x v="0"/>
  </r>
  <r>
    <x v="2113"/>
    <s v="20 Mon"/>
    <x v="9"/>
    <x v="0"/>
    <s v="CUST-1376"/>
    <s v="Kunal Kapoor"/>
    <x v="4"/>
    <x v="6"/>
    <x v="13"/>
    <n v="1"/>
    <n v="699"/>
    <n v="699"/>
    <x v="5"/>
    <n v="174.75"/>
    <n v="524.25"/>
    <x v="0"/>
    <x v="0"/>
  </r>
  <r>
    <x v="2114"/>
    <s v="20 Mon"/>
    <x v="9"/>
    <x v="0"/>
    <s v="CUST-1279"/>
    <s v="Tanya Kapoor"/>
    <x v="3"/>
    <x v="4"/>
    <x v="7"/>
    <n v="1"/>
    <n v="1999"/>
    <n v="1999"/>
    <x v="2"/>
    <n v="99.95"/>
    <n v="1899.05"/>
    <x v="2"/>
    <x v="1"/>
  </r>
  <r>
    <x v="2115"/>
    <s v="20 Mon"/>
    <x v="9"/>
    <x v="0"/>
    <s v="CUST-1301"/>
    <s v="Shreya Sharma"/>
    <x v="3"/>
    <x v="2"/>
    <x v="3"/>
    <n v="1"/>
    <n v="249"/>
    <n v="249"/>
    <x v="0"/>
    <n v="0"/>
    <n v="249"/>
    <x v="3"/>
    <x v="0"/>
  </r>
  <r>
    <x v="2116"/>
    <s v="20 Mon"/>
    <x v="9"/>
    <x v="0"/>
    <s v="CUST-1233"/>
    <s v="Rahul Joshi"/>
    <x v="4"/>
    <x v="2"/>
    <x v="15"/>
    <n v="2"/>
    <n v="299"/>
    <n v="598"/>
    <x v="2"/>
    <n v="29.9"/>
    <n v="568.1"/>
    <x v="2"/>
    <x v="0"/>
  </r>
  <r>
    <x v="2117"/>
    <s v="20 Mon"/>
    <x v="9"/>
    <x v="0"/>
    <s v="CUST-1031"/>
    <s v="Kabir Malhotra"/>
    <x v="2"/>
    <x v="3"/>
    <x v="5"/>
    <n v="3"/>
    <n v="1299"/>
    <n v="3897"/>
    <x v="0"/>
    <n v="0"/>
    <n v="3897"/>
    <x v="3"/>
    <x v="1"/>
  </r>
  <r>
    <x v="2118"/>
    <s v="20 Mon"/>
    <x v="9"/>
    <x v="0"/>
    <s v="CUST-1071"/>
    <s v="Kabir Malhotra"/>
    <x v="4"/>
    <x v="0"/>
    <x v="1"/>
    <n v="1"/>
    <n v="199"/>
    <n v="199"/>
    <x v="4"/>
    <n v="19.899999999999999"/>
    <n v="179.1"/>
    <x v="2"/>
    <x v="0"/>
  </r>
  <r>
    <x v="2119"/>
    <s v="20 Mon"/>
    <x v="9"/>
    <x v="0"/>
    <s v="CUST-1180"/>
    <s v="Muskan Joshi"/>
    <x v="1"/>
    <x v="3"/>
    <x v="5"/>
    <n v="1"/>
    <n v="1299"/>
    <n v="1299"/>
    <x v="4"/>
    <n v="129.9"/>
    <n v="1169.0999999999999"/>
    <x v="3"/>
    <x v="1"/>
  </r>
  <r>
    <x v="2120"/>
    <s v="20 Mon"/>
    <x v="9"/>
    <x v="0"/>
    <s v="CUST-1010"/>
    <s v="Kabir Singh"/>
    <x v="2"/>
    <x v="5"/>
    <x v="9"/>
    <n v="1"/>
    <n v="549"/>
    <n v="549"/>
    <x v="3"/>
    <n v="109.8"/>
    <n v="439.2"/>
    <x v="1"/>
    <x v="1"/>
  </r>
  <r>
    <x v="2121"/>
    <s v="21 Tue"/>
    <x v="9"/>
    <x v="0"/>
    <s v="CUST-1258"/>
    <s v="Muskan Joshi"/>
    <x v="1"/>
    <x v="3"/>
    <x v="6"/>
    <n v="4"/>
    <n v="799"/>
    <n v="3196"/>
    <x v="3"/>
    <n v="639.20000000000005"/>
    <n v="2556.8000000000002"/>
    <x v="2"/>
    <x v="1"/>
  </r>
  <r>
    <x v="2122"/>
    <s v="21 Tue"/>
    <x v="9"/>
    <x v="0"/>
    <s v="CUST-1079"/>
    <s v="Komal Mehta"/>
    <x v="4"/>
    <x v="4"/>
    <x v="10"/>
    <n v="3"/>
    <n v="899"/>
    <n v="2697"/>
    <x v="1"/>
    <n v="404.55"/>
    <n v="2292.4499999999998"/>
    <x v="1"/>
    <x v="0"/>
  </r>
  <r>
    <x v="2123"/>
    <s v="21 Tue"/>
    <x v="9"/>
    <x v="0"/>
    <s v="CUST-1010"/>
    <s v="Kabir Singh"/>
    <x v="3"/>
    <x v="0"/>
    <x v="1"/>
    <n v="1"/>
    <n v="199"/>
    <n v="199"/>
    <x v="6"/>
    <n v="59.7"/>
    <n v="139.30000000000001"/>
    <x v="3"/>
    <x v="0"/>
  </r>
  <r>
    <x v="2124"/>
    <s v="21 Tue"/>
    <x v="9"/>
    <x v="0"/>
    <s v="CUST-1248"/>
    <s v="Meera Saxena"/>
    <x v="0"/>
    <x v="2"/>
    <x v="3"/>
    <n v="2"/>
    <n v="249"/>
    <n v="498"/>
    <x v="6"/>
    <n v="149.4"/>
    <n v="348.6"/>
    <x v="1"/>
    <x v="1"/>
  </r>
  <r>
    <x v="2125"/>
    <s v="21 Tue"/>
    <x v="9"/>
    <x v="0"/>
    <s v="CUST-1258"/>
    <s v="Muskan Joshi"/>
    <x v="1"/>
    <x v="1"/>
    <x v="2"/>
    <n v="1"/>
    <n v="599"/>
    <n v="599"/>
    <x v="0"/>
    <n v="0"/>
    <n v="599"/>
    <x v="2"/>
    <x v="0"/>
  </r>
  <r>
    <x v="2126"/>
    <s v="21 Tue"/>
    <x v="9"/>
    <x v="0"/>
    <s v="CUST-1398"/>
    <s v="Sakshi Patel"/>
    <x v="3"/>
    <x v="1"/>
    <x v="2"/>
    <n v="2"/>
    <n v="599"/>
    <n v="1198"/>
    <x v="6"/>
    <n v="359.4"/>
    <n v="838.6"/>
    <x v="2"/>
    <x v="0"/>
  </r>
  <r>
    <x v="2127"/>
    <s v="21 Tue"/>
    <x v="9"/>
    <x v="0"/>
    <s v="CUST-1355"/>
    <s v="Aditya Joshi"/>
    <x v="2"/>
    <x v="0"/>
    <x v="1"/>
    <n v="1"/>
    <n v="199"/>
    <n v="199"/>
    <x v="2"/>
    <n v="9.9499999999999993"/>
    <n v="189.05"/>
    <x v="2"/>
    <x v="0"/>
  </r>
  <r>
    <x v="2128"/>
    <s v="21 Tue"/>
    <x v="9"/>
    <x v="0"/>
    <s v="CUST-1319"/>
    <s v="Rohan Sharma"/>
    <x v="4"/>
    <x v="1"/>
    <x v="14"/>
    <n v="4"/>
    <n v="1799"/>
    <n v="7196"/>
    <x v="0"/>
    <n v="0"/>
    <n v="7196"/>
    <x v="0"/>
    <x v="1"/>
  </r>
  <r>
    <x v="2129"/>
    <s v="22 Wed"/>
    <x v="9"/>
    <x v="0"/>
    <s v="CUST-1341"/>
    <s v="Meera Patel"/>
    <x v="3"/>
    <x v="0"/>
    <x v="0"/>
    <n v="1"/>
    <n v="99"/>
    <n v="99"/>
    <x v="2"/>
    <n v="4.95"/>
    <n v="94.05"/>
    <x v="0"/>
    <x v="1"/>
  </r>
  <r>
    <x v="2130"/>
    <s v="22 Wed"/>
    <x v="9"/>
    <x v="0"/>
    <s v="CUST-1022"/>
    <s v="Tanya Verma"/>
    <x v="3"/>
    <x v="5"/>
    <x v="9"/>
    <n v="3"/>
    <n v="549"/>
    <n v="1647"/>
    <x v="6"/>
    <n v="494.1"/>
    <n v="1152.9000000000001"/>
    <x v="4"/>
    <x v="0"/>
  </r>
  <r>
    <x v="2131"/>
    <s v="22 Wed"/>
    <x v="9"/>
    <x v="0"/>
    <s v="CUST-1057"/>
    <s v="Tanya Malhotra"/>
    <x v="3"/>
    <x v="6"/>
    <x v="13"/>
    <n v="1"/>
    <n v="699"/>
    <n v="699"/>
    <x v="2"/>
    <n v="34.950000000000003"/>
    <n v="664.05"/>
    <x v="2"/>
    <x v="0"/>
  </r>
  <r>
    <x v="2132"/>
    <s v="22 Wed"/>
    <x v="9"/>
    <x v="0"/>
    <s v="CUST-1038"/>
    <s v="Rohan Joshi"/>
    <x v="4"/>
    <x v="4"/>
    <x v="10"/>
    <n v="1"/>
    <n v="899"/>
    <n v="899"/>
    <x v="1"/>
    <n v="134.85"/>
    <n v="764.15"/>
    <x v="2"/>
    <x v="0"/>
  </r>
  <r>
    <x v="2133"/>
    <s v="22 Wed"/>
    <x v="9"/>
    <x v="0"/>
    <s v="CUST-1114"/>
    <s v="Vivaan Malhotra"/>
    <x v="1"/>
    <x v="5"/>
    <x v="9"/>
    <n v="2"/>
    <n v="549"/>
    <n v="1098"/>
    <x v="1"/>
    <n v="164.7"/>
    <n v="933.3"/>
    <x v="3"/>
    <x v="0"/>
  </r>
  <r>
    <x v="2134"/>
    <s v="22 Wed"/>
    <x v="9"/>
    <x v="0"/>
    <s v="CUST-1132"/>
    <s v="Shreya Sharma"/>
    <x v="1"/>
    <x v="6"/>
    <x v="13"/>
    <n v="1"/>
    <n v="699"/>
    <n v="699"/>
    <x v="0"/>
    <n v="0"/>
    <n v="699"/>
    <x v="0"/>
    <x v="0"/>
  </r>
  <r>
    <x v="2135"/>
    <s v="22 Wed"/>
    <x v="9"/>
    <x v="0"/>
    <s v="CUST-1263"/>
    <s v="Tanya Mehta"/>
    <x v="1"/>
    <x v="5"/>
    <x v="8"/>
    <n v="1"/>
    <n v="349"/>
    <n v="349"/>
    <x v="6"/>
    <n v="104.7"/>
    <n v="244.3"/>
    <x v="0"/>
    <x v="0"/>
  </r>
  <r>
    <x v="2136"/>
    <s v="22 Wed"/>
    <x v="9"/>
    <x v="0"/>
    <s v="CUST-1182"/>
    <s v="Swati Verma"/>
    <x v="3"/>
    <x v="4"/>
    <x v="11"/>
    <n v="2"/>
    <n v="499"/>
    <n v="998"/>
    <x v="5"/>
    <n v="249.5"/>
    <n v="748.5"/>
    <x v="0"/>
    <x v="1"/>
  </r>
  <r>
    <x v="2137"/>
    <s v="22 Wed"/>
    <x v="9"/>
    <x v="0"/>
    <s v="CUST-1358"/>
    <s v="Aman Patel"/>
    <x v="1"/>
    <x v="0"/>
    <x v="1"/>
    <n v="1"/>
    <n v="199"/>
    <n v="199"/>
    <x v="0"/>
    <n v="0"/>
    <n v="199"/>
    <x v="0"/>
    <x v="0"/>
  </r>
  <r>
    <x v="2138"/>
    <s v="23 Thu"/>
    <x v="9"/>
    <x v="0"/>
    <s v="CUST-1303"/>
    <s v="Sakshi Sharma"/>
    <x v="1"/>
    <x v="6"/>
    <x v="13"/>
    <n v="1"/>
    <n v="699"/>
    <n v="699"/>
    <x v="3"/>
    <n v="139.80000000000001"/>
    <n v="559.20000000000005"/>
    <x v="2"/>
    <x v="0"/>
  </r>
  <r>
    <x v="2139"/>
    <s v="23 Thu"/>
    <x v="9"/>
    <x v="0"/>
    <s v="CUST-1128"/>
    <s v="Sakshi Malhotra"/>
    <x v="1"/>
    <x v="1"/>
    <x v="2"/>
    <n v="2"/>
    <n v="599"/>
    <n v="1198"/>
    <x v="4"/>
    <n v="119.8"/>
    <n v="1078.2"/>
    <x v="4"/>
    <x v="0"/>
  </r>
  <r>
    <x v="2140"/>
    <s v="23 Thu"/>
    <x v="9"/>
    <x v="0"/>
    <s v="CUST-1236"/>
    <s v="Divya Mehta"/>
    <x v="2"/>
    <x v="3"/>
    <x v="6"/>
    <n v="2"/>
    <n v="799"/>
    <n v="1598"/>
    <x v="1"/>
    <n v="239.7"/>
    <n v="1358.3"/>
    <x v="2"/>
    <x v="0"/>
  </r>
  <r>
    <x v="2141"/>
    <s v="23 Thu"/>
    <x v="9"/>
    <x v="0"/>
    <s v="CUST-1290"/>
    <s v="Kabir Mehta"/>
    <x v="3"/>
    <x v="1"/>
    <x v="4"/>
    <n v="3"/>
    <n v="2999"/>
    <n v="8997"/>
    <x v="5"/>
    <n v="2249.25"/>
    <n v="6747.75"/>
    <x v="3"/>
    <x v="1"/>
  </r>
  <r>
    <x v="2142"/>
    <s v="23 Thu"/>
    <x v="9"/>
    <x v="0"/>
    <s v="CUST-1014"/>
    <s v="Vivaan Kapoor"/>
    <x v="3"/>
    <x v="3"/>
    <x v="5"/>
    <n v="1"/>
    <n v="1299"/>
    <n v="1299"/>
    <x v="5"/>
    <n v="324.75"/>
    <n v="974.25"/>
    <x v="1"/>
    <x v="1"/>
  </r>
  <r>
    <x v="2143"/>
    <s v="23 Thu"/>
    <x v="9"/>
    <x v="0"/>
    <s v="CUST-1097"/>
    <s v="Rohan Verma"/>
    <x v="3"/>
    <x v="2"/>
    <x v="15"/>
    <n v="1"/>
    <n v="299"/>
    <n v="299"/>
    <x v="0"/>
    <n v="0"/>
    <n v="299"/>
    <x v="3"/>
    <x v="1"/>
  </r>
  <r>
    <x v="2144"/>
    <s v="23 Thu"/>
    <x v="9"/>
    <x v="0"/>
    <s v="CUST-1320"/>
    <s v="Ankit Kapoor"/>
    <x v="0"/>
    <x v="2"/>
    <x v="3"/>
    <n v="1"/>
    <n v="249"/>
    <n v="249"/>
    <x v="0"/>
    <n v="0"/>
    <n v="249"/>
    <x v="2"/>
    <x v="0"/>
  </r>
  <r>
    <x v="2145"/>
    <s v="23 Thu"/>
    <x v="9"/>
    <x v="0"/>
    <s v="CUST-1063"/>
    <s v="Aman Sharma"/>
    <x v="2"/>
    <x v="3"/>
    <x v="6"/>
    <n v="1"/>
    <n v="799"/>
    <n v="799"/>
    <x v="5"/>
    <n v="199.75"/>
    <n v="599.25"/>
    <x v="4"/>
    <x v="1"/>
  </r>
  <r>
    <x v="2146"/>
    <s v="23 Thu"/>
    <x v="9"/>
    <x v="0"/>
    <s v="CUST-1020"/>
    <s v="Rohan Malhotra"/>
    <x v="2"/>
    <x v="2"/>
    <x v="15"/>
    <n v="1"/>
    <n v="299"/>
    <n v="299"/>
    <x v="0"/>
    <n v="0"/>
    <n v="299"/>
    <x v="4"/>
    <x v="1"/>
  </r>
  <r>
    <x v="2147"/>
    <s v="23 Thu"/>
    <x v="9"/>
    <x v="0"/>
    <s v="CUST-1278"/>
    <s v="Meera Verma"/>
    <x v="4"/>
    <x v="0"/>
    <x v="0"/>
    <n v="4"/>
    <n v="99"/>
    <n v="396"/>
    <x v="4"/>
    <n v="39.6"/>
    <n v="356.4"/>
    <x v="3"/>
    <x v="0"/>
  </r>
  <r>
    <x v="2148"/>
    <s v="23 Thu"/>
    <x v="9"/>
    <x v="0"/>
    <s v="CUST-1247"/>
    <s v="Meera Malhotra"/>
    <x v="1"/>
    <x v="4"/>
    <x v="7"/>
    <n v="1"/>
    <n v="1999"/>
    <n v="1999"/>
    <x v="6"/>
    <n v="599.70000000000005"/>
    <n v="1399.3"/>
    <x v="3"/>
    <x v="1"/>
  </r>
  <r>
    <x v="2149"/>
    <s v="23 Thu"/>
    <x v="9"/>
    <x v="0"/>
    <s v="CUST-1169"/>
    <s v="Nandini Patel"/>
    <x v="2"/>
    <x v="1"/>
    <x v="2"/>
    <n v="1"/>
    <n v="599"/>
    <n v="599"/>
    <x v="4"/>
    <n v="59.9"/>
    <n v="539.1"/>
    <x v="3"/>
    <x v="0"/>
  </r>
  <r>
    <x v="2150"/>
    <s v="23 Thu"/>
    <x v="9"/>
    <x v="0"/>
    <s v="CUST-1078"/>
    <s v="Kabir Malhotra"/>
    <x v="3"/>
    <x v="4"/>
    <x v="7"/>
    <n v="4"/>
    <n v="1999"/>
    <n v="7996"/>
    <x v="2"/>
    <n v="399.8"/>
    <n v="7596.2"/>
    <x v="3"/>
    <x v="1"/>
  </r>
  <r>
    <x v="2151"/>
    <s v="23 Thu"/>
    <x v="9"/>
    <x v="0"/>
    <s v="CUST-1052"/>
    <s v="Meera Verma"/>
    <x v="3"/>
    <x v="4"/>
    <x v="10"/>
    <n v="4"/>
    <n v="899"/>
    <n v="3596"/>
    <x v="3"/>
    <n v="719.2"/>
    <n v="2876.8"/>
    <x v="0"/>
    <x v="0"/>
  </r>
  <r>
    <x v="2152"/>
    <s v="23 Thu"/>
    <x v="9"/>
    <x v="0"/>
    <s v="CUST-1233"/>
    <s v="Rahul Joshi"/>
    <x v="1"/>
    <x v="5"/>
    <x v="9"/>
    <n v="2"/>
    <n v="549"/>
    <n v="1098"/>
    <x v="1"/>
    <n v="164.7"/>
    <n v="933.3"/>
    <x v="2"/>
    <x v="0"/>
  </r>
  <r>
    <x v="2153"/>
    <s v="24 Fri"/>
    <x v="9"/>
    <x v="0"/>
    <s v="CUST-1055"/>
    <s v="Rohan Saxena"/>
    <x v="1"/>
    <x v="4"/>
    <x v="7"/>
    <n v="2"/>
    <n v="1999"/>
    <n v="3998"/>
    <x v="5"/>
    <n v="999.5"/>
    <n v="2998.5"/>
    <x v="4"/>
    <x v="0"/>
  </r>
  <r>
    <x v="2154"/>
    <s v="24 Fri"/>
    <x v="9"/>
    <x v="0"/>
    <s v="CUST-1362"/>
    <s v="Shreya Malhotra"/>
    <x v="4"/>
    <x v="1"/>
    <x v="4"/>
    <n v="1"/>
    <n v="2999"/>
    <n v="2999"/>
    <x v="1"/>
    <n v="449.85"/>
    <n v="2549.15"/>
    <x v="1"/>
    <x v="1"/>
  </r>
  <r>
    <x v="2155"/>
    <s v="24 Fri"/>
    <x v="9"/>
    <x v="0"/>
    <s v="CUST-1007"/>
    <s v="Aarav Sharma"/>
    <x v="3"/>
    <x v="3"/>
    <x v="5"/>
    <n v="3"/>
    <n v="1299"/>
    <n v="3897"/>
    <x v="2"/>
    <n v="194.85"/>
    <n v="3702.15"/>
    <x v="1"/>
    <x v="1"/>
  </r>
  <r>
    <x v="2156"/>
    <s v="24 Fri"/>
    <x v="9"/>
    <x v="0"/>
    <s v="CUST-1227"/>
    <s v="Rohan Joshi"/>
    <x v="3"/>
    <x v="3"/>
    <x v="6"/>
    <n v="1"/>
    <n v="799"/>
    <n v="799"/>
    <x v="5"/>
    <n v="199.75"/>
    <n v="599.25"/>
    <x v="3"/>
    <x v="1"/>
  </r>
  <r>
    <x v="2157"/>
    <s v="24 Fri"/>
    <x v="9"/>
    <x v="0"/>
    <s v="CUST-1113"/>
    <s v="Swati Saxena"/>
    <x v="0"/>
    <x v="6"/>
    <x v="13"/>
    <n v="1"/>
    <n v="699"/>
    <n v="699"/>
    <x v="5"/>
    <n v="174.75"/>
    <n v="524.25"/>
    <x v="3"/>
    <x v="0"/>
  </r>
  <r>
    <x v="2158"/>
    <s v="24 Fri"/>
    <x v="9"/>
    <x v="0"/>
    <s v="CUST-1090"/>
    <s v="Aarav Joshi"/>
    <x v="1"/>
    <x v="0"/>
    <x v="1"/>
    <n v="1"/>
    <n v="199"/>
    <n v="199"/>
    <x v="2"/>
    <n v="9.9499999999999993"/>
    <n v="189.05"/>
    <x v="4"/>
    <x v="0"/>
  </r>
  <r>
    <x v="2159"/>
    <s v="24 Fri"/>
    <x v="9"/>
    <x v="0"/>
    <s v="CUST-1397"/>
    <s v="Aman Verma"/>
    <x v="4"/>
    <x v="4"/>
    <x v="7"/>
    <n v="2"/>
    <n v="1999"/>
    <n v="3998"/>
    <x v="6"/>
    <n v="1199.4000000000001"/>
    <n v="2798.6"/>
    <x v="2"/>
    <x v="0"/>
  </r>
  <r>
    <x v="2160"/>
    <s v="24 Fri"/>
    <x v="9"/>
    <x v="0"/>
    <s v="CUST-1372"/>
    <s v="Vivaan Singh"/>
    <x v="0"/>
    <x v="2"/>
    <x v="15"/>
    <n v="2"/>
    <n v="299"/>
    <n v="598"/>
    <x v="6"/>
    <n v="179.4"/>
    <n v="418.6"/>
    <x v="1"/>
    <x v="1"/>
  </r>
  <r>
    <x v="2161"/>
    <s v="24 Fri"/>
    <x v="9"/>
    <x v="0"/>
    <s v="CUST-1099"/>
    <s v="Rahul Malhotra"/>
    <x v="0"/>
    <x v="6"/>
    <x v="13"/>
    <n v="1"/>
    <n v="699"/>
    <n v="699"/>
    <x v="1"/>
    <n v="104.85"/>
    <n v="594.15"/>
    <x v="3"/>
    <x v="0"/>
  </r>
  <r>
    <x v="2162"/>
    <s v="24 Fri"/>
    <x v="9"/>
    <x v="0"/>
    <s v="CUST-1033"/>
    <s v="Meera Joshi"/>
    <x v="0"/>
    <x v="5"/>
    <x v="8"/>
    <n v="2"/>
    <n v="349"/>
    <n v="698"/>
    <x v="1"/>
    <n v="104.7"/>
    <n v="593.29999999999995"/>
    <x v="0"/>
    <x v="1"/>
  </r>
  <r>
    <x v="2163"/>
    <s v="24 Fri"/>
    <x v="9"/>
    <x v="0"/>
    <s v="CUST-1248"/>
    <s v="Meera Saxena"/>
    <x v="1"/>
    <x v="5"/>
    <x v="9"/>
    <n v="1"/>
    <n v="549"/>
    <n v="549"/>
    <x v="6"/>
    <n v="164.7"/>
    <n v="384.3"/>
    <x v="4"/>
    <x v="0"/>
  </r>
  <r>
    <x v="2164"/>
    <s v="24 Fri"/>
    <x v="9"/>
    <x v="0"/>
    <s v="CUST-1058"/>
    <s v="Nandini Singh"/>
    <x v="2"/>
    <x v="1"/>
    <x v="14"/>
    <n v="1"/>
    <n v="1799"/>
    <n v="1799"/>
    <x v="4"/>
    <n v="179.9"/>
    <n v="1619.1"/>
    <x v="3"/>
    <x v="0"/>
  </r>
  <r>
    <x v="2165"/>
    <s v="24 Fri"/>
    <x v="9"/>
    <x v="0"/>
    <s v="CUST-1397"/>
    <s v="Aman Verma"/>
    <x v="1"/>
    <x v="4"/>
    <x v="11"/>
    <n v="5"/>
    <n v="499"/>
    <n v="2495"/>
    <x v="2"/>
    <n v="124.75"/>
    <n v="2370.25"/>
    <x v="0"/>
    <x v="1"/>
  </r>
  <r>
    <x v="2166"/>
    <s v="24 Fri"/>
    <x v="9"/>
    <x v="0"/>
    <s v="CUST-1052"/>
    <s v="Meera Verma"/>
    <x v="0"/>
    <x v="2"/>
    <x v="15"/>
    <n v="1"/>
    <n v="299"/>
    <n v="299"/>
    <x v="6"/>
    <n v="89.7"/>
    <n v="209.3"/>
    <x v="1"/>
    <x v="1"/>
  </r>
  <r>
    <x v="2167"/>
    <s v="24 Fri"/>
    <x v="9"/>
    <x v="0"/>
    <s v="CUST-1025"/>
    <s v="Aditya Singh"/>
    <x v="4"/>
    <x v="1"/>
    <x v="2"/>
    <n v="1"/>
    <n v="599"/>
    <n v="599"/>
    <x v="4"/>
    <n v="59.9"/>
    <n v="539.1"/>
    <x v="4"/>
    <x v="0"/>
  </r>
  <r>
    <x v="2168"/>
    <s v="25 Sat"/>
    <x v="9"/>
    <x v="0"/>
    <s v="CUST-1185"/>
    <s v="Meera Sharma"/>
    <x v="2"/>
    <x v="4"/>
    <x v="7"/>
    <n v="1"/>
    <n v="1999"/>
    <n v="1999"/>
    <x v="5"/>
    <n v="499.75"/>
    <n v="1499.25"/>
    <x v="4"/>
    <x v="0"/>
  </r>
  <r>
    <x v="2169"/>
    <s v="25 Sat"/>
    <x v="9"/>
    <x v="0"/>
    <s v="CUST-1284"/>
    <s v="Arjun Kapoor"/>
    <x v="0"/>
    <x v="0"/>
    <x v="0"/>
    <n v="1"/>
    <n v="99"/>
    <n v="99"/>
    <x v="0"/>
    <n v="0"/>
    <n v="99"/>
    <x v="0"/>
    <x v="0"/>
  </r>
  <r>
    <x v="2170"/>
    <s v="25 Sat"/>
    <x v="9"/>
    <x v="0"/>
    <s v="CUST-1383"/>
    <s v="Aman Gupta"/>
    <x v="3"/>
    <x v="1"/>
    <x v="2"/>
    <n v="1"/>
    <n v="599"/>
    <n v="599"/>
    <x v="1"/>
    <n v="89.85"/>
    <n v="509.15"/>
    <x v="1"/>
    <x v="0"/>
  </r>
  <r>
    <x v="2171"/>
    <s v="25 Sat"/>
    <x v="9"/>
    <x v="0"/>
    <s v="CUST-1270"/>
    <s v="Nandini Verma"/>
    <x v="4"/>
    <x v="1"/>
    <x v="4"/>
    <n v="5"/>
    <n v="2999"/>
    <n v="14995"/>
    <x v="4"/>
    <n v="1499.5"/>
    <n v="13495.5"/>
    <x v="2"/>
    <x v="1"/>
  </r>
  <r>
    <x v="2172"/>
    <s v="25 Sat"/>
    <x v="9"/>
    <x v="0"/>
    <s v="CUST-1299"/>
    <s v="Kabir Mehta"/>
    <x v="4"/>
    <x v="0"/>
    <x v="0"/>
    <n v="2"/>
    <n v="99"/>
    <n v="198"/>
    <x v="1"/>
    <n v="29.7"/>
    <n v="168.3"/>
    <x v="0"/>
    <x v="1"/>
  </r>
  <r>
    <x v="2173"/>
    <s v="25 Sat"/>
    <x v="9"/>
    <x v="0"/>
    <s v="CUST-1294"/>
    <s v="Kabir Joshi"/>
    <x v="0"/>
    <x v="1"/>
    <x v="14"/>
    <n v="1"/>
    <n v="1799"/>
    <n v="1799"/>
    <x v="2"/>
    <n v="89.95"/>
    <n v="1709.05"/>
    <x v="2"/>
    <x v="1"/>
  </r>
  <r>
    <x v="2174"/>
    <s v="25 Sat"/>
    <x v="9"/>
    <x v="0"/>
    <s v="CUST-1155"/>
    <s v="Aman Saxena"/>
    <x v="1"/>
    <x v="3"/>
    <x v="6"/>
    <n v="1"/>
    <n v="799"/>
    <n v="799"/>
    <x v="6"/>
    <n v="239.7"/>
    <n v="559.29999999999995"/>
    <x v="1"/>
    <x v="1"/>
  </r>
  <r>
    <x v="2175"/>
    <s v="25 Sat"/>
    <x v="9"/>
    <x v="0"/>
    <s v="CUST-1313"/>
    <s v="Kunal Joshi"/>
    <x v="2"/>
    <x v="6"/>
    <x v="13"/>
    <n v="1"/>
    <n v="699"/>
    <n v="699"/>
    <x v="0"/>
    <n v="0"/>
    <n v="699"/>
    <x v="0"/>
    <x v="1"/>
  </r>
  <r>
    <x v="2176"/>
    <s v="25 Sat"/>
    <x v="9"/>
    <x v="0"/>
    <s v="CUST-1035"/>
    <s v="Isha Joshi"/>
    <x v="2"/>
    <x v="4"/>
    <x v="7"/>
    <n v="1"/>
    <n v="1999"/>
    <n v="1999"/>
    <x v="0"/>
    <n v="0"/>
    <n v="1999"/>
    <x v="1"/>
    <x v="1"/>
  </r>
  <r>
    <x v="2177"/>
    <s v="25 Sat"/>
    <x v="9"/>
    <x v="0"/>
    <s v="CUST-1259"/>
    <s v="Rahul Singh"/>
    <x v="3"/>
    <x v="1"/>
    <x v="4"/>
    <n v="1"/>
    <n v="2999"/>
    <n v="2999"/>
    <x v="3"/>
    <n v="599.79999999999995"/>
    <n v="2399.1999999999998"/>
    <x v="4"/>
    <x v="0"/>
  </r>
  <r>
    <x v="2178"/>
    <s v="25 Sat"/>
    <x v="9"/>
    <x v="0"/>
    <s v="CUST-1159"/>
    <s v="Isha Kapoor"/>
    <x v="0"/>
    <x v="1"/>
    <x v="14"/>
    <n v="2"/>
    <n v="1799"/>
    <n v="3598"/>
    <x v="5"/>
    <n v="899.5"/>
    <n v="2698.5"/>
    <x v="2"/>
    <x v="0"/>
  </r>
  <r>
    <x v="2179"/>
    <s v="26 Sun"/>
    <x v="9"/>
    <x v="0"/>
    <s v="CUST-1379"/>
    <s v="Divya Verma"/>
    <x v="1"/>
    <x v="0"/>
    <x v="1"/>
    <n v="1"/>
    <n v="199"/>
    <n v="199"/>
    <x v="6"/>
    <n v="59.7"/>
    <n v="139.30000000000001"/>
    <x v="1"/>
    <x v="0"/>
  </r>
  <r>
    <x v="2180"/>
    <s v="26 Sun"/>
    <x v="9"/>
    <x v="0"/>
    <s v="CUST-1152"/>
    <s v="Kabir Gupta"/>
    <x v="4"/>
    <x v="4"/>
    <x v="7"/>
    <n v="1"/>
    <n v="1999"/>
    <n v="1999"/>
    <x v="6"/>
    <n v="599.70000000000005"/>
    <n v="1399.3"/>
    <x v="1"/>
    <x v="0"/>
  </r>
  <r>
    <x v="2181"/>
    <s v="26 Sun"/>
    <x v="9"/>
    <x v="0"/>
    <s v="CUST-1103"/>
    <s v="Muskan Gupta"/>
    <x v="1"/>
    <x v="6"/>
    <x v="13"/>
    <n v="2"/>
    <n v="699"/>
    <n v="1398"/>
    <x v="1"/>
    <n v="209.7"/>
    <n v="1188.3"/>
    <x v="1"/>
    <x v="0"/>
  </r>
  <r>
    <x v="2182"/>
    <s v="26 Sun"/>
    <x v="9"/>
    <x v="0"/>
    <s v="CUST-1207"/>
    <s v="Rohan Malhotra"/>
    <x v="0"/>
    <x v="0"/>
    <x v="1"/>
    <n v="1"/>
    <n v="199"/>
    <n v="199"/>
    <x v="2"/>
    <n v="9.9499999999999993"/>
    <n v="189.05"/>
    <x v="1"/>
    <x v="0"/>
  </r>
  <r>
    <x v="2183"/>
    <s v="26 Sun"/>
    <x v="9"/>
    <x v="0"/>
    <s v="CUST-1276"/>
    <s v="Swati Joshi"/>
    <x v="1"/>
    <x v="3"/>
    <x v="6"/>
    <n v="4"/>
    <n v="799"/>
    <n v="3196"/>
    <x v="2"/>
    <n v="159.80000000000001"/>
    <n v="3036.2"/>
    <x v="4"/>
    <x v="0"/>
  </r>
  <r>
    <x v="2184"/>
    <s v="26 Sun"/>
    <x v="9"/>
    <x v="0"/>
    <s v="CUST-1181"/>
    <s v="Kunal Sharma"/>
    <x v="3"/>
    <x v="6"/>
    <x v="13"/>
    <n v="1"/>
    <n v="699"/>
    <n v="699"/>
    <x v="4"/>
    <n v="69.900000000000006"/>
    <n v="629.1"/>
    <x v="2"/>
    <x v="0"/>
  </r>
  <r>
    <x v="2185"/>
    <s v="26 Sun"/>
    <x v="9"/>
    <x v="0"/>
    <s v="CUST-1296"/>
    <s v="Vivaan Kapoor"/>
    <x v="3"/>
    <x v="4"/>
    <x v="10"/>
    <n v="1"/>
    <n v="899"/>
    <n v="899"/>
    <x v="6"/>
    <n v="269.7"/>
    <n v="629.29999999999995"/>
    <x v="0"/>
    <x v="0"/>
  </r>
  <r>
    <x v="2186"/>
    <s v="26 Sun"/>
    <x v="9"/>
    <x v="0"/>
    <s v="CUST-1056"/>
    <s v="Aarav Kapoor"/>
    <x v="3"/>
    <x v="0"/>
    <x v="0"/>
    <n v="2"/>
    <n v="99"/>
    <n v="198"/>
    <x v="3"/>
    <n v="39.6"/>
    <n v="158.4"/>
    <x v="1"/>
    <x v="0"/>
  </r>
  <r>
    <x v="2187"/>
    <s v="26 Sun"/>
    <x v="9"/>
    <x v="0"/>
    <s v="CUST-1051"/>
    <s v="Rohan Patel"/>
    <x v="1"/>
    <x v="2"/>
    <x v="3"/>
    <n v="1"/>
    <n v="249"/>
    <n v="249"/>
    <x v="3"/>
    <n v="49.8"/>
    <n v="199.2"/>
    <x v="0"/>
    <x v="1"/>
  </r>
  <r>
    <x v="2188"/>
    <s v="26 Sun"/>
    <x v="9"/>
    <x v="0"/>
    <s v="CUST-1039"/>
    <s v="Aarav Joshi"/>
    <x v="0"/>
    <x v="5"/>
    <x v="9"/>
    <n v="2"/>
    <n v="549"/>
    <n v="1098"/>
    <x v="2"/>
    <n v="54.9"/>
    <n v="1043.0999999999999"/>
    <x v="0"/>
    <x v="0"/>
  </r>
  <r>
    <x v="2189"/>
    <s v="26 Sun"/>
    <x v="9"/>
    <x v="0"/>
    <s v="CUST-1239"/>
    <s v="Rohan Malhotra"/>
    <x v="0"/>
    <x v="4"/>
    <x v="10"/>
    <n v="1"/>
    <n v="899"/>
    <n v="899"/>
    <x v="4"/>
    <n v="89.9"/>
    <n v="809.1"/>
    <x v="4"/>
    <x v="0"/>
  </r>
  <r>
    <x v="2190"/>
    <s v="27 Mon"/>
    <x v="9"/>
    <x v="0"/>
    <s v="CUST-1133"/>
    <s v="Kunal Mehta"/>
    <x v="4"/>
    <x v="4"/>
    <x v="11"/>
    <n v="2"/>
    <n v="499"/>
    <n v="998"/>
    <x v="1"/>
    <n v="149.69999999999999"/>
    <n v="848.3"/>
    <x v="3"/>
    <x v="1"/>
  </r>
  <r>
    <x v="2191"/>
    <s v="27 Mon"/>
    <x v="9"/>
    <x v="0"/>
    <s v="CUST-1347"/>
    <s v="Ankit Joshi"/>
    <x v="2"/>
    <x v="2"/>
    <x v="3"/>
    <n v="1"/>
    <n v="249"/>
    <n v="249"/>
    <x v="0"/>
    <n v="0"/>
    <n v="249"/>
    <x v="0"/>
    <x v="0"/>
  </r>
  <r>
    <x v="2192"/>
    <s v="27 Mon"/>
    <x v="9"/>
    <x v="0"/>
    <s v="CUST-1044"/>
    <s v="Swati Saxena"/>
    <x v="4"/>
    <x v="4"/>
    <x v="10"/>
    <n v="1"/>
    <n v="899"/>
    <n v="899"/>
    <x v="5"/>
    <n v="224.75"/>
    <n v="674.25"/>
    <x v="2"/>
    <x v="0"/>
  </r>
  <r>
    <x v="2193"/>
    <s v="27 Mon"/>
    <x v="9"/>
    <x v="0"/>
    <s v="CUST-1365"/>
    <s v="Meera Singh"/>
    <x v="1"/>
    <x v="2"/>
    <x v="15"/>
    <n v="2"/>
    <n v="299"/>
    <n v="598"/>
    <x v="2"/>
    <n v="29.9"/>
    <n v="568.1"/>
    <x v="1"/>
    <x v="0"/>
  </r>
  <r>
    <x v="2194"/>
    <s v="28 Tue"/>
    <x v="9"/>
    <x v="0"/>
    <s v="CUST-1172"/>
    <s v="Nandini Saxena"/>
    <x v="0"/>
    <x v="5"/>
    <x v="9"/>
    <n v="1"/>
    <n v="549"/>
    <n v="549"/>
    <x v="0"/>
    <n v="0"/>
    <n v="549"/>
    <x v="0"/>
    <x v="0"/>
  </r>
  <r>
    <x v="2195"/>
    <s v="28 Tue"/>
    <x v="9"/>
    <x v="0"/>
    <s v="CUST-1189"/>
    <s v="Vivaan Mehta"/>
    <x v="1"/>
    <x v="3"/>
    <x v="6"/>
    <n v="2"/>
    <n v="799"/>
    <n v="1598"/>
    <x v="5"/>
    <n v="399.5"/>
    <n v="1198.5"/>
    <x v="0"/>
    <x v="1"/>
  </r>
  <r>
    <x v="2196"/>
    <s v="28 Tue"/>
    <x v="9"/>
    <x v="0"/>
    <s v="CUST-1153"/>
    <s v="Swati Verma"/>
    <x v="1"/>
    <x v="0"/>
    <x v="1"/>
    <n v="2"/>
    <n v="199"/>
    <n v="398"/>
    <x v="4"/>
    <n v="39.799999999999997"/>
    <n v="358.2"/>
    <x v="1"/>
    <x v="0"/>
  </r>
  <r>
    <x v="2197"/>
    <s v="28 Tue"/>
    <x v="9"/>
    <x v="0"/>
    <s v="CUST-1074"/>
    <s v="Kabir Kapoor"/>
    <x v="4"/>
    <x v="4"/>
    <x v="11"/>
    <n v="3"/>
    <n v="499"/>
    <n v="1497"/>
    <x v="6"/>
    <n v="449.1"/>
    <n v="1047.9000000000001"/>
    <x v="1"/>
    <x v="1"/>
  </r>
  <r>
    <x v="2198"/>
    <s v="28 Tue"/>
    <x v="9"/>
    <x v="0"/>
    <s v="CUST-1235"/>
    <s v="Meera Verma"/>
    <x v="4"/>
    <x v="3"/>
    <x v="5"/>
    <n v="1"/>
    <n v="1299"/>
    <n v="1299"/>
    <x v="4"/>
    <n v="129.9"/>
    <n v="1169.0999999999999"/>
    <x v="3"/>
    <x v="0"/>
  </r>
  <r>
    <x v="2199"/>
    <s v="28 Tue"/>
    <x v="9"/>
    <x v="0"/>
    <s v="CUST-1006"/>
    <s v="Sakshi Singh"/>
    <x v="1"/>
    <x v="5"/>
    <x v="9"/>
    <n v="3"/>
    <n v="549"/>
    <n v="1647"/>
    <x v="2"/>
    <n v="82.35"/>
    <n v="1564.65"/>
    <x v="2"/>
    <x v="1"/>
  </r>
  <r>
    <x v="2200"/>
    <s v="28 Tue"/>
    <x v="9"/>
    <x v="0"/>
    <s v="CUST-1102"/>
    <s v="Aarav Patel"/>
    <x v="1"/>
    <x v="5"/>
    <x v="8"/>
    <n v="2"/>
    <n v="349"/>
    <n v="698"/>
    <x v="4"/>
    <n v="69.8"/>
    <n v="628.20000000000005"/>
    <x v="2"/>
    <x v="1"/>
  </r>
  <r>
    <x v="2201"/>
    <s v="28 Tue"/>
    <x v="9"/>
    <x v="0"/>
    <s v="CUST-1165"/>
    <s v="Rahul Singh"/>
    <x v="1"/>
    <x v="1"/>
    <x v="2"/>
    <n v="1"/>
    <n v="599"/>
    <n v="599"/>
    <x v="1"/>
    <n v="89.85"/>
    <n v="509.15"/>
    <x v="4"/>
    <x v="0"/>
  </r>
  <r>
    <x v="2202"/>
    <s v="28 Tue"/>
    <x v="9"/>
    <x v="0"/>
    <s v="CUST-1261"/>
    <s v="Shreya Patel"/>
    <x v="2"/>
    <x v="5"/>
    <x v="8"/>
    <n v="1"/>
    <n v="349"/>
    <n v="349"/>
    <x v="1"/>
    <n v="52.35"/>
    <n v="296.64999999999998"/>
    <x v="3"/>
    <x v="0"/>
  </r>
  <r>
    <x v="2203"/>
    <s v="29 Wed"/>
    <x v="9"/>
    <x v="0"/>
    <s v="CUST-1096"/>
    <s v="Kunal Saxena"/>
    <x v="3"/>
    <x v="3"/>
    <x v="5"/>
    <n v="4"/>
    <n v="1299"/>
    <n v="5196"/>
    <x v="6"/>
    <n v="1558.8"/>
    <n v="3637.2"/>
    <x v="0"/>
    <x v="0"/>
  </r>
  <r>
    <x v="2204"/>
    <s v="29 Wed"/>
    <x v="9"/>
    <x v="0"/>
    <s v="CUST-1231"/>
    <s v="Divya Gupta"/>
    <x v="2"/>
    <x v="2"/>
    <x v="3"/>
    <n v="1"/>
    <n v="249"/>
    <n v="249"/>
    <x v="2"/>
    <n v="12.45"/>
    <n v="236.55"/>
    <x v="1"/>
    <x v="0"/>
  </r>
  <r>
    <x v="2205"/>
    <s v="29 Wed"/>
    <x v="9"/>
    <x v="0"/>
    <s v="CUST-1390"/>
    <s v="Rahul Saxena"/>
    <x v="3"/>
    <x v="6"/>
    <x v="13"/>
    <n v="3"/>
    <n v="699"/>
    <n v="2097"/>
    <x v="0"/>
    <n v="0"/>
    <n v="2097"/>
    <x v="1"/>
    <x v="1"/>
  </r>
  <r>
    <x v="2206"/>
    <s v="29 Wed"/>
    <x v="9"/>
    <x v="0"/>
    <s v="CUST-1266"/>
    <s v="Vivaan Kapoor"/>
    <x v="2"/>
    <x v="5"/>
    <x v="9"/>
    <n v="1"/>
    <n v="549"/>
    <n v="549"/>
    <x v="4"/>
    <n v="54.9"/>
    <n v="494.1"/>
    <x v="0"/>
    <x v="1"/>
  </r>
  <r>
    <x v="2207"/>
    <s v="29 Wed"/>
    <x v="9"/>
    <x v="0"/>
    <s v="CUST-1097"/>
    <s v="Rohan Verma"/>
    <x v="3"/>
    <x v="4"/>
    <x v="11"/>
    <n v="1"/>
    <n v="499"/>
    <n v="499"/>
    <x v="1"/>
    <n v="74.849999999999994"/>
    <n v="424.15"/>
    <x v="2"/>
    <x v="1"/>
  </r>
  <r>
    <x v="2208"/>
    <s v="29 Wed"/>
    <x v="9"/>
    <x v="0"/>
    <s v="CUST-1333"/>
    <s v="Aarav Gupta"/>
    <x v="3"/>
    <x v="5"/>
    <x v="9"/>
    <n v="3"/>
    <n v="549"/>
    <n v="1647"/>
    <x v="1"/>
    <n v="247.05"/>
    <n v="1399.95"/>
    <x v="4"/>
    <x v="0"/>
  </r>
  <r>
    <x v="2209"/>
    <s v="29 Wed"/>
    <x v="9"/>
    <x v="0"/>
    <s v="CUST-1225"/>
    <s v="Aarav Kapoor"/>
    <x v="0"/>
    <x v="4"/>
    <x v="11"/>
    <n v="2"/>
    <n v="499"/>
    <n v="998"/>
    <x v="5"/>
    <n v="249.5"/>
    <n v="748.5"/>
    <x v="0"/>
    <x v="0"/>
  </r>
  <r>
    <x v="2210"/>
    <s v="29 Wed"/>
    <x v="9"/>
    <x v="0"/>
    <s v="CUST-1090"/>
    <s v="Aarav Joshi"/>
    <x v="0"/>
    <x v="2"/>
    <x v="3"/>
    <n v="5"/>
    <n v="249"/>
    <n v="1245"/>
    <x v="3"/>
    <n v="249"/>
    <n v="996"/>
    <x v="4"/>
    <x v="1"/>
  </r>
  <r>
    <x v="2211"/>
    <s v="29 Wed"/>
    <x v="9"/>
    <x v="0"/>
    <s v="CUST-1105"/>
    <s v="Rohan Singh"/>
    <x v="1"/>
    <x v="5"/>
    <x v="9"/>
    <n v="1"/>
    <n v="549"/>
    <n v="549"/>
    <x v="4"/>
    <n v="54.9"/>
    <n v="494.1"/>
    <x v="0"/>
    <x v="1"/>
  </r>
  <r>
    <x v="2212"/>
    <s v="29 Wed"/>
    <x v="9"/>
    <x v="0"/>
    <s v="CUST-1205"/>
    <s v="Aman Sharma"/>
    <x v="3"/>
    <x v="1"/>
    <x v="2"/>
    <n v="1"/>
    <n v="599"/>
    <n v="599"/>
    <x v="6"/>
    <n v="179.7"/>
    <n v="419.3"/>
    <x v="0"/>
    <x v="1"/>
  </r>
  <r>
    <x v="2213"/>
    <s v="29 Wed"/>
    <x v="9"/>
    <x v="0"/>
    <s v="CUST-1274"/>
    <s v="Muskan Singh"/>
    <x v="4"/>
    <x v="6"/>
    <x v="13"/>
    <n v="1"/>
    <n v="699"/>
    <n v="699"/>
    <x v="0"/>
    <n v="0"/>
    <n v="699"/>
    <x v="0"/>
    <x v="0"/>
  </r>
  <r>
    <x v="2214"/>
    <s v="30 Thu"/>
    <x v="9"/>
    <x v="0"/>
    <s v="CUST-1090"/>
    <s v="Aarav Joshi"/>
    <x v="3"/>
    <x v="4"/>
    <x v="7"/>
    <n v="2"/>
    <n v="1999"/>
    <n v="3998"/>
    <x v="5"/>
    <n v="999.5"/>
    <n v="2998.5"/>
    <x v="4"/>
    <x v="0"/>
  </r>
  <r>
    <x v="2215"/>
    <s v="30 Thu"/>
    <x v="9"/>
    <x v="0"/>
    <s v="CUST-1371"/>
    <s v="Rahul Verma"/>
    <x v="3"/>
    <x v="0"/>
    <x v="1"/>
    <n v="5"/>
    <n v="199"/>
    <n v="995"/>
    <x v="6"/>
    <n v="298.5"/>
    <n v="696.5"/>
    <x v="0"/>
    <x v="0"/>
  </r>
  <r>
    <x v="2216"/>
    <s v="30 Thu"/>
    <x v="9"/>
    <x v="0"/>
    <s v="CUST-1131"/>
    <s v="Aarav Sharma"/>
    <x v="1"/>
    <x v="6"/>
    <x v="12"/>
    <n v="3"/>
    <n v="1499"/>
    <n v="4497"/>
    <x v="4"/>
    <n v="449.7"/>
    <n v="4047.3"/>
    <x v="0"/>
    <x v="0"/>
  </r>
  <r>
    <x v="2217"/>
    <s v="30 Thu"/>
    <x v="9"/>
    <x v="0"/>
    <s v="CUST-1030"/>
    <s v="Rahul Kapoor"/>
    <x v="4"/>
    <x v="1"/>
    <x v="4"/>
    <n v="1"/>
    <n v="2999"/>
    <n v="2999"/>
    <x v="0"/>
    <n v="0"/>
    <n v="2999"/>
    <x v="1"/>
    <x v="1"/>
  </r>
  <r>
    <x v="2218"/>
    <s v="30 Thu"/>
    <x v="9"/>
    <x v="0"/>
    <s v="CUST-1153"/>
    <s v="Swati Verma"/>
    <x v="0"/>
    <x v="6"/>
    <x v="13"/>
    <n v="2"/>
    <n v="699"/>
    <n v="1398"/>
    <x v="6"/>
    <n v="419.4"/>
    <n v="978.6"/>
    <x v="0"/>
    <x v="1"/>
  </r>
  <r>
    <x v="2219"/>
    <s v="30 Thu"/>
    <x v="9"/>
    <x v="0"/>
    <s v="CUST-1250"/>
    <s v="Shreya Saxena"/>
    <x v="4"/>
    <x v="0"/>
    <x v="1"/>
    <n v="1"/>
    <n v="199"/>
    <n v="199"/>
    <x v="0"/>
    <n v="0"/>
    <n v="199"/>
    <x v="2"/>
    <x v="0"/>
  </r>
  <r>
    <x v="2220"/>
    <s v="30 Thu"/>
    <x v="9"/>
    <x v="0"/>
    <s v="CUST-1270"/>
    <s v="Nandini Verma"/>
    <x v="0"/>
    <x v="4"/>
    <x v="7"/>
    <n v="1"/>
    <n v="1999"/>
    <n v="1999"/>
    <x v="2"/>
    <n v="99.95"/>
    <n v="1899.05"/>
    <x v="3"/>
    <x v="0"/>
  </r>
  <r>
    <x v="2221"/>
    <s v="30 Thu"/>
    <x v="9"/>
    <x v="0"/>
    <s v="CUST-1268"/>
    <s v="Aman Verma"/>
    <x v="2"/>
    <x v="4"/>
    <x v="7"/>
    <n v="1"/>
    <n v="1999"/>
    <n v="1999"/>
    <x v="6"/>
    <n v="599.70000000000005"/>
    <n v="1399.3"/>
    <x v="2"/>
    <x v="0"/>
  </r>
  <r>
    <x v="2222"/>
    <s v="30 Thu"/>
    <x v="9"/>
    <x v="0"/>
    <s v="CUST-1166"/>
    <s v="Divya Mehta"/>
    <x v="0"/>
    <x v="3"/>
    <x v="6"/>
    <n v="1"/>
    <n v="799"/>
    <n v="799"/>
    <x v="2"/>
    <n v="39.950000000000003"/>
    <n v="759.05"/>
    <x v="0"/>
    <x v="0"/>
  </r>
  <r>
    <x v="2223"/>
    <s v="30 Thu"/>
    <x v="9"/>
    <x v="0"/>
    <s v="CUST-1001"/>
    <s v="Rohan Patel"/>
    <x v="2"/>
    <x v="1"/>
    <x v="2"/>
    <n v="1"/>
    <n v="599"/>
    <n v="599"/>
    <x v="4"/>
    <n v="59.9"/>
    <n v="539.1"/>
    <x v="4"/>
    <x v="0"/>
  </r>
  <r>
    <x v="2224"/>
    <s v="30 Thu"/>
    <x v="9"/>
    <x v="0"/>
    <s v="CUST-1276"/>
    <s v="Swati Joshi"/>
    <x v="2"/>
    <x v="6"/>
    <x v="13"/>
    <n v="2"/>
    <n v="699"/>
    <n v="1398"/>
    <x v="6"/>
    <n v="419.4"/>
    <n v="978.6"/>
    <x v="0"/>
    <x v="1"/>
  </r>
  <r>
    <x v="2225"/>
    <s v="30 Thu"/>
    <x v="9"/>
    <x v="0"/>
    <s v="CUST-1377"/>
    <s v="Sakshi Patel"/>
    <x v="1"/>
    <x v="6"/>
    <x v="13"/>
    <n v="1"/>
    <n v="699"/>
    <n v="699"/>
    <x v="4"/>
    <n v="69.900000000000006"/>
    <n v="629.1"/>
    <x v="3"/>
    <x v="1"/>
  </r>
  <r>
    <x v="2226"/>
    <s v="31 Fri"/>
    <x v="9"/>
    <x v="0"/>
    <s v="CUST-1387"/>
    <s v="Rohan Patel"/>
    <x v="0"/>
    <x v="5"/>
    <x v="8"/>
    <n v="1"/>
    <n v="349"/>
    <n v="349"/>
    <x v="5"/>
    <n v="87.25"/>
    <n v="261.75"/>
    <x v="0"/>
    <x v="0"/>
  </r>
  <r>
    <x v="2227"/>
    <s v="31 Fri"/>
    <x v="9"/>
    <x v="0"/>
    <s v="CUST-1388"/>
    <s v="Aarav Saxena"/>
    <x v="3"/>
    <x v="3"/>
    <x v="6"/>
    <n v="3"/>
    <n v="799"/>
    <n v="2397"/>
    <x v="2"/>
    <n v="119.85"/>
    <n v="2277.15"/>
    <x v="2"/>
    <x v="0"/>
  </r>
  <r>
    <x v="2228"/>
    <s v="31 Fri"/>
    <x v="9"/>
    <x v="0"/>
    <s v="CUST-1142"/>
    <s v="Divya Singh"/>
    <x v="2"/>
    <x v="5"/>
    <x v="8"/>
    <n v="3"/>
    <n v="349"/>
    <n v="1047"/>
    <x v="1"/>
    <n v="157.05000000000001"/>
    <n v="889.95"/>
    <x v="2"/>
    <x v="1"/>
  </r>
  <r>
    <x v="2229"/>
    <s v="31 Fri"/>
    <x v="9"/>
    <x v="0"/>
    <s v="CUST-1150"/>
    <s v="Isha Singh"/>
    <x v="1"/>
    <x v="4"/>
    <x v="7"/>
    <n v="2"/>
    <n v="1999"/>
    <n v="3998"/>
    <x v="6"/>
    <n v="1199.4000000000001"/>
    <n v="2798.6"/>
    <x v="3"/>
    <x v="0"/>
  </r>
  <r>
    <x v="2230"/>
    <s v="31 Fri"/>
    <x v="9"/>
    <x v="0"/>
    <s v="CUST-1315"/>
    <s v="Muskan Singh"/>
    <x v="1"/>
    <x v="1"/>
    <x v="2"/>
    <n v="1"/>
    <n v="599"/>
    <n v="599"/>
    <x v="5"/>
    <n v="149.75"/>
    <n v="449.25"/>
    <x v="2"/>
    <x v="1"/>
  </r>
  <r>
    <x v="2231"/>
    <s v="31 Fri"/>
    <x v="9"/>
    <x v="0"/>
    <s v="CUST-1186"/>
    <s v="Meera Verma"/>
    <x v="2"/>
    <x v="6"/>
    <x v="12"/>
    <n v="1"/>
    <n v="1499"/>
    <n v="1499"/>
    <x v="5"/>
    <n v="374.75"/>
    <n v="1124.25"/>
    <x v="1"/>
    <x v="0"/>
  </r>
  <r>
    <x v="2232"/>
    <s v="31 Fri"/>
    <x v="9"/>
    <x v="0"/>
    <s v="CUST-1044"/>
    <s v="Swati Saxena"/>
    <x v="0"/>
    <x v="2"/>
    <x v="3"/>
    <n v="1"/>
    <n v="249"/>
    <n v="249"/>
    <x v="5"/>
    <n v="62.25"/>
    <n v="186.75"/>
    <x v="0"/>
    <x v="0"/>
  </r>
  <r>
    <x v="2233"/>
    <s v="31 Fri"/>
    <x v="9"/>
    <x v="0"/>
    <s v="CUST-1216"/>
    <s v="Meera Malhotra"/>
    <x v="2"/>
    <x v="3"/>
    <x v="5"/>
    <n v="1"/>
    <n v="1299"/>
    <n v="1299"/>
    <x v="6"/>
    <n v="389.7"/>
    <n v="909.3"/>
    <x v="1"/>
    <x v="0"/>
  </r>
  <r>
    <x v="2234"/>
    <s v="31 Fri"/>
    <x v="9"/>
    <x v="0"/>
    <s v="CUST-1074"/>
    <s v="Kabir Kapoor"/>
    <x v="0"/>
    <x v="0"/>
    <x v="1"/>
    <n v="1"/>
    <n v="199"/>
    <n v="199"/>
    <x v="1"/>
    <n v="29.85"/>
    <n v="169.15"/>
    <x v="2"/>
    <x v="0"/>
  </r>
  <r>
    <x v="2235"/>
    <s v="31 Fri"/>
    <x v="9"/>
    <x v="0"/>
    <s v="CUST-1276"/>
    <s v="Swati Joshi"/>
    <x v="2"/>
    <x v="6"/>
    <x v="13"/>
    <n v="1"/>
    <n v="699"/>
    <n v="699"/>
    <x v="2"/>
    <n v="34.950000000000003"/>
    <n v="664.05"/>
    <x v="1"/>
    <x v="1"/>
  </r>
  <r>
    <x v="2236"/>
    <s v="31 Fri"/>
    <x v="9"/>
    <x v="0"/>
    <s v="CUST-1370"/>
    <s v="Shreya Malhotra"/>
    <x v="4"/>
    <x v="0"/>
    <x v="1"/>
    <n v="2"/>
    <n v="199"/>
    <n v="398"/>
    <x v="6"/>
    <n v="119.4"/>
    <n v="278.60000000000002"/>
    <x v="2"/>
    <x v="0"/>
  </r>
  <r>
    <x v="2237"/>
    <s v="31 Fri"/>
    <x v="9"/>
    <x v="0"/>
    <s v="CUST-1016"/>
    <s v="Arjun Kapoor"/>
    <x v="1"/>
    <x v="0"/>
    <x v="0"/>
    <n v="1"/>
    <n v="99"/>
    <n v="99"/>
    <x v="5"/>
    <n v="24.75"/>
    <n v="74.25"/>
    <x v="2"/>
    <x v="1"/>
  </r>
  <r>
    <x v="2238"/>
    <s v="1 Sat"/>
    <x v="10"/>
    <x v="0"/>
    <s v="CUST-1084"/>
    <s v="Kunal Saxena"/>
    <x v="1"/>
    <x v="2"/>
    <x v="3"/>
    <n v="1"/>
    <n v="249"/>
    <n v="249"/>
    <x v="1"/>
    <n v="37.35"/>
    <n v="211.65"/>
    <x v="0"/>
    <x v="0"/>
  </r>
  <r>
    <x v="2239"/>
    <s v="1 Sat"/>
    <x v="10"/>
    <x v="0"/>
    <s v="CUST-1130"/>
    <s v="Aditya Singh"/>
    <x v="0"/>
    <x v="4"/>
    <x v="11"/>
    <n v="1"/>
    <n v="499"/>
    <n v="499"/>
    <x v="3"/>
    <n v="99.8"/>
    <n v="399.2"/>
    <x v="0"/>
    <x v="1"/>
  </r>
  <r>
    <x v="2240"/>
    <s v="1 Sat"/>
    <x v="10"/>
    <x v="0"/>
    <s v="CUST-1325"/>
    <s v="Aarav Saxena"/>
    <x v="4"/>
    <x v="5"/>
    <x v="9"/>
    <n v="2"/>
    <n v="549"/>
    <n v="1098"/>
    <x v="6"/>
    <n v="329.4"/>
    <n v="768.6"/>
    <x v="2"/>
    <x v="0"/>
  </r>
  <r>
    <x v="2241"/>
    <s v="1 Sat"/>
    <x v="10"/>
    <x v="0"/>
    <s v="CUST-1215"/>
    <s v="Arjun Singh"/>
    <x v="4"/>
    <x v="5"/>
    <x v="9"/>
    <n v="1"/>
    <n v="549"/>
    <n v="549"/>
    <x v="4"/>
    <n v="54.9"/>
    <n v="494.1"/>
    <x v="4"/>
    <x v="1"/>
  </r>
  <r>
    <x v="2242"/>
    <s v="1 Sat"/>
    <x v="10"/>
    <x v="0"/>
    <s v="CUST-1284"/>
    <s v="Arjun Kapoor"/>
    <x v="1"/>
    <x v="4"/>
    <x v="10"/>
    <n v="1"/>
    <n v="899"/>
    <n v="899"/>
    <x v="1"/>
    <n v="134.85"/>
    <n v="764.15"/>
    <x v="1"/>
    <x v="0"/>
  </r>
  <r>
    <x v="2243"/>
    <s v="1 Sat"/>
    <x v="10"/>
    <x v="0"/>
    <s v="CUST-1007"/>
    <s v="Aarav Sharma"/>
    <x v="3"/>
    <x v="4"/>
    <x v="7"/>
    <n v="2"/>
    <n v="1999"/>
    <n v="3998"/>
    <x v="4"/>
    <n v="399.8"/>
    <n v="3598.2"/>
    <x v="1"/>
    <x v="0"/>
  </r>
  <r>
    <x v="2244"/>
    <s v="1 Sat"/>
    <x v="10"/>
    <x v="0"/>
    <s v="CUST-1244"/>
    <s v="Meera Gupta"/>
    <x v="2"/>
    <x v="1"/>
    <x v="14"/>
    <n v="1"/>
    <n v="1799"/>
    <n v="1799"/>
    <x v="4"/>
    <n v="179.9"/>
    <n v="1619.1"/>
    <x v="2"/>
    <x v="1"/>
  </r>
  <r>
    <x v="2245"/>
    <s v="1 Sat"/>
    <x v="10"/>
    <x v="0"/>
    <s v="CUST-1286"/>
    <s v="Arjun Singh"/>
    <x v="0"/>
    <x v="5"/>
    <x v="8"/>
    <n v="2"/>
    <n v="349"/>
    <n v="698"/>
    <x v="4"/>
    <n v="69.8"/>
    <n v="628.20000000000005"/>
    <x v="0"/>
    <x v="0"/>
  </r>
  <r>
    <x v="2246"/>
    <s v="1 Sat"/>
    <x v="10"/>
    <x v="0"/>
    <s v="CUST-1271"/>
    <s v="Nandini Sharma"/>
    <x v="3"/>
    <x v="4"/>
    <x v="11"/>
    <n v="1"/>
    <n v="499"/>
    <n v="499"/>
    <x v="5"/>
    <n v="124.75"/>
    <n v="374.25"/>
    <x v="3"/>
    <x v="0"/>
  </r>
  <r>
    <x v="2247"/>
    <s v="1 Sat"/>
    <x v="10"/>
    <x v="0"/>
    <s v="CUST-1321"/>
    <s v="Isha Mehta"/>
    <x v="1"/>
    <x v="0"/>
    <x v="0"/>
    <n v="3"/>
    <n v="99"/>
    <n v="297"/>
    <x v="5"/>
    <n v="74.25"/>
    <n v="222.75"/>
    <x v="3"/>
    <x v="0"/>
  </r>
  <r>
    <x v="2248"/>
    <s v="1 Sat"/>
    <x v="10"/>
    <x v="0"/>
    <s v="CUST-1364"/>
    <s v="Rahul Malhotra"/>
    <x v="4"/>
    <x v="5"/>
    <x v="8"/>
    <n v="2"/>
    <n v="349"/>
    <n v="698"/>
    <x v="5"/>
    <n v="174.5"/>
    <n v="523.5"/>
    <x v="2"/>
    <x v="0"/>
  </r>
  <r>
    <x v="2249"/>
    <s v="1 Sat"/>
    <x v="10"/>
    <x v="0"/>
    <s v="CUST-1375"/>
    <s v="Kunal Joshi"/>
    <x v="1"/>
    <x v="0"/>
    <x v="1"/>
    <n v="2"/>
    <n v="199"/>
    <n v="398"/>
    <x v="6"/>
    <n v="119.4"/>
    <n v="278.60000000000002"/>
    <x v="3"/>
    <x v="0"/>
  </r>
  <r>
    <x v="2250"/>
    <s v="1 Sat"/>
    <x v="10"/>
    <x v="0"/>
    <s v="CUST-1054"/>
    <s v="Kunal Patel"/>
    <x v="0"/>
    <x v="3"/>
    <x v="6"/>
    <n v="1"/>
    <n v="799"/>
    <n v="799"/>
    <x v="1"/>
    <n v="119.85"/>
    <n v="679.15"/>
    <x v="0"/>
    <x v="1"/>
  </r>
  <r>
    <x v="2251"/>
    <s v="1 Sat"/>
    <x v="10"/>
    <x v="0"/>
    <s v="CUST-1087"/>
    <s v="Kabir Verma"/>
    <x v="2"/>
    <x v="6"/>
    <x v="13"/>
    <n v="1"/>
    <n v="699"/>
    <n v="699"/>
    <x v="5"/>
    <n v="174.75"/>
    <n v="524.25"/>
    <x v="2"/>
    <x v="0"/>
  </r>
  <r>
    <x v="2252"/>
    <s v="1 Sat"/>
    <x v="10"/>
    <x v="0"/>
    <s v="CUST-1182"/>
    <s v="Swati Verma"/>
    <x v="3"/>
    <x v="4"/>
    <x v="11"/>
    <n v="2"/>
    <n v="499"/>
    <n v="998"/>
    <x v="6"/>
    <n v="299.39999999999998"/>
    <n v="698.6"/>
    <x v="0"/>
    <x v="0"/>
  </r>
  <r>
    <x v="2253"/>
    <s v="2 Sun"/>
    <x v="10"/>
    <x v="0"/>
    <s v="CUST-1078"/>
    <s v="Kabir Malhotra"/>
    <x v="0"/>
    <x v="2"/>
    <x v="3"/>
    <n v="2"/>
    <n v="249"/>
    <n v="498"/>
    <x v="3"/>
    <n v="99.6"/>
    <n v="398.4"/>
    <x v="2"/>
    <x v="1"/>
  </r>
  <r>
    <x v="2254"/>
    <s v="2 Sun"/>
    <x v="10"/>
    <x v="0"/>
    <s v="CUST-1006"/>
    <s v="Sakshi Singh"/>
    <x v="0"/>
    <x v="4"/>
    <x v="11"/>
    <n v="3"/>
    <n v="499"/>
    <n v="1497"/>
    <x v="5"/>
    <n v="374.25"/>
    <n v="1122.75"/>
    <x v="1"/>
    <x v="0"/>
  </r>
  <r>
    <x v="2255"/>
    <s v="2 Sun"/>
    <x v="10"/>
    <x v="0"/>
    <s v="CUST-1287"/>
    <s v="Divya Kapoor"/>
    <x v="4"/>
    <x v="2"/>
    <x v="15"/>
    <n v="3"/>
    <n v="299"/>
    <n v="897"/>
    <x v="3"/>
    <n v="179.4"/>
    <n v="717.6"/>
    <x v="0"/>
    <x v="0"/>
  </r>
  <r>
    <x v="2256"/>
    <s v="2 Sun"/>
    <x v="10"/>
    <x v="0"/>
    <s v="CUST-1011"/>
    <s v="Kunal Sharma"/>
    <x v="4"/>
    <x v="5"/>
    <x v="9"/>
    <n v="3"/>
    <n v="549"/>
    <n v="1647"/>
    <x v="1"/>
    <n v="247.05"/>
    <n v="1399.95"/>
    <x v="4"/>
    <x v="0"/>
  </r>
  <r>
    <x v="2257"/>
    <s v="2 Sun"/>
    <x v="10"/>
    <x v="0"/>
    <s v="CUST-1107"/>
    <s v="Isha Sharma"/>
    <x v="3"/>
    <x v="0"/>
    <x v="1"/>
    <n v="2"/>
    <n v="199"/>
    <n v="398"/>
    <x v="0"/>
    <n v="0"/>
    <n v="398"/>
    <x v="1"/>
    <x v="0"/>
  </r>
  <r>
    <x v="2258"/>
    <s v="2 Sun"/>
    <x v="10"/>
    <x v="0"/>
    <s v="CUST-1093"/>
    <s v="Kabir Mehta"/>
    <x v="3"/>
    <x v="0"/>
    <x v="0"/>
    <n v="1"/>
    <n v="99"/>
    <n v="99"/>
    <x v="6"/>
    <n v="29.7"/>
    <n v="69.3"/>
    <x v="3"/>
    <x v="0"/>
  </r>
  <r>
    <x v="2259"/>
    <s v="2 Sun"/>
    <x v="10"/>
    <x v="0"/>
    <s v="CUST-1262"/>
    <s v="Kunal Joshi"/>
    <x v="1"/>
    <x v="0"/>
    <x v="0"/>
    <n v="1"/>
    <n v="99"/>
    <n v="99"/>
    <x v="4"/>
    <n v="9.9"/>
    <n v="89.1"/>
    <x v="0"/>
    <x v="0"/>
  </r>
  <r>
    <x v="2260"/>
    <s v="2 Sun"/>
    <x v="10"/>
    <x v="0"/>
    <s v="CUST-1229"/>
    <s v="Vivaan Singh"/>
    <x v="3"/>
    <x v="6"/>
    <x v="13"/>
    <n v="2"/>
    <n v="699"/>
    <n v="1398"/>
    <x v="0"/>
    <n v="0"/>
    <n v="1398"/>
    <x v="2"/>
    <x v="0"/>
  </r>
  <r>
    <x v="2261"/>
    <s v="2 Sun"/>
    <x v="10"/>
    <x v="0"/>
    <s v="CUST-1040"/>
    <s v="Aditya Malhotra"/>
    <x v="0"/>
    <x v="3"/>
    <x v="5"/>
    <n v="4"/>
    <n v="1299"/>
    <n v="5196"/>
    <x v="2"/>
    <n v="259.8"/>
    <n v="4936.2"/>
    <x v="3"/>
    <x v="1"/>
  </r>
  <r>
    <x v="2262"/>
    <s v="2 Sun"/>
    <x v="10"/>
    <x v="0"/>
    <s v="CUST-1388"/>
    <s v="Aarav Saxena"/>
    <x v="2"/>
    <x v="2"/>
    <x v="15"/>
    <n v="1"/>
    <n v="299"/>
    <n v="299"/>
    <x v="6"/>
    <n v="89.7"/>
    <n v="209.3"/>
    <x v="2"/>
    <x v="0"/>
  </r>
  <r>
    <x v="2263"/>
    <s v="2 Sun"/>
    <x v="10"/>
    <x v="0"/>
    <s v="CUST-1091"/>
    <s v="Kabir Gupta"/>
    <x v="4"/>
    <x v="1"/>
    <x v="4"/>
    <n v="1"/>
    <n v="2999"/>
    <n v="2999"/>
    <x v="4"/>
    <n v="299.89999999999998"/>
    <n v="2699.1"/>
    <x v="3"/>
    <x v="1"/>
  </r>
  <r>
    <x v="2264"/>
    <s v="2 Sun"/>
    <x v="10"/>
    <x v="0"/>
    <s v="CUST-1079"/>
    <s v="Komal Mehta"/>
    <x v="4"/>
    <x v="0"/>
    <x v="0"/>
    <n v="3"/>
    <n v="99"/>
    <n v="297"/>
    <x v="4"/>
    <n v="29.7"/>
    <n v="267.3"/>
    <x v="3"/>
    <x v="1"/>
  </r>
  <r>
    <x v="2265"/>
    <s v="3 Mon"/>
    <x v="10"/>
    <x v="0"/>
    <s v="CUST-1367"/>
    <s v="Aman Saxena"/>
    <x v="1"/>
    <x v="1"/>
    <x v="2"/>
    <n v="1"/>
    <n v="599"/>
    <n v="599"/>
    <x v="3"/>
    <n v="119.8"/>
    <n v="479.2"/>
    <x v="4"/>
    <x v="0"/>
  </r>
  <r>
    <x v="2266"/>
    <s v="3 Mon"/>
    <x v="10"/>
    <x v="0"/>
    <s v="CUST-1275"/>
    <s v="Tanya Singh"/>
    <x v="3"/>
    <x v="4"/>
    <x v="11"/>
    <n v="2"/>
    <n v="499"/>
    <n v="998"/>
    <x v="1"/>
    <n v="149.69999999999999"/>
    <n v="848.3"/>
    <x v="2"/>
    <x v="1"/>
  </r>
  <r>
    <x v="2267"/>
    <s v="3 Mon"/>
    <x v="10"/>
    <x v="0"/>
    <s v="CUST-1390"/>
    <s v="Rahul Saxena"/>
    <x v="2"/>
    <x v="1"/>
    <x v="4"/>
    <n v="3"/>
    <n v="2999"/>
    <n v="8997"/>
    <x v="0"/>
    <n v="0"/>
    <n v="8997"/>
    <x v="4"/>
    <x v="0"/>
  </r>
  <r>
    <x v="2268"/>
    <s v="3 Mon"/>
    <x v="10"/>
    <x v="0"/>
    <s v="CUST-1343"/>
    <s v="Tanya Sharma"/>
    <x v="1"/>
    <x v="3"/>
    <x v="6"/>
    <n v="1"/>
    <n v="799"/>
    <n v="799"/>
    <x v="1"/>
    <n v="119.85"/>
    <n v="679.15"/>
    <x v="1"/>
    <x v="0"/>
  </r>
  <r>
    <x v="2269"/>
    <s v="3 Mon"/>
    <x v="10"/>
    <x v="0"/>
    <s v="CUST-1057"/>
    <s v="Tanya Malhotra"/>
    <x v="2"/>
    <x v="3"/>
    <x v="5"/>
    <n v="3"/>
    <n v="1299"/>
    <n v="3897"/>
    <x v="6"/>
    <n v="1169.0999999999999"/>
    <n v="2727.9"/>
    <x v="2"/>
    <x v="0"/>
  </r>
  <r>
    <x v="2270"/>
    <s v="3 Mon"/>
    <x v="10"/>
    <x v="0"/>
    <s v="CUST-1035"/>
    <s v="Isha Joshi"/>
    <x v="4"/>
    <x v="4"/>
    <x v="7"/>
    <n v="1"/>
    <n v="1999"/>
    <n v="1999"/>
    <x v="0"/>
    <n v="0"/>
    <n v="1999"/>
    <x v="0"/>
    <x v="0"/>
  </r>
  <r>
    <x v="2271"/>
    <s v="3 Mon"/>
    <x v="10"/>
    <x v="0"/>
    <s v="CUST-1066"/>
    <s v="Kunal Verma"/>
    <x v="3"/>
    <x v="4"/>
    <x v="7"/>
    <n v="1"/>
    <n v="1999"/>
    <n v="1999"/>
    <x v="1"/>
    <n v="299.85000000000002"/>
    <n v="1699.15"/>
    <x v="3"/>
    <x v="0"/>
  </r>
  <r>
    <x v="2272"/>
    <s v="3 Mon"/>
    <x v="10"/>
    <x v="0"/>
    <s v="CUST-1336"/>
    <s v="Arjun Singh"/>
    <x v="3"/>
    <x v="6"/>
    <x v="12"/>
    <n v="2"/>
    <n v="1499"/>
    <n v="2998"/>
    <x v="5"/>
    <n v="749.5"/>
    <n v="2248.5"/>
    <x v="2"/>
    <x v="1"/>
  </r>
  <r>
    <x v="2273"/>
    <s v="3 Mon"/>
    <x v="10"/>
    <x v="0"/>
    <s v="CUST-1264"/>
    <s v="Vivaan Malhotra"/>
    <x v="3"/>
    <x v="6"/>
    <x v="13"/>
    <n v="1"/>
    <n v="699"/>
    <n v="699"/>
    <x v="2"/>
    <n v="34.950000000000003"/>
    <n v="664.05"/>
    <x v="4"/>
    <x v="1"/>
  </r>
  <r>
    <x v="2274"/>
    <s v="3 Mon"/>
    <x v="10"/>
    <x v="0"/>
    <s v="CUST-1043"/>
    <s v="Divya Kapoor"/>
    <x v="4"/>
    <x v="6"/>
    <x v="12"/>
    <n v="2"/>
    <n v="1499"/>
    <n v="2998"/>
    <x v="5"/>
    <n v="749.5"/>
    <n v="2248.5"/>
    <x v="2"/>
    <x v="0"/>
  </r>
  <r>
    <x v="2275"/>
    <s v="3 Mon"/>
    <x v="10"/>
    <x v="0"/>
    <s v="CUST-1172"/>
    <s v="Nandini Saxena"/>
    <x v="4"/>
    <x v="5"/>
    <x v="9"/>
    <n v="2"/>
    <n v="549"/>
    <n v="1098"/>
    <x v="2"/>
    <n v="54.9"/>
    <n v="1043.0999999999999"/>
    <x v="0"/>
    <x v="1"/>
  </r>
  <r>
    <x v="2276"/>
    <s v="3 Mon"/>
    <x v="10"/>
    <x v="0"/>
    <s v="CUST-1325"/>
    <s v="Aarav Saxena"/>
    <x v="2"/>
    <x v="1"/>
    <x v="2"/>
    <n v="1"/>
    <n v="599"/>
    <n v="599"/>
    <x v="5"/>
    <n v="149.75"/>
    <n v="449.25"/>
    <x v="2"/>
    <x v="0"/>
  </r>
  <r>
    <x v="2277"/>
    <s v="3 Mon"/>
    <x v="10"/>
    <x v="0"/>
    <s v="CUST-1110"/>
    <s v="Aman Malhotra"/>
    <x v="0"/>
    <x v="1"/>
    <x v="4"/>
    <n v="1"/>
    <n v="2999"/>
    <n v="2999"/>
    <x v="4"/>
    <n v="299.89999999999998"/>
    <n v="2699.1"/>
    <x v="2"/>
    <x v="0"/>
  </r>
  <r>
    <x v="2278"/>
    <s v="3 Mon"/>
    <x v="10"/>
    <x v="0"/>
    <s v="CUST-1020"/>
    <s v="Rohan Malhotra"/>
    <x v="0"/>
    <x v="5"/>
    <x v="8"/>
    <n v="1"/>
    <n v="349"/>
    <n v="349"/>
    <x v="5"/>
    <n v="87.25"/>
    <n v="261.75"/>
    <x v="1"/>
    <x v="0"/>
  </r>
  <r>
    <x v="2279"/>
    <s v="3 Mon"/>
    <x v="10"/>
    <x v="0"/>
    <s v="CUST-1194"/>
    <s v="Muskan Sharma"/>
    <x v="4"/>
    <x v="5"/>
    <x v="8"/>
    <n v="5"/>
    <n v="349"/>
    <n v="1745"/>
    <x v="0"/>
    <n v="0"/>
    <n v="1745"/>
    <x v="4"/>
    <x v="0"/>
  </r>
  <r>
    <x v="2280"/>
    <s v="4 Tue"/>
    <x v="10"/>
    <x v="0"/>
    <s v="CUST-1357"/>
    <s v="Kabir Mehta"/>
    <x v="1"/>
    <x v="5"/>
    <x v="8"/>
    <n v="1"/>
    <n v="349"/>
    <n v="349"/>
    <x v="1"/>
    <n v="52.35"/>
    <n v="296.64999999999998"/>
    <x v="1"/>
    <x v="1"/>
  </r>
  <r>
    <x v="2281"/>
    <s v="4 Tue"/>
    <x v="10"/>
    <x v="0"/>
    <s v="CUST-1152"/>
    <s v="Kabir Gupta"/>
    <x v="4"/>
    <x v="4"/>
    <x v="7"/>
    <n v="3"/>
    <n v="1999"/>
    <n v="5997"/>
    <x v="4"/>
    <n v="599.70000000000005"/>
    <n v="5397.3"/>
    <x v="0"/>
    <x v="0"/>
  </r>
  <r>
    <x v="2282"/>
    <s v="4 Tue"/>
    <x v="10"/>
    <x v="0"/>
    <s v="CUST-1107"/>
    <s v="Isha Sharma"/>
    <x v="3"/>
    <x v="6"/>
    <x v="12"/>
    <n v="1"/>
    <n v="1499"/>
    <n v="1499"/>
    <x v="2"/>
    <n v="74.95"/>
    <n v="1424.05"/>
    <x v="3"/>
    <x v="1"/>
  </r>
  <r>
    <x v="2283"/>
    <s v="4 Tue"/>
    <x v="10"/>
    <x v="0"/>
    <s v="CUST-1161"/>
    <s v="Ankit Gupta"/>
    <x v="3"/>
    <x v="5"/>
    <x v="8"/>
    <n v="1"/>
    <n v="349"/>
    <n v="349"/>
    <x v="1"/>
    <n v="52.35"/>
    <n v="296.64999999999998"/>
    <x v="4"/>
    <x v="1"/>
  </r>
  <r>
    <x v="2284"/>
    <s v="4 Tue"/>
    <x v="10"/>
    <x v="0"/>
    <s v="CUST-1058"/>
    <s v="Nandini Singh"/>
    <x v="2"/>
    <x v="4"/>
    <x v="7"/>
    <n v="1"/>
    <n v="1999"/>
    <n v="1999"/>
    <x v="0"/>
    <n v="0"/>
    <n v="1999"/>
    <x v="0"/>
    <x v="0"/>
  </r>
  <r>
    <x v="2285"/>
    <s v="4 Tue"/>
    <x v="10"/>
    <x v="0"/>
    <s v="CUST-1189"/>
    <s v="Vivaan Mehta"/>
    <x v="4"/>
    <x v="6"/>
    <x v="12"/>
    <n v="1"/>
    <n v="1499"/>
    <n v="1499"/>
    <x v="5"/>
    <n v="374.75"/>
    <n v="1124.25"/>
    <x v="1"/>
    <x v="1"/>
  </r>
  <r>
    <x v="2286"/>
    <s v="4 Tue"/>
    <x v="10"/>
    <x v="0"/>
    <s v="CUST-1107"/>
    <s v="Isha Sharma"/>
    <x v="4"/>
    <x v="0"/>
    <x v="0"/>
    <n v="2"/>
    <n v="99"/>
    <n v="198"/>
    <x v="3"/>
    <n v="39.6"/>
    <n v="158.4"/>
    <x v="2"/>
    <x v="1"/>
  </r>
  <r>
    <x v="2287"/>
    <s v="4 Tue"/>
    <x v="10"/>
    <x v="0"/>
    <s v="CUST-1048"/>
    <s v="Divya Mehta"/>
    <x v="1"/>
    <x v="4"/>
    <x v="7"/>
    <n v="2"/>
    <n v="1999"/>
    <n v="3998"/>
    <x v="1"/>
    <n v="599.70000000000005"/>
    <n v="3398.3"/>
    <x v="2"/>
    <x v="0"/>
  </r>
  <r>
    <x v="2288"/>
    <s v="4 Tue"/>
    <x v="10"/>
    <x v="0"/>
    <s v="CUST-1350"/>
    <s v="Isha Kapoor"/>
    <x v="1"/>
    <x v="5"/>
    <x v="8"/>
    <n v="4"/>
    <n v="349"/>
    <n v="1396"/>
    <x v="1"/>
    <n v="209.4"/>
    <n v="1186.5999999999999"/>
    <x v="4"/>
    <x v="0"/>
  </r>
  <r>
    <x v="2289"/>
    <s v="4 Tue"/>
    <x v="10"/>
    <x v="0"/>
    <s v="CUST-1338"/>
    <s v="Komal Malhotra"/>
    <x v="1"/>
    <x v="1"/>
    <x v="14"/>
    <n v="3"/>
    <n v="1799"/>
    <n v="5397"/>
    <x v="3"/>
    <n v="1079.4000000000001"/>
    <n v="4317.6000000000004"/>
    <x v="1"/>
    <x v="0"/>
  </r>
  <r>
    <x v="2290"/>
    <s v="5 Wed"/>
    <x v="10"/>
    <x v="0"/>
    <s v="CUST-1152"/>
    <s v="Kabir Gupta"/>
    <x v="0"/>
    <x v="5"/>
    <x v="9"/>
    <n v="1"/>
    <n v="549"/>
    <n v="549"/>
    <x v="2"/>
    <n v="27.45"/>
    <n v="521.54999999999995"/>
    <x v="0"/>
    <x v="1"/>
  </r>
  <r>
    <x v="2291"/>
    <s v="5 Wed"/>
    <x v="10"/>
    <x v="0"/>
    <s v="CUST-1219"/>
    <s v="Sakshi Patel"/>
    <x v="0"/>
    <x v="3"/>
    <x v="5"/>
    <n v="2"/>
    <n v="1299"/>
    <n v="2598"/>
    <x v="6"/>
    <n v="779.4"/>
    <n v="1818.6"/>
    <x v="2"/>
    <x v="0"/>
  </r>
  <r>
    <x v="2292"/>
    <s v="5 Wed"/>
    <x v="10"/>
    <x v="0"/>
    <s v="CUST-1110"/>
    <s v="Aman Malhotra"/>
    <x v="0"/>
    <x v="0"/>
    <x v="0"/>
    <n v="1"/>
    <n v="99"/>
    <n v="99"/>
    <x v="6"/>
    <n v="29.7"/>
    <n v="69.3"/>
    <x v="1"/>
    <x v="0"/>
  </r>
  <r>
    <x v="2293"/>
    <s v="5 Wed"/>
    <x v="10"/>
    <x v="0"/>
    <s v="CUST-1284"/>
    <s v="Arjun Kapoor"/>
    <x v="4"/>
    <x v="4"/>
    <x v="11"/>
    <n v="5"/>
    <n v="499"/>
    <n v="2495"/>
    <x v="0"/>
    <n v="0"/>
    <n v="2495"/>
    <x v="2"/>
    <x v="0"/>
  </r>
  <r>
    <x v="2294"/>
    <s v="5 Wed"/>
    <x v="10"/>
    <x v="0"/>
    <s v="CUST-1140"/>
    <s v="Tanya Verma"/>
    <x v="4"/>
    <x v="0"/>
    <x v="1"/>
    <n v="3"/>
    <n v="199"/>
    <n v="597"/>
    <x v="4"/>
    <n v="59.7"/>
    <n v="537.29999999999995"/>
    <x v="2"/>
    <x v="1"/>
  </r>
  <r>
    <x v="2295"/>
    <s v="5 Wed"/>
    <x v="10"/>
    <x v="0"/>
    <s v="CUST-1351"/>
    <s v="Tanya Mehta"/>
    <x v="2"/>
    <x v="1"/>
    <x v="14"/>
    <n v="1"/>
    <n v="1799"/>
    <n v="1799"/>
    <x v="5"/>
    <n v="449.75"/>
    <n v="1349.25"/>
    <x v="1"/>
    <x v="0"/>
  </r>
  <r>
    <x v="2296"/>
    <s v="5 Wed"/>
    <x v="10"/>
    <x v="0"/>
    <s v="CUST-1027"/>
    <s v="Aditya Gupta"/>
    <x v="1"/>
    <x v="1"/>
    <x v="14"/>
    <n v="4"/>
    <n v="1799"/>
    <n v="7196"/>
    <x v="4"/>
    <n v="719.6"/>
    <n v="6476.4"/>
    <x v="0"/>
    <x v="0"/>
  </r>
  <r>
    <x v="2297"/>
    <s v="5 Wed"/>
    <x v="10"/>
    <x v="0"/>
    <s v="CUST-1264"/>
    <s v="Vivaan Malhotra"/>
    <x v="0"/>
    <x v="6"/>
    <x v="12"/>
    <n v="2"/>
    <n v="1499"/>
    <n v="2998"/>
    <x v="1"/>
    <n v="449.7"/>
    <n v="2548.3000000000002"/>
    <x v="0"/>
    <x v="1"/>
  </r>
  <r>
    <x v="2298"/>
    <s v="5 Wed"/>
    <x v="10"/>
    <x v="0"/>
    <s v="CUST-1115"/>
    <s v="Divya Kapoor"/>
    <x v="1"/>
    <x v="1"/>
    <x v="2"/>
    <n v="1"/>
    <n v="599"/>
    <n v="599"/>
    <x v="3"/>
    <n v="119.8"/>
    <n v="479.2"/>
    <x v="0"/>
    <x v="0"/>
  </r>
  <r>
    <x v="2299"/>
    <s v="6 Thu"/>
    <x v="10"/>
    <x v="0"/>
    <s v="CUST-1045"/>
    <s v="Arjun Verma"/>
    <x v="3"/>
    <x v="6"/>
    <x v="13"/>
    <n v="2"/>
    <n v="699"/>
    <n v="1398"/>
    <x v="5"/>
    <n v="349.5"/>
    <n v="1048.5"/>
    <x v="2"/>
    <x v="0"/>
  </r>
  <r>
    <x v="2300"/>
    <s v="6 Thu"/>
    <x v="10"/>
    <x v="0"/>
    <s v="CUST-1284"/>
    <s v="Arjun Kapoor"/>
    <x v="2"/>
    <x v="0"/>
    <x v="0"/>
    <n v="5"/>
    <n v="99"/>
    <n v="495"/>
    <x v="2"/>
    <n v="24.75"/>
    <n v="470.25"/>
    <x v="3"/>
    <x v="0"/>
  </r>
  <r>
    <x v="2301"/>
    <s v="6 Thu"/>
    <x v="10"/>
    <x v="0"/>
    <s v="CUST-1239"/>
    <s v="Rohan Malhotra"/>
    <x v="4"/>
    <x v="1"/>
    <x v="4"/>
    <n v="1"/>
    <n v="2999"/>
    <n v="2999"/>
    <x v="6"/>
    <n v="899.7"/>
    <n v="2099.3000000000002"/>
    <x v="2"/>
    <x v="1"/>
  </r>
  <r>
    <x v="2302"/>
    <s v="6 Thu"/>
    <x v="10"/>
    <x v="0"/>
    <s v="CUST-1387"/>
    <s v="Rohan Patel"/>
    <x v="1"/>
    <x v="3"/>
    <x v="6"/>
    <n v="2"/>
    <n v="799"/>
    <n v="1598"/>
    <x v="5"/>
    <n v="399.5"/>
    <n v="1198.5"/>
    <x v="0"/>
    <x v="0"/>
  </r>
  <r>
    <x v="2303"/>
    <s v="6 Thu"/>
    <x v="10"/>
    <x v="0"/>
    <s v="CUST-1208"/>
    <s v="Arjun Singh"/>
    <x v="4"/>
    <x v="4"/>
    <x v="10"/>
    <n v="1"/>
    <n v="899"/>
    <n v="899"/>
    <x v="3"/>
    <n v="179.8"/>
    <n v="719.2"/>
    <x v="2"/>
    <x v="0"/>
  </r>
  <r>
    <x v="2304"/>
    <s v="6 Thu"/>
    <x v="10"/>
    <x v="0"/>
    <s v="CUST-1150"/>
    <s v="Isha Singh"/>
    <x v="2"/>
    <x v="3"/>
    <x v="5"/>
    <n v="2"/>
    <n v="1299"/>
    <n v="2598"/>
    <x v="3"/>
    <n v="519.6"/>
    <n v="2078.4"/>
    <x v="2"/>
    <x v="1"/>
  </r>
  <r>
    <x v="2305"/>
    <s v="6 Thu"/>
    <x v="10"/>
    <x v="0"/>
    <s v="CUST-1318"/>
    <s v="Tanya Verma"/>
    <x v="4"/>
    <x v="5"/>
    <x v="8"/>
    <n v="2"/>
    <n v="349"/>
    <n v="698"/>
    <x v="1"/>
    <n v="104.7"/>
    <n v="593.29999999999995"/>
    <x v="0"/>
    <x v="0"/>
  </r>
  <r>
    <x v="2306"/>
    <s v="6 Thu"/>
    <x v="10"/>
    <x v="0"/>
    <s v="CUST-1310"/>
    <s v="Meera Patel"/>
    <x v="4"/>
    <x v="4"/>
    <x v="7"/>
    <n v="1"/>
    <n v="1999"/>
    <n v="1999"/>
    <x v="4"/>
    <n v="199.9"/>
    <n v="1799.1"/>
    <x v="1"/>
    <x v="0"/>
  </r>
  <r>
    <x v="2307"/>
    <s v="6 Thu"/>
    <x v="10"/>
    <x v="0"/>
    <s v="CUST-1175"/>
    <s v="Vivaan Kapoor"/>
    <x v="4"/>
    <x v="2"/>
    <x v="3"/>
    <n v="1"/>
    <n v="249"/>
    <n v="249"/>
    <x v="6"/>
    <n v="74.7"/>
    <n v="174.3"/>
    <x v="1"/>
    <x v="0"/>
  </r>
  <r>
    <x v="2308"/>
    <s v="6 Thu"/>
    <x v="10"/>
    <x v="0"/>
    <s v="CUST-1030"/>
    <s v="Rahul Kapoor"/>
    <x v="3"/>
    <x v="4"/>
    <x v="10"/>
    <n v="3"/>
    <n v="899"/>
    <n v="2697"/>
    <x v="5"/>
    <n v="674.25"/>
    <n v="2022.75"/>
    <x v="1"/>
    <x v="1"/>
  </r>
  <r>
    <x v="2309"/>
    <s v="6 Thu"/>
    <x v="10"/>
    <x v="0"/>
    <s v="CUST-1036"/>
    <s v="Nandini Mehta"/>
    <x v="2"/>
    <x v="0"/>
    <x v="0"/>
    <n v="2"/>
    <n v="99"/>
    <n v="198"/>
    <x v="6"/>
    <n v="59.4"/>
    <n v="138.6"/>
    <x v="2"/>
    <x v="0"/>
  </r>
  <r>
    <x v="2310"/>
    <s v="6 Thu"/>
    <x v="10"/>
    <x v="0"/>
    <s v="CUST-1280"/>
    <s v="Muskan Kapoor"/>
    <x v="1"/>
    <x v="5"/>
    <x v="8"/>
    <n v="1"/>
    <n v="349"/>
    <n v="349"/>
    <x v="0"/>
    <n v="0"/>
    <n v="349"/>
    <x v="3"/>
    <x v="0"/>
  </r>
  <r>
    <x v="2311"/>
    <s v="7 Fri"/>
    <x v="10"/>
    <x v="0"/>
    <s v="CUST-1083"/>
    <s v="Komal Kapoor"/>
    <x v="1"/>
    <x v="3"/>
    <x v="5"/>
    <n v="5"/>
    <n v="1299"/>
    <n v="6495"/>
    <x v="6"/>
    <n v="1948.5"/>
    <n v="4546.5"/>
    <x v="4"/>
    <x v="0"/>
  </r>
  <r>
    <x v="2312"/>
    <s v="7 Fri"/>
    <x v="10"/>
    <x v="0"/>
    <s v="CUST-1121"/>
    <s v="Rahul Kapoor"/>
    <x v="0"/>
    <x v="1"/>
    <x v="14"/>
    <n v="1"/>
    <n v="1799"/>
    <n v="1799"/>
    <x v="5"/>
    <n v="449.75"/>
    <n v="1349.25"/>
    <x v="3"/>
    <x v="0"/>
  </r>
  <r>
    <x v="2313"/>
    <s v="7 Fri"/>
    <x v="10"/>
    <x v="0"/>
    <s v="CUST-1137"/>
    <s v="Nandini Kapoor"/>
    <x v="1"/>
    <x v="6"/>
    <x v="13"/>
    <n v="5"/>
    <n v="699"/>
    <n v="3495"/>
    <x v="0"/>
    <n v="0"/>
    <n v="3495"/>
    <x v="1"/>
    <x v="1"/>
  </r>
  <r>
    <x v="2314"/>
    <s v="7 Fri"/>
    <x v="10"/>
    <x v="0"/>
    <s v="CUST-1368"/>
    <s v="Isha Patel"/>
    <x v="2"/>
    <x v="2"/>
    <x v="15"/>
    <n v="1"/>
    <n v="299"/>
    <n v="299"/>
    <x v="5"/>
    <n v="74.75"/>
    <n v="224.25"/>
    <x v="0"/>
    <x v="0"/>
  </r>
  <r>
    <x v="2315"/>
    <s v="7 Fri"/>
    <x v="10"/>
    <x v="0"/>
    <s v="CUST-1290"/>
    <s v="Kabir Mehta"/>
    <x v="1"/>
    <x v="4"/>
    <x v="7"/>
    <n v="2"/>
    <n v="1999"/>
    <n v="3998"/>
    <x v="1"/>
    <n v="599.70000000000005"/>
    <n v="3398.3"/>
    <x v="1"/>
    <x v="1"/>
  </r>
  <r>
    <x v="2316"/>
    <s v="7 Fri"/>
    <x v="10"/>
    <x v="0"/>
    <s v="CUST-1329"/>
    <s v="Swati Gupta"/>
    <x v="4"/>
    <x v="0"/>
    <x v="1"/>
    <n v="1"/>
    <n v="199"/>
    <n v="199"/>
    <x v="1"/>
    <n v="29.85"/>
    <n v="169.15"/>
    <x v="2"/>
    <x v="0"/>
  </r>
  <r>
    <x v="2317"/>
    <s v="7 Fri"/>
    <x v="10"/>
    <x v="0"/>
    <s v="CUST-1169"/>
    <s v="Nandini Patel"/>
    <x v="1"/>
    <x v="4"/>
    <x v="7"/>
    <n v="1"/>
    <n v="1999"/>
    <n v="1999"/>
    <x v="3"/>
    <n v="399.8"/>
    <n v="1599.2"/>
    <x v="1"/>
    <x v="1"/>
  </r>
  <r>
    <x v="2318"/>
    <s v="7 Fri"/>
    <x v="10"/>
    <x v="0"/>
    <s v="CUST-1048"/>
    <s v="Divya Mehta"/>
    <x v="0"/>
    <x v="4"/>
    <x v="10"/>
    <n v="1"/>
    <n v="899"/>
    <n v="899"/>
    <x v="0"/>
    <n v="0"/>
    <n v="899"/>
    <x v="4"/>
    <x v="0"/>
  </r>
  <r>
    <x v="2319"/>
    <s v="7 Fri"/>
    <x v="10"/>
    <x v="0"/>
    <s v="CUST-1183"/>
    <s v="Arjun Mehta"/>
    <x v="3"/>
    <x v="4"/>
    <x v="11"/>
    <n v="1"/>
    <n v="499"/>
    <n v="499"/>
    <x v="5"/>
    <n v="124.75"/>
    <n v="374.25"/>
    <x v="2"/>
    <x v="0"/>
  </r>
  <r>
    <x v="2320"/>
    <s v="8 Sat"/>
    <x v="10"/>
    <x v="0"/>
    <s v="CUST-1138"/>
    <s v="Tanya Singh"/>
    <x v="3"/>
    <x v="0"/>
    <x v="1"/>
    <n v="3"/>
    <n v="199"/>
    <n v="597"/>
    <x v="0"/>
    <n v="0"/>
    <n v="597"/>
    <x v="0"/>
    <x v="0"/>
  </r>
  <r>
    <x v="2321"/>
    <s v="8 Sat"/>
    <x v="10"/>
    <x v="0"/>
    <s v="CUST-1136"/>
    <s v="Kunal Patel"/>
    <x v="4"/>
    <x v="0"/>
    <x v="1"/>
    <n v="4"/>
    <n v="199"/>
    <n v="796"/>
    <x v="1"/>
    <n v="119.4"/>
    <n v="676.6"/>
    <x v="4"/>
    <x v="0"/>
  </r>
  <r>
    <x v="2322"/>
    <s v="8 Sat"/>
    <x v="10"/>
    <x v="0"/>
    <s v="CUST-1027"/>
    <s v="Aditya Gupta"/>
    <x v="4"/>
    <x v="0"/>
    <x v="1"/>
    <n v="1"/>
    <n v="199"/>
    <n v="199"/>
    <x v="4"/>
    <n v="19.899999999999999"/>
    <n v="179.1"/>
    <x v="2"/>
    <x v="0"/>
  </r>
  <r>
    <x v="2323"/>
    <s v="8 Sat"/>
    <x v="10"/>
    <x v="0"/>
    <s v="CUST-1043"/>
    <s v="Divya Kapoor"/>
    <x v="3"/>
    <x v="0"/>
    <x v="0"/>
    <n v="3"/>
    <n v="99"/>
    <n v="297"/>
    <x v="1"/>
    <n v="44.55"/>
    <n v="252.45"/>
    <x v="1"/>
    <x v="0"/>
  </r>
  <r>
    <x v="2324"/>
    <s v="8 Sat"/>
    <x v="10"/>
    <x v="0"/>
    <s v="CUST-1386"/>
    <s v="Swati Patel"/>
    <x v="2"/>
    <x v="3"/>
    <x v="6"/>
    <n v="1"/>
    <n v="799"/>
    <n v="799"/>
    <x v="4"/>
    <n v="79.900000000000006"/>
    <n v="719.1"/>
    <x v="0"/>
    <x v="0"/>
  </r>
  <r>
    <x v="2325"/>
    <s v="8 Sat"/>
    <x v="10"/>
    <x v="0"/>
    <s v="CUST-1266"/>
    <s v="Vivaan Kapoor"/>
    <x v="3"/>
    <x v="2"/>
    <x v="15"/>
    <n v="2"/>
    <n v="299"/>
    <n v="598"/>
    <x v="4"/>
    <n v="59.8"/>
    <n v="538.20000000000005"/>
    <x v="4"/>
    <x v="0"/>
  </r>
  <r>
    <x v="2326"/>
    <s v="8 Sat"/>
    <x v="10"/>
    <x v="0"/>
    <s v="CUST-1226"/>
    <s v="Tanya Joshi"/>
    <x v="1"/>
    <x v="1"/>
    <x v="14"/>
    <n v="2"/>
    <n v="1799"/>
    <n v="3598"/>
    <x v="1"/>
    <n v="539.70000000000005"/>
    <n v="3058.3"/>
    <x v="1"/>
    <x v="0"/>
  </r>
  <r>
    <x v="2327"/>
    <s v="8 Sat"/>
    <x v="10"/>
    <x v="0"/>
    <s v="CUST-1269"/>
    <s v="Kunal Verma"/>
    <x v="3"/>
    <x v="3"/>
    <x v="6"/>
    <n v="3"/>
    <n v="799"/>
    <n v="2397"/>
    <x v="4"/>
    <n v="239.7"/>
    <n v="2157.3000000000002"/>
    <x v="0"/>
    <x v="0"/>
  </r>
  <r>
    <x v="2328"/>
    <s v="8 Sat"/>
    <x v="10"/>
    <x v="0"/>
    <s v="CUST-1182"/>
    <s v="Swati Verma"/>
    <x v="0"/>
    <x v="1"/>
    <x v="4"/>
    <n v="1"/>
    <n v="2999"/>
    <n v="2999"/>
    <x v="4"/>
    <n v="299.89999999999998"/>
    <n v="2699.1"/>
    <x v="1"/>
    <x v="0"/>
  </r>
  <r>
    <x v="2329"/>
    <s v="8 Sat"/>
    <x v="10"/>
    <x v="0"/>
    <s v="CUST-1012"/>
    <s v="Shreya Patel"/>
    <x v="2"/>
    <x v="1"/>
    <x v="4"/>
    <n v="1"/>
    <n v="2999"/>
    <n v="2999"/>
    <x v="1"/>
    <n v="449.85"/>
    <n v="2549.15"/>
    <x v="2"/>
    <x v="0"/>
  </r>
  <r>
    <x v="2330"/>
    <s v="8 Sat"/>
    <x v="10"/>
    <x v="0"/>
    <s v="CUST-1174"/>
    <s v="Rahul Singh"/>
    <x v="2"/>
    <x v="3"/>
    <x v="6"/>
    <n v="2"/>
    <n v="799"/>
    <n v="1598"/>
    <x v="5"/>
    <n v="399.5"/>
    <n v="1198.5"/>
    <x v="4"/>
    <x v="1"/>
  </r>
  <r>
    <x v="2331"/>
    <s v="9 Sun"/>
    <x v="10"/>
    <x v="0"/>
    <s v="CUST-1391"/>
    <s v="Kunal Gupta"/>
    <x v="4"/>
    <x v="1"/>
    <x v="4"/>
    <n v="1"/>
    <n v="2999"/>
    <n v="2999"/>
    <x v="4"/>
    <n v="299.89999999999998"/>
    <n v="2699.1"/>
    <x v="2"/>
    <x v="1"/>
  </r>
  <r>
    <x v="2332"/>
    <s v="9 Sun"/>
    <x v="10"/>
    <x v="0"/>
    <s v="CUST-1380"/>
    <s v="Meera Joshi"/>
    <x v="4"/>
    <x v="5"/>
    <x v="8"/>
    <n v="1"/>
    <n v="349"/>
    <n v="349"/>
    <x v="2"/>
    <n v="17.45"/>
    <n v="331.55"/>
    <x v="2"/>
    <x v="0"/>
  </r>
  <r>
    <x v="2333"/>
    <s v="9 Sun"/>
    <x v="10"/>
    <x v="0"/>
    <s v="CUST-1015"/>
    <s v="Swati Joshi"/>
    <x v="2"/>
    <x v="4"/>
    <x v="11"/>
    <n v="1"/>
    <n v="499"/>
    <n v="499"/>
    <x v="5"/>
    <n v="124.75"/>
    <n v="374.25"/>
    <x v="2"/>
    <x v="1"/>
  </r>
  <r>
    <x v="2334"/>
    <s v="9 Sun"/>
    <x v="10"/>
    <x v="0"/>
    <s v="CUST-1288"/>
    <s v="Aditya Mehta"/>
    <x v="2"/>
    <x v="2"/>
    <x v="15"/>
    <n v="2"/>
    <n v="299"/>
    <n v="598"/>
    <x v="2"/>
    <n v="29.9"/>
    <n v="568.1"/>
    <x v="2"/>
    <x v="0"/>
  </r>
  <r>
    <x v="2335"/>
    <s v="9 Sun"/>
    <x v="10"/>
    <x v="0"/>
    <s v="CUST-1280"/>
    <s v="Muskan Kapoor"/>
    <x v="3"/>
    <x v="0"/>
    <x v="0"/>
    <n v="1"/>
    <n v="99"/>
    <n v="99"/>
    <x v="6"/>
    <n v="29.7"/>
    <n v="69.3"/>
    <x v="0"/>
    <x v="0"/>
  </r>
  <r>
    <x v="2336"/>
    <s v="9 Sun"/>
    <x v="10"/>
    <x v="0"/>
    <s v="CUST-1038"/>
    <s v="Rohan Joshi"/>
    <x v="2"/>
    <x v="5"/>
    <x v="8"/>
    <n v="2"/>
    <n v="349"/>
    <n v="698"/>
    <x v="5"/>
    <n v="174.5"/>
    <n v="523.5"/>
    <x v="1"/>
    <x v="1"/>
  </r>
  <r>
    <x v="2337"/>
    <s v="9 Sun"/>
    <x v="10"/>
    <x v="0"/>
    <s v="CUST-1365"/>
    <s v="Meera Singh"/>
    <x v="4"/>
    <x v="6"/>
    <x v="13"/>
    <n v="1"/>
    <n v="699"/>
    <n v="699"/>
    <x v="5"/>
    <n v="174.75"/>
    <n v="524.25"/>
    <x v="3"/>
    <x v="1"/>
  </r>
  <r>
    <x v="2338"/>
    <s v="9 Sun"/>
    <x v="10"/>
    <x v="0"/>
    <s v="CUST-1037"/>
    <s v="Aarav Gupta"/>
    <x v="1"/>
    <x v="0"/>
    <x v="0"/>
    <n v="1"/>
    <n v="99"/>
    <n v="99"/>
    <x v="2"/>
    <n v="4.95"/>
    <n v="94.05"/>
    <x v="1"/>
    <x v="0"/>
  </r>
  <r>
    <x v="2339"/>
    <s v="9 Sun"/>
    <x v="10"/>
    <x v="0"/>
    <s v="CUST-1261"/>
    <s v="Shreya Patel"/>
    <x v="2"/>
    <x v="4"/>
    <x v="7"/>
    <n v="2"/>
    <n v="1999"/>
    <n v="3998"/>
    <x v="6"/>
    <n v="1199.4000000000001"/>
    <n v="2798.6"/>
    <x v="2"/>
    <x v="0"/>
  </r>
  <r>
    <x v="2340"/>
    <s v="9 Sun"/>
    <x v="10"/>
    <x v="0"/>
    <s v="CUST-1131"/>
    <s v="Aarav Sharma"/>
    <x v="0"/>
    <x v="4"/>
    <x v="11"/>
    <n v="3"/>
    <n v="499"/>
    <n v="1497"/>
    <x v="6"/>
    <n v="449.1"/>
    <n v="1047.9000000000001"/>
    <x v="0"/>
    <x v="1"/>
  </r>
  <r>
    <x v="2341"/>
    <s v="9 Sun"/>
    <x v="10"/>
    <x v="0"/>
    <s v="CUST-1164"/>
    <s v="Kabir Malhotra"/>
    <x v="1"/>
    <x v="4"/>
    <x v="7"/>
    <n v="1"/>
    <n v="1999"/>
    <n v="1999"/>
    <x v="6"/>
    <n v="599.70000000000005"/>
    <n v="1399.3"/>
    <x v="2"/>
    <x v="0"/>
  </r>
  <r>
    <x v="2342"/>
    <s v="10 Mon"/>
    <x v="10"/>
    <x v="0"/>
    <s v="CUST-1040"/>
    <s v="Aditya Malhotra"/>
    <x v="4"/>
    <x v="2"/>
    <x v="3"/>
    <n v="1"/>
    <n v="249"/>
    <n v="249"/>
    <x v="2"/>
    <n v="12.45"/>
    <n v="236.55"/>
    <x v="0"/>
    <x v="0"/>
  </r>
  <r>
    <x v="2343"/>
    <s v="10 Mon"/>
    <x v="10"/>
    <x v="0"/>
    <s v="CUST-1225"/>
    <s v="Aarav Kapoor"/>
    <x v="4"/>
    <x v="3"/>
    <x v="6"/>
    <n v="3"/>
    <n v="799"/>
    <n v="2397"/>
    <x v="6"/>
    <n v="719.1"/>
    <n v="1677.9"/>
    <x v="0"/>
    <x v="0"/>
  </r>
  <r>
    <x v="2344"/>
    <s v="10 Mon"/>
    <x v="10"/>
    <x v="0"/>
    <s v="CUST-1152"/>
    <s v="Kabir Gupta"/>
    <x v="3"/>
    <x v="5"/>
    <x v="8"/>
    <n v="1"/>
    <n v="349"/>
    <n v="349"/>
    <x v="4"/>
    <n v="34.9"/>
    <n v="314.10000000000002"/>
    <x v="0"/>
    <x v="0"/>
  </r>
  <r>
    <x v="2345"/>
    <s v="10 Mon"/>
    <x v="10"/>
    <x v="0"/>
    <s v="CUST-1011"/>
    <s v="Kunal Sharma"/>
    <x v="4"/>
    <x v="3"/>
    <x v="6"/>
    <n v="1"/>
    <n v="799"/>
    <n v="799"/>
    <x v="1"/>
    <n v="119.85"/>
    <n v="679.15"/>
    <x v="2"/>
    <x v="0"/>
  </r>
  <r>
    <x v="2346"/>
    <s v="10 Mon"/>
    <x v="10"/>
    <x v="0"/>
    <s v="CUST-1106"/>
    <s v="Ankit Saxena"/>
    <x v="1"/>
    <x v="4"/>
    <x v="11"/>
    <n v="1"/>
    <n v="499"/>
    <n v="499"/>
    <x v="1"/>
    <n v="74.849999999999994"/>
    <n v="424.15"/>
    <x v="4"/>
    <x v="0"/>
  </r>
  <r>
    <x v="2347"/>
    <s v="10 Mon"/>
    <x v="10"/>
    <x v="0"/>
    <s v="CUST-1199"/>
    <s v="Sakshi Saxena"/>
    <x v="4"/>
    <x v="1"/>
    <x v="4"/>
    <n v="3"/>
    <n v="2999"/>
    <n v="8997"/>
    <x v="5"/>
    <n v="2249.25"/>
    <n v="6747.75"/>
    <x v="2"/>
    <x v="1"/>
  </r>
  <r>
    <x v="2348"/>
    <s v="10 Mon"/>
    <x v="10"/>
    <x v="0"/>
    <s v="CUST-1023"/>
    <s v="Rohan Sharma"/>
    <x v="4"/>
    <x v="2"/>
    <x v="3"/>
    <n v="2"/>
    <n v="249"/>
    <n v="498"/>
    <x v="3"/>
    <n v="99.6"/>
    <n v="398.4"/>
    <x v="0"/>
    <x v="0"/>
  </r>
  <r>
    <x v="2349"/>
    <s v="10 Mon"/>
    <x v="10"/>
    <x v="0"/>
    <s v="CUST-1313"/>
    <s v="Kunal Joshi"/>
    <x v="2"/>
    <x v="2"/>
    <x v="3"/>
    <n v="1"/>
    <n v="249"/>
    <n v="249"/>
    <x v="4"/>
    <n v="24.9"/>
    <n v="224.1"/>
    <x v="3"/>
    <x v="0"/>
  </r>
  <r>
    <x v="2350"/>
    <s v="11 Tue"/>
    <x v="10"/>
    <x v="0"/>
    <s v="CUST-1121"/>
    <s v="Rahul Kapoor"/>
    <x v="0"/>
    <x v="1"/>
    <x v="4"/>
    <n v="2"/>
    <n v="2999"/>
    <n v="5998"/>
    <x v="5"/>
    <n v="1499.5"/>
    <n v="4498.5"/>
    <x v="4"/>
    <x v="0"/>
  </r>
  <r>
    <x v="2351"/>
    <s v="11 Tue"/>
    <x v="10"/>
    <x v="0"/>
    <s v="CUST-1379"/>
    <s v="Divya Verma"/>
    <x v="0"/>
    <x v="0"/>
    <x v="0"/>
    <n v="2"/>
    <n v="99"/>
    <n v="198"/>
    <x v="4"/>
    <n v="19.8"/>
    <n v="178.2"/>
    <x v="0"/>
    <x v="1"/>
  </r>
  <r>
    <x v="2352"/>
    <s v="11 Tue"/>
    <x v="10"/>
    <x v="0"/>
    <s v="CUST-1296"/>
    <s v="Vivaan Kapoor"/>
    <x v="0"/>
    <x v="0"/>
    <x v="0"/>
    <n v="3"/>
    <n v="99"/>
    <n v="297"/>
    <x v="0"/>
    <n v="0"/>
    <n v="297"/>
    <x v="0"/>
    <x v="0"/>
  </r>
  <r>
    <x v="2353"/>
    <s v="11 Tue"/>
    <x v="10"/>
    <x v="0"/>
    <s v="CUST-1365"/>
    <s v="Meera Singh"/>
    <x v="4"/>
    <x v="6"/>
    <x v="12"/>
    <n v="1"/>
    <n v="1499"/>
    <n v="1499"/>
    <x v="5"/>
    <n v="374.75"/>
    <n v="1124.25"/>
    <x v="0"/>
    <x v="0"/>
  </r>
  <r>
    <x v="2354"/>
    <s v="11 Tue"/>
    <x v="10"/>
    <x v="0"/>
    <s v="CUST-1320"/>
    <s v="Ankit Kapoor"/>
    <x v="3"/>
    <x v="3"/>
    <x v="5"/>
    <n v="2"/>
    <n v="1299"/>
    <n v="2598"/>
    <x v="5"/>
    <n v="649.5"/>
    <n v="1948.5"/>
    <x v="1"/>
    <x v="1"/>
  </r>
  <r>
    <x v="2355"/>
    <s v="11 Tue"/>
    <x v="10"/>
    <x v="0"/>
    <s v="CUST-1018"/>
    <s v="Aditya Gupta"/>
    <x v="3"/>
    <x v="4"/>
    <x v="7"/>
    <n v="3"/>
    <n v="1999"/>
    <n v="5997"/>
    <x v="6"/>
    <n v="1799.1"/>
    <n v="4197.8999999999996"/>
    <x v="3"/>
    <x v="0"/>
  </r>
  <r>
    <x v="2356"/>
    <s v="11 Tue"/>
    <x v="10"/>
    <x v="0"/>
    <s v="CUST-1311"/>
    <s v="Muskan Joshi"/>
    <x v="0"/>
    <x v="1"/>
    <x v="14"/>
    <n v="1"/>
    <n v="1799"/>
    <n v="1799"/>
    <x v="6"/>
    <n v="539.70000000000005"/>
    <n v="1259.3"/>
    <x v="0"/>
    <x v="0"/>
  </r>
  <r>
    <x v="2357"/>
    <s v="11 Tue"/>
    <x v="10"/>
    <x v="0"/>
    <s v="CUST-1056"/>
    <s v="Aarav Kapoor"/>
    <x v="3"/>
    <x v="6"/>
    <x v="13"/>
    <n v="1"/>
    <n v="699"/>
    <n v="699"/>
    <x v="6"/>
    <n v="209.7"/>
    <n v="489.3"/>
    <x v="4"/>
    <x v="1"/>
  </r>
  <r>
    <x v="2358"/>
    <s v="11 Tue"/>
    <x v="10"/>
    <x v="0"/>
    <s v="CUST-1053"/>
    <s v="Vivaan Malhotra"/>
    <x v="0"/>
    <x v="3"/>
    <x v="5"/>
    <n v="1"/>
    <n v="1299"/>
    <n v="1299"/>
    <x v="2"/>
    <n v="64.95"/>
    <n v="1234.05"/>
    <x v="3"/>
    <x v="0"/>
  </r>
  <r>
    <x v="2359"/>
    <s v="12 Wed"/>
    <x v="10"/>
    <x v="0"/>
    <s v="CUST-1344"/>
    <s v="Nandini Saxena"/>
    <x v="1"/>
    <x v="1"/>
    <x v="2"/>
    <n v="1"/>
    <n v="599"/>
    <n v="599"/>
    <x v="1"/>
    <n v="89.85"/>
    <n v="509.15"/>
    <x v="1"/>
    <x v="1"/>
  </r>
  <r>
    <x v="2360"/>
    <s v="12 Wed"/>
    <x v="10"/>
    <x v="0"/>
    <s v="CUST-1260"/>
    <s v="Ankit Verma"/>
    <x v="1"/>
    <x v="1"/>
    <x v="2"/>
    <n v="1"/>
    <n v="599"/>
    <n v="599"/>
    <x v="0"/>
    <n v="0"/>
    <n v="599"/>
    <x v="2"/>
    <x v="1"/>
  </r>
  <r>
    <x v="2361"/>
    <s v="12 Wed"/>
    <x v="10"/>
    <x v="0"/>
    <s v="CUST-1131"/>
    <s v="Aarav Sharma"/>
    <x v="2"/>
    <x v="2"/>
    <x v="3"/>
    <n v="2"/>
    <n v="249"/>
    <n v="498"/>
    <x v="1"/>
    <n v="74.7"/>
    <n v="423.3"/>
    <x v="1"/>
    <x v="1"/>
  </r>
  <r>
    <x v="2362"/>
    <s v="12 Wed"/>
    <x v="10"/>
    <x v="0"/>
    <s v="CUST-1174"/>
    <s v="Rahul Singh"/>
    <x v="3"/>
    <x v="4"/>
    <x v="11"/>
    <n v="3"/>
    <n v="499"/>
    <n v="1497"/>
    <x v="1"/>
    <n v="224.55"/>
    <n v="1272.45"/>
    <x v="0"/>
    <x v="1"/>
  </r>
  <r>
    <x v="2363"/>
    <s v="12 Wed"/>
    <x v="10"/>
    <x v="0"/>
    <s v="CUST-1280"/>
    <s v="Muskan Kapoor"/>
    <x v="2"/>
    <x v="1"/>
    <x v="2"/>
    <n v="1"/>
    <n v="599"/>
    <n v="599"/>
    <x v="3"/>
    <n v="119.8"/>
    <n v="479.2"/>
    <x v="2"/>
    <x v="0"/>
  </r>
  <r>
    <x v="2364"/>
    <s v="12 Wed"/>
    <x v="10"/>
    <x v="0"/>
    <s v="CUST-1291"/>
    <s v="Arjun Saxena"/>
    <x v="1"/>
    <x v="0"/>
    <x v="1"/>
    <n v="1"/>
    <n v="199"/>
    <n v="199"/>
    <x v="1"/>
    <n v="29.85"/>
    <n v="169.15"/>
    <x v="2"/>
    <x v="0"/>
  </r>
  <r>
    <x v="2365"/>
    <s v="12 Wed"/>
    <x v="10"/>
    <x v="0"/>
    <s v="CUST-1211"/>
    <s v="Rohan Sharma"/>
    <x v="4"/>
    <x v="3"/>
    <x v="6"/>
    <n v="1"/>
    <n v="799"/>
    <n v="799"/>
    <x v="6"/>
    <n v="239.7"/>
    <n v="559.29999999999995"/>
    <x v="4"/>
    <x v="0"/>
  </r>
  <r>
    <x v="2366"/>
    <s v="12 Wed"/>
    <x v="10"/>
    <x v="0"/>
    <s v="CUST-1099"/>
    <s v="Rahul Malhotra"/>
    <x v="2"/>
    <x v="1"/>
    <x v="4"/>
    <n v="1"/>
    <n v="2999"/>
    <n v="2999"/>
    <x v="6"/>
    <n v="899.7"/>
    <n v="2099.3000000000002"/>
    <x v="4"/>
    <x v="1"/>
  </r>
  <r>
    <x v="2367"/>
    <s v="12 Wed"/>
    <x v="10"/>
    <x v="0"/>
    <s v="CUST-1348"/>
    <s v="Ankit Malhotra"/>
    <x v="3"/>
    <x v="2"/>
    <x v="3"/>
    <n v="5"/>
    <n v="249"/>
    <n v="1245"/>
    <x v="5"/>
    <n v="311.25"/>
    <n v="933.75"/>
    <x v="1"/>
    <x v="0"/>
  </r>
  <r>
    <x v="2368"/>
    <s v="12 Wed"/>
    <x v="10"/>
    <x v="0"/>
    <s v="CUST-1373"/>
    <s v="Rahul Verma"/>
    <x v="0"/>
    <x v="1"/>
    <x v="14"/>
    <n v="2"/>
    <n v="1799"/>
    <n v="3598"/>
    <x v="4"/>
    <n v="359.8"/>
    <n v="3238.2"/>
    <x v="2"/>
    <x v="1"/>
  </r>
  <r>
    <x v="2369"/>
    <s v="12 Wed"/>
    <x v="10"/>
    <x v="0"/>
    <s v="CUST-1377"/>
    <s v="Sakshi Patel"/>
    <x v="2"/>
    <x v="6"/>
    <x v="13"/>
    <n v="1"/>
    <n v="699"/>
    <n v="699"/>
    <x v="1"/>
    <n v="104.85"/>
    <n v="594.15"/>
    <x v="2"/>
    <x v="0"/>
  </r>
  <r>
    <x v="2370"/>
    <s v="12 Wed"/>
    <x v="10"/>
    <x v="0"/>
    <s v="CUST-1328"/>
    <s v="Arjun Verma"/>
    <x v="3"/>
    <x v="6"/>
    <x v="13"/>
    <n v="2"/>
    <n v="699"/>
    <n v="1398"/>
    <x v="5"/>
    <n v="349.5"/>
    <n v="1048.5"/>
    <x v="2"/>
    <x v="0"/>
  </r>
  <r>
    <x v="2371"/>
    <s v="13 Thu"/>
    <x v="10"/>
    <x v="0"/>
    <s v="CUST-1050"/>
    <s v="Rohan Gupta"/>
    <x v="0"/>
    <x v="1"/>
    <x v="2"/>
    <n v="4"/>
    <n v="599"/>
    <n v="2396"/>
    <x v="5"/>
    <n v="599"/>
    <n v="1797"/>
    <x v="3"/>
    <x v="0"/>
  </r>
  <r>
    <x v="2372"/>
    <s v="13 Thu"/>
    <x v="10"/>
    <x v="0"/>
    <s v="CUST-1288"/>
    <s v="Aditya Mehta"/>
    <x v="2"/>
    <x v="6"/>
    <x v="12"/>
    <n v="3"/>
    <n v="1499"/>
    <n v="4497"/>
    <x v="6"/>
    <n v="1349.1"/>
    <n v="3147.9"/>
    <x v="3"/>
    <x v="0"/>
  </r>
  <r>
    <x v="2373"/>
    <s v="13 Thu"/>
    <x v="10"/>
    <x v="0"/>
    <s v="CUST-1085"/>
    <s v="Shreya Mehta"/>
    <x v="2"/>
    <x v="1"/>
    <x v="4"/>
    <n v="4"/>
    <n v="2999"/>
    <n v="11996"/>
    <x v="2"/>
    <n v="599.79999999999995"/>
    <n v="11396.2"/>
    <x v="0"/>
    <x v="0"/>
  </r>
  <r>
    <x v="2374"/>
    <s v="13 Thu"/>
    <x v="10"/>
    <x v="0"/>
    <s v="CUST-1308"/>
    <s v="Shreya Sharma"/>
    <x v="0"/>
    <x v="6"/>
    <x v="12"/>
    <n v="1"/>
    <n v="1499"/>
    <n v="1499"/>
    <x v="2"/>
    <n v="74.95"/>
    <n v="1424.05"/>
    <x v="1"/>
    <x v="0"/>
  </r>
  <r>
    <x v="2375"/>
    <s v="13 Thu"/>
    <x v="10"/>
    <x v="0"/>
    <s v="CUST-1061"/>
    <s v="Muskan Patel"/>
    <x v="1"/>
    <x v="0"/>
    <x v="1"/>
    <n v="2"/>
    <n v="199"/>
    <n v="398"/>
    <x v="2"/>
    <n v="19.899999999999999"/>
    <n v="378.1"/>
    <x v="0"/>
    <x v="1"/>
  </r>
  <r>
    <x v="2376"/>
    <s v="13 Thu"/>
    <x v="10"/>
    <x v="0"/>
    <s v="CUST-1371"/>
    <s v="Rahul Verma"/>
    <x v="2"/>
    <x v="4"/>
    <x v="10"/>
    <n v="2"/>
    <n v="899"/>
    <n v="1798"/>
    <x v="2"/>
    <n v="89.9"/>
    <n v="1708.1"/>
    <x v="1"/>
    <x v="1"/>
  </r>
  <r>
    <x v="2377"/>
    <s v="13 Thu"/>
    <x v="10"/>
    <x v="0"/>
    <s v="CUST-1372"/>
    <s v="Vivaan Singh"/>
    <x v="1"/>
    <x v="1"/>
    <x v="2"/>
    <n v="1"/>
    <n v="599"/>
    <n v="599"/>
    <x v="5"/>
    <n v="149.75"/>
    <n v="449.25"/>
    <x v="3"/>
    <x v="0"/>
  </r>
  <r>
    <x v="2378"/>
    <s v="13 Thu"/>
    <x v="10"/>
    <x v="0"/>
    <s v="CUST-1151"/>
    <s v="Aman Patel"/>
    <x v="1"/>
    <x v="6"/>
    <x v="12"/>
    <n v="2"/>
    <n v="1499"/>
    <n v="2998"/>
    <x v="5"/>
    <n v="749.5"/>
    <n v="2248.5"/>
    <x v="1"/>
    <x v="1"/>
  </r>
  <r>
    <x v="2379"/>
    <s v="13 Thu"/>
    <x v="10"/>
    <x v="0"/>
    <s v="CUST-1246"/>
    <s v="Divya Verma"/>
    <x v="4"/>
    <x v="5"/>
    <x v="8"/>
    <n v="2"/>
    <n v="349"/>
    <n v="698"/>
    <x v="4"/>
    <n v="69.8"/>
    <n v="628.20000000000005"/>
    <x v="4"/>
    <x v="1"/>
  </r>
  <r>
    <x v="2380"/>
    <s v="13 Thu"/>
    <x v="10"/>
    <x v="0"/>
    <s v="CUST-1169"/>
    <s v="Nandini Patel"/>
    <x v="1"/>
    <x v="5"/>
    <x v="8"/>
    <n v="4"/>
    <n v="349"/>
    <n v="1396"/>
    <x v="0"/>
    <n v="0"/>
    <n v="1396"/>
    <x v="2"/>
    <x v="0"/>
  </r>
  <r>
    <x v="2381"/>
    <s v="13 Thu"/>
    <x v="10"/>
    <x v="0"/>
    <s v="CUST-1387"/>
    <s v="Rohan Patel"/>
    <x v="4"/>
    <x v="1"/>
    <x v="14"/>
    <n v="1"/>
    <n v="1799"/>
    <n v="1799"/>
    <x v="4"/>
    <n v="179.9"/>
    <n v="1619.1"/>
    <x v="1"/>
    <x v="0"/>
  </r>
  <r>
    <x v="2382"/>
    <s v="13 Thu"/>
    <x v="10"/>
    <x v="0"/>
    <s v="CUST-1347"/>
    <s v="Ankit Joshi"/>
    <x v="4"/>
    <x v="4"/>
    <x v="7"/>
    <n v="2"/>
    <n v="1999"/>
    <n v="3998"/>
    <x v="5"/>
    <n v="999.5"/>
    <n v="2998.5"/>
    <x v="0"/>
    <x v="1"/>
  </r>
  <r>
    <x v="2383"/>
    <s v="13 Thu"/>
    <x v="10"/>
    <x v="0"/>
    <s v="CUST-1208"/>
    <s v="Arjun Singh"/>
    <x v="0"/>
    <x v="2"/>
    <x v="15"/>
    <n v="3"/>
    <n v="299"/>
    <n v="897"/>
    <x v="2"/>
    <n v="44.85"/>
    <n v="852.15"/>
    <x v="3"/>
    <x v="0"/>
  </r>
  <r>
    <x v="2384"/>
    <s v="14 Fri"/>
    <x v="10"/>
    <x v="0"/>
    <s v="CUST-1061"/>
    <s v="Muskan Patel"/>
    <x v="3"/>
    <x v="4"/>
    <x v="11"/>
    <n v="2"/>
    <n v="499"/>
    <n v="998"/>
    <x v="5"/>
    <n v="249.5"/>
    <n v="748.5"/>
    <x v="3"/>
    <x v="0"/>
  </r>
  <r>
    <x v="2385"/>
    <s v="14 Fri"/>
    <x v="10"/>
    <x v="0"/>
    <s v="CUST-1077"/>
    <s v="Tanya Mehta"/>
    <x v="1"/>
    <x v="5"/>
    <x v="8"/>
    <n v="2"/>
    <n v="349"/>
    <n v="698"/>
    <x v="6"/>
    <n v="209.4"/>
    <n v="488.6"/>
    <x v="1"/>
    <x v="0"/>
  </r>
  <r>
    <x v="2386"/>
    <s v="14 Fri"/>
    <x v="10"/>
    <x v="0"/>
    <s v="CUST-1358"/>
    <s v="Aman Patel"/>
    <x v="1"/>
    <x v="3"/>
    <x v="5"/>
    <n v="2"/>
    <n v="1299"/>
    <n v="2598"/>
    <x v="3"/>
    <n v="519.6"/>
    <n v="2078.4"/>
    <x v="4"/>
    <x v="0"/>
  </r>
  <r>
    <x v="2387"/>
    <s v="14 Fri"/>
    <x v="10"/>
    <x v="0"/>
    <s v="CUST-1313"/>
    <s v="Kunal Joshi"/>
    <x v="2"/>
    <x v="1"/>
    <x v="14"/>
    <n v="4"/>
    <n v="1799"/>
    <n v="7196"/>
    <x v="5"/>
    <n v="1799"/>
    <n v="5397"/>
    <x v="4"/>
    <x v="0"/>
  </r>
  <r>
    <x v="2388"/>
    <s v="14 Fri"/>
    <x v="10"/>
    <x v="0"/>
    <s v="CUST-1184"/>
    <s v="Rahul Joshi"/>
    <x v="3"/>
    <x v="5"/>
    <x v="8"/>
    <n v="1"/>
    <n v="349"/>
    <n v="349"/>
    <x v="4"/>
    <n v="34.9"/>
    <n v="314.10000000000002"/>
    <x v="2"/>
    <x v="1"/>
  </r>
  <r>
    <x v="2389"/>
    <s v="14 Fri"/>
    <x v="10"/>
    <x v="0"/>
    <s v="CUST-1083"/>
    <s v="Komal Kapoor"/>
    <x v="4"/>
    <x v="4"/>
    <x v="10"/>
    <n v="1"/>
    <n v="899"/>
    <n v="899"/>
    <x v="4"/>
    <n v="89.9"/>
    <n v="809.1"/>
    <x v="1"/>
    <x v="1"/>
  </r>
  <r>
    <x v="2390"/>
    <s v="14 Fri"/>
    <x v="10"/>
    <x v="0"/>
    <s v="CUST-1299"/>
    <s v="Kabir Mehta"/>
    <x v="0"/>
    <x v="4"/>
    <x v="7"/>
    <n v="1"/>
    <n v="1999"/>
    <n v="1999"/>
    <x v="6"/>
    <n v="599.70000000000005"/>
    <n v="1399.3"/>
    <x v="2"/>
    <x v="1"/>
  </r>
  <r>
    <x v="2391"/>
    <s v="14 Fri"/>
    <x v="10"/>
    <x v="0"/>
    <s v="CUST-1333"/>
    <s v="Aarav Gupta"/>
    <x v="0"/>
    <x v="4"/>
    <x v="10"/>
    <n v="3"/>
    <n v="899"/>
    <n v="2697"/>
    <x v="0"/>
    <n v="0"/>
    <n v="2697"/>
    <x v="0"/>
    <x v="0"/>
  </r>
  <r>
    <x v="2392"/>
    <s v="14 Fri"/>
    <x v="10"/>
    <x v="0"/>
    <s v="CUST-1322"/>
    <s v="Rahul Sharma"/>
    <x v="3"/>
    <x v="4"/>
    <x v="7"/>
    <n v="2"/>
    <n v="1999"/>
    <n v="3998"/>
    <x v="4"/>
    <n v="399.8"/>
    <n v="3598.2"/>
    <x v="4"/>
    <x v="1"/>
  </r>
  <r>
    <x v="2393"/>
    <s v="14 Fri"/>
    <x v="10"/>
    <x v="0"/>
    <s v="CUST-1203"/>
    <s v="Ankit Verma"/>
    <x v="3"/>
    <x v="4"/>
    <x v="7"/>
    <n v="3"/>
    <n v="1999"/>
    <n v="5997"/>
    <x v="5"/>
    <n v="1499.25"/>
    <n v="4497.75"/>
    <x v="2"/>
    <x v="0"/>
  </r>
  <r>
    <x v="2394"/>
    <s v="14 Fri"/>
    <x v="10"/>
    <x v="0"/>
    <s v="CUST-1283"/>
    <s v="Aditya Mehta"/>
    <x v="4"/>
    <x v="1"/>
    <x v="2"/>
    <n v="1"/>
    <n v="599"/>
    <n v="599"/>
    <x v="5"/>
    <n v="149.75"/>
    <n v="449.25"/>
    <x v="2"/>
    <x v="0"/>
  </r>
  <r>
    <x v="2395"/>
    <s v="14 Fri"/>
    <x v="10"/>
    <x v="0"/>
    <s v="CUST-1048"/>
    <s v="Divya Mehta"/>
    <x v="1"/>
    <x v="3"/>
    <x v="6"/>
    <n v="2"/>
    <n v="799"/>
    <n v="1598"/>
    <x v="0"/>
    <n v="0"/>
    <n v="1598"/>
    <x v="2"/>
    <x v="0"/>
  </r>
  <r>
    <x v="2396"/>
    <s v="14 Fri"/>
    <x v="10"/>
    <x v="0"/>
    <s v="CUST-1369"/>
    <s v="Rohan Sharma"/>
    <x v="4"/>
    <x v="1"/>
    <x v="4"/>
    <n v="2"/>
    <n v="2999"/>
    <n v="5998"/>
    <x v="2"/>
    <n v="299.89999999999998"/>
    <n v="5698.1"/>
    <x v="0"/>
    <x v="0"/>
  </r>
  <r>
    <x v="2397"/>
    <s v="14 Fri"/>
    <x v="10"/>
    <x v="0"/>
    <s v="CUST-1209"/>
    <s v="Meera Mehta"/>
    <x v="1"/>
    <x v="1"/>
    <x v="14"/>
    <n v="4"/>
    <n v="1799"/>
    <n v="7196"/>
    <x v="4"/>
    <n v="719.6"/>
    <n v="6476.4"/>
    <x v="0"/>
    <x v="0"/>
  </r>
  <r>
    <x v="2398"/>
    <s v="14 Fri"/>
    <x v="10"/>
    <x v="0"/>
    <s v="CUST-1111"/>
    <s v="Swati Joshi"/>
    <x v="4"/>
    <x v="6"/>
    <x v="12"/>
    <n v="1"/>
    <n v="1499"/>
    <n v="1499"/>
    <x v="0"/>
    <n v="0"/>
    <n v="1499"/>
    <x v="1"/>
    <x v="0"/>
  </r>
  <r>
    <x v="2399"/>
    <s v="15 Sat"/>
    <x v="10"/>
    <x v="0"/>
    <s v="CUST-1353"/>
    <s v="Vivaan Gupta"/>
    <x v="2"/>
    <x v="3"/>
    <x v="6"/>
    <n v="1"/>
    <n v="799"/>
    <n v="799"/>
    <x v="6"/>
    <n v="239.7"/>
    <n v="559.29999999999995"/>
    <x v="1"/>
    <x v="0"/>
  </r>
  <r>
    <x v="2400"/>
    <s v="15 Sat"/>
    <x v="10"/>
    <x v="0"/>
    <s v="CUST-1264"/>
    <s v="Vivaan Malhotra"/>
    <x v="2"/>
    <x v="4"/>
    <x v="7"/>
    <n v="2"/>
    <n v="1999"/>
    <n v="3998"/>
    <x v="1"/>
    <n v="599.70000000000005"/>
    <n v="3398.3"/>
    <x v="3"/>
    <x v="1"/>
  </r>
  <r>
    <x v="2401"/>
    <s v="15 Sat"/>
    <x v="10"/>
    <x v="0"/>
    <s v="CUST-1335"/>
    <s v="Divya Saxena"/>
    <x v="3"/>
    <x v="3"/>
    <x v="6"/>
    <n v="5"/>
    <n v="799"/>
    <n v="3995"/>
    <x v="4"/>
    <n v="399.5"/>
    <n v="3595.5"/>
    <x v="2"/>
    <x v="1"/>
  </r>
  <r>
    <x v="2402"/>
    <s v="15 Sat"/>
    <x v="10"/>
    <x v="0"/>
    <s v="CUST-1111"/>
    <s v="Swati Joshi"/>
    <x v="2"/>
    <x v="1"/>
    <x v="14"/>
    <n v="1"/>
    <n v="1799"/>
    <n v="1799"/>
    <x v="0"/>
    <n v="0"/>
    <n v="1799"/>
    <x v="2"/>
    <x v="0"/>
  </r>
  <r>
    <x v="2403"/>
    <s v="15 Sat"/>
    <x v="10"/>
    <x v="0"/>
    <s v="CUST-1318"/>
    <s v="Tanya Verma"/>
    <x v="1"/>
    <x v="1"/>
    <x v="14"/>
    <n v="4"/>
    <n v="1799"/>
    <n v="7196"/>
    <x v="4"/>
    <n v="719.6"/>
    <n v="6476.4"/>
    <x v="3"/>
    <x v="0"/>
  </r>
  <r>
    <x v="2404"/>
    <s v="15 Sat"/>
    <x v="10"/>
    <x v="0"/>
    <s v="CUST-1378"/>
    <s v="Rahul Mehta"/>
    <x v="4"/>
    <x v="4"/>
    <x v="10"/>
    <n v="2"/>
    <n v="899"/>
    <n v="1798"/>
    <x v="2"/>
    <n v="89.9"/>
    <n v="1708.1"/>
    <x v="4"/>
    <x v="1"/>
  </r>
  <r>
    <x v="2405"/>
    <s v="15 Sat"/>
    <x v="10"/>
    <x v="0"/>
    <s v="CUST-1036"/>
    <s v="Nandini Mehta"/>
    <x v="2"/>
    <x v="2"/>
    <x v="15"/>
    <n v="2"/>
    <n v="299"/>
    <n v="598"/>
    <x v="3"/>
    <n v="119.6"/>
    <n v="478.4"/>
    <x v="1"/>
    <x v="0"/>
  </r>
  <r>
    <x v="2406"/>
    <s v="15 Sat"/>
    <x v="10"/>
    <x v="0"/>
    <s v="CUST-1028"/>
    <s v="Swati Joshi"/>
    <x v="4"/>
    <x v="6"/>
    <x v="13"/>
    <n v="1"/>
    <n v="699"/>
    <n v="699"/>
    <x v="4"/>
    <n v="69.900000000000006"/>
    <n v="629.1"/>
    <x v="1"/>
    <x v="1"/>
  </r>
  <r>
    <x v="2407"/>
    <s v="15 Sat"/>
    <x v="10"/>
    <x v="0"/>
    <s v="CUST-1036"/>
    <s v="Nandini Mehta"/>
    <x v="0"/>
    <x v="0"/>
    <x v="0"/>
    <n v="1"/>
    <n v="99"/>
    <n v="99"/>
    <x v="5"/>
    <n v="24.75"/>
    <n v="74.25"/>
    <x v="1"/>
    <x v="1"/>
  </r>
  <r>
    <x v="2408"/>
    <s v="15 Sat"/>
    <x v="10"/>
    <x v="0"/>
    <s v="CUST-1206"/>
    <s v="Aditya Gupta"/>
    <x v="3"/>
    <x v="1"/>
    <x v="2"/>
    <n v="2"/>
    <n v="599"/>
    <n v="1198"/>
    <x v="3"/>
    <n v="239.6"/>
    <n v="958.4"/>
    <x v="2"/>
    <x v="0"/>
  </r>
  <r>
    <x v="2409"/>
    <s v="15 Sat"/>
    <x v="10"/>
    <x v="0"/>
    <s v="CUST-1085"/>
    <s v="Shreya Mehta"/>
    <x v="3"/>
    <x v="3"/>
    <x v="6"/>
    <n v="1"/>
    <n v="799"/>
    <n v="799"/>
    <x v="0"/>
    <n v="0"/>
    <n v="799"/>
    <x v="1"/>
    <x v="0"/>
  </r>
  <r>
    <x v="2410"/>
    <s v="15 Sat"/>
    <x v="10"/>
    <x v="0"/>
    <s v="CUST-1182"/>
    <s v="Swati Verma"/>
    <x v="1"/>
    <x v="5"/>
    <x v="9"/>
    <n v="1"/>
    <n v="549"/>
    <n v="549"/>
    <x v="2"/>
    <n v="27.45"/>
    <n v="521.54999999999995"/>
    <x v="0"/>
    <x v="0"/>
  </r>
  <r>
    <x v="2411"/>
    <s v="16 Sun"/>
    <x v="10"/>
    <x v="0"/>
    <s v="CUST-1313"/>
    <s v="Kunal Joshi"/>
    <x v="0"/>
    <x v="5"/>
    <x v="8"/>
    <n v="3"/>
    <n v="349"/>
    <n v="1047"/>
    <x v="0"/>
    <n v="0"/>
    <n v="1047"/>
    <x v="3"/>
    <x v="0"/>
  </r>
  <r>
    <x v="2412"/>
    <s v="16 Sun"/>
    <x v="10"/>
    <x v="0"/>
    <s v="CUST-1079"/>
    <s v="Komal Mehta"/>
    <x v="0"/>
    <x v="3"/>
    <x v="5"/>
    <n v="2"/>
    <n v="1299"/>
    <n v="2598"/>
    <x v="2"/>
    <n v="129.9"/>
    <n v="2468.1"/>
    <x v="1"/>
    <x v="0"/>
  </r>
  <r>
    <x v="2413"/>
    <s v="16 Sun"/>
    <x v="10"/>
    <x v="0"/>
    <s v="CUST-1099"/>
    <s v="Rahul Malhotra"/>
    <x v="4"/>
    <x v="1"/>
    <x v="14"/>
    <n v="3"/>
    <n v="1799"/>
    <n v="5397"/>
    <x v="4"/>
    <n v="539.70000000000005"/>
    <n v="4857.3"/>
    <x v="0"/>
    <x v="1"/>
  </r>
  <r>
    <x v="2414"/>
    <s v="16 Sun"/>
    <x v="10"/>
    <x v="0"/>
    <s v="CUST-1179"/>
    <s v="Nandini Saxena"/>
    <x v="1"/>
    <x v="1"/>
    <x v="2"/>
    <n v="3"/>
    <n v="599"/>
    <n v="1797"/>
    <x v="6"/>
    <n v="539.1"/>
    <n v="1257.9000000000001"/>
    <x v="1"/>
    <x v="1"/>
  </r>
  <r>
    <x v="2415"/>
    <s v="16 Sun"/>
    <x v="10"/>
    <x v="0"/>
    <s v="CUST-1118"/>
    <s v="Sakshi Malhotra"/>
    <x v="1"/>
    <x v="2"/>
    <x v="3"/>
    <n v="3"/>
    <n v="249"/>
    <n v="747"/>
    <x v="4"/>
    <n v="74.7"/>
    <n v="672.3"/>
    <x v="2"/>
    <x v="0"/>
  </r>
  <r>
    <x v="2416"/>
    <s v="16 Sun"/>
    <x v="10"/>
    <x v="0"/>
    <s v="CUST-1360"/>
    <s v="Muskan Singh"/>
    <x v="3"/>
    <x v="1"/>
    <x v="2"/>
    <n v="1"/>
    <n v="599"/>
    <n v="599"/>
    <x v="5"/>
    <n v="149.75"/>
    <n v="449.25"/>
    <x v="4"/>
    <x v="0"/>
  </r>
  <r>
    <x v="2417"/>
    <s v="16 Sun"/>
    <x v="10"/>
    <x v="0"/>
    <s v="CUST-1302"/>
    <s v="Arjun Saxena"/>
    <x v="1"/>
    <x v="4"/>
    <x v="11"/>
    <n v="2"/>
    <n v="499"/>
    <n v="998"/>
    <x v="5"/>
    <n v="249.5"/>
    <n v="748.5"/>
    <x v="0"/>
    <x v="0"/>
  </r>
  <r>
    <x v="2418"/>
    <s v="16 Sun"/>
    <x v="10"/>
    <x v="0"/>
    <s v="CUST-1302"/>
    <s v="Arjun Saxena"/>
    <x v="2"/>
    <x v="5"/>
    <x v="9"/>
    <n v="1"/>
    <n v="549"/>
    <n v="549"/>
    <x v="4"/>
    <n v="54.9"/>
    <n v="494.1"/>
    <x v="3"/>
    <x v="1"/>
  </r>
  <r>
    <x v="2419"/>
    <s v="16 Sun"/>
    <x v="10"/>
    <x v="0"/>
    <s v="CUST-1137"/>
    <s v="Nandini Kapoor"/>
    <x v="4"/>
    <x v="2"/>
    <x v="15"/>
    <n v="3"/>
    <n v="299"/>
    <n v="897"/>
    <x v="5"/>
    <n v="224.25"/>
    <n v="672.75"/>
    <x v="0"/>
    <x v="1"/>
  </r>
  <r>
    <x v="2420"/>
    <s v="16 Sun"/>
    <x v="10"/>
    <x v="0"/>
    <s v="CUST-1381"/>
    <s v="Kabir Kapoor"/>
    <x v="0"/>
    <x v="3"/>
    <x v="6"/>
    <n v="2"/>
    <n v="799"/>
    <n v="1598"/>
    <x v="4"/>
    <n v="159.80000000000001"/>
    <n v="1438.2"/>
    <x v="3"/>
    <x v="0"/>
  </r>
  <r>
    <x v="2421"/>
    <s v="16 Sun"/>
    <x v="10"/>
    <x v="0"/>
    <s v="CUST-1054"/>
    <s v="Kunal Patel"/>
    <x v="4"/>
    <x v="0"/>
    <x v="1"/>
    <n v="1"/>
    <n v="199"/>
    <n v="199"/>
    <x v="0"/>
    <n v="0"/>
    <n v="199"/>
    <x v="1"/>
    <x v="0"/>
  </r>
  <r>
    <x v="2422"/>
    <s v="16 Sun"/>
    <x v="10"/>
    <x v="0"/>
    <s v="CUST-1312"/>
    <s v="Sakshi Saxena"/>
    <x v="1"/>
    <x v="1"/>
    <x v="2"/>
    <n v="1"/>
    <n v="599"/>
    <n v="599"/>
    <x v="4"/>
    <n v="59.9"/>
    <n v="539.1"/>
    <x v="0"/>
    <x v="1"/>
  </r>
  <r>
    <x v="2423"/>
    <s v="16 Sun"/>
    <x v="10"/>
    <x v="0"/>
    <s v="CUST-1244"/>
    <s v="Meera Gupta"/>
    <x v="1"/>
    <x v="1"/>
    <x v="2"/>
    <n v="3"/>
    <n v="599"/>
    <n v="1797"/>
    <x v="3"/>
    <n v="359.4"/>
    <n v="1437.6"/>
    <x v="0"/>
    <x v="1"/>
  </r>
  <r>
    <x v="2424"/>
    <s v="17 Mon"/>
    <x v="10"/>
    <x v="0"/>
    <s v="CUST-1247"/>
    <s v="Meera Malhotra"/>
    <x v="3"/>
    <x v="2"/>
    <x v="15"/>
    <n v="1"/>
    <n v="299"/>
    <n v="299"/>
    <x v="1"/>
    <n v="44.85"/>
    <n v="254.15"/>
    <x v="1"/>
    <x v="0"/>
  </r>
  <r>
    <x v="2425"/>
    <s v="17 Mon"/>
    <x v="10"/>
    <x v="0"/>
    <s v="CUST-1043"/>
    <s v="Divya Kapoor"/>
    <x v="0"/>
    <x v="1"/>
    <x v="2"/>
    <n v="1"/>
    <n v="599"/>
    <n v="599"/>
    <x v="3"/>
    <n v="119.8"/>
    <n v="479.2"/>
    <x v="0"/>
    <x v="0"/>
  </r>
  <r>
    <x v="2426"/>
    <s v="17 Mon"/>
    <x v="10"/>
    <x v="0"/>
    <s v="CUST-1190"/>
    <s v="Rahul Patel"/>
    <x v="4"/>
    <x v="2"/>
    <x v="3"/>
    <n v="2"/>
    <n v="249"/>
    <n v="498"/>
    <x v="0"/>
    <n v="0"/>
    <n v="498"/>
    <x v="4"/>
    <x v="0"/>
  </r>
  <r>
    <x v="2427"/>
    <s v="17 Mon"/>
    <x v="10"/>
    <x v="0"/>
    <s v="CUST-1308"/>
    <s v="Shreya Sharma"/>
    <x v="2"/>
    <x v="3"/>
    <x v="5"/>
    <n v="2"/>
    <n v="1299"/>
    <n v="2598"/>
    <x v="1"/>
    <n v="389.7"/>
    <n v="2208.3000000000002"/>
    <x v="1"/>
    <x v="0"/>
  </r>
  <r>
    <x v="2428"/>
    <s v="17 Mon"/>
    <x v="10"/>
    <x v="0"/>
    <s v="CUST-1280"/>
    <s v="Muskan Kapoor"/>
    <x v="2"/>
    <x v="3"/>
    <x v="5"/>
    <n v="3"/>
    <n v="1299"/>
    <n v="3897"/>
    <x v="2"/>
    <n v="194.85"/>
    <n v="3702.15"/>
    <x v="0"/>
    <x v="0"/>
  </r>
  <r>
    <x v="2429"/>
    <s v="17 Mon"/>
    <x v="10"/>
    <x v="0"/>
    <s v="CUST-1274"/>
    <s v="Muskan Singh"/>
    <x v="0"/>
    <x v="1"/>
    <x v="4"/>
    <n v="1"/>
    <n v="2999"/>
    <n v="2999"/>
    <x v="4"/>
    <n v="299.89999999999998"/>
    <n v="2699.1"/>
    <x v="4"/>
    <x v="1"/>
  </r>
  <r>
    <x v="2430"/>
    <s v="17 Mon"/>
    <x v="10"/>
    <x v="0"/>
    <s v="CUST-1253"/>
    <s v="Swati Malhotra"/>
    <x v="3"/>
    <x v="3"/>
    <x v="6"/>
    <n v="4"/>
    <n v="799"/>
    <n v="3196"/>
    <x v="2"/>
    <n v="159.80000000000001"/>
    <n v="3036.2"/>
    <x v="2"/>
    <x v="0"/>
  </r>
  <r>
    <x v="2431"/>
    <s v="17 Mon"/>
    <x v="10"/>
    <x v="0"/>
    <s v="CUST-1320"/>
    <s v="Ankit Kapoor"/>
    <x v="0"/>
    <x v="4"/>
    <x v="10"/>
    <n v="2"/>
    <n v="899"/>
    <n v="1798"/>
    <x v="4"/>
    <n v="179.8"/>
    <n v="1618.2"/>
    <x v="1"/>
    <x v="0"/>
  </r>
  <r>
    <x v="2432"/>
    <s v="17 Mon"/>
    <x v="10"/>
    <x v="0"/>
    <s v="CUST-1227"/>
    <s v="Rohan Joshi"/>
    <x v="3"/>
    <x v="1"/>
    <x v="4"/>
    <n v="1"/>
    <n v="2999"/>
    <n v="2999"/>
    <x v="3"/>
    <n v="599.79999999999995"/>
    <n v="2399.1999999999998"/>
    <x v="0"/>
    <x v="0"/>
  </r>
  <r>
    <x v="2433"/>
    <s v="17 Mon"/>
    <x v="10"/>
    <x v="0"/>
    <s v="CUST-1283"/>
    <s v="Aditya Mehta"/>
    <x v="3"/>
    <x v="5"/>
    <x v="8"/>
    <n v="2"/>
    <n v="349"/>
    <n v="698"/>
    <x v="4"/>
    <n v="69.8"/>
    <n v="628.20000000000005"/>
    <x v="4"/>
    <x v="0"/>
  </r>
  <r>
    <x v="2434"/>
    <s v="18 Tue"/>
    <x v="10"/>
    <x v="0"/>
    <s v="CUST-1322"/>
    <s v="Rahul Sharma"/>
    <x v="0"/>
    <x v="0"/>
    <x v="1"/>
    <n v="1"/>
    <n v="199"/>
    <n v="199"/>
    <x v="4"/>
    <n v="19.899999999999999"/>
    <n v="179.1"/>
    <x v="1"/>
    <x v="0"/>
  </r>
  <r>
    <x v="2435"/>
    <s v="18 Tue"/>
    <x v="10"/>
    <x v="0"/>
    <s v="CUST-1338"/>
    <s v="Komal Malhotra"/>
    <x v="0"/>
    <x v="0"/>
    <x v="0"/>
    <n v="2"/>
    <n v="99"/>
    <n v="198"/>
    <x v="1"/>
    <n v="29.7"/>
    <n v="168.3"/>
    <x v="0"/>
    <x v="0"/>
  </r>
  <r>
    <x v="2436"/>
    <s v="18 Tue"/>
    <x v="10"/>
    <x v="0"/>
    <s v="CUST-1126"/>
    <s v="Divya Sharma"/>
    <x v="0"/>
    <x v="1"/>
    <x v="2"/>
    <n v="1"/>
    <n v="599"/>
    <n v="599"/>
    <x v="2"/>
    <n v="29.95"/>
    <n v="569.04999999999995"/>
    <x v="1"/>
    <x v="1"/>
  </r>
  <r>
    <x v="2437"/>
    <s v="18 Tue"/>
    <x v="10"/>
    <x v="0"/>
    <s v="CUST-1212"/>
    <s v="Komal Joshi"/>
    <x v="4"/>
    <x v="1"/>
    <x v="14"/>
    <n v="1"/>
    <n v="1799"/>
    <n v="1799"/>
    <x v="4"/>
    <n v="179.9"/>
    <n v="1619.1"/>
    <x v="0"/>
    <x v="0"/>
  </r>
  <r>
    <x v="2438"/>
    <s v="18 Tue"/>
    <x v="10"/>
    <x v="0"/>
    <s v="CUST-1145"/>
    <s v="Kunal Joshi"/>
    <x v="0"/>
    <x v="3"/>
    <x v="6"/>
    <n v="1"/>
    <n v="799"/>
    <n v="799"/>
    <x v="4"/>
    <n v="79.900000000000006"/>
    <n v="719.1"/>
    <x v="1"/>
    <x v="0"/>
  </r>
  <r>
    <x v="2439"/>
    <s v="18 Tue"/>
    <x v="10"/>
    <x v="0"/>
    <s v="CUST-1361"/>
    <s v="Vivaan Kapoor"/>
    <x v="3"/>
    <x v="6"/>
    <x v="12"/>
    <n v="5"/>
    <n v="1499"/>
    <n v="7495"/>
    <x v="4"/>
    <n v="749.5"/>
    <n v="6745.5"/>
    <x v="3"/>
    <x v="0"/>
  </r>
  <r>
    <x v="2440"/>
    <s v="18 Tue"/>
    <x v="10"/>
    <x v="0"/>
    <s v="CUST-1265"/>
    <s v="Muskan Singh"/>
    <x v="3"/>
    <x v="2"/>
    <x v="3"/>
    <n v="1"/>
    <n v="249"/>
    <n v="249"/>
    <x v="1"/>
    <n v="37.35"/>
    <n v="211.65"/>
    <x v="0"/>
    <x v="0"/>
  </r>
  <r>
    <x v="2441"/>
    <s v="18 Tue"/>
    <x v="10"/>
    <x v="0"/>
    <s v="CUST-1299"/>
    <s v="Kabir Mehta"/>
    <x v="2"/>
    <x v="4"/>
    <x v="11"/>
    <n v="2"/>
    <n v="499"/>
    <n v="998"/>
    <x v="1"/>
    <n v="149.69999999999999"/>
    <n v="848.3"/>
    <x v="1"/>
    <x v="0"/>
  </r>
  <r>
    <x v="2442"/>
    <s v="18 Tue"/>
    <x v="10"/>
    <x v="0"/>
    <s v="CUST-1376"/>
    <s v="Kunal Kapoor"/>
    <x v="0"/>
    <x v="2"/>
    <x v="3"/>
    <n v="1"/>
    <n v="249"/>
    <n v="249"/>
    <x v="0"/>
    <n v="0"/>
    <n v="249"/>
    <x v="0"/>
    <x v="0"/>
  </r>
  <r>
    <x v="2443"/>
    <s v="18 Tue"/>
    <x v="10"/>
    <x v="0"/>
    <s v="CUST-1129"/>
    <s v="Nandini Patel"/>
    <x v="4"/>
    <x v="1"/>
    <x v="4"/>
    <n v="2"/>
    <n v="2999"/>
    <n v="5998"/>
    <x v="3"/>
    <n v="1199.5999999999999"/>
    <n v="4798.3999999999996"/>
    <x v="3"/>
    <x v="0"/>
  </r>
  <r>
    <x v="2444"/>
    <s v="18 Tue"/>
    <x v="10"/>
    <x v="0"/>
    <s v="CUST-1265"/>
    <s v="Muskan Singh"/>
    <x v="3"/>
    <x v="4"/>
    <x v="10"/>
    <n v="3"/>
    <n v="899"/>
    <n v="2697"/>
    <x v="1"/>
    <n v="404.55"/>
    <n v="2292.4499999999998"/>
    <x v="2"/>
    <x v="0"/>
  </r>
  <r>
    <x v="2445"/>
    <s v="19 Wed"/>
    <x v="10"/>
    <x v="0"/>
    <s v="CUST-1331"/>
    <s v="Arjun Singh"/>
    <x v="0"/>
    <x v="4"/>
    <x v="7"/>
    <n v="4"/>
    <n v="1999"/>
    <n v="7996"/>
    <x v="1"/>
    <n v="1199.4000000000001"/>
    <n v="6796.6"/>
    <x v="0"/>
    <x v="0"/>
  </r>
  <r>
    <x v="2446"/>
    <s v="19 Wed"/>
    <x v="10"/>
    <x v="0"/>
    <s v="CUST-1127"/>
    <s v="Muskan Joshi"/>
    <x v="1"/>
    <x v="5"/>
    <x v="8"/>
    <n v="1"/>
    <n v="349"/>
    <n v="349"/>
    <x v="3"/>
    <n v="69.8"/>
    <n v="279.2"/>
    <x v="4"/>
    <x v="0"/>
  </r>
  <r>
    <x v="2447"/>
    <s v="19 Wed"/>
    <x v="10"/>
    <x v="0"/>
    <s v="CUST-1170"/>
    <s v="Muskan Saxena"/>
    <x v="3"/>
    <x v="2"/>
    <x v="15"/>
    <n v="1"/>
    <n v="299"/>
    <n v="299"/>
    <x v="2"/>
    <n v="14.95"/>
    <n v="284.05"/>
    <x v="2"/>
    <x v="0"/>
  </r>
  <r>
    <x v="2448"/>
    <s v="19 Wed"/>
    <x v="10"/>
    <x v="0"/>
    <s v="CUST-1332"/>
    <s v="Rahul Malhotra"/>
    <x v="0"/>
    <x v="6"/>
    <x v="13"/>
    <n v="1"/>
    <n v="699"/>
    <n v="699"/>
    <x v="6"/>
    <n v="209.7"/>
    <n v="489.3"/>
    <x v="0"/>
    <x v="0"/>
  </r>
  <r>
    <x v="2449"/>
    <s v="19 Wed"/>
    <x v="10"/>
    <x v="0"/>
    <s v="CUST-1054"/>
    <s v="Kunal Patel"/>
    <x v="3"/>
    <x v="2"/>
    <x v="15"/>
    <n v="1"/>
    <n v="299"/>
    <n v="299"/>
    <x v="0"/>
    <n v="0"/>
    <n v="299"/>
    <x v="0"/>
    <x v="0"/>
  </r>
  <r>
    <x v="2450"/>
    <s v="19 Wed"/>
    <x v="10"/>
    <x v="0"/>
    <s v="CUST-1396"/>
    <s v="Shreya Patel"/>
    <x v="4"/>
    <x v="0"/>
    <x v="1"/>
    <n v="2"/>
    <n v="199"/>
    <n v="398"/>
    <x v="2"/>
    <n v="19.899999999999999"/>
    <n v="378.1"/>
    <x v="4"/>
    <x v="0"/>
  </r>
  <r>
    <x v="2451"/>
    <s v="19 Wed"/>
    <x v="10"/>
    <x v="0"/>
    <s v="CUST-1101"/>
    <s v="Sakshi Sharma"/>
    <x v="0"/>
    <x v="4"/>
    <x v="11"/>
    <n v="1"/>
    <n v="499"/>
    <n v="499"/>
    <x v="1"/>
    <n v="74.849999999999994"/>
    <n v="424.15"/>
    <x v="1"/>
    <x v="0"/>
  </r>
  <r>
    <x v="2452"/>
    <s v="19 Wed"/>
    <x v="10"/>
    <x v="0"/>
    <s v="CUST-1258"/>
    <s v="Muskan Joshi"/>
    <x v="2"/>
    <x v="6"/>
    <x v="12"/>
    <n v="3"/>
    <n v="1499"/>
    <n v="4497"/>
    <x v="1"/>
    <n v="674.55"/>
    <n v="3822.45"/>
    <x v="3"/>
    <x v="0"/>
  </r>
  <r>
    <x v="2453"/>
    <s v="19 Wed"/>
    <x v="10"/>
    <x v="0"/>
    <s v="CUST-1056"/>
    <s v="Aarav Kapoor"/>
    <x v="3"/>
    <x v="1"/>
    <x v="14"/>
    <n v="4"/>
    <n v="1799"/>
    <n v="7196"/>
    <x v="1"/>
    <n v="1079.4000000000001"/>
    <n v="6116.6"/>
    <x v="1"/>
    <x v="0"/>
  </r>
  <r>
    <x v="2454"/>
    <s v="19 Wed"/>
    <x v="10"/>
    <x v="0"/>
    <s v="CUST-1115"/>
    <s v="Divya Kapoor"/>
    <x v="0"/>
    <x v="5"/>
    <x v="9"/>
    <n v="1"/>
    <n v="549"/>
    <n v="549"/>
    <x v="6"/>
    <n v="164.7"/>
    <n v="384.3"/>
    <x v="0"/>
    <x v="1"/>
  </r>
  <r>
    <x v="2455"/>
    <s v="20 Thu"/>
    <x v="10"/>
    <x v="0"/>
    <s v="CUST-1242"/>
    <s v="Sakshi Malhotra"/>
    <x v="0"/>
    <x v="3"/>
    <x v="5"/>
    <n v="2"/>
    <n v="1299"/>
    <n v="2598"/>
    <x v="0"/>
    <n v="0"/>
    <n v="2598"/>
    <x v="1"/>
    <x v="0"/>
  </r>
  <r>
    <x v="2456"/>
    <s v="20 Thu"/>
    <x v="10"/>
    <x v="0"/>
    <s v="CUST-1354"/>
    <s v="Aman Saxena"/>
    <x v="1"/>
    <x v="2"/>
    <x v="3"/>
    <n v="1"/>
    <n v="249"/>
    <n v="249"/>
    <x v="5"/>
    <n v="62.25"/>
    <n v="186.75"/>
    <x v="0"/>
    <x v="1"/>
  </r>
  <r>
    <x v="2457"/>
    <s v="20 Thu"/>
    <x v="10"/>
    <x v="0"/>
    <s v="CUST-1146"/>
    <s v="Tanya Patel"/>
    <x v="0"/>
    <x v="2"/>
    <x v="3"/>
    <n v="1"/>
    <n v="249"/>
    <n v="249"/>
    <x v="2"/>
    <n v="12.45"/>
    <n v="236.55"/>
    <x v="1"/>
    <x v="0"/>
  </r>
  <r>
    <x v="2458"/>
    <s v="20 Thu"/>
    <x v="10"/>
    <x v="0"/>
    <s v="CUST-1339"/>
    <s v="Aarav Patel"/>
    <x v="0"/>
    <x v="4"/>
    <x v="11"/>
    <n v="2"/>
    <n v="499"/>
    <n v="998"/>
    <x v="4"/>
    <n v="99.8"/>
    <n v="898.2"/>
    <x v="1"/>
    <x v="0"/>
  </r>
  <r>
    <x v="2459"/>
    <s v="20 Thu"/>
    <x v="10"/>
    <x v="0"/>
    <s v="CUST-1076"/>
    <s v="Tanya Saxena"/>
    <x v="1"/>
    <x v="5"/>
    <x v="9"/>
    <n v="1"/>
    <n v="549"/>
    <n v="549"/>
    <x v="4"/>
    <n v="54.9"/>
    <n v="494.1"/>
    <x v="1"/>
    <x v="0"/>
  </r>
  <r>
    <x v="2460"/>
    <s v="20 Thu"/>
    <x v="10"/>
    <x v="0"/>
    <s v="CUST-1139"/>
    <s v="Aditya Sharma"/>
    <x v="1"/>
    <x v="4"/>
    <x v="11"/>
    <n v="2"/>
    <n v="499"/>
    <n v="998"/>
    <x v="2"/>
    <n v="49.9"/>
    <n v="948.1"/>
    <x v="2"/>
    <x v="1"/>
  </r>
  <r>
    <x v="2461"/>
    <s v="20 Thu"/>
    <x v="10"/>
    <x v="0"/>
    <s v="CUST-1274"/>
    <s v="Muskan Singh"/>
    <x v="4"/>
    <x v="4"/>
    <x v="11"/>
    <n v="1"/>
    <n v="499"/>
    <n v="499"/>
    <x v="1"/>
    <n v="74.849999999999994"/>
    <n v="424.15"/>
    <x v="2"/>
    <x v="1"/>
  </r>
  <r>
    <x v="2462"/>
    <s v="21 Fri"/>
    <x v="10"/>
    <x v="0"/>
    <s v="CUST-1045"/>
    <s v="Arjun Verma"/>
    <x v="1"/>
    <x v="3"/>
    <x v="6"/>
    <n v="2"/>
    <n v="799"/>
    <n v="1598"/>
    <x v="0"/>
    <n v="0"/>
    <n v="1598"/>
    <x v="1"/>
    <x v="0"/>
  </r>
  <r>
    <x v="2463"/>
    <s v="21 Fri"/>
    <x v="10"/>
    <x v="0"/>
    <s v="CUST-1205"/>
    <s v="Aman Sharma"/>
    <x v="3"/>
    <x v="0"/>
    <x v="0"/>
    <n v="2"/>
    <n v="99"/>
    <n v="198"/>
    <x v="3"/>
    <n v="39.6"/>
    <n v="158.4"/>
    <x v="2"/>
    <x v="0"/>
  </r>
  <r>
    <x v="2464"/>
    <s v="21 Fri"/>
    <x v="10"/>
    <x v="0"/>
    <s v="CUST-1185"/>
    <s v="Meera Sharma"/>
    <x v="1"/>
    <x v="5"/>
    <x v="9"/>
    <n v="2"/>
    <n v="549"/>
    <n v="1098"/>
    <x v="6"/>
    <n v="329.4"/>
    <n v="768.6"/>
    <x v="4"/>
    <x v="1"/>
  </r>
  <r>
    <x v="2465"/>
    <s v="21 Fri"/>
    <x v="10"/>
    <x v="0"/>
    <s v="CUST-1068"/>
    <s v="Isha Verma"/>
    <x v="1"/>
    <x v="5"/>
    <x v="9"/>
    <n v="1"/>
    <n v="549"/>
    <n v="549"/>
    <x v="3"/>
    <n v="109.8"/>
    <n v="439.2"/>
    <x v="1"/>
    <x v="0"/>
  </r>
  <r>
    <x v="2466"/>
    <s v="21 Fri"/>
    <x v="10"/>
    <x v="0"/>
    <s v="CUST-1023"/>
    <s v="Rohan Sharma"/>
    <x v="3"/>
    <x v="4"/>
    <x v="10"/>
    <n v="1"/>
    <n v="899"/>
    <n v="899"/>
    <x v="0"/>
    <n v="0"/>
    <n v="899"/>
    <x v="2"/>
    <x v="1"/>
  </r>
  <r>
    <x v="2467"/>
    <s v="21 Fri"/>
    <x v="10"/>
    <x v="0"/>
    <s v="CUST-1346"/>
    <s v="Vivaan Gupta"/>
    <x v="1"/>
    <x v="4"/>
    <x v="10"/>
    <n v="4"/>
    <n v="899"/>
    <n v="3596"/>
    <x v="1"/>
    <n v="539.4"/>
    <n v="3056.6"/>
    <x v="2"/>
    <x v="0"/>
  </r>
  <r>
    <x v="2468"/>
    <s v="21 Fri"/>
    <x v="10"/>
    <x v="0"/>
    <s v="CUST-1322"/>
    <s v="Rahul Sharma"/>
    <x v="1"/>
    <x v="2"/>
    <x v="3"/>
    <n v="1"/>
    <n v="249"/>
    <n v="249"/>
    <x v="1"/>
    <n v="37.35"/>
    <n v="211.65"/>
    <x v="0"/>
    <x v="0"/>
  </r>
  <r>
    <x v="2469"/>
    <s v="21 Fri"/>
    <x v="10"/>
    <x v="0"/>
    <s v="CUST-1114"/>
    <s v="Vivaan Malhotra"/>
    <x v="4"/>
    <x v="1"/>
    <x v="4"/>
    <n v="1"/>
    <n v="2999"/>
    <n v="2999"/>
    <x v="3"/>
    <n v="599.79999999999995"/>
    <n v="2399.1999999999998"/>
    <x v="4"/>
    <x v="1"/>
  </r>
  <r>
    <x v="2470"/>
    <s v="21 Fri"/>
    <x v="10"/>
    <x v="0"/>
    <s v="CUST-1119"/>
    <s v="Rahul Gupta"/>
    <x v="4"/>
    <x v="6"/>
    <x v="12"/>
    <n v="2"/>
    <n v="1499"/>
    <n v="2998"/>
    <x v="4"/>
    <n v="299.8"/>
    <n v="2698.2"/>
    <x v="3"/>
    <x v="0"/>
  </r>
  <r>
    <x v="2471"/>
    <s v="21 Fri"/>
    <x v="10"/>
    <x v="0"/>
    <s v="CUST-1247"/>
    <s v="Meera Malhotra"/>
    <x v="2"/>
    <x v="5"/>
    <x v="9"/>
    <n v="3"/>
    <n v="549"/>
    <n v="1647"/>
    <x v="3"/>
    <n v="329.4"/>
    <n v="1317.6"/>
    <x v="2"/>
    <x v="1"/>
  </r>
  <r>
    <x v="2472"/>
    <s v="21 Fri"/>
    <x v="10"/>
    <x v="0"/>
    <s v="CUST-1017"/>
    <s v="Aarav Verma"/>
    <x v="2"/>
    <x v="1"/>
    <x v="14"/>
    <n v="4"/>
    <n v="1799"/>
    <n v="7196"/>
    <x v="4"/>
    <n v="719.6"/>
    <n v="6476.4"/>
    <x v="0"/>
    <x v="0"/>
  </r>
  <r>
    <x v="2473"/>
    <s v="21 Fri"/>
    <x v="10"/>
    <x v="0"/>
    <s v="CUST-1231"/>
    <s v="Divya Gupta"/>
    <x v="2"/>
    <x v="1"/>
    <x v="2"/>
    <n v="1"/>
    <n v="599"/>
    <n v="599"/>
    <x v="4"/>
    <n v="59.9"/>
    <n v="539.1"/>
    <x v="0"/>
    <x v="1"/>
  </r>
  <r>
    <x v="2474"/>
    <s v="21 Fri"/>
    <x v="10"/>
    <x v="0"/>
    <s v="CUST-1305"/>
    <s v="Muskan Joshi"/>
    <x v="4"/>
    <x v="5"/>
    <x v="9"/>
    <n v="1"/>
    <n v="549"/>
    <n v="549"/>
    <x v="3"/>
    <n v="109.8"/>
    <n v="439.2"/>
    <x v="3"/>
    <x v="0"/>
  </r>
  <r>
    <x v="2475"/>
    <s v="22 Sat"/>
    <x v="10"/>
    <x v="0"/>
    <s v="CUST-1188"/>
    <s v="Shreya Malhotra"/>
    <x v="3"/>
    <x v="1"/>
    <x v="2"/>
    <n v="2"/>
    <n v="599"/>
    <n v="1198"/>
    <x v="3"/>
    <n v="239.6"/>
    <n v="958.4"/>
    <x v="0"/>
    <x v="1"/>
  </r>
  <r>
    <x v="2476"/>
    <s v="22 Sat"/>
    <x v="10"/>
    <x v="0"/>
    <s v="CUST-1384"/>
    <s v="Vivaan Singh"/>
    <x v="3"/>
    <x v="0"/>
    <x v="0"/>
    <n v="1"/>
    <n v="99"/>
    <n v="99"/>
    <x v="5"/>
    <n v="24.75"/>
    <n v="74.25"/>
    <x v="2"/>
    <x v="1"/>
  </r>
  <r>
    <x v="2477"/>
    <s v="22 Sat"/>
    <x v="10"/>
    <x v="0"/>
    <s v="CUST-1276"/>
    <s v="Swati Joshi"/>
    <x v="4"/>
    <x v="5"/>
    <x v="8"/>
    <n v="4"/>
    <n v="349"/>
    <n v="1396"/>
    <x v="3"/>
    <n v="279.2"/>
    <n v="1116.8"/>
    <x v="4"/>
    <x v="0"/>
  </r>
  <r>
    <x v="2478"/>
    <s v="22 Sat"/>
    <x v="10"/>
    <x v="0"/>
    <s v="CUST-1124"/>
    <s v="Aditya Gupta"/>
    <x v="3"/>
    <x v="2"/>
    <x v="3"/>
    <n v="1"/>
    <n v="249"/>
    <n v="249"/>
    <x v="6"/>
    <n v="74.7"/>
    <n v="174.3"/>
    <x v="2"/>
    <x v="1"/>
  </r>
  <r>
    <x v="2479"/>
    <s v="22 Sat"/>
    <x v="10"/>
    <x v="0"/>
    <s v="CUST-1300"/>
    <s v="Vivaan Mehta"/>
    <x v="0"/>
    <x v="4"/>
    <x v="7"/>
    <n v="3"/>
    <n v="1999"/>
    <n v="5997"/>
    <x v="2"/>
    <n v="299.85000000000002"/>
    <n v="5697.15"/>
    <x v="0"/>
    <x v="0"/>
  </r>
  <r>
    <x v="2480"/>
    <s v="22 Sat"/>
    <x v="10"/>
    <x v="0"/>
    <s v="CUST-1032"/>
    <s v="Shreya Mehta"/>
    <x v="0"/>
    <x v="1"/>
    <x v="4"/>
    <n v="2"/>
    <n v="2999"/>
    <n v="5998"/>
    <x v="5"/>
    <n v="1499.5"/>
    <n v="4498.5"/>
    <x v="2"/>
    <x v="0"/>
  </r>
  <r>
    <x v="2481"/>
    <s v="22 Sat"/>
    <x v="10"/>
    <x v="0"/>
    <s v="CUST-1167"/>
    <s v="Nandini Verma"/>
    <x v="4"/>
    <x v="5"/>
    <x v="9"/>
    <n v="1"/>
    <n v="549"/>
    <n v="549"/>
    <x v="6"/>
    <n v="164.7"/>
    <n v="384.3"/>
    <x v="3"/>
    <x v="0"/>
  </r>
  <r>
    <x v="2482"/>
    <s v="22 Sat"/>
    <x v="10"/>
    <x v="0"/>
    <s v="CUST-1335"/>
    <s v="Divya Saxena"/>
    <x v="2"/>
    <x v="3"/>
    <x v="5"/>
    <n v="2"/>
    <n v="1299"/>
    <n v="2598"/>
    <x v="6"/>
    <n v="779.4"/>
    <n v="1818.6"/>
    <x v="4"/>
    <x v="0"/>
  </r>
  <r>
    <x v="2483"/>
    <s v="22 Sat"/>
    <x v="10"/>
    <x v="0"/>
    <s v="CUST-1078"/>
    <s v="Kabir Malhotra"/>
    <x v="3"/>
    <x v="5"/>
    <x v="8"/>
    <n v="1"/>
    <n v="349"/>
    <n v="349"/>
    <x v="5"/>
    <n v="87.25"/>
    <n v="261.75"/>
    <x v="2"/>
    <x v="0"/>
  </r>
  <r>
    <x v="2484"/>
    <s v="22 Sat"/>
    <x v="10"/>
    <x v="0"/>
    <s v="CUST-1323"/>
    <s v="Muskan Verma"/>
    <x v="1"/>
    <x v="1"/>
    <x v="2"/>
    <n v="1"/>
    <n v="599"/>
    <n v="599"/>
    <x v="5"/>
    <n v="149.75"/>
    <n v="449.25"/>
    <x v="0"/>
    <x v="0"/>
  </r>
  <r>
    <x v="2485"/>
    <s v="22 Sat"/>
    <x v="10"/>
    <x v="0"/>
    <s v="CUST-1396"/>
    <s v="Shreya Patel"/>
    <x v="2"/>
    <x v="4"/>
    <x v="10"/>
    <n v="1"/>
    <n v="899"/>
    <n v="899"/>
    <x v="1"/>
    <n v="134.85"/>
    <n v="764.15"/>
    <x v="1"/>
    <x v="1"/>
  </r>
  <r>
    <x v="2486"/>
    <s v="22 Sat"/>
    <x v="10"/>
    <x v="0"/>
    <s v="CUST-1099"/>
    <s v="Rahul Malhotra"/>
    <x v="1"/>
    <x v="6"/>
    <x v="12"/>
    <n v="2"/>
    <n v="1499"/>
    <n v="2998"/>
    <x v="3"/>
    <n v="599.6"/>
    <n v="2398.4"/>
    <x v="2"/>
    <x v="0"/>
  </r>
  <r>
    <x v="2487"/>
    <s v="23 Sun"/>
    <x v="10"/>
    <x v="0"/>
    <s v="CUST-1127"/>
    <s v="Muskan Joshi"/>
    <x v="1"/>
    <x v="4"/>
    <x v="7"/>
    <n v="1"/>
    <n v="1999"/>
    <n v="1999"/>
    <x v="6"/>
    <n v="599.70000000000005"/>
    <n v="1399.3"/>
    <x v="0"/>
    <x v="0"/>
  </r>
  <r>
    <x v="2488"/>
    <s v="23 Sun"/>
    <x v="10"/>
    <x v="0"/>
    <s v="CUST-1238"/>
    <s v="Nandini Verma"/>
    <x v="4"/>
    <x v="1"/>
    <x v="14"/>
    <n v="1"/>
    <n v="1799"/>
    <n v="1799"/>
    <x v="1"/>
    <n v="269.85000000000002"/>
    <n v="1529.15"/>
    <x v="2"/>
    <x v="0"/>
  </r>
  <r>
    <x v="2489"/>
    <s v="23 Sun"/>
    <x v="10"/>
    <x v="0"/>
    <s v="CUST-1147"/>
    <s v="Aman Saxena"/>
    <x v="2"/>
    <x v="5"/>
    <x v="8"/>
    <n v="4"/>
    <n v="349"/>
    <n v="1396"/>
    <x v="5"/>
    <n v="349"/>
    <n v="1047"/>
    <x v="1"/>
    <x v="0"/>
  </r>
  <r>
    <x v="2490"/>
    <s v="23 Sun"/>
    <x v="10"/>
    <x v="0"/>
    <s v="CUST-1283"/>
    <s v="Aditya Mehta"/>
    <x v="1"/>
    <x v="6"/>
    <x v="13"/>
    <n v="2"/>
    <n v="699"/>
    <n v="1398"/>
    <x v="1"/>
    <n v="209.7"/>
    <n v="1188.3"/>
    <x v="0"/>
    <x v="0"/>
  </r>
  <r>
    <x v="2491"/>
    <s v="23 Sun"/>
    <x v="10"/>
    <x v="0"/>
    <s v="CUST-1075"/>
    <s v="Divya Patel"/>
    <x v="0"/>
    <x v="6"/>
    <x v="12"/>
    <n v="2"/>
    <n v="1499"/>
    <n v="2998"/>
    <x v="5"/>
    <n v="749.5"/>
    <n v="2248.5"/>
    <x v="2"/>
    <x v="0"/>
  </r>
  <r>
    <x v="2492"/>
    <s v="23 Sun"/>
    <x v="10"/>
    <x v="0"/>
    <s v="CUST-1210"/>
    <s v="Meera Sharma"/>
    <x v="2"/>
    <x v="5"/>
    <x v="8"/>
    <n v="3"/>
    <n v="349"/>
    <n v="1047"/>
    <x v="3"/>
    <n v="209.4"/>
    <n v="837.6"/>
    <x v="0"/>
    <x v="0"/>
  </r>
  <r>
    <x v="2493"/>
    <s v="23 Sun"/>
    <x v="10"/>
    <x v="0"/>
    <s v="CUST-1359"/>
    <s v="Arjun Mehta"/>
    <x v="0"/>
    <x v="2"/>
    <x v="3"/>
    <n v="1"/>
    <n v="249"/>
    <n v="249"/>
    <x v="5"/>
    <n v="62.25"/>
    <n v="186.75"/>
    <x v="1"/>
    <x v="1"/>
  </r>
  <r>
    <x v="2494"/>
    <s v="23 Sun"/>
    <x v="10"/>
    <x v="0"/>
    <s v="CUST-1125"/>
    <s v="Muskan Malhotra"/>
    <x v="0"/>
    <x v="4"/>
    <x v="7"/>
    <n v="2"/>
    <n v="1999"/>
    <n v="3998"/>
    <x v="0"/>
    <n v="0"/>
    <n v="3998"/>
    <x v="0"/>
    <x v="1"/>
  </r>
  <r>
    <x v="2495"/>
    <s v="23 Sun"/>
    <x v="10"/>
    <x v="0"/>
    <s v="CUST-1018"/>
    <s v="Aditya Gupta"/>
    <x v="1"/>
    <x v="2"/>
    <x v="3"/>
    <n v="1"/>
    <n v="249"/>
    <n v="249"/>
    <x v="0"/>
    <n v="0"/>
    <n v="249"/>
    <x v="1"/>
    <x v="0"/>
  </r>
  <r>
    <x v="2496"/>
    <s v="23 Sun"/>
    <x v="10"/>
    <x v="0"/>
    <s v="CUST-1199"/>
    <s v="Sakshi Saxena"/>
    <x v="4"/>
    <x v="2"/>
    <x v="15"/>
    <n v="3"/>
    <n v="299"/>
    <n v="897"/>
    <x v="5"/>
    <n v="224.25"/>
    <n v="672.75"/>
    <x v="1"/>
    <x v="0"/>
  </r>
  <r>
    <x v="2497"/>
    <s v="24 Mon"/>
    <x v="10"/>
    <x v="0"/>
    <s v="CUST-1345"/>
    <s v="Tanya Verma"/>
    <x v="0"/>
    <x v="1"/>
    <x v="2"/>
    <n v="2"/>
    <n v="599"/>
    <n v="1198"/>
    <x v="5"/>
    <n v="299.5"/>
    <n v="898.5"/>
    <x v="2"/>
    <x v="1"/>
  </r>
  <r>
    <x v="2498"/>
    <s v="24 Mon"/>
    <x v="10"/>
    <x v="0"/>
    <s v="CUST-1275"/>
    <s v="Tanya Singh"/>
    <x v="2"/>
    <x v="1"/>
    <x v="4"/>
    <n v="3"/>
    <n v="2999"/>
    <n v="8997"/>
    <x v="5"/>
    <n v="2249.25"/>
    <n v="6747.75"/>
    <x v="3"/>
    <x v="0"/>
  </r>
  <r>
    <x v="2499"/>
    <s v="24 Mon"/>
    <x v="10"/>
    <x v="0"/>
    <s v="CUST-1291"/>
    <s v="Arjun Saxena"/>
    <x v="3"/>
    <x v="6"/>
    <x v="12"/>
    <n v="3"/>
    <n v="1499"/>
    <n v="4497"/>
    <x v="1"/>
    <n v="674.55"/>
    <n v="3822.45"/>
    <x v="0"/>
    <x v="0"/>
  </r>
  <r>
    <x v="2500"/>
    <s v="24 Mon"/>
    <x v="10"/>
    <x v="0"/>
    <s v="CUST-1206"/>
    <s v="Aditya Gupta"/>
    <x v="2"/>
    <x v="4"/>
    <x v="10"/>
    <n v="1"/>
    <n v="899"/>
    <n v="899"/>
    <x v="2"/>
    <n v="44.95"/>
    <n v="854.05"/>
    <x v="1"/>
    <x v="0"/>
  </r>
  <r>
    <x v="2501"/>
    <s v="24 Mon"/>
    <x v="10"/>
    <x v="0"/>
    <s v="CUST-1120"/>
    <s v="Divya Kapoor"/>
    <x v="0"/>
    <x v="3"/>
    <x v="5"/>
    <n v="1"/>
    <n v="1299"/>
    <n v="1299"/>
    <x v="3"/>
    <n v="259.8"/>
    <n v="1039.2"/>
    <x v="0"/>
    <x v="0"/>
  </r>
  <r>
    <x v="2502"/>
    <s v="24 Mon"/>
    <x v="10"/>
    <x v="0"/>
    <s v="CUST-1320"/>
    <s v="Ankit Kapoor"/>
    <x v="1"/>
    <x v="1"/>
    <x v="4"/>
    <n v="1"/>
    <n v="2999"/>
    <n v="2999"/>
    <x v="5"/>
    <n v="749.75"/>
    <n v="2249.25"/>
    <x v="2"/>
    <x v="0"/>
  </r>
  <r>
    <x v="2503"/>
    <s v="24 Mon"/>
    <x v="10"/>
    <x v="0"/>
    <s v="CUST-1254"/>
    <s v="Meera Malhotra"/>
    <x v="3"/>
    <x v="5"/>
    <x v="8"/>
    <n v="4"/>
    <n v="349"/>
    <n v="1396"/>
    <x v="4"/>
    <n v="139.6"/>
    <n v="1256.4000000000001"/>
    <x v="2"/>
    <x v="0"/>
  </r>
  <r>
    <x v="2504"/>
    <s v="25 Tue"/>
    <x v="10"/>
    <x v="0"/>
    <s v="CUST-1380"/>
    <s v="Meera Joshi"/>
    <x v="4"/>
    <x v="1"/>
    <x v="14"/>
    <n v="2"/>
    <n v="1799"/>
    <n v="3598"/>
    <x v="6"/>
    <n v="1079.4000000000001"/>
    <n v="2518.6"/>
    <x v="1"/>
    <x v="0"/>
  </r>
  <r>
    <x v="2505"/>
    <s v="25 Tue"/>
    <x v="10"/>
    <x v="0"/>
    <s v="CUST-1134"/>
    <s v="Komal Patel"/>
    <x v="4"/>
    <x v="4"/>
    <x v="7"/>
    <n v="1"/>
    <n v="1999"/>
    <n v="1999"/>
    <x v="4"/>
    <n v="199.9"/>
    <n v="1799.1"/>
    <x v="0"/>
    <x v="1"/>
  </r>
  <r>
    <x v="2506"/>
    <s v="25 Tue"/>
    <x v="10"/>
    <x v="0"/>
    <s v="CUST-1257"/>
    <s v="Shreya Saxena"/>
    <x v="4"/>
    <x v="0"/>
    <x v="0"/>
    <n v="2"/>
    <n v="99"/>
    <n v="198"/>
    <x v="2"/>
    <n v="9.9"/>
    <n v="188.1"/>
    <x v="1"/>
    <x v="0"/>
  </r>
  <r>
    <x v="2507"/>
    <s v="25 Tue"/>
    <x v="10"/>
    <x v="0"/>
    <s v="CUST-1019"/>
    <s v="Aarav Joshi"/>
    <x v="3"/>
    <x v="0"/>
    <x v="1"/>
    <n v="2"/>
    <n v="199"/>
    <n v="398"/>
    <x v="5"/>
    <n v="99.5"/>
    <n v="298.5"/>
    <x v="1"/>
    <x v="0"/>
  </r>
  <r>
    <x v="2508"/>
    <s v="25 Tue"/>
    <x v="10"/>
    <x v="0"/>
    <s v="CUST-1342"/>
    <s v="Vivaan Saxena"/>
    <x v="3"/>
    <x v="2"/>
    <x v="15"/>
    <n v="2"/>
    <n v="299"/>
    <n v="598"/>
    <x v="6"/>
    <n v="179.4"/>
    <n v="418.6"/>
    <x v="1"/>
    <x v="1"/>
  </r>
  <r>
    <x v="2509"/>
    <s v="25 Tue"/>
    <x v="10"/>
    <x v="0"/>
    <s v="CUST-1014"/>
    <s v="Vivaan Kapoor"/>
    <x v="1"/>
    <x v="1"/>
    <x v="2"/>
    <n v="2"/>
    <n v="599"/>
    <n v="1198"/>
    <x v="1"/>
    <n v="179.7"/>
    <n v="1018.3"/>
    <x v="1"/>
    <x v="0"/>
  </r>
  <r>
    <x v="2510"/>
    <s v="25 Tue"/>
    <x v="10"/>
    <x v="0"/>
    <s v="CUST-1168"/>
    <s v="Nandini Joshi"/>
    <x v="4"/>
    <x v="5"/>
    <x v="9"/>
    <n v="3"/>
    <n v="549"/>
    <n v="1647"/>
    <x v="2"/>
    <n v="82.35"/>
    <n v="1564.65"/>
    <x v="2"/>
    <x v="0"/>
  </r>
  <r>
    <x v="2511"/>
    <s v="25 Tue"/>
    <x v="10"/>
    <x v="0"/>
    <s v="CUST-1184"/>
    <s v="Rahul Joshi"/>
    <x v="2"/>
    <x v="1"/>
    <x v="4"/>
    <n v="1"/>
    <n v="2999"/>
    <n v="2999"/>
    <x v="4"/>
    <n v="299.89999999999998"/>
    <n v="2699.1"/>
    <x v="0"/>
    <x v="0"/>
  </r>
  <r>
    <x v="2512"/>
    <s v="25 Tue"/>
    <x v="10"/>
    <x v="0"/>
    <s v="CUST-1051"/>
    <s v="Rohan Patel"/>
    <x v="0"/>
    <x v="2"/>
    <x v="3"/>
    <n v="1"/>
    <n v="249"/>
    <n v="249"/>
    <x v="3"/>
    <n v="49.8"/>
    <n v="199.2"/>
    <x v="3"/>
    <x v="0"/>
  </r>
  <r>
    <x v="2513"/>
    <s v="26 Wed"/>
    <x v="10"/>
    <x v="0"/>
    <s v="CUST-1341"/>
    <s v="Meera Patel"/>
    <x v="3"/>
    <x v="4"/>
    <x v="7"/>
    <n v="2"/>
    <n v="1999"/>
    <n v="3998"/>
    <x v="5"/>
    <n v="999.5"/>
    <n v="2998.5"/>
    <x v="0"/>
    <x v="0"/>
  </r>
  <r>
    <x v="2514"/>
    <s v="26 Wed"/>
    <x v="10"/>
    <x v="0"/>
    <s v="CUST-1155"/>
    <s v="Aman Saxena"/>
    <x v="4"/>
    <x v="6"/>
    <x v="12"/>
    <n v="1"/>
    <n v="1499"/>
    <n v="1499"/>
    <x v="6"/>
    <n v="449.7"/>
    <n v="1049.3"/>
    <x v="2"/>
    <x v="0"/>
  </r>
  <r>
    <x v="2515"/>
    <s v="26 Wed"/>
    <x v="10"/>
    <x v="0"/>
    <s v="CUST-1290"/>
    <s v="Kabir Mehta"/>
    <x v="3"/>
    <x v="1"/>
    <x v="4"/>
    <n v="1"/>
    <n v="2999"/>
    <n v="2999"/>
    <x v="3"/>
    <n v="599.79999999999995"/>
    <n v="2399.1999999999998"/>
    <x v="1"/>
    <x v="0"/>
  </r>
  <r>
    <x v="2516"/>
    <s v="26 Wed"/>
    <x v="10"/>
    <x v="0"/>
    <s v="CUST-1177"/>
    <s v="Aditya Malhotra"/>
    <x v="3"/>
    <x v="0"/>
    <x v="1"/>
    <n v="1"/>
    <n v="199"/>
    <n v="199"/>
    <x v="4"/>
    <n v="19.899999999999999"/>
    <n v="179.1"/>
    <x v="4"/>
    <x v="1"/>
  </r>
  <r>
    <x v="2517"/>
    <s v="26 Wed"/>
    <x v="10"/>
    <x v="0"/>
    <s v="CUST-1169"/>
    <s v="Nandini Patel"/>
    <x v="3"/>
    <x v="5"/>
    <x v="8"/>
    <n v="1"/>
    <n v="349"/>
    <n v="349"/>
    <x v="0"/>
    <n v="0"/>
    <n v="349"/>
    <x v="1"/>
    <x v="0"/>
  </r>
  <r>
    <x v="2518"/>
    <s v="26 Wed"/>
    <x v="10"/>
    <x v="0"/>
    <s v="CUST-1077"/>
    <s v="Tanya Mehta"/>
    <x v="2"/>
    <x v="4"/>
    <x v="7"/>
    <n v="1"/>
    <n v="1999"/>
    <n v="1999"/>
    <x v="2"/>
    <n v="99.95"/>
    <n v="1899.05"/>
    <x v="4"/>
    <x v="0"/>
  </r>
  <r>
    <x v="2519"/>
    <s v="26 Wed"/>
    <x v="10"/>
    <x v="0"/>
    <s v="CUST-1370"/>
    <s v="Shreya Malhotra"/>
    <x v="0"/>
    <x v="5"/>
    <x v="9"/>
    <n v="1"/>
    <n v="549"/>
    <n v="549"/>
    <x v="4"/>
    <n v="54.9"/>
    <n v="494.1"/>
    <x v="0"/>
    <x v="0"/>
  </r>
  <r>
    <x v="2520"/>
    <s v="26 Wed"/>
    <x v="10"/>
    <x v="0"/>
    <s v="CUST-1040"/>
    <s v="Aditya Malhotra"/>
    <x v="0"/>
    <x v="1"/>
    <x v="2"/>
    <n v="3"/>
    <n v="599"/>
    <n v="1797"/>
    <x v="1"/>
    <n v="269.55"/>
    <n v="1527.45"/>
    <x v="0"/>
    <x v="0"/>
  </r>
  <r>
    <x v="2521"/>
    <s v="26 Wed"/>
    <x v="10"/>
    <x v="0"/>
    <s v="CUST-1037"/>
    <s v="Aarav Gupta"/>
    <x v="4"/>
    <x v="6"/>
    <x v="13"/>
    <n v="2"/>
    <n v="699"/>
    <n v="1398"/>
    <x v="4"/>
    <n v="139.80000000000001"/>
    <n v="1258.2"/>
    <x v="4"/>
    <x v="0"/>
  </r>
  <r>
    <x v="2522"/>
    <s v="26 Wed"/>
    <x v="10"/>
    <x v="0"/>
    <s v="CUST-1141"/>
    <s v="Tanya Kapoor"/>
    <x v="1"/>
    <x v="6"/>
    <x v="13"/>
    <n v="1"/>
    <n v="699"/>
    <n v="699"/>
    <x v="6"/>
    <n v="209.7"/>
    <n v="489.3"/>
    <x v="1"/>
    <x v="0"/>
  </r>
  <r>
    <x v="2523"/>
    <s v="26 Wed"/>
    <x v="10"/>
    <x v="0"/>
    <s v="CUST-1259"/>
    <s v="Rahul Singh"/>
    <x v="2"/>
    <x v="5"/>
    <x v="9"/>
    <n v="1"/>
    <n v="549"/>
    <n v="549"/>
    <x v="0"/>
    <n v="0"/>
    <n v="549"/>
    <x v="4"/>
    <x v="1"/>
  </r>
  <r>
    <x v="2524"/>
    <s v="26 Wed"/>
    <x v="10"/>
    <x v="0"/>
    <s v="CUST-1164"/>
    <s v="Kabir Malhotra"/>
    <x v="3"/>
    <x v="2"/>
    <x v="15"/>
    <n v="1"/>
    <n v="299"/>
    <n v="299"/>
    <x v="0"/>
    <n v="0"/>
    <n v="299"/>
    <x v="2"/>
    <x v="0"/>
  </r>
  <r>
    <x v="2525"/>
    <s v="26 Wed"/>
    <x v="10"/>
    <x v="0"/>
    <s v="CUST-1173"/>
    <s v="Ankit Gupta"/>
    <x v="0"/>
    <x v="2"/>
    <x v="3"/>
    <n v="3"/>
    <n v="249"/>
    <n v="747"/>
    <x v="2"/>
    <n v="37.35"/>
    <n v="709.65"/>
    <x v="0"/>
    <x v="1"/>
  </r>
  <r>
    <x v="2526"/>
    <s v="27 Thu"/>
    <x v="10"/>
    <x v="0"/>
    <s v="CUST-1385"/>
    <s v="Aman Kapoor"/>
    <x v="4"/>
    <x v="6"/>
    <x v="13"/>
    <n v="2"/>
    <n v="699"/>
    <n v="1398"/>
    <x v="5"/>
    <n v="349.5"/>
    <n v="1048.5"/>
    <x v="0"/>
    <x v="0"/>
  </r>
  <r>
    <x v="2527"/>
    <s v="27 Thu"/>
    <x v="10"/>
    <x v="0"/>
    <s v="CUST-1330"/>
    <s v="Nandini Gupta"/>
    <x v="2"/>
    <x v="5"/>
    <x v="9"/>
    <n v="4"/>
    <n v="549"/>
    <n v="2196"/>
    <x v="4"/>
    <n v="219.6"/>
    <n v="1976.4"/>
    <x v="3"/>
    <x v="0"/>
  </r>
  <r>
    <x v="2528"/>
    <s v="27 Thu"/>
    <x v="10"/>
    <x v="0"/>
    <s v="CUST-1262"/>
    <s v="Kunal Joshi"/>
    <x v="0"/>
    <x v="1"/>
    <x v="2"/>
    <n v="4"/>
    <n v="599"/>
    <n v="2396"/>
    <x v="5"/>
    <n v="599"/>
    <n v="1797"/>
    <x v="2"/>
    <x v="0"/>
  </r>
  <r>
    <x v="2529"/>
    <s v="27 Thu"/>
    <x v="10"/>
    <x v="0"/>
    <s v="CUST-1044"/>
    <s v="Swati Saxena"/>
    <x v="0"/>
    <x v="1"/>
    <x v="14"/>
    <n v="2"/>
    <n v="1799"/>
    <n v="3598"/>
    <x v="6"/>
    <n v="1079.4000000000001"/>
    <n v="2518.6"/>
    <x v="2"/>
    <x v="0"/>
  </r>
  <r>
    <x v="2530"/>
    <s v="27 Thu"/>
    <x v="10"/>
    <x v="0"/>
    <s v="CUST-1374"/>
    <s v="Isha Sharma"/>
    <x v="4"/>
    <x v="3"/>
    <x v="5"/>
    <n v="1"/>
    <n v="1299"/>
    <n v="1299"/>
    <x v="4"/>
    <n v="129.9"/>
    <n v="1169.0999999999999"/>
    <x v="1"/>
    <x v="0"/>
  </r>
  <r>
    <x v="2531"/>
    <s v="27 Thu"/>
    <x v="10"/>
    <x v="0"/>
    <s v="CUST-1331"/>
    <s v="Arjun Singh"/>
    <x v="4"/>
    <x v="1"/>
    <x v="14"/>
    <n v="1"/>
    <n v="1799"/>
    <n v="1799"/>
    <x v="3"/>
    <n v="359.8"/>
    <n v="1439.2"/>
    <x v="2"/>
    <x v="0"/>
  </r>
  <r>
    <x v="2532"/>
    <s v="27 Thu"/>
    <x v="10"/>
    <x v="0"/>
    <s v="CUST-1240"/>
    <s v="Sakshi Patel"/>
    <x v="1"/>
    <x v="4"/>
    <x v="11"/>
    <n v="1"/>
    <n v="499"/>
    <n v="499"/>
    <x v="1"/>
    <n v="74.849999999999994"/>
    <n v="424.15"/>
    <x v="0"/>
    <x v="1"/>
  </r>
  <r>
    <x v="2533"/>
    <s v="27 Thu"/>
    <x v="10"/>
    <x v="0"/>
    <s v="CUST-1193"/>
    <s v="Komal Saxena"/>
    <x v="0"/>
    <x v="4"/>
    <x v="11"/>
    <n v="3"/>
    <n v="499"/>
    <n v="1497"/>
    <x v="6"/>
    <n v="449.1"/>
    <n v="1047.9000000000001"/>
    <x v="1"/>
    <x v="0"/>
  </r>
  <r>
    <x v="2534"/>
    <s v="27 Thu"/>
    <x v="10"/>
    <x v="0"/>
    <s v="CUST-1317"/>
    <s v="Aditya Kapoor"/>
    <x v="4"/>
    <x v="4"/>
    <x v="10"/>
    <n v="1"/>
    <n v="899"/>
    <n v="899"/>
    <x v="3"/>
    <n v="179.8"/>
    <n v="719.2"/>
    <x v="0"/>
    <x v="0"/>
  </r>
  <r>
    <x v="2535"/>
    <s v="27 Thu"/>
    <x v="10"/>
    <x v="0"/>
    <s v="CUST-1015"/>
    <s v="Swati Joshi"/>
    <x v="0"/>
    <x v="1"/>
    <x v="2"/>
    <n v="1"/>
    <n v="599"/>
    <n v="599"/>
    <x v="2"/>
    <n v="29.95"/>
    <n v="569.04999999999995"/>
    <x v="0"/>
    <x v="0"/>
  </r>
  <r>
    <x v="2536"/>
    <s v="27 Thu"/>
    <x v="10"/>
    <x v="0"/>
    <s v="CUST-1229"/>
    <s v="Vivaan Singh"/>
    <x v="0"/>
    <x v="4"/>
    <x v="7"/>
    <n v="3"/>
    <n v="1999"/>
    <n v="5997"/>
    <x v="4"/>
    <n v="599.70000000000005"/>
    <n v="5397.3"/>
    <x v="2"/>
    <x v="1"/>
  </r>
  <r>
    <x v="2537"/>
    <s v="27 Thu"/>
    <x v="10"/>
    <x v="0"/>
    <s v="CUST-1061"/>
    <s v="Muskan Patel"/>
    <x v="3"/>
    <x v="6"/>
    <x v="12"/>
    <n v="1"/>
    <n v="1499"/>
    <n v="1499"/>
    <x v="1"/>
    <n v="224.85"/>
    <n v="1274.1500000000001"/>
    <x v="1"/>
    <x v="0"/>
  </r>
  <r>
    <x v="2538"/>
    <s v="28 Fri"/>
    <x v="10"/>
    <x v="0"/>
    <s v="CUST-1293"/>
    <s v="Sakshi Singh"/>
    <x v="3"/>
    <x v="6"/>
    <x v="12"/>
    <n v="1"/>
    <n v="1499"/>
    <n v="1499"/>
    <x v="2"/>
    <n v="74.95"/>
    <n v="1424.05"/>
    <x v="1"/>
    <x v="1"/>
  </r>
  <r>
    <x v="2539"/>
    <s v="28 Fri"/>
    <x v="10"/>
    <x v="0"/>
    <s v="CUST-1294"/>
    <s v="Kabir Joshi"/>
    <x v="2"/>
    <x v="3"/>
    <x v="6"/>
    <n v="1"/>
    <n v="799"/>
    <n v="799"/>
    <x v="0"/>
    <n v="0"/>
    <n v="799"/>
    <x v="3"/>
    <x v="0"/>
  </r>
  <r>
    <x v="2540"/>
    <s v="28 Fri"/>
    <x v="10"/>
    <x v="0"/>
    <s v="CUST-1115"/>
    <s v="Divya Kapoor"/>
    <x v="3"/>
    <x v="4"/>
    <x v="7"/>
    <n v="3"/>
    <n v="1999"/>
    <n v="5997"/>
    <x v="4"/>
    <n v="599.70000000000005"/>
    <n v="5397.3"/>
    <x v="3"/>
    <x v="0"/>
  </r>
  <r>
    <x v="2541"/>
    <s v="28 Fri"/>
    <x v="10"/>
    <x v="0"/>
    <s v="CUST-1153"/>
    <s v="Swati Verma"/>
    <x v="1"/>
    <x v="4"/>
    <x v="10"/>
    <n v="1"/>
    <n v="899"/>
    <n v="899"/>
    <x v="1"/>
    <n v="134.85"/>
    <n v="764.15"/>
    <x v="3"/>
    <x v="0"/>
  </r>
  <r>
    <x v="2542"/>
    <s v="28 Fri"/>
    <x v="10"/>
    <x v="0"/>
    <s v="CUST-1183"/>
    <s v="Arjun Mehta"/>
    <x v="2"/>
    <x v="5"/>
    <x v="8"/>
    <n v="1"/>
    <n v="349"/>
    <n v="349"/>
    <x v="3"/>
    <n v="69.8"/>
    <n v="279.2"/>
    <x v="1"/>
    <x v="0"/>
  </r>
  <r>
    <x v="2543"/>
    <s v="28 Fri"/>
    <x v="10"/>
    <x v="0"/>
    <s v="CUST-1302"/>
    <s v="Arjun Saxena"/>
    <x v="1"/>
    <x v="4"/>
    <x v="11"/>
    <n v="1"/>
    <n v="499"/>
    <n v="499"/>
    <x v="0"/>
    <n v="0"/>
    <n v="499"/>
    <x v="3"/>
    <x v="1"/>
  </r>
  <r>
    <x v="2544"/>
    <s v="28 Fri"/>
    <x v="10"/>
    <x v="0"/>
    <s v="CUST-1029"/>
    <s v="Swati Patel"/>
    <x v="4"/>
    <x v="6"/>
    <x v="12"/>
    <n v="1"/>
    <n v="1499"/>
    <n v="1499"/>
    <x v="1"/>
    <n v="224.85"/>
    <n v="1274.1500000000001"/>
    <x v="1"/>
    <x v="1"/>
  </r>
  <r>
    <x v="2545"/>
    <s v="28 Fri"/>
    <x v="10"/>
    <x v="0"/>
    <s v="CUST-1181"/>
    <s v="Kunal Sharma"/>
    <x v="0"/>
    <x v="0"/>
    <x v="0"/>
    <n v="2"/>
    <n v="99"/>
    <n v="198"/>
    <x v="3"/>
    <n v="39.6"/>
    <n v="158.4"/>
    <x v="3"/>
    <x v="0"/>
  </r>
  <r>
    <x v="2546"/>
    <s v="28 Fri"/>
    <x v="10"/>
    <x v="0"/>
    <s v="CUST-1001"/>
    <s v="Rohan Patel"/>
    <x v="1"/>
    <x v="5"/>
    <x v="9"/>
    <n v="2"/>
    <n v="549"/>
    <n v="1098"/>
    <x v="0"/>
    <n v="0"/>
    <n v="1098"/>
    <x v="2"/>
    <x v="0"/>
  </r>
  <r>
    <x v="2547"/>
    <s v="28 Fri"/>
    <x v="10"/>
    <x v="0"/>
    <s v="CUST-1268"/>
    <s v="Aman Verma"/>
    <x v="1"/>
    <x v="1"/>
    <x v="4"/>
    <n v="1"/>
    <n v="2999"/>
    <n v="2999"/>
    <x v="6"/>
    <n v="899.7"/>
    <n v="2099.3000000000002"/>
    <x v="1"/>
    <x v="1"/>
  </r>
  <r>
    <x v="2548"/>
    <s v="29 Sat"/>
    <x v="10"/>
    <x v="0"/>
    <s v="CUST-1004"/>
    <s v="Tanya Malhotra"/>
    <x v="3"/>
    <x v="3"/>
    <x v="5"/>
    <n v="1"/>
    <n v="1299"/>
    <n v="1299"/>
    <x v="3"/>
    <n v="259.8"/>
    <n v="1039.2"/>
    <x v="1"/>
    <x v="1"/>
  </r>
  <r>
    <x v="2549"/>
    <s v="29 Sat"/>
    <x v="10"/>
    <x v="0"/>
    <s v="CUST-1036"/>
    <s v="Nandini Mehta"/>
    <x v="4"/>
    <x v="3"/>
    <x v="6"/>
    <n v="1"/>
    <n v="799"/>
    <n v="799"/>
    <x v="2"/>
    <n v="39.950000000000003"/>
    <n v="759.05"/>
    <x v="0"/>
    <x v="1"/>
  </r>
  <r>
    <x v="2550"/>
    <s v="29 Sat"/>
    <x v="10"/>
    <x v="0"/>
    <s v="CUST-1120"/>
    <s v="Divya Kapoor"/>
    <x v="4"/>
    <x v="6"/>
    <x v="12"/>
    <n v="3"/>
    <n v="1499"/>
    <n v="4497"/>
    <x v="5"/>
    <n v="1124.25"/>
    <n v="3372.75"/>
    <x v="3"/>
    <x v="1"/>
  </r>
  <r>
    <x v="2551"/>
    <s v="29 Sat"/>
    <x v="10"/>
    <x v="0"/>
    <s v="CUST-1374"/>
    <s v="Isha Sharma"/>
    <x v="1"/>
    <x v="1"/>
    <x v="2"/>
    <n v="1"/>
    <n v="599"/>
    <n v="599"/>
    <x v="3"/>
    <n v="119.8"/>
    <n v="479.2"/>
    <x v="0"/>
    <x v="1"/>
  </r>
  <r>
    <x v="2552"/>
    <s v="29 Sat"/>
    <x v="10"/>
    <x v="0"/>
    <s v="CUST-1042"/>
    <s v="Kunal Saxena"/>
    <x v="3"/>
    <x v="1"/>
    <x v="14"/>
    <n v="1"/>
    <n v="1799"/>
    <n v="1799"/>
    <x v="0"/>
    <n v="0"/>
    <n v="1799"/>
    <x v="2"/>
    <x v="1"/>
  </r>
  <r>
    <x v="2553"/>
    <s v="29 Sat"/>
    <x v="10"/>
    <x v="0"/>
    <s v="CUST-1305"/>
    <s v="Muskan Joshi"/>
    <x v="1"/>
    <x v="2"/>
    <x v="3"/>
    <n v="5"/>
    <n v="249"/>
    <n v="1245"/>
    <x v="3"/>
    <n v="249"/>
    <n v="996"/>
    <x v="4"/>
    <x v="0"/>
  </r>
  <r>
    <x v="2554"/>
    <s v="29 Sat"/>
    <x v="10"/>
    <x v="0"/>
    <s v="CUST-1381"/>
    <s v="Kabir Kapoor"/>
    <x v="2"/>
    <x v="1"/>
    <x v="2"/>
    <n v="1"/>
    <n v="599"/>
    <n v="599"/>
    <x v="1"/>
    <n v="89.85"/>
    <n v="509.15"/>
    <x v="1"/>
    <x v="1"/>
  </r>
  <r>
    <x v="2555"/>
    <s v="29 Sat"/>
    <x v="10"/>
    <x v="0"/>
    <s v="CUST-1166"/>
    <s v="Divya Mehta"/>
    <x v="1"/>
    <x v="6"/>
    <x v="13"/>
    <n v="1"/>
    <n v="699"/>
    <n v="699"/>
    <x v="3"/>
    <n v="139.80000000000001"/>
    <n v="559.20000000000005"/>
    <x v="2"/>
    <x v="1"/>
  </r>
  <r>
    <x v="2556"/>
    <s v="29 Sat"/>
    <x v="10"/>
    <x v="0"/>
    <s v="CUST-1157"/>
    <s v="Arjun Verma"/>
    <x v="3"/>
    <x v="4"/>
    <x v="7"/>
    <n v="3"/>
    <n v="1999"/>
    <n v="5997"/>
    <x v="1"/>
    <n v="899.55"/>
    <n v="5097.45"/>
    <x v="1"/>
    <x v="1"/>
  </r>
  <r>
    <x v="2557"/>
    <s v="29 Sat"/>
    <x v="10"/>
    <x v="0"/>
    <s v="CUST-1104"/>
    <s v="Nandini Saxena"/>
    <x v="2"/>
    <x v="2"/>
    <x v="15"/>
    <n v="3"/>
    <n v="299"/>
    <n v="897"/>
    <x v="4"/>
    <n v="89.7"/>
    <n v="807.3"/>
    <x v="1"/>
    <x v="0"/>
  </r>
  <r>
    <x v="2558"/>
    <s v="29 Sat"/>
    <x v="10"/>
    <x v="0"/>
    <s v="CUST-1206"/>
    <s v="Aditya Gupta"/>
    <x v="4"/>
    <x v="6"/>
    <x v="13"/>
    <n v="3"/>
    <n v="699"/>
    <n v="2097"/>
    <x v="5"/>
    <n v="524.25"/>
    <n v="1572.75"/>
    <x v="0"/>
    <x v="0"/>
  </r>
  <r>
    <x v="2559"/>
    <s v="29 Sat"/>
    <x v="10"/>
    <x v="0"/>
    <s v="CUST-1166"/>
    <s v="Divya Mehta"/>
    <x v="3"/>
    <x v="6"/>
    <x v="13"/>
    <n v="1"/>
    <n v="699"/>
    <n v="699"/>
    <x v="5"/>
    <n v="174.75"/>
    <n v="524.25"/>
    <x v="0"/>
    <x v="0"/>
  </r>
  <r>
    <x v="2560"/>
    <s v="29 Sat"/>
    <x v="10"/>
    <x v="0"/>
    <s v="CUST-1242"/>
    <s v="Sakshi Malhotra"/>
    <x v="2"/>
    <x v="5"/>
    <x v="8"/>
    <n v="2"/>
    <n v="349"/>
    <n v="698"/>
    <x v="1"/>
    <n v="104.7"/>
    <n v="593.29999999999995"/>
    <x v="4"/>
    <x v="1"/>
  </r>
  <r>
    <x v="2561"/>
    <s v="30 Sun"/>
    <x v="10"/>
    <x v="0"/>
    <s v="CUST-1175"/>
    <s v="Vivaan Kapoor"/>
    <x v="2"/>
    <x v="2"/>
    <x v="15"/>
    <n v="1"/>
    <n v="299"/>
    <n v="299"/>
    <x v="2"/>
    <n v="14.95"/>
    <n v="284.05"/>
    <x v="0"/>
    <x v="1"/>
  </r>
  <r>
    <x v="2562"/>
    <s v="30 Sun"/>
    <x v="10"/>
    <x v="0"/>
    <s v="CUST-1342"/>
    <s v="Vivaan Saxena"/>
    <x v="4"/>
    <x v="0"/>
    <x v="0"/>
    <n v="1"/>
    <n v="99"/>
    <n v="99"/>
    <x v="2"/>
    <n v="4.95"/>
    <n v="94.05"/>
    <x v="4"/>
    <x v="0"/>
  </r>
  <r>
    <x v="2563"/>
    <s v="30 Sun"/>
    <x v="10"/>
    <x v="0"/>
    <s v="CUST-1061"/>
    <s v="Muskan Patel"/>
    <x v="1"/>
    <x v="5"/>
    <x v="8"/>
    <n v="1"/>
    <n v="349"/>
    <n v="349"/>
    <x v="6"/>
    <n v="104.7"/>
    <n v="244.3"/>
    <x v="3"/>
    <x v="1"/>
  </r>
  <r>
    <x v="2564"/>
    <s v="30 Sun"/>
    <x v="10"/>
    <x v="0"/>
    <s v="CUST-1189"/>
    <s v="Vivaan Mehta"/>
    <x v="4"/>
    <x v="6"/>
    <x v="12"/>
    <n v="3"/>
    <n v="1499"/>
    <n v="4497"/>
    <x v="5"/>
    <n v="1124.25"/>
    <n v="3372.75"/>
    <x v="1"/>
    <x v="0"/>
  </r>
  <r>
    <x v="2565"/>
    <s v="30 Sun"/>
    <x v="10"/>
    <x v="0"/>
    <s v="CUST-1083"/>
    <s v="Komal Kapoor"/>
    <x v="3"/>
    <x v="4"/>
    <x v="10"/>
    <n v="1"/>
    <n v="899"/>
    <n v="899"/>
    <x v="5"/>
    <n v="224.75"/>
    <n v="674.25"/>
    <x v="2"/>
    <x v="0"/>
  </r>
  <r>
    <x v="2566"/>
    <s v="30 Sun"/>
    <x v="10"/>
    <x v="0"/>
    <s v="CUST-1318"/>
    <s v="Tanya Verma"/>
    <x v="4"/>
    <x v="6"/>
    <x v="12"/>
    <n v="1"/>
    <n v="1499"/>
    <n v="1499"/>
    <x v="5"/>
    <n v="374.75"/>
    <n v="1124.25"/>
    <x v="2"/>
    <x v="1"/>
  </r>
  <r>
    <x v="2567"/>
    <s v="30 Sun"/>
    <x v="10"/>
    <x v="0"/>
    <s v="CUST-1322"/>
    <s v="Rahul Sharma"/>
    <x v="0"/>
    <x v="0"/>
    <x v="1"/>
    <n v="1"/>
    <n v="199"/>
    <n v="199"/>
    <x v="6"/>
    <n v="59.7"/>
    <n v="139.30000000000001"/>
    <x v="2"/>
    <x v="0"/>
  </r>
  <r>
    <x v="2568"/>
    <s v="30 Sun"/>
    <x v="10"/>
    <x v="0"/>
    <s v="CUST-1098"/>
    <s v="Rohan Patel"/>
    <x v="4"/>
    <x v="5"/>
    <x v="9"/>
    <n v="2"/>
    <n v="549"/>
    <n v="1098"/>
    <x v="0"/>
    <n v="0"/>
    <n v="1098"/>
    <x v="0"/>
    <x v="1"/>
  </r>
  <r>
    <x v="2569"/>
    <s v="30 Sun"/>
    <x v="10"/>
    <x v="0"/>
    <s v="CUST-1143"/>
    <s v="Muskan Saxena"/>
    <x v="2"/>
    <x v="3"/>
    <x v="6"/>
    <n v="1"/>
    <n v="799"/>
    <n v="799"/>
    <x v="2"/>
    <n v="39.950000000000003"/>
    <n v="759.05"/>
    <x v="2"/>
    <x v="0"/>
  </r>
  <r>
    <x v="2570"/>
    <s v="30 Sun"/>
    <x v="10"/>
    <x v="0"/>
    <s v="CUST-1220"/>
    <s v="Aditya Kapoor"/>
    <x v="0"/>
    <x v="4"/>
    <x v="11"/>
    <n v="1"/>
    <n v="499"/>
    <n v="499"/>
    <x v="1"/>
    <n v="74.849999999999994"/>
    <n v="424.15"/>
    <x v="2"/>
    <x v="1"/>
  </r>
  <r>
    <x v="2571"/>
    <s v="30 Sun"/>
    <x v="10"/>
    <x v="0"/>
    <s v="CUST-1202"/>
    <s v="Isha Verma"/>
    <x v="0"/>
    <x v="0"/>
    <x v="0"/>
    <n v="1"/>
    <n v="99"/>
    <n v="99"/>
    <x v="3"/>
    <n v="19.8"/>
    <n v="79.2"/>
    <x v="0"/>
    <x v="1"/>
  </r>
  <r>
    <x v="2572"/>
    <s v="30 Sun"/>
    <x v="10"/>
    <x v="0"/>
    <s v="CUST-1236"/>
    <s v="Divya Mehta"/>
    <x v="0"/>
    <x v="5"/>
    <x v="8"/>
    <n v="1"/>
    <n v="349"/>
    <n v="349"/>
    <x v="4"/>
    <n v="34.9"/>
    <n v="314.10000000000002"/>
    <x v="2"/>
    <x v="0"/>
  </r>
  <r>
    <x v="2573"/>
    <s v="30 Sun"/>
    <x v="10"/>
    <x v="0"/>
    <s v="CUST-1030"/>
    <s v="Rahul Kapoor"/>
    <x v="1"/>
    <x v="6"/>
    <x v="13"/>
    <n v="2"/>
    <n v="699"/>
    <n v="1398"/>
    <x v="6"/>
    <n v="419.4"/>
    <n v="978.6"/>
    <x v="0"/>
    <x v="1"/>
  </r>
  <r>
    <x v="2574"/>
    <s v="30 Sun"/>
    <x v="10"/>
    <x v="0"/>
    <s v="CUST-1139"/>
    <s v="Aditya Sharma"/>
    <x v="2"/>
    <x v="1"/>
    <x v="4"/>
    <n v="4"/>
    <n v="2999"/>
    <n v="11996"/>
    <x v="0"/>
    <n v="0"/>
    <n v="11996"/>
    <x v="1"/>
    <x v="1"/>
  </r>
  <r>
    <x v="2575"/>
    <s v="30 Sun"/>
    <x v="10"/>
    <x v="0"/>
    <s v="CUST-1271"/>
    <s v="Nandini Sharma"/>
    <x v="1"/>
    <x v="2"/>
    <x v="15"/>
    <n v="3"/>
    <n v="299"/>
    <n v="897"/>
    <x v="0"/>
    <n v="0"/>
    <n v="897"/>
    <x v="1"/>
    <x v="0"/>
  </r>
  <r>
    <x v="2576"/>
    <s v="30 Sun"/>
    <x v="10"/>
    <x v="0"/>
    <s v="CUST-1020"/>
    <s v="Rohan Malhotra"/>
    <x v="1"/>
    <x v="5"/>
    <x v="9"/>
    <n v="2"/>
    <n v="549"/>
    <n v="1098"/>
    <x v="0"/>
    <n v="0"/>
    <n v="1098"/>
    <x v="0"/>
    <x v="0"/>
  </r>
  <r>
    <x v="2577"/>
    <s v="1 Mon"/>
    <x v="11"/>
    <x v="0"/>
    <s v="CUST-1295"/>
    <s v="Tanya Singh"/>
    <x v="1"/>
    <x v="4"/>
    <x v="11"/>
    <n v="1"/>
    <n v="499"/>
    <n v="499"/>
    <x v="0"/>
    <n v="0"/>
    <n v="499"/>
    <x v="3"/>
    <x v="0"/>
  </r>
  <r>
    <x v="2578"/>
    <s v="1 Mon"/>
    <x v="11"/>
    <x v="0"/>
    <s v="CUST-1328"/>
    <s v="Arjun Verma"/>
    <x v="2"/>
    <x v="6"/>
    <x v="13"/>
    <n v="1"/>
    <n v="699"/>
    <n v="699"/>
    <x v="0"/>
    <n v="0"/>
    <n v="699"/>
    <x v="0"/>
    <x v="0"/>
  </r>
  <r>
    <x v="2579"/>
    <s v="1 Mon"/>
    <x v="11"/>
    <x v="0"/>
    <s v="CUST-1321"/>
    <s v="Isha Mehta"/>
    <x v="3"/>
    <x v="1"/>
    <x v="4"/>
    <n v="1"/>
    <n v="2999"/>
    <n v="2999"/>
    <x v="3"/>
    <n v="599.79999999999995"/>
    <n v="2399.1999999999998"/>
    <x v="2"/>
    <x v="1"/>
  </r>
  <r>
    <x v="2580"/>
    <s v="1 Mon"/>
    <x v="11"/>
    <x v="0"/>
    <s v="CUST-1294"/>
    <s v="Kabir Joshi"/>
    <x v="2"/>
    <x v="1"/>
    <x v="4"/>
    <n v="2"/>
    <n v="2999"/>
    <n v="5998"/>
    <x v="6"/>
    <n v="1799.4"/>
    <n v="4198.6000000000004"/>
    <x v="4"/>
    <x v="1"/>
  </r>
  <r>
    <x v="2581"/>
    <s v="1 Mon"/>
    <x v="11"/>
    <x v="0"/>
    <s v="CUST-1138"/>
    <s v="Tanya Singh"/>
    <x v="1"/>
    <x v="5"/>
    <x v="9"/>
    <n v="2"/>
    <n v="549"/>
    <n v="1098"/>
    <x v="3"/>
    <n v="219.6"/>
    <n v="878.4"/>
    <x v="4"/>
    <x v="1"/>
  </r>
  <r>
    <x v="2582"/>
    <s v="1 Mon"/>
    <x v="11"/>
    <x v="0"/>
    <s v="CUST-1076"/>
    <s v="Tanya Saxena"/>
    <x v="4"/>
    <x v="6"/>
    <x v="12"/>
    <n v="1"/>
    <n v="1499"/>
    <n v="1499"/>
    <x v="5"/>
    <n v="374.75"/>
    <n v="1124.25"/>
    <x v="4"/>
    <x v="0"/>
  </r>
  <r>
    <x v="2583"/>
    <s v="1 Mon"/>
    <x v="11"/>
    <x v="0"/>
    <s v="CUST-1328"/>
    <s v="Arjun Verma"/>
    <x v="1"/>
    <x v="4"/>
    <x v="10"/>
    <n v="5"/>
    <n v="899"/>
    <n v="4495"/>
    <x v="5"/>
    <n v="1123.75"/>
    <n v="3371.25"/>
    <x v="0"/>
    <x v="0"/>
  </r>
  <r>
    <x v="2584"/>
    <s v="1 Mon"/>
    <x v="11"/>
    <x v="0"/>
    <s v="CUST-1149"/>
    <s v="Aarav Verma"/>
    <x v="3"/>
    <x v="1"/>
    <x v="2"/>
    <n v="2"/>
    <n v="599"/>
    <n v="1198"/>
    <x v="4"/>
    <n v="119.8"/>
    <n v="1078.2"/>
    <x v="2"/>
    <x v="0"/>
  </r>
  <r>
    <x v="2585"/>
    <s v="1 Mon"/>
    <x v="11"/>
    <x v="0"/>
    <s v="CUST-1052"/>
    <s v="Meera Verma"/>
    <x v="4"/>
    <x v="2"/>
    <x v="15"/>
    <n v="1"/>
    <n v="299"/>
    <n v="299"/>
    <x v="4"/>
    <n v="29.9"/>
    <n v="269.10000000000002"/>
    <x v="4"/>
    <x v="0"/>
  </r>
  <r>
    <x v="2586"/>
    <s v="1 Mon"/>
    <x v="11"/>
    <x v="0"/>
    <s v="CUST-1388"/>
    <s v="Aarav Saxena"/>
    <x v="3"/>
    <x v="2"/>
    <x v="3"/>
    <n v="3"/>
    <n v="249"/>
    <n v="747"/>
    <x v="2"/>
    <n v="37.35"/>
    <n v="709.65"/>
    <x v="0"/>
    <x v="1"/>
  </r>
  <r>
    <x v="2587"/>
    <s v="1 Mon"/>
    <x v="11"/>
    <x v="0"/>
    <s v="CUST-1096"/>
    <s v="Kunal Saxena"/>
    <x v="3"/>
    <x v="0"/>
    <x v="0"/>
    <n v="1"/>
    <n v="99"/>
    <n v="99"/>
    <x v="6"/>
    <n v="29.7"/>
    <n v="69.3"/>
    <x v="0"/>
    <x v="0"/>
  </r>
  <r>
    <x v="2588"/>
    <s v="1 Mon"/>
    <x v="11"/>
    <x v="0"/>
    <s v="CUST-1109"/>
    <s v="Kabir Mehta"/>
    <x v="1"/>
    <x v="1"/>
    <x v="2"/>
    <n v="1"/>
    <n v="599"/>
    <n v="599"/>
    <x v="6"/>
    <n v="179.7"/>
    <n v="419.3"/>
    <x v="2"/>
    <x v="1"/>
  </r>
  <r>
    <x v="2589"/>
    <s v="1 Mon"/>
    <x v="11"/>
    <x v="0"/>
    <s v="CUST-1076"/>
    <s v="Tanya Saxena"/>
    <x v="1"/>
    <x v="6"/>
    <x v="12"/>
    <n v="1"/>
    <n v="1499"/>
    <n v="1499"/>
    <x v="6"/>
    <n v="449.7"/>
    <n v="1049.3"/>
    <x v="1"/>
    <x v="0"/>
  </r>
  <r>
    <x v="2590"/>
    <s v="1 Mon"/>
    <x v="11"/>
    <x v="0"/>
    <s v="CUST-1179"/>
    <s v="Nandini Saxena"/>
    <x v="4"/>
    <x v="0"/>
    <x v="1"/>
    <n v="1"/>
    <n v="199"/>
    <n v="199"/>
    <x v="5"/>
    <n v="49.75"/>
    <n v="149.25"/>
    <x v="4"/>
    <x v="0"/>
  </r>
  <r>
    <x v="2591"/>
    <s v="1 Mon"/>
    <x v="11"/>
    <x v="0"/>
    <s v="CUST-1159"/>
    <s v="Isha Kapoor"/>
    <x v="1"/>
    <x v="5"/>
    <x v="8"/>
    <n v="1"/>
    <n v="349"/>
    <n v="349"/>
    <x v="1"/>
    <n v="52.35"/>
    <n v="296.64999999999998"/>
    <x v="0"/>
    <x v="0"/>
  </r>
  <r>
    <x v="2592"/>
    <s v="2 Tue"/>
    <x v="11"/>
    <x v="0"/>
    <s v="CUST-1149"/>
    <s v="Aarav Verma"/>
    <x v="0"/>
    <x v="0"/>
    <x v="1"/>
    <n v="2"/>
    <n v="199"/>
    <n v="398"/>
    <x v="0"/>
    <n v="0"/>
    <n v="398"/>
    <x v="4"/>
    <x v="0"/>
  </r>
  <r>
    <x v="2593"/>
    <s v="2 Tue"/>
    <x v="11"/>
    <x v="0"/>
    <s v="CUST-1250"/>
    <s v="Shreya Saxena"/>
    <x v="0"/>
    <x v="5"/>
    <x v="8"/>
    <n v="1"/>
    <n v="349"/>
    <n v="349"/>
    <x v="3"/>
    <n v="69.8"/>
    <n v="279.2"/>
    <x v="2"/>
    <x v="1"/>
  </r>
  <r>
    <x v="2594"/>
    <s v="2 Tue"/>
    <x v="11"/>
    <x v="0"/>
    <s v="CUST-1371"/>
    <s v="Rahul Verma"/>
    <x v="3"/>
    <x v="6"/>
    <x v="13"/>
    <n v="4"/>
    <n v="699"/>
    <n v="2796"/>
    <x v="1"/>
    <n v="419.4"/>
    <n v="2376.6"/>
    <x v="2"/>
    <x v="0"/>
  </r>
  <r>
    <x v="2595"/>
    <s v="2 Tue"/>
    <x v="11"/>
    <x v="0"/>
    <s v="CUST-1202"/>
    <s v="Isha Verma"/>
    <x v="0"/>
    <x v="5"/>
    <x v="8"/>
    <n v="2"/>
    <n v="349"/>
    <n v="698"/>
    <x v="1"/>
    <n v="104.7"/>
    <n v="593.29999999999995"/>
    <x v="2"/>
    <x v="0"/>
  </r>
  <r>
    <x v="2596"/>
    <s v="2 Tue"/>
    <x v="11"/>
    <x v="0"/>
    <s v="CUST-1287"/>
    <s v="Divya Kapoor"/>
    <x v="3"/>
    <x v="4"/>
    <x v="7"/>
    <n v="3"/>
    <n v="1999"/>
    <n v="5997"/>
    <x v="3"/>
    <n v="1199.4000000000001"/>
    <n v="4797.6000000000004"/>
    <x v="4"/>
    <x v="1"/>
  </r>
  <r>
    <x v="2597"/>
    <s v="2 Tue"/>
    <x v="11"/>
    <x v="0"/>
    <s v="CUST-1012"/>
    <s v="Shreya Patel"/>
    <x v="3"/>
    <x v="6"/>
    <x v="13"/>
    <n v="1"/>
    <n v="699"/>
    <n v="699"/>
    <x v="5"/>
    <n v="174.75"/>
    <n v="524.25"/>
    <x v="0"/>
    <x v="0"/>
  </r>
  <r>
    <x v="2598"/>
    <s v="3 Wed"/>
    <x v="11"/>
    <x v="0"/>
    <s v="CUST-1207"/>
    <s v="Rohan Malhotra"/>
    <x v="2"/>
    <x v="4"/>
    <x v="7"/>
    <n v="5"/>
    <n v="1999"/>
    <n v="9995"/>
    <x v="1"/>
    <n v="1499.25"/>
    <n v="8495.75"/>
    <x v="1"/>
    <x v="0"/>
  </r>
  <r>
    <x v="2599"/>
    <s v="3 Wed"/>
    <x v="11"/>
    <x v="0"/>
    <s v="CUST-1178"/>
    <s v="Komal Sharma"/>
    <x v="0"/>
    <x v="0"/>
    <x v="0"/>
    <n v="2"/>
    <n v="99"/>
    <n v="198"/>
    <x v="6"/>
    <n v="59.4"/>
    <n v="138.6"/>
    <x v="4"/>
    <x v="1"/>
  </r>
  <r>
    <x v="2600"/>
    <s v="3 Wed"/>
    <x v="11"/>
    <x v="0"/>
    <s v="CUST-1267"/>
    <s v="Komal Joshi"/>
    <x v="4"/>
    <x v="2"/>
    <x v="3"/>
    <n v="4"/>
    <n v="249"/>
    <n v="996"/>
    <x v="6"/>
    <n v="298.8"/>
    <n v="697.2"/>
    <x v="2"/>
    <x v="0"/>
  </r>
  <r>
    <x v="2601"/>
    <s v="3 Wed"/>
    <x v="11"/>
    <x v="0"/>
    <s v="CUST-1378"/>
    <s v="Rahul Mehta"/>
    <x v="1"/>
    <x v="4"/>
    <x v="7"/>
    <n v="1"/>
    <n v="1999"/>
    <n v="1999"/>
    <x v="4"/>
    <n v="199.9"/>
    <n v="1799.1"/>
    <x v="0"/>
    <x v="0"/>
  </r>
  <r>
    <x v="2602"/>
    <s v="3 Wed"/>
    <x v="11"/>
    <x v="0"/>
    <s v="CUST-1261"/>
    <s v="Shreya Patel"/>
    <x v="0"/>
    <x v="3"/>
    <x v="6"/>
    <n v="2"/>
    <n v="799"/>
    <n v="1598"/>
    <x v="3"/>
    <n v="319.60000000000002"/>
    <n v="1278.4000000000001"/>
    <x v="2"/>
    <x v="1"/>
  </r>
  <r>
    <x v="2603"/>
    <s v="3 Wed"/>
    <x v="11"/>
    <x v="0"/>
    <s v="CUST-1300"/>
    <s v="Vivaan Mehta"/>
    <x v="3"/>
    <x v="1"/>
    <x v="4"/>
    <n v="2"/>
    <n v="2999"/>
    <n v="5998"/>
    <x v="6"/>
    <n v="1799.4"/>
    <n v="4198.6000000000004"/>
    <x v="3"/>
    <x v="1"/>
  </r>
  <r>
    <x v="2604"/>
    <s v="3 Wed"/>
    <x v="11"/>
    <x v="0"/>
    <s v="CUST-1287"/>
    <s v="Divya Kapoor"/>
    <x v="0"/>
    <x v="2"/>
    <x v="3"/>
    <n v="4"/>
    <n v="249"/>
    <n v="996"/>
    <x v="4"/>
    <n v="99.6"/>
    <n v="896.4"/>
    <x v="0"/>
    <x v="0"/>
  </r>
  <r>
    <x v="2605"/>
    <s v="3 Wed"/>
    <x v="11"/>
    <x v="0"/>
    <s v="CUST-1276"/>
    <s v="Swati Joshi"/>
    <x v="2"/>
    <x v="2"/>
    <x v="15"/>
    <n v="1"/>
    <n v="299"/>
    <n v="299"/>
    <x v="1"/>
    <n v="44.85"/>
    <n v="254.15"/>
    <x v="0"/>
    <x v="0"/>
  </r>
  <r>
    <x v="2606"/>
    <s v="3 Wed"/>
    <x v="11"/>
    <x v="0"/>
    <s v="CUST-1019"/>
    <s v="Aarav Joshi"/>
    <x v="4"/>
    <x v="5"/>
    <x v="8"/>
    <n v="2"/>
    <n v="349"/>
    <n v="698"/>
    <x v="5"/>
    <n v="174.5"/>
    <n v="523.5"/>
    <x v="2"/>
    <x v="0"/>
  </r>
  <r>
    <x v="2607"/>
    <s v="3 Wed"/>
    <x v="11"/>
    <x v="0"/>
    <s v="CUST-1263"/>
    <s v="Tanya Mehta"/>
    <x v="4"/>
    <x v="6"/>
    <x v="13"/>
    <n v="1"/>
    <n v="699"/>
    <n v="699"/>
    <x v="1"/>
    <n v="104.85"/>
    <n v="594.15"/>
    <x v="2"/>
    <x v="0"/>
  </r>
  <r>
    <x v="2608"/>
    <s v="3 Wed"/>
    <x v="11"/>
    <x v="0"/>
    <s v="CUST-1178"/>
    <s v="Komal Sharma"/>
    <x v="1"/>
    <x v="4"/>
    <x v="10"/>
    <n v="1"/>
    <n v="899"/>
    <n v="899"/>
    <x v="4"/>
    <n v="89.9"/>
    <n v="809.1"/>
    <x v="1"/>
    <x v="0"/>
  </r>
  <r>
    <x v="2609"/>
    <s v="3 Wed"/>
    <x v="11"/>
    <x v="0"/>
    <s v="CUST-1247"/>
    <s v="Meera Malhotra"/>
    <x v="2"/>
    <x v="4"/>
    <x v="10"/>
    <n v="4"/>
    <n v="899"/>
    <n v="3596"/>
    <x v="2"/>
    <n v="179.8"/>
    <n v="3416.2"/>
    <x v="0"/>
    <x v="0"/>
  </r>
  <r>
    <x v="2610"/>
    <s v="3 Wed"/>
    <x v="11"/>
    <x v="0"/>
    <s v="CUST-1234"/>
    <s v="Meera Sharma"/>
    <x v="3"/>
    <x v="4"/>
    <x v="7"/>
    <n v="2"/>
    <n v="1999"/>
    <n v="3998"/>
    <x v="1"/>
    <n v="599.70000000000005"/>
    <n v="3398.3"/>
    <x v="2"/>
    <x v="0"/>
  </r>
  <r>
    <x v="2611"/>
    <s v="3 Wed"/>
    <x v="11"/>
    <x v="0"/>
    <s v="CUST-1365"/>
    <s v="Meera Singh"/>
    <x v="4"/>
    <x v="3"/>
    <x v="5"/>
    <n v="2"/>
    <n v="1299"/>
    <n v="2598"/>
    <x v="1"/>
    <n v="389.7"/>
    <n v="2208.3000000000002"/>
    <x v="3"/>
    <x v="0"/>
  </r>
  <r>
    <x v="2612"/>
    <s v="3 Wed"/>
    <x v="11"/>
    <x v="0"/>
    <s v="CUST-1126"/>
    <s v="Divya Sharma"/>
    <x v="2"/>
    <x v="0"/>
    <x v="0"/>
    <n v="4"/>
    <n v="99"/>
    <n v="396"/>
    <x v="6"/>
    <n v="118.8"/>
    <n v="277.2"/>
    <x v="2"/>
    <x v="0"/>
  </r>
  <r>
    <x v="2613"/>
    <s v="3 Wed"/>
    <x v="11"/>
    <x v="0"/>
    <s v="CUST-1231"/>
    <s v="Divya Gupta"/>
    <x v="0"/>
    <x v="4"/>
    <x v="11"/>
    <n v="5"/>
    <n v="499"/>
    <n v="2495"/>
    <x v="6"/>
    <n v="748.5"/>
    <n v="1746.5"/>
    <x v="1"/>
    <x v="0"/>
  </r>
  <r>
    <x v="2614"/>
    <s v="4 Thu"/>
    <x v="11"/>
    <x v="0"/>
    <s v="CUST-1089"/>
    <s v="Arjun Verma"/>
    <x v="2"/>
    <x v="4"/>
    <x v="7"/>
    <n v="2"/>
    <n v="1999"/>
    <n v="3998"/>
    <x v="3"/>
    <n v="799.6"/>
    <n v="3198.4"/>
    <x v="2"/>
    <x v="1"/>
  </r>
  <r>
    <x v="2615"/>
    <s v="4 Thu"/>
    <x v="11"/>
    <x v="0"/>
    <s v="CUST-1063"/>
    <s v="Aman Sharma"/>
    <x v="1"/>
    <x v="2"/>
    <x v="15"/>
    <n v="4"/>
    <n v="299"/>
    <n v="1196"/>
    <x v="6"/>
    <n v="358.8"/>
    <n v="837.2"/>
    <x v="3"/>
    <x v="0"/>
  </r>
  <r>
    <x v="2616"/>
    <s v="4 Thu"/>
    <x v="11"/>
    <x v="0"/>
    <s v="CUST-1361"/>
    <s v="Vivaan Kapoor"/>
    <x v="3"/>
    <x v="6"/>
    <x v="13"/>
    <n v="2"/>
    <n v="699"/>
    <n v="1398"/>
    <x v="6"/>
    <n v="419.4"/>
    <n v="978.6"/>
    <x v="0"/>
    <x v="0"/>
  </r>
  <r>
    <x v="2617"/>
    <s v="4 Thu"/>
    <x v="11"/>
    <x v="0"/>
    <s v="CUST-1130"/>
    <s v="Aditya Singh"/>
    <x v="0"/>
    <x v="2"/>
    <x v="15"/>
    <n v="2"/>
    <n v="299"/>
    <n v="598"/>
    <x v="6"/>
    <n v="179.4"/>
    <n v="418.6"/>
    <x v="4"/>
    <x v="0"/>
  </r>
  <r>
    <x v="2618"/>
    <s v="4 Thu"/>
    <x v="11"/>
    <x v="0"/>
    <s v="CUST-1168"/>
    <s v="Nandini Joshi"/>
    <x v="1"/>
    <x v="4"/>
    <x v="10"/>
    <n v="1"/>
    <n v="899"/>
    <n v="899"/>
    <x v="2"/>
    <n v="44.95"/>
    <n v="854.05"/>
    <x v="3"/>
    <x v="0"/>
  </r>
  <r>
    <x v="2619"/>
    <s v="4 Thu"/>
    <x v="11"/>
    <x v="0"/>
    <s v="CUST-1050"/>
    <s v="Rohan Gupta"/>
    <x v="3"/>
    <x v="0"/>
    <x v="1"/>
    <n v="2"/>
    <n v="199"/>
    <n v="398"/>
    <x v="4"/>
    <n v="39.799999999999997"/>
    <n v="358.2"/>
    <x v="2"/>
    <x v="0"/>
  </r>
  <r>
    <x v="2620"/>
    <s v="4 Thu"/>
    <x v="11"/>
    <x v="0"/>
    <s v="CUST-1018"/>
    <s v="Aditya Gupta"/>
    <x v="4"/>
    <x v="0"/>
    <x v="1"/>
    <n v="2"/>
    <n v="199"/>
    <n v="398"/>
    <x v="4"/>
    <n v="39.799999999999997"/>
    <n v="358.2"/>
    <x v="0"/>
    <x v="0"/>
  </r>
  <r>
    <x v="2621"/>
    <s v="4 Thu"/>
    <x v="11"/>
    <x v="0"/>
    <s v="CUST-1041"/>
    <s v="Divya Malhotra"/>
    <x v="0"/>
    <x v="4"/>
    <x v="10"/>
    <n v="3"/>
    <n v="899"/>
    <n v="2697"/>
    <x v="4"/>
    <n v="269.7"/>
    <n v="2427.3000000000002"/>
    <x v="2"/>
    <x v="1"/>
  </r>
  <r>
    <x v="2622"/>
    <s v="4 Thu"/>
    <x v="11"/>
    <x v="0"/>
    <s v="CUST-1185"/>
    <s v="Meera Sharma"/>
    <x v="2"/>
    <x v="5"/>
    <x v="8"/>
    <n v="1"/>
    <n v="349"/>
    <n v="349"/>
    <x v="5"/>
    <n v="87.25"/>
    <n v="261.75"/>
    <x v="3"/>
    <x v="0"/>
  </r>
  <r>
    <x v="2623"/>
    <s v="4 Thu"/>
    <x v="11"/>
    <x v="0"/>
    <s v="CUST-1356"/>
    <s v="Isha Verma"/>
    <x v="4"/>
    <x v="6"/>
    <x v="12"/>
    <n v="2"/>
    <n v="1499"/>
    <n v="2998"/>
    <x v="4"/>
    <n v="299.8"/>
    <n v="2698.2"/>
    <x v="0"/>
    <x v="0"/>
  </r>
  <r>
    <x v="2624"/>
    <s v="4 Thu"/>
    <x v="11"/>
    <x v="0"/>
    <s v="CUST-1005"/>
    <s v="Rohan Malhotra"/>
    <x v="4"/>
    <x v="4"/>
    <x v="10"/>
    <n v="4"/>
    <n v="899"/>
    <n v="3596"/>
    <x v="2"/>
    <n v="179.8"/>
    <n v="3416.2"/>
    <x v="1"/>
    <x v="0"/>
  </r>
  <r>
    <x v="2625"/>
    <s v="4 Thu"/>
    <x v="11"/>
    <x v="0"/>
    <s v="CUST-1145"/>
    <s v="Kunal Joshi"/>
    <x v="1"/>
    <x v="5"/>
    <x v="8"/>
    <n v="3"/>
    <n v="349"/>
    <n v="1047"/>
    <x v="3"/>
    <n v="209.4"/>
    <n v="837.6"/>
    <x v="2"/>
    <x v="1"/>
  </r>
  <r>
    <x v="2626"/>
    <s v="4 Thu"/>
    <x v="11"/>
    <x v="0"/>
    <s v="CUST-1145"/>
    <s v="Kunal Joshi"/>
    <x v="2"/>
    <x v="4"/>
    <x v="7"/>
    <n v="2"/>
    <n v="1999"/>
    <n v="3998"/>
    <x v="6"/>
    <n v="1199.4000000000001"/>
    <n v="2798.6"/>
    <x v="2"/>
    <x v="0"/>
  </r>
  <r>
    <x v="2627"/>
    <s v="4 Thu"/>
    <x v="11"/>
    <x v="0"/>
    <s v="CUST-1284"/>
    <s v="Arjun Kapoor"/>
    <x v="4"/>
    <x v="6"/>
    <x v="13"/>
    <n v="1"/>
    <n v="699"/>
    <n v="699"/>
    <x v="2"/>
    <n v="34.950000000000003"/>
    <n v="664.05"/>
    <x v="1"/>
    <x v="0"/>
  </r>
  <r>
    <x v="2628"/>
    <s v="4 Thu"/>
    <x v="11"/>
    <x v="0"/>
    <s v="CUST-1202"/>
    <s v="Isha Verma"/>
    <x v="2"/>
    <x v="5"/>
    <x v="9"/>
    <n v="3"/>
    <n v="549"/>
    <n v="1647"/>
    <x v="1"/>
    <n v="247.05"/>
    <n v="1399.95"/>
    <x v="1"/>
    <x v="0"/>
  </r>
  <r>
    <x v="2629"/>
    <s v="5 Fri"/>
    <x v="11"/>
    <x v="0"/>
    <s v="CUST-1235"/>
    <s v="Meera Verma"/>
    <x v="3"/>
    <x v="4"/>
    <x v="7"/>
    <n v="3"/>
    <n v="1999"/>
    <n v="5997"/>
    <x v="0"/>
    <n v="0"/>
    <n v="5997"/>
    <x v="1"/>
    <x v="0"/>
  </r>
  <r>
    <x v="2630"/>
    <s v="5 Fri"/>
    <x v="11"/>
    <x v="0"/>
    <s v="CUST-1323"/>
    <s v="Muskan Verma"/>
    <x v="4"/>
    <x v="5"/>
    <x v="9"/>
    <n v="1"/>
    <n v="549"/>
    <n v="549"/>
    <x v="1"/>
    <n v="82.35"/>
    <n v="466.65"/>
    <x v="0"/>
    <x v="1"/>
  </r>
  <r>
    <x v="2631"/>
    <s v="5 Fri"/>
    <x v="11"/>
    <x v="0"/>
    <s v="CUST-1367"/>
    <s v="Aman Saxena"/>
    <x v="2"/>
    <x v="3"/>
    <x v="6"/>
    <n v="1"/>
    <n v="799"/>
    <n v="799"/>
    <x v="3"/>
    <n v="159.80000000000001"/>
    <n v="639.20000000000005"/>
    <x v="1"/>
    <x v="0"/>
  </r>
  <r>
    <x v="2632"/>
    <s v="5 Fri"/>
    <x v="11"/>
    <x v="0"/>
    <s v="CUST-1131"/>
    <s v="Aarav Sharma"/>
    <x v="3"/>
    <x v="4"/>
    <x v="7"/>
    <n v="1"/>
    <n v="1999"/>
    <n v="1999"/>
    <x v="0"/>
    <n v="0"/>
    <n v="1999"/>
    <x v="4"/>
    <x v="0"/>
  </r>
  <r>
    <x v="2633"/>
    <s v="5 Fri"/>
    <x v="11"/>
    <x v="0"/>
    <s v="CUST-1282"/>
    <s v="Muskan Saxena"/>
    <x v="4"/>
    <x v="2"/>
    <x v="15"/>
    <n v="3"/>
    <n v="299"/>
    <n v="897"/>
    <x v="0"/>
    <n v="0"/>
    <n v="897"/>
    <x v="0"/>
    <x v="1"/>
  </r>
  <r>
    <x v="2634"/>
    <s v="5 Fri"/>
    <x v="11"/>
    <x v="0"/>
    <s v="CUST-1116"/>
    <s v="Sakshi Mehta"/>
    <x v="3"/>
    <x v="2"/>
    <x v="3"/>
    <n v="2"/>
    <n v="249"/>
    <n v="498"/>
    <x v="5"/>
    <n v="124.5"/>
    <n v="373.5"/>
    <x v="2"/>
    <x v="0"/>
  </r>
  <r>
    <x v="2635"/>
    <s v="5 Fri"/>
    <x v="11"/>
    <x v="0"/>
    <s v="CUST-1167"/>
    <s v="Nandini Verma"/>
    <x v="4"/>
    <x v="3"/>
    <x v="5"/>
    <n v="3"/>
    <n v="1299"/>
    <n v="3897"/>
    <x v="5"/>
    <n v="974.25"/>
    <n v="2922.75"/>
    <x v="2"/>
    <x v="0"/>
  </r>
  <r>
    <x v="2636"/>
    <s v="5 Fri"/>
    <x v="11"/>
    <x v="0"/>
    <s v="CUST-1303"/>
    <s v="Sakshi Sharma"/>
    <x v="4"/>
    <x v="6"/>
    <x v="12"/>
    <n v="1"/>
    <n v="1499"/>
    <n v="1499"/>
    <x v="0"/>
    <n v="0"/>
    <n v="1499"/>
    <x v="4"/>
    <x v="1"/>
  </r>
  <r>
    <x v="2637"/>
    <s v="5 Fri"/>
    <x v="11"/>
    <x v="0"/>
    <s v="CUST-1107"/>
    <s v="Isha Sharma"/>
    <x v="3"/>
    <x v="2"/>
    <x v="3"/>
    <n v="1"/>
    <n v="249"/>
    <n v="249"/>
    <x v="2"/>
    <n v="12.45"/>
    <n v="236.55"/>
    <x v="3"/>
    <x v="0"/>
  </r>
  <r>
    <x v="2638"/>
    <s v="5 Fri"/>
    <x v="11"/>
    <x v="0"/>
    <s v="CUST-1358"/>
    <s v="Aman Patel"/>
    <x v="0"/>
    <x v="2"/>
    <x v="15"/>
    <n v="1"/>
    <n v="299"/>
    <n v="299"/>
    <x v="6"/>
    <n v="89.7"/>
    <n v="209.3"/>
    <x v="0"/>
    <x v="0"/>
  </r>
  <r>
    <x v="2639"/>
    <s v="5 Fri"/>
    <x v="11"/>
    <x v="0"/>
    <s v="CUST-1006"/>
    <s v="Sakshi Singh"/>
    <x v="3"/>
    <x v="4"/>
    <x v="10"/>
    <n v="2"/>
    <n v="899"/>
    <n v="1798"/>
    <x v="5"/>
    <n v="449.5"/>
    <n v="1348.5"/>
    <x v="4"/>
    <x v="0"/>
  </r>
  <r>
    <x v="2640"/>
    <s v="5 Fri"/>
    <x v="11"/>
    <x v="0"/>
    <s v="CUST-1350"/>
    <s v="Isha Kapoor"/>
    <x v="0"/>
    <x v="3"/>
    <x v="6"/>
    <n v="2"/>
    <n v="799"/>
    <n v="1598"/>
    <x v="2"/>
    <n v="79.900000000000006"/>
    <n v="1518.1"/>
    <x v="1"/>
    <x v="0"/>
  </r>
  <r>
    <x v="2641"/>
    <s v="5 Fri"/>
    <x v="11"/>
    <x v="0"/>
    <s v="CUST-1096"/>
    <s v="Kunal Saxena"/>
    <x v="1"/>
    <x v="0"/>
    <x v="0"/>
    <n v="1"/>
    <n v="99"/>
    <n v="99"/>
    <x v="2"/>
    <n v="4.95"/>
    <n v="94.05"/>
    <x v="4"/>
    <x v="0"/>
  </r>
  <r>
    <x v="2642"/>
    <s v="5 Fri"/>
    <x v="11"/>
    <x v="0"/>
    <s v="CUST-1030"/>
    <s v="Rahul Kapoor"/>
    <x v="1"/>
    <x v="3"/>
    <x v="5"/>
    <n v="1"/>
    <n v="1299"/>
    <n v="1299"/>
    <x v="1"/>
    <n v="194.85"/>
    <n v="1104.1500000000001"/>
    <x v="2"/>
    <x v="0"/>
  </r>
  <r>
    <x v="2643"/>
    <s v="5 Fri"/>
    <x v="11"/>
    <x v="0"/>
    <s v="CUST-1088"/>
    <s v="Arjun Patel"/>
    <x v="2"/>
    <x v="1"/>
    <x v="4"/>
    <n v="2"/>
    <n v="2999"/>
    <n v="5998"/>
    <x v="3"/>
    <n v="1199.5999999999999"/>
    <n v="4798.3999999999996"/>
    <x v="1"/>
    <x v="1"/>
  </r>
  <r>
    <x v="2644"/>
    <s v="5 Fri"/>
    <x v="11"/>
    <x v="0"/>
    <s v="CUST-1110"/>
    <s v="Aman Malhotra"/>
    <x v="4"/>
    <x v="6"/>
    <x v="13"/>
    <n v="2"/>
    <n v="699"/>
    <n v="1398"/>
    <x v="1"/>
    <n v="209.7"/>
    <n v="1188.3"/>
    <x v="2"/>
    <x v="0"/>
  </r>
  <r>
    <x v="2645"/>
    <s v="6 Sat"/>
    <x v="11"/>
    <x v="0"/>
    <s v="CUST-1007"/>
    <s v="Aarav Sharma"/>
    <x v="2"/>
    <x v="3"/>
    <x v="6"/>
    <n v="1"/>
    <n v="799"/>
    <n v="799"/>
    <x v="6"/>
    <n v="239.7"/>
    <n v="559.29999999999995"/>
    <x v="3"/>
    <x v="1"/>
  </r>
  <r>
    <x v="2646"/>
    <s v="6 Sat"/>
    <x v="11"/>
    <x v="0"/>
    <s v="CUST-1384"/>
    <s v="Vivaan Singh"/>
    <x v="2"/>
    <x v="6"/>
    <x v="12"/>
    <n v="3"/>
    <n v="1499"/>
    <n v="4497"/>
    <x v="4"/>
    <n v="449.7"/>
    <n v="4047.3"/>
    <x v="4"/>
    <x v="1"/>
  </r>
  <r>
    <x v="2647"/>
    <s v="6 Sat"/>
    <x v="11"/>
    <x v="0"/>
    <s v="CUST-1064"/>
    <s v="Ankit Mehta"/>
    <x v="2"/>
    <x v="4"/>
    <x v="11"/>
    <n v="1"/>
    <n v="499"/>
    <n v="499"/>
    <x v="0"/>
    <n v="0"/>
    <n v="499"/>
    <x v="2"/>
    <x v="1"/>
  </r>
  <r>
    <x v="2648"/>
    <s v="6 Sat"/>
    <x v="11"/>
    <x v="0"/>
    <s v="CUST-1274"/>
    <s v="Muskan Singh"/>
    <x v="1"/>
    <x v="0"/>
    <x v="0"/>
    <n v="4"/>
    <n v="99"/>
    <n v="396"/>
    <x v="4"/>
    <n v="39.6"/>
    <n v="356.4"/>
    <x v="1"/>
    <x v="1"/>
  </r>
  <r>
    <x v="2649"/>
    <s v="6 Sat"/>
    <x v="11"/>
    <x v="0"/>
    <s v="CUST-1377"/>
    <s v="Sakshi Patel"/>
    <x v="1"/>
    <x v="4"/>
    <x v="10"/>
    <n v="2"/>
    <n v="899"/>
    <n v="1798"/>
    <x v="0"/>
    <n v="0"/>
    <n v="1798"/>
    <x v="1"/>
    <x v="1"/>
  </r>
  <r>
    <x v="2650"/>
    <s v="6 Sat"/>
    <x v="11"/>
    <x v="0"/>
    <s v="CUST-1157"/>
    <s v="Arjun Verma"/>
    <x v="1"/>
    <x v="3"/>
    <x v="6"/>
    <n v="1"/>
    <n v="799"/>
    <n v="799"/>
    <x v="5"/>
    <n v="199.75"/>
    <n v="599.25"/>
    <x v="0"/>
    <x v="0"/>
  </r>
  <r>
    <x v="2651"/>
    <s v="6 Sat"/>
    <x v="11"/>
    <x v="0"/>
    <s v="CUST-1283"/>
    <s v="Aditya Mehta"/>
    <x v="0"/>
    <x v="1"/>
    <x v="4"/>
    <n v="1"/>
    <n v="2999"/>
    <n v="2999"/>
    <x v="3"/>
    <n v="599.79999999999995"/>
    <n v="2399.1999999999998"/>
    <x v="0"/>
    <x v="0"/>
  </r>
  <r>
    <x v="2652"/>
    <s v="6 Sat"/>
    <x v="11"/>
    <x v="0"/>
    <s v="CUST-1042"/>
    <s v="Kunal Saxena"/>
    <x v="2"/>
    <x v="1"/>
    <x v="4"/>
    <n v="2"/>
    <n v="2999"/>
    <n v="5998"/>
    <x v="0"/>
    <n v="0"/>
    <n v="5998"/>
    <x v="2"/>
    <x v="1"/>
  </r>
  <r>
    <x v="2653"/>
    <s v="6 Sat"/>
    <x v="11"/>
    <x v="0"/>
    <s v="CUST-1236"/>
    <s v="Divya Mehta"/>
    <x v="2"/>
    <x v="4"/>
    <x v="10"/>
    <n v="1"/>
    <n v="899"/>
    <n v="899"/>
    <x v="0"/>
    <n v="0"/>
    <n v="899"/>
    <x v="1"/>
    <x v="0"/>
  </r>
  <r>
    <x v="2654"/>
    <s v="6 Sat"/>
    <x v="11"/>
    <x v="0"/>
    <s v="CUST-1230"/>
    <s v="Divya Malhotra"/>
    <x v="3"/>
    <x v="5"/>
    <x v="8"/>
    <n v="2"/>
    <n v="349"/>
    <n v="698"/>
    <x v="0"/>
    <n v="0"/>
    <n v="698"/>
    <x v="3"/>
    <x v="1"/>
  </r>
  <r>
    <x v="2655"/>
    <s v="6 Sat"/>
    <x v="11"/>
    <x v="0"/>
    <s v="CUST-1081"/>
    <s v="Nandini Verma"/>
    <x v="2"/>
    <x v="4"/>
    <x v="10"/>
    <n v="1"/>
    <n v="899"/>
    <n v="899"/>
    <x v="6"/>
    <n v="269.7"/>
    <n v="629.29999999999995"/>
    <x v="3"/>
    <x v="0"/>
  </r>
  <r>
    <x v="2656"/>
    <s v="6 Sat"/>
    <x v="11"/>
    <x v="0"/>
    <s v="CUST-1081"/>
    <s v="Nandini Verma"/>
    <x v="4"/>
    <x v="4"/>
    <x v="11"/>
    <n v="1"/>
    <n v="499"/>
    <n v="499"/>
    <x v="6"/>
    <n v="149.69999999999999"/>
    <n v="349.3"/>
    <x v="2"/>
    <x v="1"/>
  </r>
  <r>
    <x v="2657"/>
    <s v="7 Sun"/>
    <x v="11"/>
    <x v="0"/>
    <s v="CUST-1178"/>
    <s v="Komal Sharma"/>
    <x v="3"/>
    <x v="2"/>
    <x v="15"/>
    <n v="2"/>
    <n v="299"/>
    <n v="598"/>
    <x v="3"/>
    <n v="119.6"/>
    <n v="478.4"/>
    <x v="2"/>
    <x v="1"/>
  </r>
  <r>
    <x v="2658"/>
    <s v="7 Sun"/>
    <x v="11"/>
    <x v="0"/>
    <s v="CUST-1381"/>
    <s v="Kabir Kapoor"/>
    <x v="2"/>
    <x v="4"/>
    <x v="10"/>
    <n v="1"/>
    <n v="899"/>
    <n v="899"/>
    <x v="6"/>
    <n v="269.7"/>
    <n v="629.29999999999995"/>
    <x v="2"/>
    <x v="0"/>
  </r>
  <r>
    <x v="2659"/>
    <s v="7 Sun"/>
    <x v="11"/>
    <x v="0"/>
    <s v="CUST-1275"/>
    <s v="Tanya Singh"/>
    <x v="2"/>
    <x v="6"/>
    <x v="12"/>
    <n v="1"/>
    <n v="1499"/>
    <n v="1499"/>
    <x v="6"/>
    <n v="449.7"/>
    <n v="1049.3"/>
    <x v="0"/>
    <x v="0"/>
  </r>
  <r>
    <x v="2660"/>
    <s v="7 Sun"/>
    <x v="11"/>
    <x v="0"/>
    <s v="CUST-1101"/>
    <s v="Sakshi Sharma"/>
    <x v="1"/>
    <x v="5"/>
    <x v="9"/>
    <n v="1"/>
    <n v="549"/>
    <n v="549"/>
    <x v="0"/>
    <n v="0"/>
    <n v="549"/>
    <x v="1"/>
    <x v="0"/>
  </r>
  <r>
    <x v="2661"/>
    <s v="7 Sun"/>
    <x v="11"/>
    <x v="0"/>
    <s v="CUST-1276"/>
    <s v="Swati Joshi"/>
    <x v="3"/>
    <x v="4"/>
    <x v="11"/>
    <n v="3"/>
    <n v="499"/>
    <n v="1497"/>
    <x v="1"/>
    <n v="224.55"/>
    <n v="1272.45"/>
    <x v="2"/>
    <x v="0"/>
  </r>
  <r>
    <x v="2662"/>
    <s v="7 Sun"/>
    <x v="11"/>
    <x v="0"/>
    <s v="CUST-1050"/>
    <s v="Rohan Gupta"/>
    <x v="2"/>
    <x v="0"/>
    <x v="1"/>
    <n v="4"/>
    <n v="199"/>
    <n v="796"/>
    <x v="4"/>
    <n v="79.599999999999994"/>
    <n v="716.4"/>
    <x v="1"/>
    <x v="0"/>
  </r>
  <r>
    <x v="2663"/>
    <s v="7 Sun"/>
    <x v="11"/>
    <x v="0"/>
    <s v="CUST-1207"/>
    <s v="Rohan Malhotra"/>
    <x v="1"/>
    <x v="6"/>
    <x v="12"/>
    <n v="2"/>
    <n v="1499"/>
    <n v="2998"/>
    <x v="4"/>
    <n v="299.8"/>
    <n v="2698.2"/>
    <x v="0"/>
    <x v="0"/>
  </r>
  <r>
    <x v="2664"/>
    <s v="7 Sun"/>
    <x v="11"/>
    <x v="0"/>
    <s v="CUST-1196"/>
    <s v="Aditya Patel"/>
    <x v="1"/>
    <x v="6"/>
    <x v="13"/>
    <n v="1"/>
    <n v="699"/>
    <n v="699"/>
    <x v="3"/>
    <n v="139.80000000000001"/>
    <n v="559.20000000000005"/>
    <x v="1"/>
    <x v="1"/>
  </r>
  <r>
    <x v="2665"/>
    <s v="7 Sun"/>
    <x v="11"/>
    <x v="0"/>
    <s v="CUST-1281"/>
    <s v="Nandini Saxena"/>
    <x v="3"/>
    <x v="4"/>
    <x v="10"/>
    <n v="3"/>
    <n v="899"/>
    <n v="2697"/>
    <x v="5"/>
    <n v="674.25"/>
    <n v="2022.75"/>
    <x v="2"/>
    <x v="0"/>
  </r>
  <r>
    <x v="2666"/>
    <s v="7 Sun"/>
    <x v="11"/>
    <x v="0"/>
    <s v="CUST-1263"/>
    <s v="Tanya Mehta"/>
    <x v="1"/>
    <x v="4"/>
    <x v="10"/>
    <n v="3"/>
    <n v="899"/>
    <n v="2697"/>
    <x v="1"/>
    <n v="404.55"/>
    <n v="2292.4499999999998"/>
    <x v="0"/>
    <x v="0"/>
  </r>
  <r>
    <x v="2667"/>
    <s v="7 Sun"/>
    <x v="11"/>
    <x v="0"/>
    <s v="CUST-1202"/>
    <s v="Isha Verma"/>
    <x v="4"/>
    <x v="4"/>
    <x v="11"/>
    <n v="1"/>
    <n v="499"/>
    <n v="499"/>
    <x v="2"/>
    <n v="24.95"/>
    <n v="474.05"/>
    <x v="3"/>
    <x v="1"/>
  </r>
  <r>
    <x v="2668"/>
    <s v="7 Sun"/>
    <x v="11"/>
    <x v="0"/>
    <s v="CUST-1276"/>
    <s v="Swati Joshi"/>
    <x v="2"/>
    <x v="4"/>
    <x v="7"/>
    <n v="1"/>
    <n v="1999"/>
    <n v="1999"/>
    <x v="1"/>
    <n v="299.85000000000002"/>
    <n v="1699.15"/>
    <x v="4"/>
    <x v="0"/>
  </r>
  <r>
    <x v="2669"/>
    <s v="7 Sun"/>
    <x v="11"/>
    <x v="0"/>
    <s v="CUST-1035"/>
    <s v="Isha Joshi"/>
    <x v="4"/>
    <x v="6"/>
    <x v="12"/>
    <n v="2"/>
    <n v="1499"/>
    <n v="2998"/>
    <x v="0"/>
    <n v="0"/>
    <n v="2998"/>
    <x v="1"/>
    <x v="1"/>
  </r>
  <r>
    <x v="2670"/>
    <s v="7 Sun"/>
    <x v="11"/>
    <x v="0"/>
    <s v="CUST-1331"/>
    <s v="Arjun Singh"/>
    <x v="4"/>
    <x v="2"/>
    <x v="15"/>
    <n v="5"/>
    <n v="299"/>
    <n v="1495"/>
    <x v="4"/>
    <n v="149.5"/>
    <n v="1345.5"/>
    <x v="0"/>
    <x v="0"/>
  </r>
  <r>
    <x v="2671"/>
    <s v="7 Sun"/>
    <x v="11"/>
    <x v="0"/>
    <s v="CUST-1026"/>
    <s v="Rahul Saxena"/>
    <x v="4"/>
    <x v="0"/>
    <x v="1"/>
    <n v="1"/>
    <n v="199"/>
    <n v="199"/>
    <x v="2"/>
    <n v="9.9499999999999993"/>
    <n v="189.05"/>
    <x v="0"/>
    <x v="0"/>
  </r>
  <r>
    <x v="2672"/>
    <s v="7 Sun"/>
    <x v="11"/>
    <x v="0"/>
    <s v="CUST-1001"/>
    <s v="Rohan Patel"/>
    <x v="1"/>
    <x v="0"/>
    <x v="1"/>
    <n v="5"/>
    <n v="199"/>
    <n v="995"/>
    <x v="1"/>
    <n v="149.25"/>
    <n v="845.75"/>
    <x v="4"/>
    <x v="0"/>
  </r>
  <r>
    <x v="2673"/>
    <s v="8 Mon"/>
    <x v="11"/>
    <x v="0"/>
    <s v="CUST-1126"/>
    <s v="Divya Sharma"/>
    <x v="3"/>
    <x v="4"/>
    <x v="10"/>
    <n v="4"/>
    <n v="899"/>
    <n v="3596"/>
    <x v="6"/>
    <n v="1078.8"/>
    <n v="2517.1999999999998"/>
    <x v="2"/>
    <x v="0"/>
  </r>
  <r>
    <x v="2674"/>
    <s v="8 Mon"/>
    <x v="11"/>
    <x v="0"/>
    <s v="CUST-1392"/>
    <s v="Aarav Singh"/>
    <x v="1"/>
    <x v="1"/>
    <x v="2"/>
    <n v="1"/>
    <n v="599"/>
    <n v="599"/>
    <x v="3"/>
    <n v="119.8"/>
    <n v="479.2"/>
    <x v="3"/>
    <x v="1"/>
  </r>
  <r>
    <x v="2675"/>
    <s v="8 Mon"/>
    <x v="11"/>
    <x v="0"/>
    <s v="CUST-1191"/>
    <s v="Nandini Malhotra"/>
    <x v="4"/>
    <x v="1"/>
    <x v="2"/>
    <n v="3"/>
    <n v="599"/>
    <n v="1797"/>
    <x v="1"/>
    <n v="269.55"/>
    <n v="1527.45"/>
    <x v="2"/>
    <x v="0"/>
  </r>
  <r>
    <x v="2676"/>
    <s v="8 Mon"/>
    <x v="11"/>
    <x v="0"/>
    <s v="CUST-1264"/>
    <s v="Vivaan Malhotra"/>
    <x v="0"/>
    <x v="0"/>
    <x v="1"/>
    <n v="4"/>
    <n v="199"/>
    <n v="796"/>
    <x v="6"/>
    <n v="238.8"/>
    <n v="557.20000000000005"/>
    <x v="1"/>
    <x v="0"/>
  </r>
  <r>
    <x v="2677"/>
    <s v="8 Mon"/>
    <x v="11"/>
    <x v="0"/>
    <s v="CUST-1002"/>
    <s v="Shreya Mehta"/>
    <x v="0"/>
    <x v="1"/>
    <x v="14"/>
    <n v="1"/>
    <n v="1799"/>
    <n v="1799"/>
    <x v="1"/>
    <n v="269.85000000000002"/>
    <n v="1529.15"/>
    <x v="4"/>
    <x v="0"/>
  </r>
  <r>
    <x v="2678"/>
    <s v="8 Mon"/>
    <x v="11"/>
    <x v="0"/>
    <s v="CUST-1107"/>
    <s v="Isha Sharma"/>
    <x v="1"/>
    <x v="0"/>
    <x v="0"/>
    <n v="1"/>
    <n v="99"/>
    <n v="99"/>
    <x v="3"/>
    <n v="19.8"/>
    <n v="79.2"/>
    <x v="3"/>
    <x v="0"/>
  </r>
  <r>
    <x v="2679"/>
    <s v="8 Mon"/>
    <x v="11"/>
    <x v="0"/>
    <s v="CUST-1031"/>
    <s v="Kabir Malhotra"/>
    <x v="3"/>
    <x v="1"/>
    <x v="2"/>
    <n v="1"/>
    <n v="599"/>
    <n v="599"/>
    <x v="5"/>
    <n v="149.75"/>
    <n v="449.25"/>
    <x v="1"/>
    <x v="0"/>
  </r>
  <r>
    <x v="2680"/>
    <s v="8 Mon"/>
    <x v="11"/>
    <x v="0"/>
    <s v="CUST-1043"/>
    <s v="Divya Kapoor"/>
    <x v="1"/>
    <x v="2"/>
    <x v="3"/>
    <n v="4"/>
    <n v="249"/>
    <n v="996"/>
    <x v="2"/>
    <n v="49.8"/>
    <n v="946.2"/>
    <x v="3"/>
    <x v="0"/>
  </r>
  <r>
    <x v="2681"/>
    <s v="8 Mon"/>
    <x v="11"/>
    <x v="0"/>
    <s v="CUST-1127"/>
    <s v="Muskan Joshi"/>
    <x v="3"/>
    <x v="1"/>
    <x v="2"/>
    <n v="5"/>
    <n v="599"/>
    <n v="2995"/>
    <x v="2"/>
    <n v="149.75"/>
    <n v="2845.25"/>
    <x v="1"/>
    <x v="0"/>
  </r>
  <r>
    <x v="2682"/>
    <s v="8 Mon"/>
    <x v="11"/>
    <x v="0"/>
    <s v="CUST-1220"/>
    <s v="Aditya Kapoor"/>
    <x v="4"/>
    <x v="0"/>
    <x v="0"/>
    <n v="5"/>
    <n v="99"/>
    <n v="495"/>
    <x v="1"/>
    <n v="74.25"/>
    <n v="420.75"/>
    <x v="1"/>
    <x v="1"/>
  </r>
  <r>
    <x v="2683"/>
    <s v="8 Mon"/>
    <x v="11"/>
    <x v="0"/>
    <s v="CUST-1104"/>
    <s v="Nandini Saxena"/>
    <x v="0"/>
    <x v="4"/>
    <x v="11"/>
    <n v="3"/>
    <n v="499"/>
    <n v="1497"/>
    <x v="6"/>
    <n v="449.1"/>
    <n v="1047.9000000000001"/>
    <x v="4"/>
    <x v="0"/>
  </r>
  <r>
    <x v="2684"/>
    <s v="8 Mon"/>
    <x v="11"/>
    <x v="0"/>
    <s v="CUST-1015"/>
    <s v="Swati Joshi"/>
    <x v="0"/>
    <x v="4"/>
    <x v="10"/>
    <n v="4"/>
    <n v="899"/>
    <n v="3596"/>
    <x v="4"/>
    <n v="359.6"/>
    <n v="3236.4"/>
    <x v="0"/>
    <x v="0"/>
  </r>
  <r>
    <x v="2685"/>
    <s v="8 Mon"/>
    <x v="11"/>
    <x v="0"/>
    <s v="CUST-1297"/>
    <s v="Sakshi Kapoor"/>
    <x v="0"/>
    <x v="3"/>
    <x v="5"/>
    <n v="2"/>
    <n v="1299"/>
    <n v="2598"/>
    <x v="5"/>
    <n v="649.5"/>
    <n v="1948.5"/>
    <x v="0"/>
    <x v="1"/>
  </r>
  <r>
    <x v="2686"/>
    <s v="8 Mon"/>
    <x v="11"/>
    <x v="0"/>
    <s v="CUST-1105"/>
    <s v="Rohan Singh"/>
    <x v="0"/>
    <x v="3"/>
    <x v="6"/>
    <n v="2"/>
    <n v="799"/>
    <n v="1598"/>
    <x v="6"/>
    <n v="479.4"/>
    <n v="1118.5999999999999"/>
    <x v="2"/>
    <x v="0"/>
  </r>
  <r>
    <x v="2687"/>
    <s v="8 Mon"/>
    <x v="11"/>
    <x v="0"/>
    <s v="CUST-1280"/>
    <s v="Muskan Kapoor"/>
    <x v="1"/>
    <x v="2"/>
    <x v="15"/>
    <n v="3"/>
    <n v="299"/>
    <n v="897"/>
    <x v="1"/>
    <n v="134.55000000000001"/>
    <n v="762.45"/>
    <x v="1"/>
    <x v="0"/>
  </r>
  <r>
    <x v="2688"/>
    <s v="8 Mon"/>
    <x v="11"/>
    <x v="0"/>
    <s v="CUST-1181"/>
    <s v="Kunal Sharma"/>
    <x v="0"/>
    <x v="0"/>
    <x v="0"/>
    <n v="3"/>
    <n v="99"/>
    <n v="297"/>
    <x v="6"/>
    <n v="89.1"/>
    <n v="207.9"/>
    <x v="1"/>
    <x v="0"/>
  </r>
  <r>
    <x v="2689"/>
    <s v="8 Mon"/>
    <x v="11"/>
    <x v="0"/>
    <s v="CUST-1359"/>
    <s v="Arjun Mehta"/>
    <x v="2"/>
    <x v="5"/>
    <x v="8"/>
    <n v="2"/>
    <n v="349"/>
    <n v="698"/>
    <x v="5"/>
    <n v="174.5"/>
    <n v="523.5"/>
    <x v="1"/>
    <x v="1"/>
  </r>
  <r>
    <x v="2690"/>
    <s v="8 Mon"/>
    <x v="11"/>
    <x v="0"/>
    <s v="CUST-1288"/>
    <s v="Aditya Mehta"/>
    <x v="0"/>
    <x v="5"/>
    <x v="8"/>
    <n v="1"/>
    <n v="349"/>
    <n v="349"/>
    <x v="3"/>
    <n v="69.8"/>
    <n v="279.2"/>
    <x v="1"/>
    <x v="0"/>
  </r>
  <r>
    <x v="2691"/>
    <s v="9 Tue"/>
    <x v="11"/>
    <x v="0"/>
    <s v="CUST-1200"/>
    <s v="Swati Saxena"/>
    <x v="1"/>
    <x v="5"/>
    <x v="9"/>
    <n v="1"/>
    <n v="549"/>
    <n v="549"/>
    <x v="4"/>
    <n v="54.9"/>
    <n v="494.1"/>
    <x v="1"/>
    <x v="0"/>
  </r>
  <r>
    <x v="2692"/>
    <s v="9 Tue"/>
    <x v="11"/>
    <x v="0"/>
    <s v="CUST-1338"/>
    <s v="Komal Malhotra"/>
    <x v="4"/>
    <x v="1"/>
    <x v="2"/>
    <n v="1"/>
    <n v="599"/>
    <n v="599"/>
    <x v="6"/>
    <n v="179.7"/>
    <n v="419.3"/>
    <x v="2"/>
    <x v="0"/>
  </r>
  <r>
    <x v="2693"/>
    <s v="9 Tue"/>
    <x v="11"/>
    <x v="0"/>
    <s v="CUST-1040"/>
    <s v="Aditya Malhotra"/>
    <x v="1"/>
    <x v="0"/>
    <x v="1"/>
    <n v="1"/>
    <n v="199"/>
    <n v="199"/>
    <x v="0"/>
    <n v="0"/>
    <n v="199"/>
    <x v="0"/>
    <x v="1"/>
  </r>
  <r>
    <x v="2694"/>
    <s v="9 Tue"/>
    <x v="11"/>
    <x v="0"/>
    <s v="CUST-1354"/>
    <s v="Aman Saxena"/>
    <x v="4"/>
    <x v="2"/>
    <x v="15"/>
    <n v="1"/>
    <n v="299"/>
    <n v="299"/>
    <x v="3"/>
    <n v="59.8"/>
    <n v="239.2"/>
    <x v="2"/>
    <x v="1"/>
  </r>
  <r>
    <x v="2695"/>
    <s v="9 Tue"/>
    <x v="11"/>
    <x v="0"/>
    <s v="CUST-1141"/>
    <s v="Tanya Kapoor"/>
    <x v="2"/>
    <x v="3"/>
    <x v="6"/>
    <n v="1"/>
    <n v="799"/>
    <n v="799"/>
    <x v="6"/>
    <n v="239.7"/>
    <n v="559.29999999999995"/>
    <x v="3"/>
    <x v="1"/>
  </r>
  <r>
    <x v="2696"/>
    <s v="9 Tue"/>
    <x v="11"/>
    <x v="0"/>
    <s v="CUST-1102"/>
    <s v="Aarav Patel"/>
    <x v="3"/>
    <x v="6"/>
    <x v="12"/>
    <n v="1"/>
    <n v="1499"/>
    <n v="1499"/>
    <x v="5"/>
    <n v="374.75"/>
    <n v="1124.25"/>
    <x v="3"/>
    <x v="1"/>
  </r>
  <r>
    <x v="2697"/>
    <s v="9 Tue"/>
    <x v="11"/>
    <x v="0"/>
    <s v="CUST-1246"/>
    <s v="Divya Verma"/>
    <x v="3"/>
    <x v="3"/>
    <x v="6"/>
    <n v="3"/>
    <n v="799"/>
    <n v="2397"/>
    <x v="4"/>
    <n v="239.7"/>
    <n v="2157.3000000000002"/>
    <x v="3"/>
    <x v="0"/>
  </r>
  <r>
    <x v="2698"/>
    <s v="9 Tue"/>
    <x v="11"/>
    <x v="0"/>
    <s v="CUST-1362"/>
    <s v="Shreya Malhotra"/>
    <x v="4"/>
    <x v="4"/>
    <x v="7"/>
    <n v="1"/>
    <n v="1999"/>
    <n v="1999"/>
    <x v="4"/>
    <n v="199.9"/>
    <n v="1799.1"/>
    <x v="1"/>
    <x v="1"/>
  </r>
  <r>
    <x v="2699"/>
    <s v="9 Tue"/>
    <x v="11"/>
    <x v="0"/>
    <s v="CUST-1341"/>
    <s v="Meera Patel"/>
    <x v="2"/>
    <x v="5"/>
    <x v="8"/>
    <n v="2"/>
    <n v="349"/>
    <n v="698"/>
    <x v="3"/>
    <n v="139.6"/>
    <n v="558.4"/>
    <x v="1"/>
    <x v="1"/>
  </r>
  <r>
    <x v="2700"/>
    <s v="10 Wed"/>
    <x v="11"/>
    <x v="0"/>
    <s v="CUST-1252"/>
    <s v="Arjun Singh"/>
    <x v="0"/>
    <x v="2"/>
    <x v="15"/>
    <n v="1"/>
    <n v="299"/>
    <n v="299"/>
    <x v="1"/>
    <n v="44.85"/>
    <n v="254.15"/>
    <x v="4"/>
    <x v="0"/>
  </r>
  <r>
    <x v="2701"/>
    <s v="10 Wed"/>
    <x v="11"/>
    <x v="0"/>
    <s v="CUST-1362"/>
    <s v="Shreya Malhotra"/>
    <x v="0"/>
    <x v="4"/>
    <x v="10"/>
    <n v="1"/>
    <n v="899"/>
    <n v="899"/>
    <x v="1"/>
    <n v="134.85"/>
    <n v="764.15"/>
    <x v="2"/>
    <x v="0"/>
  </r>
  <r>
    <x v="2702"/>
    <s v="10 Wed"/>
    <x v="11"/>
    <x v="0"/>
    <s v="CUST-1191"/>
    <s v="Nandini Malhotra"/>
    <x v="2"/>
    <x v="0"/>
    <x v="0"/>
    <n v="2"/>
    <n v="99"/>
    <n v="198"/>
    <x v="6"/>
    <n v="59.4"/>
    <n v="138.6"/>
    <x v="0"/>
    <x v="0"/>
  </r>
  <r>
    <x v="2703"/>
    <s v="10 Wed"/>
    <x v="11"/>
    <x v="0"/>
    <s v="CUST-1006"/>
    <s v="Sakshi Singh"/>
    <x v="1"/>
    <x v="0"/>
    <x v="0"/>
    <n v="1"/>
    <n v="99"/>
    <n v="99"/>
    <x v="2"/>
    <n v="4.95"/>
    <n v="94.05"/>
    <x v="0"/>
    <x v="0"/>
  </r>
  <r>
    <x v="2704"/>
    <s v="10 Wed"/>
    <x v="11"/>
    <x v="0"/>
    <s v="CUST-1204"/>
    <s v="Meera Mehta"/>
    <x v="3"/>
    <x v="0"/>
    <x v="1"/>
    <n v="3"/>
    <n v="199"/>
    <n v="597"/>
    <x v="3"/>
    <n v="119.4"/>
    <n v="477.6"/>
    <x v="1"/>
    <x v="0"/>
  </r>
  <r>
    <x v="2705"/>
    <s v="10 Wed"/>
    <x v="11"/>
    <x v="0"/>
    <s v="CUST-1377"/>
    <s v="Sakshi Patel"/>
    <x v="4"/>
    <x v="6"/>
    <x v="13"/>
    <n v="2"/>
    <n v="699"/>
    <n v="1398"/>
    <x v="3"/>
    <n v="279.60000000000002"/>
    <n v="1118.4000000000001"/>
    <x v="0"/>
    <x v="0"/>
  </r>
  <r>
    <x v="2706"/>
    <s v="10 Wed"/>
    <x v="11"/>
    <x v="0"/>
    <s v="CUST-1248"/>
    <s v="Meera Saxena"/>
    <x v="2"/>
    <x v="1"/>
    <x v="4"/>
    <n v="1"/>
    <n v="2999"/>
    <n v="2999"/>
    <x v="4"/>
    <n v="299.89999999999998"/>
    <n v="2699.1"/>
    <x v="0"/>
    <x v="0"/>
  </r>
  <r>
    <x v="2707"/>
    <s v="11 Thu"/>
    <x v="11"/>
    <x v="0"/>
    <s v="CUST-1351"/>
    <s v="Tanya Mehta"/>
    <x v="0"/>
    <x v="4"/>
    <x v="7"/>
    <n v="3"/>
    <n v="1999"/>
    <n v="5997"/>
    <x v="1"/>
    <n v="899.55"/>
    <n v="5097.45"/>
    <x v="0"/>
    <x v="0"/>
  </r>
  <r>
    <x v="2708"/>
    <s v="11 Thu"/>
    <x v="11"/>
    <x v="0"/>
    <s v="CUST-1365"/>
    <s v="Meera Singh"/>
    <x v="1"/>
    <x v="0"/>
    <x v="1"/>
    <n v="1"/>
    <n v="199"/>
    <n v="199"/>
    <x v="3"/>
    <n v="39.799999999999997"/>
    <n v="159.19999999999999"/>
    <x v="0"/>
    <x v="0"/>
  </r>
  <r>
    <x v="2709"/>
    <s v="11 Thu"/>
    <x v="11"/>
    <x v="0"/>
    <s v="CUST-1004"/>
    <s v="Tanya Malhotra"/>
    <x v="0"/>
    <x v="2"/>
    <x v="15"/>
    <n v="3"/>
    <n v="299"/>
    <n v="897"/>
    <x v="3"/>
    <n v="179.4"/>
    <n v="717.6"/>
    <x v="3"/>
    <x v="1"/>
  </r>
  <r>
    <x v="2710"/>
    <s v="11 Thu"/>
    <x v="11"/>
    <x v="0"/>
    <s v="CUST-1282"/>
    <s v="Muskan Saxena"/>
    <x v="0"/>
    <x v="1"/>
    <x v="14"/>
    <n v="1"/>
    <n v="1799"/>
    <n v="1799"/>
    <x v="3"/>
    <n v="359.8"/>
    <n v="1439.2"/>
    <x v="4"/>
    <x v="0"/>
  </r>
  <r>
    <x v="2711"/>
    <s v="11 Thu"/>
    <x v="11"/>
    <x v="0"/>
    <s v="CUST-1248"/>
    <s v="Meera Saxena"/>
    <x v="3"/>
    <x v="1"/>
    <x v="2"/>
    <n v="1"/>
    <n v="599"/>
    <n v="599"/>
    <x v="2"/>
    <n v="29.95"/>
    <n v="569.04999999999995"/>
    <x v="1"/>
    <x v="0"/>
  </r>
  <r>
    <x v="2712"/>
    <s v="11 Thu"/>
    <x v="11"/>
    <x v="0"/>
    <s v="CUST-1396"/>
    <s v="Shreya Patel"/>
    <x v="0"/>
    <x v="4"/>
    <x v="7"/>
    <n v="1"/>
    <n v="1999"/>
    <n v="1999"/>
    <x v="3"/>
    <n v="399.8"/>
    <n v="1599.2"/>
    <x v="4"/>
    <x v="1"/>
  </r>
  <r>
    <x v="2713"/>
    <s v="11 Thu"/>
    <x v="11"/>
    <x v="0"/>
    <s v="CUST-1306"/>
    <s v="Sakshi Malhotra"/>
    <x v="1"/>
    <x v="4"/>
    <x v="10"/>
    <n v="3"/>
    <n v="899"/>
    <n v="2697"/>
    <x v="2"/>
    <n v="134.85"/>
    <n v="2562.15"/>
    <x v="1"/>
    <x v="1"/>
  </r>
  <r>
    <x v="2714"/>
    <s v="11 Thu"/>
    <x v="11"/>
    <x v="0"/>
    <s v="CUST-1019"/>
    <s v="Aarav Joshi"/>
    <x v="2"/>
    <x v="1"/>
    <x v="2"/>
    <n v="2"/>
    <n v="599"/>
    <n v="1198"/>
    <x v="0"/>
    <n v="0"/>
    <n v="1198"/>
    <x v="0"/>
    <x v="0"/>
  </r>
  <r>
    <x v="2715"/>
    <s v="11 Thu"/>
    <x v="11"/>
    <x v="0"/>
    <s v="CUST-1108"/>
    <s v="Kunal Patel"/>
    <x v="1"/>
    <x v="5"/>
    <x v="8"/>
    <n v="1"/>
    <n v="349"/>
    <n v="349"/>
    <x v="1"/>
    <n v="52.35"/>
    <n v="296.64999999999998"/>
    <x v="3"/>
    <x v="0"/>
  </r>
  <r>
    <x v="2716"/>
    <s v="11 Thu"/>
    <x v="11"/>
    <x v="0"/>
    <s v="CUST-1075"/>
    <s v="Divya Patel"/>
    <x v="2"/>
    <x v="0"/>
    <x v="1"/>
    <n v="1"/>
    <n v="199"/>
    <n v="199"/>
    <x v="6"/>
    <n v="59.7"/>
    <n v="139.30000000000001"/>
    <x v="0"/>
    <x v="0"/>
  </r>
  <r>
    <x v="2717"/>
    <s v="12 Fri"/>
    <x v="11"/>
    <x v="0"/>
    <s v="CUST-1015"/>
    <s v="Swati Joshi"/>
    <x v="1"/>
    <x v="2"/>
    <x v="15"/>
    <n v="5"/>
    <n v="299"/>
    <n v="1495"/>
    <x v="2"/>
    <n v="74.75"/>
    <n v="1420.25"/>
    <x v="2"/>
    <x v="0"/>
  </r>
  <r>
    <x v="2718"/>
    <s v="12 Fri"/>
    <x v="11"/>
    <x v="0"/>
    <s v="CUST-1225"/>
    <s v="Aarav Kapoor"/>
    <x v="0"/>
    <x v="0"/>
    <x v="1"/>
    <n v="4"/>
    <n v="199"/>
    <n v="796"/>
    <x v="2"/>
    <n v="39.799999999999997"/>
    <n v="756.2"/>
    <x v="1"/>
    <x v="0"/>
  </r>
  <r>
    <x v="2719"/>
    <s v="12 Fri"/>
    <x v="11"/>
    <x v="0"/>
    <s v="CUST-1194"/>
    <s v="Muskan Sharma"/>
    <x v="2"/>
    <x v="4"/>
    <x v="7"/>
    <n v="3"/>
    <n v="1999"/>
    <n v="5997"/>
    <x v="6"/>
    <n v="1799.1"/>
    <n v="4197.8999999999996"/>
    <x v="2"/>
    <x v="0"/>
  </r>
  <r>
    <x v="2720"/>
    <s v="12 Fri"/>
    <x v="11"/>
    <x v="0"/>
    <s v="CUST-1052"/>
    <s v="Meera Verma"/>
    <x v="3"/>
    <x v="3"/>
    <x v="5"/>
    <n v="1"/>
    <n v="1299"/>
    <n v="1299"/>
    <x v="4"/>
    <n v="129.9"/>
    <n v="1169.0999999999999"/>
    <x v="1"/>
    <x v="0"/>
  </r>
  <r>
    <x v="2721"/>
    <s v="12 Fri"/>
    <x v="11"/>
    <x v="0"/>
    <s v="CUST-1184"/>
    <s v="Rahul Joshi"/>
    <x v="3"/>
    <x v="4"/>
    <x v="11"/>
    <n v="2"/>
    <n v="499"/>
    <n v="998"/>
    <x v="5"/>
    <n v="249.5"/>
    <n v="748.5"/>
    <x v="3"/>
    <x v="0"/>
  </r>
  <r>
    <x v="2722"/>
    <s v="12 Fri"/>
    <x v="11"/>
    <x v="0"/>
    <s v="CUST-1024"/>
    <s v="Tanya Singh"/>
    <x v="1"/>
    <x v="4"/>
    <x v="7"/>
    <n v="1"/>
    <n v="1999"/>
    <n v="1999"/>
    <x v="1"/>
    <n v="299.85000000000002"/>
    <n v="1699.15"/>
    <x v="3"/>
    <x v="0"/>
  </r>
  <r>
    <x v="2723"/>
    <s v="12 Fri"/>
    <x v="11"/>
    <x v="0"/>
    <s v="CUST-1111"/>
    <s v="Swati Joshi"/>
    <x v="2"/>
    <x v="1"/>
    <x v="4"/>
    <n v="2"/>
    <n v="2999"/>
    <n v="5998"/>
    <x v="4"/>
    <n v="599.79999999999995"/>
    <n v="5398.2"/>
    <x v="4"/>
    <x v="1"/>
  </r>
  <r>
    <x v="2724"/>
    <s v="12 Fri"/>
    <x v="11"/>
    <x v="0"/>
    <s v="CUST-1094"/>
    <s v="Swati Kapoor"/>
    <x v="4"/>
    <x v="1"/>
    <x v="14"/>
    <n v="1"/>
    <n v="1799"/>
    <n v="1799"/>
    <x v="4"/>
    <n v="179.9"/>
    <n v="1619.1"/>
    <x v="1"/>
    <x v="0"/>
  </r>
  <r>
    <x v="2725"/>
    <s v="12 Fri"/>
    <x v="11"/>
    <x v="0"/>
    <s v="CUST-1256"/>
    <s v="Rohan Singh"/>
    <x v="3"/>
    <x v="5"/>
    <x v="8"/>
    <n v="1"/>
    <n v="349"/>
    <n v="349"/>
    <x v="2"/>
    <n v="17.45"/>
    <n v="331.55"/>
    <x v="3"/>
    <x v="1"/>
  </r>
  <r>
    <x v="2726"/>
    <s v="12 Fri"/>
    <x v="11"/>
    <x v="0"/>
    <s v="CUST-1369"/>
    <s v="Rohan Sharma"/>
    <x v="0"/>
    <x v="6"/>
    <x v="12"/>
    <n v="2"/>
    <n v="1499"/>
    <n v="2998"/>
    <x v="3"/>
    <n v="599.6"/>
    <n v="2398.4"/>
    <x v="0"/>
    <x v="1"/>
  </r>
  <r>
    <x v="2727"/>
    <s v="12 Fri"/>
    <x v="11"/>
    <x v="0"/>
    <s v="CUST-1102"/>
    <s v="Aarav Patel"/>
    <x v="1"/>
    <x v="2"/>
    <x v="15"/>
    <n v="4"/>
    <n v="299"/>
    <n v="1196"/>
    <x v="1"/>
    <n v="179.4"/>
    <n v="1016.6"/>
    <x v="1"/>
    <x v="1"/>
  </r>
  <r>
    <x v="2728"/>
    <s v="13 Sat"/>
    <x v="11"/>
    <x v="0"/>
    <s v="CUST-1315"/>
    <s v="Muskan Singh"/>
    <x v="2"/>
    <x v="6"/>
    <x v="13"/>
    <n v="3"/>
    <n v="699"/>
    <n v="2097"/>
    <x v="6"/>
    <n v="629.1"/>
    <n v="1467.9"/>
    <x v="1"/>
    <x v="0"/>
  </r>
  <r>
    <x v="2729"/>
    <s v="13 Sat"/>
    <x v="11"/>
    <x v="0"/>
    <s v="CUST-1045"/>
    <s v="Arjun Verma"/>
    <x v="1"/>
    <x v="0"/>
    <x v="1"/>
    <n v="3"/>
    <n v="199"/>
    <n v="597"/>
    <x v="4"/>
    <n v="59.7"/>
    <n v="537.29999999999995"/>
    <x v="0"/>
    <x v="0"/>
  </r>
  <r>
    <x v="2730"/>
    <s v="13 Sat"/>
    <x v="11"/>
    <x v="0"/>
    <s v="CUST-1124"/>
    <s v="Aditya Gupta"/>
    <x v="0"/>
    <x v="3"/>
    <x v="5"/>
    <n v="1"/>
    <n v="1299"/>
    <n v="1299"/>
    <x v="0"/>
    <n v="0"/>
    <n v="1299"/>
    <x v="0"/>
    <x v="0"/>
  </r>
  <r>
    <x v="2731"/>
    <s v="13 Sat"/>
    <x v="11"/>
    <x v="0"/>
    <s v="CUST-1376"/>
    <s v="Kunal Kapoor"/>
    <x v="0"/>
    <x v="0"/>
    <x v="1"/>
    <n v="3"/>
    <n v="199"/>
    <n v="597"/>
    <x v="2"/>
    <n v="29.85"/>
    <n v="567.15"/>
    <x v="0"/>
    <x v="1"/>
  </r>
  <r>
    <x v="2732"/>
    <s v="13 Sat"/>
    <x v="11"/>
    <x v="0"/>
    <s v="CUST-1120"/>
    <s v="Divya Kapoor"/>
    <x v="2"/>
    <x v="4"/>
    <x v="10"/>
    <n v="1"/>
    <n v="899"/>
    <n v="899"/>
    <x v="0"/>
    <n v="0"/>
    <n v="899"/>
    <x v="3"/>
    <x v="1"/>
  </r>
  <r>
    <x v="2733"/>
    <s v="13 Sat"/>
    <x v="11"/>
    <x v="0"/>
    <s v="CUST-1365"/>
    <s v="Meera Singh"/>
    <x v="1"/>
    <x v="3"/>
    <x v="5"/>
    <n v="1"/>
    <n v="1299"/>
    <n v="1299"/>
    <x v="1"/>
    <n v="194.85"/>
    <n v="1104.1500000000001"/>
    <x v="1"/>
    <x v="1"/>
  </r>
  <r>
    <x v="2734"/>
    <s v="13 Sat"/>
    <x v="11"/>
    <x v="0"/>
    <s v="CUST-1071"/>
    <s v="Kabir Malhotra"/>
    <x v="4"/>
    <x v="3"/>
    <x v="5"/>
    <n v="1"/>
    <n v="1299"/>
    <n v="1299"/>
    <x v="2"/>
    <n v="64.95"/>
    <n v="1234.05"/>
    <x v="3"/>
    <x v="1"/>
  </r>
  <r>
    <x v="2735"/>
    <s v="13 Sat"/>
    <x v="11"/>
    <x v="0"/>
    <s v="CUST-1074"/>
    <s v="Kabir Kapoor"/>
    <x v="0"/>
    <x v="4"/>
    <x v="11"/>
    <n v="4"/>
    <n v="499"/>
    <n v="1996"/>
    <x v="2"/>
    <n v="99.8"/>
    <n v="1896.2"/>
    <x v="0"/>
    <x v="1"/>
  </r>
  <r>
    <x v="2736"/>
    <s v="13 Sat"/>
    <x v="11"/>
    <x v="0"/>
    <s v="CUST-1095"/>
    <s v="Nandini Joshi"/>
    <x v="4"/>
    <x v="6"/>
    <x v="12"/>
    <n v="1"/>
    <n v="1499"/>
    <n v="1499"/>
    <x v="6"/>
    <n v="449.7"/>
    <n v="1049.3"/>
    <x v="3"/>
    <x v="0"/>
  </r>
  <r>
    <x v="2737"/>
    <s v="13 Sat"/>
    <x v="11"/>
    <x v="0"/>
    <s v="CUST-1096"/>
    <s v="Kunal Saxena"/>
    <x v="1"/>
    <x v="3"/>
    <x v="5"/>
    <n v="2"/>
    <n v="1299"/>
    <n v="2598"/>
    <x v="2"/>
    <n v="129.9"/>
    <n v="2468.1"/>
    <x v="1"/>
    <x v="0"/>
  </r>
  <r>
    <x v="2738"/>
    <s v="13 Sat"/>
    <x v="11"/>
    <x v="0"/>
    <s v="CUST-1088"/>
    <s v="Arjun Patel"/>
    <x v="0"/>
    <x v="1"/>
    <x v="4"/>
    <n v="3"/>
    <n v="2999"/>
    <n v="8997"/>
    <x v="3"/>
    <n v="1799.4"/>
    <n v="7197.6"/>
    <x v="3"/>
    <x v="0"/>
  </r>
  <r>
    <x v="2739"/>
    <s v="13 Sat"/>
    <x v="11"/>
    <x v="0"/>
    <s v="CUST-1118"/>
    <s v="Sakshi Malhotra"/>
    <x v="1"/>
    <x v="1"/>
    <x v="14"/>
    <n v="1"/>
    <n v="1799"/>
    <n v="1799"/>
    <x v="4"/>
    <n v="179.9"/>
    <n v="1619.1"/>
    <x v="0"/>
    <x v="0"/>
  </r>
  <r>
    <x v="2740"/>
    <s v="13 Sat"/>
    <x v="11"/>
    <x v="0"/>
    <s v="CUST-1069"/>
    <s v="Kabir Joshi"/>
    <x v="2"/>
    <x v="3"/>
    <x v="6"/>
    <n v="1"/>
    <n v="799"/>
    <n v="799"/>
    <x v="2"/>
    <n v="39.950000000000003"/>
    <n v="759.05"/>
    <x v="0"/>
    <x v="0"/>
  </r>
  <r>
    <x v="2741"/>
    <s v="13 Sat"/>
    <x v="11"/>
    <x v="0"/>
    <s v="CUST-1187"/>
    <s v="Kabir Saxena"/>
    <x v="2"/>
    <x v="0"/>
    <x v="1"/>
    <n v="2"/>
    <n v="199"/>
    <n v="398"/>
    <x v="6"/>
    <n v="119.4"/>
    <n v="278.60000000000002"/>
    <x v="4"/>
    <x v="1"/>
  </r>
  <r>
    <x v="2742"/>
    <s v="13 Sat"/>
    <x v="11"/>
    <x v="0"/>
    <s v="CUST-1204"/>
    <s v="Meera Mehta"/>
    <x v="1"/>
    <x v="1"/>
    <x v="14"/>
    <n v="3"/>
    <n v="1799"/>
    <n v="5397"/>
    <x v="0"/>
    <n v="0"/>
    <n v="5397"/>
    <x v="0"/>
    <x v="0"/>
  </r>
  <r>
    <x v="2743"/>
    <s v="14 Sun"/>
    <x v="11"/>
    <x v="0"/>
    <s v="CUST-1111"/>
    <s v="Swati Joshi"/>
    <x v="3"/>
    <x v="4"/>
    <x v="11"/>
    <n v="2"/>
    <n v="499"/>
    <n v="998"/>
    <x v="5"/>
    <n v="249.5"/>
    <n v="748.5"/>
    <x v="2"/>
    <x v="0"/>
  </r>
  <r>
    <x v="2744"/>
    <s v="14 Sun"/>
    <x v="11"/>
    <x v="0"/>
    <s v="CUST-1267"/>
    <s v="Komal Joshi"/>
    <x v="3"/>
    <x v="3"/>
    <x v="6"/>
    <n v="1"/>
    <n v="799"/>
    <n v="799"/>
    <x v="1"/>
    <n v="119.85"/>
    <n v="679.15"/>
    <x v="1"/>
    <x v="0"/>
  </r>
  <r>
    <x v="2745"/>
    <s v="14 Sun"/>
    <x v="11"/>
    <x v="0"/>
    <s v="CUST-1196"/>
    <s v="Aditya Patel"/>
    <x v="0"/>
    <x v="3"/>
    <x v="6"/>
    <n v="2"/>
    <n v="799"/>
    <n v="1598"/>
    <x v="0"/>
    <n v="0"/>
    <n v="1598"/>
    <x v="0"/>
    <x v="1"/>
  </r>
  <r>
    <x v="2746"/>
    <s v="14 Sun"/>
    <x v="11"/>
    <x v="0"/>
    <s v="CUST-1037"/>
    <s v="Aarav Gupta"/>
    <x v="1"/>
    <x v="6"/>
    <x v="12"/>
    <n v="3"/>
    <n v="1499"/>
    <n v="4497"/>
    <x v="4"/>
    <n v="449.7"/>
    <n v="4047.3"/>
    <x v="1"/>
    <x v="0"/>
  </r>
  <r>
    <x v="2747"/>
    <s v="14 Sun"/>
    <x v="11"/>
    <x v="0"/>
    <s v="CUST-1062"/>
    <s v="Tanya Sharma"/>
    <x v="0"/>
    <x v="4"/>
    <x v="10"/>
    <n v="1"/>
    <n v="899"/>
    <n v="899"/>
    <x v="2"/>
    <n v="44.95"/>
    <n v="854.05"/>
    <x v="4"/>
    <x v="1"/>
  </r>
  <r>
    <x v="2748"/>
    <s v="14 Sun"/>
    <x v="11"/>
    <x v="0"/>
    <s v="CUST-1216"/>
    <s v="Meera Malhotra"/>
    <x v="4"/>
    <x v="3"/>
    <x v="5"/>
    <n v="1"/>
    <n v="1299"/>
    <n v="1299"/>
    <x v="1"/>
    <n v="194.85"/>
    <n v="1104.1500000000001"/>
    <x v="0"/>
    <x v="0"/>
  </r>
  <r>
    <x v="2749"/>
    <s v="14 Sun"/>
    <x v="11"/>
    <x v="0"/>
    <s v="CUST-1036"/>
    <s v="Nandini Mehta"/>
    <x v="0"/>
    <x v="1"/>
    <x v="4"/>
    <n v="1"/>
    <n v="2999"/>
    <n v="2999"/>
    <x v="1"/>
    <n v="449.85"/>
    <n v="2549.15"/>
    <x v="1"/>
    <x v="0"/>
  </r>
  <r>
    <x v="2750"/>
    <s v="14 Sun"/>
    <x v="11"/>
    <x v="0"/>
    <s v="CUST-1251"/>
    <s v="Aarav Singh"/>
    <x v="2"/>
    <x v="4"/>
    <x v="11"/>
    <n v="3"/>
    <n v="499"/>
    <n v="1497"/>
    <x v="5"/>
    <n v="374.25"/>
    <n v="1122.75"/>
    <x v="4"/>
    <x v="0"/>
  </r>
  <r>
    <x v="2751"/>
    <s v="14 Sun"/>
    <x v="11"/>
    <x v="0"/>
    <s v="CUST-1014"/>
    <s v="Vivaan Kapoor"/>
    <x v="4"/>
    <x v="4"/>
    <x v="7"/>
    <n v="1"/>
    <n v="1999"/>
    <n v="1999"/>
    <x v="6"/>
    <n v="599.70000000000005"/>
    <n v="1399.3"/>
    <x v="1"/>
    <x v="0"/>
  </r>
  <r>
    <x v="2752"/>
    <s v="14 Sun"/>
    <x v="11"/>
    <x v="0"/>
    <s v="CUST-1116"/>
    <s v="Sakshi Mehta"/>
    <x v="3"/>
    <x v="5"/>
    <x v="9"/>
    <n v="5"/>
    <n v="549"/>
    <n v="2745"/>
    <x v="1"/>
    <n v="411.75"/>
    <n v="2333.25"/>
    <x v="2"/>
    <x v="0"/>
  </r>
  <r>
    <x v="2753"/>
    <s v="14 Sun"/>
    <x v="11"/>
    <x v="0"/>
    <s v="CUST-1267"/>
    <s v="Komal Joshi"/>
    <x v="4"/>
    <x v="1"/>
    <x v="2"/>
    <n v="2"/>
    <n v="599"/>
    <n v="1198"/>
    <x v="1"/>
    <n v="179.7"/>
    <n v="1018.3"/>
    <x v="4"/>
    <x v="1"/>
  </r>
  <r>
    <x v="2754"/>
    <s v="14 Sun"/>
    <x v="11"/>
    <x v="0"/>
    <s v="CUST-1306"/>
    <s v="Sakshi Malhotra"/>
    <x v="0"/>
    <x v="4"/>
    <x v="10"/>
    <n v="1"/>
    <n v="899"/>
    <n v="899"/>
    <x v="3"/>
    <n v="179.8"/>
    <n v="719.2"/>
    <x v="0"/>
    <x v="0"/>
  </r>
  <r>
    <x v="2755"/>
    <s v="14 Sun"/>
    <x v="11"/>
    <x v="0"/>
    <s v="CUST-1220"/>
    <s v="Aditya Kapoor"/>
    <x v="2"/>
    <x v="1"/>
    <x v="4"/>
    <n v="4"/>
    <n v="2999"/>
    <n v="11996"/>
    <x v="1"/>
    <n v="1799.4"/>
    <n v="10196.6"/>
    <x v="1"/>
    <x v="0"/>
  </r>
  <r>
    <x v="2756"/>
    <s v="14 Sun"/>
    <x v="11"/>
    <x v="0"/>
    <s v="CUST-1193"/>
    <s v="Komal Saxena"/>
    <x v="1"/>
    <x v="6"/>
    <x v="12"/>
    <n v="3"/>
    <n v="1499"/>
    <n v="4497"/>
    <x v="4"/>
    <n v="449.7"/>
    <n v="4047.3"/>
    <x v="3"/>
    <x v="1"/>
  </r>
  <r>
    <x v="2757"/>
    <s v="14 Sun"/>
    <x v="11"/>
    <x v="0"/>
    <s v="CUST-1322"/>
    <s v="Rahul Sharma"/>
    <x v="0"/>
    <x v="0"/>
    <x v="0"/>
    <n v="3"/>
    <n v="99"/>
    <n v="297"/>
    <x v="0"/>
    <n v="0"/>
    <n v="297"/>
    <x v="0"/>
    <x v="0"/>
  </r>
  <r>
    <x v="2758"/>
    <s v="15 Mon"/>
    <x v="11"/>
    <x v="0"/>
    <s v="CUST-1377"/>
    <s v="Sakshi Patel"/>
    <x v="4"/>
    <x v="3"/>
    <x v="6"/>
    <n v="1"/>
    <n v="799"/>
    <n v="799"/>
    <x v="5"/>
    <n v="199.75"/>
    <n v="599.25"/>
    <x v="2"/>
    <x v="0"/>
  </r>
  <r>
    <x v="2759"/>
    <s v="15 Mon"/>
    <x v="11"/>
    <x v="0"/>
    <s v="CUST-1219"/>
    <s v="Sakshi Patel"/>
    <x v="4"/>
    <x v="6"/>
    <x v="12"/>
    <n v="3"/>
    <n v="1499"/>
    <n v="4497"/>
    <x v="5"/>
    <n v="1124.25"/>
    <n v="3372.75"/>
    <x v="1"/>
    <x v="0"/>
  </r>
  <r>
    <x v="2760"/>
    <s v="15 Mon"/>
    <x v="11"/>
    <x v="0"/>
    <s v="CUST-1064"/>
    <s v="Ankit Mehta"/>
    <x v="0"/>
    <x v="3"/>
    <x v="6"/>
    <n v="1"/>
    <n v="799"/>
    <n v="799"/>
    <x v="1"/>
    <n v="119.85"/>
    <n v="679.15"/>
    <x v="1"/>
    <x v="1"/>
  </r>
  <r>
    <x v="2761"/>
    <s v="15 Mon"/>
    <x v="11"/>
    <x v="0"/>
    <s v="CUST-1151"/>
    <s v="Aman Patel"/>
    <x v="2"/>
    <x v="4"/>
    <x v="11"/>
    <n v="2"/>
    <n v="499"/>
    <n v="998"/>
    <x v="6"/>
    <n v="299.39999999999998"/>
    <n v="698.6"/>
    <x v="0"/>
    <x v="1"/>
  </r>
  <r>
    <x v="2762"/>
    <s v="15 Mon"/>
    <x v="11"/>
    <x v="0"/>
    <s v="CUST-1113"/>
    <s v="Swati Saxena"/>
    <x v="1"/>
    <x v="3"/>
    <x v="6"/>
    <n v="1"/>
    <n v="799"/>
    <n v="799"/>
    <x v="3"/>
    <n v="159.80000000000001"/>
    <n v="639.20000000000005"/>
    <x v="3"/>
    <x v="1"/>
  </r>
  <r>
    <x v="2763"/>
    <s v="15 Mon"/>
    <x v="11"/>
    <x v="0"/>
    <s v="CUST-1122"/>
    <s v="Aditya Kapoor"/>
    <x v="3"/>
    <x v="4"/>
    <x v="11"/>
    <n v="5"/>
    <n v="499"/>
    <n v="2495"/>
    <x v="4"/>
    <n v="249.5"/>
    <n v="2245.5"/>
    <x v="1"/>
    <x v="0"/>
  </r>
  <r>
    <x v="2764"/>
    <s v="15 Mon"/>
    <x v="11"/>
    <x v="0"/>
    <s v="CUST-1101"/>
    <s v="Sakshi Sharma"/>
    <x v="0"/>
    <x v="2"/>
    <x v="15"/>
    <n v="1"/>
    <n v="299"/>
    <n v="299"/>
    <x v="2"/>
    <n v="14.95"/>
    <n v="284.05"/>
    <x v="0"/>
    <x v="0"/>
  </r>
  <r>
    <x v="2765"/>
    <s v="15 Mon"/>
    <x v="11"/>
    <x v="0"/>
    <s v="CUST-1145"/>
    <s v="Kunal Joshi"/>
    <x v="0"/>
    <x v="1"/>
    <x v="2"/>
    <n v="1"/>
    <n v="599"/>
    <n v="599"/>
    <x v="2"/>
    <n v="29.95"/>
    <n v="569.04999999999995"/>
    <x v="0"/>
    <x v="0"/>
  </r>
  <r>
    <x v="2766"/>
    <s v="15 Mon"/>
    <x v="11"/>
    <x v="0"/>
    <s v="CUST-1080"/>
    <s v="Kabir Sharma"/>
    <x v="0"/>
    <x v="1"/>
    <x v="4"/>
    <n v="3"/>
    <n v="2999"/>
    <n v="8997"/>
    <x v="4"/>
    <n v="899.7"/>
    <n v="8097.3"/>
    <x v="0"/>
    <x v="0"/>
  </r>
  <r>
    <x v="2767"/>
    <s v="15 Mon"/>
    <x v="11"/>
    <x v="0"/>
    <s v="CUST-1235"/>
    <s v="Meera Verma"/>
    <x v="2"/>
    <x v="6"/>
    <x v="12"/>
    <n v="3"/>
    <n v="1499"/>
    <n v="4497"/>
    <x v="2"/>
    <n v="224.85"/>
    <n v="4272.1499999999996"/>
    <x v="1"/>
    <x v="0"/>
  </r>
  <r>
    <x v="2768"/>
    <s v="15 Mon"/>
    <x v="11"/>
    <x v="0"/>
    <s v="CUST-1113"/>
    <s v="Swati Saxena"/>
    <x v="1"/>
    <x v="0"/>
    <x v="1"/>
    <n v="1"/>
    <n v="199"/>
    <n v="199"/>
    <x v="1"/>
    <n v="29.85"/>
    <n v="169.15"/>
    <x v="1"/>
    <x v="0"/>
  </r>
  <r>
    <x v="2769"/>
    <s v="16 Tue"/>
    <x v="11"/>
    <x v="0"/>
    <s v="CUST-1308"/>
    <s v="Shreya Sharma"/>
    <x v="3"/>
    <x v="4"/>
    <x v="11"/>
    <n v="3"/>
    <n v="499"/>
    <n v="1497"/>
    <x v="3"/>
    <n v="299.39999999999998"/>
    <n v="1197.5999999999999"/>
    <x v="0"/>
    <x v="0"/>
  </r>
  <r>
    <x v="2770"/>
    <s v="16 Tue"/>
    <x v="11"/>
    <x v="0"/>
    <s v="CUST-1289"/>
    <s v="Kunal Verma"/>
    <x v="3"/>
    <x v="5"/>
    <x v="8"/>
    <n v="2"/>
    <n v="349"/>
    <n v="698"/>
    <x v="1"/>
    <n v="104.7"/>
    <n v="593.29999999999995"/>
    <x v="0"/>
    <x v="1"/>
  </r>
  <r>
    <x v="2771"/>
    <s v="16 Tue"/>
    <x v="11"/>
    <x v="0"/>
    <s v="CUST-1246"/>
    <s v="Divya Verma"/>
    <x v="2"/>
    <x v="5"/>
    <x v="8"/>
    <n v="1"/>
    <n v="349"/>
    <n v="349"/>
    <x v="1"/>
    <n v="52.35"/>
    <n v="296.64999999999998"/>
    <x v="3"/>
    <x v="0"/>
  </r>
  <r>
    <x v="2772"/>
    <s v="16 Tue"/>
    <x v="11"/>
    <x v="0"/>
    <s v="CUST-1038"/>
    <s v="Rohan Joshi"/>
    <x v="4"/>
    <x v="5"/>
    <x v="8"/>
    <n v="1"/>
    <n v="349"/>
    <n v="349"/>
    <x v="0"/>
    <n v="0"/>
    <n v="349"/>
    <x v="1"/>
    <x v="0"/>
  </r>
  <r>
    <x v="2773"/>
    <s v="16 Tue"/>
    <x v="11"/>
    <x v="0"/>
    <s v="CUST-1034"/>
    <s v="Sakshi Patel"/>
    <x v="2"/>
    <x v="1"/>
    <x v="14"/>
    <n v="1"/>
    <n v="1799"/>
    <n v="1799"/>
    <x v="5"/>
    <n v="449.75"/>
    <n v="1349.25"/>
    <x v="1"/>
    <x v="0"/>
  </r>
  <r>
    <x v="2774"/>
    <s v="16 Tue"/>
    <x v="11"/>
    <x v="0"/>
    <s v="CUST-1097"/>
    <s v="Rohan Verma"/>
    <x v="3"/>
    <x v="6"/>
    <x v="13"/>
    <n v="1"/>
    <n v="699"/>
    <n v="699"/>
    <x v="1"/>
    <n v="104.85"/>
    <n v="594.15"/>
    <x v="1"/>
    <x v="0"/>
  </r>
  <r>
    <x v="2775"/>
    <s v="16 Tue"/>
    <x v="11"/>
    <x v="0"/>
    <s v="CUST-1058"/>
    <s v="Nandini Singh"/>
    <x v="3"/>
    <x v="6"/>
    <x v="13"/>
    <n v="1"/>
    <n v="699"/>
    <n v="699"/>
    <x v="1"/>
    <n v="104.85"/>
    <n v="594.15"/>
    <x v="0"/>
    <x v="1"/>
  </r>
  <r>
    <x v="2776"/>
    <s v="16 Tue"/>
    <x v="11"/>
    <x v="0"/>
    <s v="CUST-1344"/>
    <s v="Nandini Saxena"/>
    <x v="2"/>
    <x v="1"/>
    <x v="4"/>
    <n v="2"/>
    <n v="2999"/>
    <n v="5998"/>
    <x v="5"/>
    <n v="1499.5"/>
    <n v="4498.5"/>
    <x v="0"/>
    <x v="0"/>
  </r>
  <r>
    <x v="2777"/>
    <s v="16 Tue"/>
    <x v="11"/>
    <x v="0"/>
    <s v="CUST-1399"/>
    <s v="Vivaan Verma"/>
    <x v="2"/>
    <x v="1"/>
    <x v="4"/>
    <n v="2"/>
    <n v="2999"/>
    <n v="5998"/>
    <x v="2"/>
    <n v="299.89999999999998"/>
    <n v="5698.1"/>
    <x v="2"/>
    <x v="0"/>
  </r>
  <r>
    <x v="2778"/>
    <s v="16 Tue"/>
    <x v="11"/>
    <x v="0"/>
    <s v="CUST-1137"/>
    <s v="Nandini Kapoor"/>
    <x v="4"/>
    <x v="4"/>
    <x v="7"/>
    <n v="2"/>
    <n v="1999"/>
    <n v="3998"/>
    <x v="1"/>
    <n v="599.70000000000005"/>
    <n v="3398.3"/>
    <x v="0"/>
    <x v="0"/>
  </r>
  <r>
    <x v="2779"/>
    <s v="16 Tue"/>
    <x v="11"/>
    <x v="0"/>
    <s v="CUST-1396"/>
    <s v="Shreya Patel"/>
    <x v="1"/>
    <x v="3"/>
    <x v="6"/>
    <n v="1"/>
    <n v="799"/>
    <n v="799"/>
    <x v="0"/>
    <n v="0"/>
    <n v="799"/>
    <x v="3"/>
    <x v="0"/>
  </r>
  <r>
    <x v="2780"/>
    <s v="16 Tue"/>
    <x v="11"/>
    <x v="0"/>
    <s v="CUST-1050"/>
    <s v="Rohan Gupta"/>
    <x v="0"/>
    <x v="0"/>
    <x v="1"/>
    <n v="2"/>
    <n v="199"/>
    <n v="398"/>
    <x v="3"/>
    <n v="79.599999999999994"/>
    <n v="318.39999999999998"/>
    <x v="3"/>
    <x v="1"/>
  </r>
  <r>
    <x v="2781"/>
    <s v="16 Tue"/>
    <x v="11"/>
    <x v="0"/>
    <s v="CUST-1356"/>
    <s v="Isha Verma"/>
    <x v="1"/>
    <x v="1"/>
    <x v="14"/>
    <n v="1"/>
    <n v="1799"/>
    <n v="1799"/>
    <x v="3"/>
    <n v="359.8"/>
    <n v="1439.2"/>
    <x v="3"/>
    <x v="0"/>
  </r>
  <r>
    <x v="2782"/>
    <s v="16 Tue"/>
    <x v="11"/>
    <x v="0"/>
    <s v="CUST-1023"/>
    <s v="Rohan Sharma"/>
    <x v="2"/>
    <x v="5"/>
    <x v="8"/>
    <n v="1"/>
    <n v="349"/>
    <n v="349"/>
    <x v="3"/>
    <n v="69.8"/>
    <n v="279.2"/>
    <x v="2"/>
    <x v="0"/>
  </r>
  <r>
    <x v="2783"/>
    <s v="17 Wed"/>
    <x v="11"/>
    <x v="0"/>
    <s v="CUST-1140"/>
    <s v="Tanya Verma"/>
    <x v="3"/>
    <x v="1"/>
    <x v="4"/>
    <n v="1"/>
    <n v="2999"/>
    <n v="2999"/>
    <x v="4"/>
    <n v="299.89999999999998"/>
    <n v="2699.1"/>
    <x v="0"/>
    <x v="0"/>
  </r>
  <r>
    <x v="2784"/>
    <s v="17 Wed"/>
    <x v="11"/>
    <x v="0"/>
    <s v="CUST-1089"/>
    <s v="Arjun Verma"/>
    <x v="1"/>
    <x v="3"/>
    <x v="5"/>
    <n v="1"/>
    <n v="1299"/>
    <n v="1299"/>
    <x v="3"/>
    <n v="259.8"/>
    <n v="1039.2"/>
    <x v="4"/>
    <x v="1"/>
  </r>
  <r>
    <x v="2785"/>
    <s v="17 Wed"/>
    <x v="11"/>
    <x v="0"/>
    <s v="CUST-1313"/>
    <s v="Kunal Joshi"/>
    <x v="0"/>
    <x v="6"/>
    <x v="12"/>
    <n v="1"/>
    <n v="1499"/>
    <n v="1499"/>
    <x v="6"/>
    <n v="449.7"/>
    <n v="1049.3"/>
    <x v="4"/>
    <x v="0"/>
  </r>
  <r>
    <x v="2786"/>
    <s v="17 Wed"/>
    <x v="11"/>
    <x v="0"/>
    <s v="CUST-1285"/>
    <s v="Ankit Joshi"/>
    <x v="0"/>
    <x v="3"/>
    <x v="5"/>
    <n v="1"/>
    <n v="1299"/>
    <n v="1299"/>
    <x v="3"/>
    <n v="259.8"/>
    <n v="1039.2"/>
    <x v="1"/>
    <x v="0"/>
  </r>
  <r>
    <x v="2787"/>
    <s v="17 Wed"/>
    <x v="11"/>
    <x v="0"/>
    <s v="CUST-1319"/>
    <s v="Rohan Sharma"/>
    <x v="3"/>
    <x v="1"/>
    <x v="14"/>
    <n v="1"/>
    <n v="1799"/>
    <n v="1799"/>
    <x v="1"/>
    <n v="269.85000000000002"/>
    <n v="1529.15"/>
    <x v="1"/>
    <x v="1"/>
  </r>
  <r>
    <x v="2788"/>
    <s v="17 Wed"/>
    <x v="11"/>
    <x v="0"/>
    <s v="CUST-1114"/>
    <s v="Vivaan Malhotra"/>
    <x v="0"/>
    <x v="5"/>
    <x v="8"/>
    <n v="1"/>
    <n v="349"/>
    <n v="349"/>
    <x v="1"/>
    <n v="52.35"/>
    <n v="296.64999999999998"/>
    <x v="1"/>
    <x v="0"/>
  </r>
  <r>
    <x v="2789"/>
    <s v="17 Wed"/>
    <x v="11"/>
    <x v="0"/>
    <s v="CUST-1277"/>
    <s v="Vivaan Sharma"/>
    <x v="2"/>
    <x v="0"/>
    <x v="1"/>
    <n v="2"/>
    <n v="199"/>
    <n v="398"/>
    <x v="0"/>
    <n v="0"/>
    <n v="398"/>
    <x v="0"/>
    <x v="1"/>
  </r>
  <r>
    <x v="2790"/>
    <s v="17 Wed"/>
    <x v="11"/>
    <x v="0"/>
    <s v="CUST-1270"/>
    <s v="Nandini Verma"/>
    <x v="3"/>
    <x v="2"/>
    <x v="15"/>
    <n v="2"/>
    <n v="299"/>
    <n v="598"/>
    <x v="6"/>
    <n v="179.4"/>
    <n v="418.6"/>
    <x v="1"/>
    <x v="1"/>
  </r>
  <r>
    <x v="2791"/>
    <s v="17 Wed"/>
    <x v="11"/>
    <x v="0"/>
    <s v="CUST-1299"/>
    <s v="Kabir Mehta"/>
    <x v="3"/>
    <x v="0"/>
    <x v="1"/>
    <n v="2"/>
    <n v="199"/>
    <n v="398"/>
    <x v="1"/>
    <n v="59.7"/>
    <n v="338.3"/>
    <x v="0"/>
    <x v="0"/>
  </r>
  <r>
    <x v="2792"/>
    <s v="17 Wed"/>
    <x v="11"/>
    <x v="0"/>
    <s v="CUST-1393"/>
    <s v="Nandini Singh"/>
    <x v="2"/>
    <x v="4"/>
    <x v="7"/>
    <n v="2"/>
    <n v="1999"/>
    <n v="3998"/>
    <x v="1"/>
    <n v="599.70000000000005"/>
    <n v="3398.3"/>
    <x v="2"/>
    <x v="1"/>
  </r>
  <r>
    <x v="2793"/>
    <s v="17 Wed"/>
    <x v="11"/>
    <x v="0"/>
    <s v="CUST-1158"/>
    <s v="Shreya Singh"/>
    <x v="1"/>
    <x v="1"/>
    <x v="2"/>
    <n v="1"/>
    <n v="599"/>
    <n v="599"/>
    <x v="6"/>
    <n v="179.7"/>
    <n v="419.3"/>
    <x v="1"/>
    <x v="0"/>
  </r>
  <r>
    <x v="2794"/>
    <s v="17 Wed"/>
    <x v="11"/>
    <x v="0"/>
    <s v="CUST-1226"/>
    <s v="Tanya Joshi"/>
    <x v="1"/>
    <x v="5"/>
    <x v="8"/>
    <n v="2"/>
    <n v="349"/>
    <n v="698"/>
    <x v="2"/>
    <n v="34.9"/>
    <n v="663.1"/>
    <x v="2"/>
    <x v="0"/>
  </r>
  <r>
    <x v="2795"/>
    <s v="17 Wed"/>
    <x v="11"/>
    <x v="0"/>
    <s v="CUST-1223"/>
    <s v="Meera Saxena"/>
    <x v="4"/>
    <x v="4"/>
    <x v="11"/>
    <n v="2"/>
    <n v="499"/>
    <n v="998"/>
    <x v="1"/>
    <n v="149.69999999999999"/>
    <n v="848.3"/>
    <x v="2"/>
    <x v="0"/>
  </r>
  <r>
    <x v="2796"/>
    <s v="18 Thu"/>
    <x v="11"/>
    <x v="0"/>
    <s v="CUST-1145"/>
    <s v="Kunal Joshi"/>
    <x v="4"/>
    <x v="3"/>
    <x v="6"/>
    <n v="1"/>
    <n v="799"/>
    <n v="799"/>
    <x v="0"/>
    <n v="0"/>
    <n v="799"/>
    <x v="0"/>
    <x v="0"/>
  </r>
  <r>
    <x v="2797"/>
    <s v="18 Thu"/>
    <x v="11"/>
    <x v="0"/>
    <s v="CUST-1082"/>
    <s v="Aarav Mehta"/>
    <x v="3"/>
    <x v="0"/>
    <x v="1"/>
    <n v="3"/>
    <n v="199"/>
    <n v="597"/>
    <x v="1"/>
    <n v="89.55"/>
    <n v="507.45"/>
    <x v="2"/>
    <x v="0"/>
  </r>
  <r>
    <x v="2798"/>
    <s v="18 Thu"/>
    <x v="11"/>
    <x v="0"/>
    <s v="CUST-1371"/>
    <s v="Rahul Verma"/>
    <x v="0"/>
    <x v="5"/>
    <x v="8"/>
    <n v="1"/>
    <n v="349"/>
    <n v="349"/>
    <x v="0"/>
    <n v="0"/>
    <n v="349"/>
    <x v="0"/>
    <x v="0"/>
  </r>
  <r>
    <x v="2799"/>
    <s v="18 Thu"/>
    <x v="11"/>
    <x v="0"/>
    <s v="CUST-1213"/>
    <s v="Ankit Patel"/>
    <x v="0"/>
    <x v="1"/>
    <x v="2"/>
    <n v="1"/>
    <n v="599"/>
    <n v="599"/>
    <x v="3"/>
    <n v="119.8"/>
    <n v="479.2"/>
    <x v="2"/>
    <x v="0"/>
  </r>
  <r>
    <x v="2800"/>
    <s v="18 Thu"/>
    <x v="11"/>
    <x v="0"/>
    <s v="CUST-1008"/>
    <s v="Meera Saxena"/>
    <x v="4"/>
    <x v="4"/>
    <x v="7"/>
    <n v="1"/>
    <n v="1999"/>
    <n v="1999"/>
    <x v="3"/>
    <n v="399.8"/>
    <n v="1599.2"/>
    <x v="3"/>
    <x v="1"/>
  </r>
  <r>
    <x v="2801"/>
    <s v="18 Thu"/>
    <x v="11"/>
    <x v="0"/>
    <s v="CUST-1236"/>
    <s v="Divya Mehta"/>
    <x v="3"/>
    <x v="5"/>
    <x v="8"/>
    <n v="3"/>
    <n v="349"/>
    <n v="1047"/>
    <x v="2"/>
    <n v="52.35"/>
    <n v="994.65"/>
    <x v="1"/>
    <x v="0"/>
  </r>
  <r>
    <x v="2802"/>
    <s v="18 Thu"/>
    <x v="11"/>
    <x v="0"/>
    <s v="CUST-1372"/>
    <s v="Vivaan Singh"/>
    <x v="1"/>
    <x v="1"/>
    <x v="4"/>
    <n v="2"/>
    <n v="2999"/>
    <n v="5998"/>
    <x v="2"/>
    <n v="299.89999999999998"/>
    <n v="5698.1"/>
    <x v="3"/>
    <x v="1"/>
  </r>
  <r>
    <x v="2803"/>
    <s v="18 Thu"/>
    <x v="11"/>
    <x v="0"/>
    <s v="CUST-1238"/>
    <s v="Nandini Verma"/>
    <x v="2"/>
    <x v="0"/>
    <x v="1"/>
    <n v="1"/>
    <n v="199"/>
    <n v="199"/>
    <x v="2"/>
    <n v="9.9499999999999993"/>
    <n v="189.05"/>
    <x v="3"/>
    <x v="0"/>
  </r>
  <r>
    <x v="2804"/>
    <s v="18 Thu"/>
    <x v="11"/>
    <x v="0"/>
    <s v="CUST-1247"/>
    <s v="Meera Malhotra"/>
    <x v="0"/>
    <x v="5"/>
    <x v="9"/>
    <n v="1"/>
    <n v="549"/>
    <n v="549"/>
    <x v="3"/>
    <n v="109.8"/>
    <n v="439.2"/>
    <x v="2"/>
    <x v="0"/>
  </r>
  <r>
    <x v="2805"/>
    <s v="18 Thu"/>
    <x v="11"/>
    <x v="0"/>
    <s v="CUST-1355"/>
    <s v="Aditya Joshi"/>
    <x v="4"/>
    <x v="0"/>
    <x v="1"/>
    <n v="1"/>
    <n v="199"/>
    <n v="199"/>
    <x v="4"/>
    <n v="19.899999999999999"/>
    <n v="179.1"/>
    <x v="2"/>
    <x v="0"/>
  </r>
  <r>
    <x v="2806"/>
    <s v="18 Thu"/>
    <x v="11"/>
    <x v="0"/>
    <s v="CUST-1338"/>
    <s v="Komal Malhotra"/>
    <x v="0"/>
    <x v="3"/>
    <x v="6"/>
    <n v="3"/>
    <n v="799"/>
    <n v="2397"/>
    <x v="2"/>
    <n v="119.85"/>
    <n v="2277.15"/>
    <x v="2"/>
    <x v="0"/>
  </r>
  <r>
    <x v="2807"/>
    <s v="18 Thu"/>
    <x v="11"/>
    <x v="0"/>
    <s v="CUST-1354"/>
    <s v="Aman Saxena"/>
    <x v="1"/>
    <x v="1"/>
    <x v="14"/>
    <n v="1"/>
    <n v="1799"/>
    <n v="1799"/>
    <x v="1"/>
    <n v="269.85000000000002"/>
    <n v="1529.15"/>
    <x v="1"/>
    <x v="1"/>
  </r>
  <r>
    <x v="2808"/>
    <s v="18 Thu"/>
    <x v="11"/>
    <x v="0"/>
    <s v="CUST-1345"/>
    <s v="Tanya Verma"/>
    <x v="1"/>
    <x v="1"/>
    <x v="14"/>
    <n v="1"/>
    <n v="1799"/>
    <n v="1799"/>
    <x v="3"/>
    <n v="359.8"/>
    <n v="1439.2"/>
    <x v="1"/>
    <x v="1"/>
  </r>
  <r>
    <x v="2809"/>
    <s v="19 Fri"/>
    <x v="11"/>
    <x v="0"/>
    <s v="CUST-1220"/>
    <s v="Aditya Kapoor"/>
    <x v="0"/>
    <x v="0"/>
    <x v="1"/>
    <n v="4"/>
    <n v="199"/>
    <n v="796"/>
    <x v="4"/>
    <n v="79.599999999999994"/>
    <n v="716.4"/>
    <x v="0"/>
    <x v="0"/>
  </r>
  <r>
    <x v="2810"/>
    <s v="19 Fri"/>
    <x v="11"/>
    <x v="0"/>
    <s v="CUST-1373"/>
    <s v="Rahul Verma"/>
    <x v="3"/>
    <x v="5"/>
    <x v="8"/>
    <n v="3"/>
    <n v="349"/>
    <n v="1047"/>
    <x v="5"/>
    <n v="261.75"/>
    <n v="785.25"/>
    <x v="2"/>
    <x v="0"/>
  </r>
  <r>
    <x v="2811"/>
    <s v="19 Fri"/>
    <x v="11"/>
    <x v="0"/>
    <s v="CUST-1285"/>
    <s v="Ankit Joshi"/>
    <x v="4"/>
    <x v="3"/>
    <x v="5"/>
    <n v="1"/>
    <n v="1299"/>
    <n v="1299"/>
    <x v="0"/>
    <n v="0"/>
    <n v="1299"/>
    <x v="2"/>
    <x v="0"/>
  </r>
  <r>
    <x v="2812"/>
    <s v="19 Fri"/>
    <x v="11"/>
    <x v="0"/>
    <s v="CUST-1041"/>
    <s v="Divya Malhotra"/>
    <x v="0"/>
    <x v="6"/>
    <x v="12"/>
    <n v="1"/>
    <n v="1499"/>
    <n v="1499"/>
    <x v="0"/>
    <n v="0"/>
    <n v="1499"/>
    <x v="2"/>
    <x v="1"/>
  </r>
  <r>
    <x v="2813"/>
    <s v="19 Fri"/>
    <x v="11"/>
    <x v="0"/>
    <s v="CUST-1271"/>
    <s v="Nandini Sharma"/>
    <x v="4"/>
    <x v="0"/>
    <x v="0"/>
    <n v="1"/>
    <n v="99"/>
    <n v="99"/>
    <x v="5"/>
    <n v="24.75"/>
    <n v="74.25"/>
    <x v="3"/>
    <x v="1"/>
  </r>
  <r>
    <x v="2814"/>
    <s v="19 Fri"/>
    <x v="11"/>
    <x v="0"/>
    <s v="CUST-1011"/>
    <s v="Kunal Sharma"/>
    <x v="0"/>
    <x v="3"/>
    <x v="6"/>
    <n v="1"/>
    <n v="799"/>
    <n v="799"/>
    <x v="2"/>
    <n v="39.950000000000003"/>
    <n v="759.05"/>
    <x v="0"/>
    <x v="0"/>
  </r>
  <r>
    <x v="2815"/>
    <s v="19 Fri"/>
    <x v="11"/>
    <x v="0"/>
    <s v="CUST-1206"/>
    <s v="Aditya Gupta"/>
    <x v="2"/>
    <x v="1"/>
    <x v="4"/>
    <n v="1"/>
    <n v="2999"/>
    <n v="2999"/>
    <x v="0"/>
    <n v="0"/>
    <n v="2999"/>
    <x v="0"/>
    <x v="0"/>
  </r>
  <r>
    <x v="2816"/>
    <s v="19 Fri"/>
    <x v="11"/>
    <x v="0"/>
    <s v="CUST-1099"/>
    <s v="Rahul Malhotra"/>
    <x v="4"/>
    <x v="5"/>
    <x v="8"/>
    <n v="1"/>
    <n v="349"/>
    <n v="349"/>
    <x v="5"/>
    <n v="87.25"/>
    <n v="261.75"/>
    <x v="2"/>
    <x v="1"/>
  </r>
  <r>
    <x v="2817"/>
    <s v="19 Fri"/>
    <x v="11"/>
    <x v="0"/>
    <s v="CUST-1153"/>
    <s v="Swati Verma"/>
    <x v="2"/>
    <x v="4"/>
    <x v="10"/>
    <n v="1"/>
    <n v="899"/>
    <n v="899"/>
    <x v="6"/>
    <n v="269.7"/>
    <n v="629.29999999999995"/>
    <x v="0"/>
    <x v="0"/>
  </r>
  <r>
    <x v="2818"/>
    <s v="19 Fri"/>
    <x v="11"/>
    <x v="0"/>
    <s v="CUST-1218"/>
    <s v="Rahul Singh"/>
    <x v="1"/>
    <x v="6"/>
    <x v="13"/>
    <n v="1"/>
    <n v="699"/>
    <n v="699"/>
    <x v="5"/>
    <n v="174.75"/>
    <n v="524.25"/>
    <x v="1"/>
    <x v="0"/>
  </r>
  <r>
    <x v="2819"/>
    <s v="19 Fri"/>
    <x v="11"/>
    <x v="0"/>
    <s v="CUST-1151"/>
    <s v="Aman Patel"/>
    <x v="4"/>
    <x v="2"/>
    <x v="3"/>
    <n v="1"/>
    <n v="249"/>
    <n v="249"/>
    <x v="0"/>
    <n v="0"/>
    <n v="249"/>
    <x v="0"/>
    <x v="0"/>
  </r>
  <r>
    <x v="2820"/>
    <s v="19 Fri"/>
    <x v="11"/>
    <x v="0"/>
    <s v="CUST-1242"/>
    <s v="Sakshi Malhotra"/>
    <x v="4"/>
    <x v="2"/>
    <x v="3"/>
    <n v="5"/>
    <n v="249"/>
    <n v="1245"/>
    <x v="1"/>
    <n v="186.75"/>
    <n v="1058.25"/>
    <x v="0"/>
    <x v="0"/>
  </r>
  <r>
    <x v="2821"/>
    <s v="19 Fri"/>
    <x v="11"/>
    <x v="0"/>
    <s v="CUST-1198"/>
    <s v="Vivaan Joshi"/>
    <x v="0"/>
    <x v="0"/>
    <x v="1"/>
    <n v="3"/>
    <n v="199"/>
    <n v="597"/>
    <x v="3"/>
    <n v="119.4"/>
    <n v="477.6"/>
    <x v="1"/>
    <x v="0"/>
  </r>
  <r>
    <x v="2822"/>
    <s v="19 Fri"/>
    <x v="11"/>
    <x v="0"/>
    <s v="CUST-1153"/>
    <s v="Swati Verma"/>
    <x v="2"/>
    <x v="4"/>
    <x v="11"/>
    <n v="1"/>
    <n v="499"/>
    <n v="499"/>
    <x v="3"/>
    <n v="99.8"/>
    <n v="399.2"/>
    <x v="2"/>
    <x v="0"/>
  </r>
  <r>
    <x v="2823"/>
    <s v="20 Sat"/>
    <x v="11"/>
    <x v="0"/>
    <s v="CUST-1006"/>
    <s v="Sakshi Singh"/>
    <x v="0"/>
    <x v="0"/>
    <x v="1"/>
    <n v="2"/>
    <n v="199"/>
    <n v="398"/>
    <x v="4"/>
    <n v="39.799999999999997"/>
    <n v="358.2"/>
    <x v="2"/>
    <x v="0"/>
  </r>
  <r>
    <x v="2824"/>
    <s v="20 Sat"/>
    <x v="11"/>
    <x v="0"/>
    <s v="CUST-1129"/>
    <s v="Nandini Patel"/>
    <x v="0"/>
    <x v="6"/>
    <x v="12"/>
    <n v="3"/>
    <n v="1499"/>
    <n v="4497"/>
    <x v="3"/>
    <n v="899.4"/>
    <n v="3597.6"/>
    <x v="1"/>
    <x v="1"/>
  </r>
  <r>
    <x v="2825"/>
    <s v="20 Sat"/>
    <x v="11"/>
    <x v="0"/>
    <s v="CUST-1122"/>
    <s v="Aditya Kapoor"/>
    <x v="0"/>
    <x v="6"/>
    <x v="12"/>
    <n v="1"/>
    <n v="1499"/>
    <n v="1499"/>
    <x v="4"/>
    <n v="149.9"/>
    <n v="1349.1"/>
    <x v="1"/>
    <x v="0"/>
  </r>
  <r>
    <x v="2826"/>
    <s v="20 Sat"/>
    <x v="11"/>
    <x v="0"/>
    <s v="CUST-1252"/>
    <s v="Arjun Singh"/>
    <x v="2"/>
    <x v="4"/>
    <x v="7"/>
    <n v="2"/>
    <n v="1999"/>
    <n v="3998"/>
    <x v="0"/>
    <n v="0"/>
    <n v="3998"/>
    <x v="1"/>
    <x v="0"/>
  </r>
  <r>
    <x v="2827"/>
    <s v="20 Sat"/>
    <x v="11"/>
    <x v="0"/>
    <s v="CUST-1067"/>
    <s v="Nandini Gupta"/>
    <x v="4"/>
    <x v="0"/>
    <x v="0"/>
    <n v="3"/>
    <n v="99"/>
    <n v="297"/>
    <x v="4"/>
    <n v="29.7"/>
    <n v="267.3"/>
    <x v="0"/>
    <x v="0"/>
  </r>
  <r>
    <x v="2828"/>
    <s v="20 Sat"/>
    <x v="11"/>
    <x v="0"/>
    <s v="CUST-1368"/>
    <s v="Isha Patel"/>
    <x v="2"/>
    <x v="0"/>
    <x v="0"/>
    <n v="1"/>
    <n v="99"/>
    <n v="99"/>
    <x v="1"/>
    <n v="14.85"/>
    <n v="84.15"/>
    <x v="1"/>
    <x v="0"/>
  </r>
  <r>
    <x v="2829"/>
    <s v="20 Sat"/>
    <x v="11"/>
    <x v="0"/>
    <s v="CUST-1020"/>
    <s v="Rohan Malhotra"/>
    <x v="0"/>
    <x v="5"/>
    <x v="8"/>
    <n v="1"/>
    <n v="349"/>
    <n v="349"/>
    <x v="0"/>
    <n v="0"/>
    <n v="349"/>
    <x v="0"/>
    <x v="0"/>
  </r>
  <r>
    <x v="2830"/>
    <s v="20 Sat"/>
    <x v="11"/>
    <x v="0"/>
    <s v="CUST-1305"/>
    <s v="Muskan Joshi"/>
    <x v="4"/>
    <x v="0"/>
    <x v="1"/>
    <n v="2"/>
    <n v="199"/>
    <n v="398"/>
    <x v="2"/>
    <n v="19.899999999999999"/>
    <n v="378.1"/>
    <x v="2"/>
    <x v="0"/>
  </r>
  <r>
    <x v="2831"/>
    <s v="20 Sat"/>
    <x v="11"/>
    <x v="0"/>
    <s v="CUST-1129"/>
    <s v="Nandini Patel"/>
    <x v="1"/>
    <x v="6"/>
    <x v="13"/>
    <n v="1"/>
    <n v="699"/>
    <n v="699"/>
    <x v="1"/>
    <n v="104.85"/>
    <n v="594.15"/>
    <x v="1"/>
    <x v="0"/>
  </r>
  <r>
    <x v="2832"/>
    <s v="20 Sat"/>
    <x v="11"/>
    <x v="0"/>
    <s v="CUST-1098"/>
    <s v="Rohan Patel"/>
    <x v="1"/>
    <x v="0"/>
    <x v="1"/>
    <n v="2"/>
    <n v="199"/>
    <n v="398"/>
    <x v="0"/>
    <n v="0"/>
    <n v="398"/>
    <x v="1"/>
    <x v="0"/>
  </r>
  <r>
    <x v="2833"/>
    <s v="20 Sat"/>
    <x v="11"/>
    <x v="0"/>
    <s v="CUST-1218"/>
    <s v="Rahul Singh"/>
    <x v="0"/>
    <x v="5"/>
    <x v="8"/>
    <n v="2"/>
    <n v="349"/>
    <n v="698"/>
    <x v="2"/>
    <n v="34.9"/>
    <n v="663.1"/>
    <x v="3"/>
    <x v="0"/>
  </r>
  <r>
    <x v="2834"/>
    <s v="20 Sat"/>
    <x v="11"/>
    <x v="0"/>
    <s v="CUST-1173"/>
    <s v="Ankit Gupta"/>
    <x v="2"/>
    <x v="0"/>
    <x v="1"/>
    <n v="2"/>
    <n v="199"/>
    <n v="398"/>
    <x v="4"/>
    <n v="39.799999999999997"/>
    <n v="358.2"/>
    <x v="0"/>
    <x v="0"/>
  </r>
  <r>
    <x v="2835"/>
    <s v="20 Sat"/>
    <x v="11"/>
    <x v="0"/>
    <s v="CUST-1215"/>
    <s v="Arjun Singh"/>
    <x v="2"/>
    <x v="5"/>
    <x v="9"/>
    <n v="3"/>
    <n v="549"/>
    <n v="1647"/>
    <x v="5"/>
    <n v="411.75"/>
    <n v="1235.25"/>
    <x v="2"/>
    <x v="0"/>
  </r>
  <r>
    <x v="2836"/>
    <s v="20 Sat"/>
    <x v="11"/>
    <x v="0"/>
    <s v="CUST-1022"/>
    <s v="Tanya Verma"/>
    <x v="2"/>
    <x v="3"/>
    <x v="5"/>
    <n v="1"/>
    <n v="1299"/>
    <n v="1299"/>
    <x v="6"/>
    <n v="389.7"/>
    <n v="909.3"/>
    <x v="1"/>
    <x v="0"/>
  </r>
  <r>
    <x v="2837"/>
    <s v="20 Sat"/>
    <x v="11"/>
    <x v="0"/>
    <s v="CUST-1084"/>
    <s v="Kunal Saxena"/>
    <x v="1"/>
    <x v="2"/>
    <x v="15"/>
    <n v="2"/>
    <n v="299"/>
    <n v="598"/>
    <x v="0"/>
    <n v="0"/>
    <n v="598"/>
    <x v="3"/>
    <x v="1"/>
  </r>
  <r>
    <x v="2838"/>
    <s v="20 Sat"/>
    <x v="11"/>
    <x v="0"/>
    <s v="CUST-1288"/>
    <s v="Aditya Mehta"/>
    <x v="1"/>
    <x v="0"/>
    <x v="1"/>
    <n v="1"/>
    <n v="199"/>
    <n v="199"/>
    <x v="6"/>
    <n v="59.7"/>
    <n v="139.30000000000001"/>
    <x v="3"/>
    <x v="0"/>
  </r>
  <r>
    <x v="2839"/>
    <s v="20 Sat"/>
    <x v="11"/>
    <x v="0"/>
    <s v="CUST-1302"/>
    <s v="Arjun Saxena"/>
    <x v="2"/>
    <x v="1"/>
    <x v="14"/>
    <n v="1"/>
    <n v="1799"/>
    <n v="1799"/>
    <x v="5"/>
    <n v="449.75"/>
    <n v="1349.25"/>
    <x v="1"/>
    <x v="1"/>
  </r>
  <r>
    <x v="2840"/>
    <s v="20 Sat"/>
    <x v="11"/>
    <x v="0"/>
    <s v="CUST-1297"/>
    <s v="Sakshi Kapoor"/>
    <x v="4"/>
    <x v="2"/>
    <x v="3"/>
    <n v="3"/>
    <n v="249"/>
    <n v="747"/>
    <x v="4"/>
    <n v="74.7"/>
    <n v="672.3"/>
    <x v="2"/>
    <x v="0"/>
  </r>
  <r>
    <x v="2841"/>
    <s v="21 Sun"/>
    <x v="11"/>
    <x v="0"/>
    <s v="CUST-1307"/>
    <s v="Swati Kapoor"/>
    <x v="4"/>
    <x v="1"/>
    <x v="2"/>
    <n v="1"/>
    <n v="599"/>
    <n v="599"/>
    <x v="6"/>
    <n v="179.7"/>
    <n v="419.3"/>
    <x v="0"/>
    <x v="0"/>
  </r>
  <r>
    <x v="2842"/>
    <s v="21 Sun"/>
    <x v="11"/>
    <x v="0"/>
    <s v="CUST-1131"/>
    <s v="Aarav Sharma"/>
    <x v="4"/>
    <x v="5"/>
    <x v="9"/>
    <n v="1"/>
    <n v="549"/>
    <n v="549"/>
    <x v="1"/>
    <n v="82.35"/>
    <n v="466.65"/>
    <x v="0"/>
    <x v="0"/>
  </r>
  <r>
    <x v="2843"/>
    <s v="21 Sun"/>
    <x v="11"/>
    <x v="0"/>
    <s v="CUST-1167"/>
    <s v="Nandini Verma"/>
    <x v="4"/>
    <x v="4"/>
    <x v="10"/>
    <n v="1"/>
    <n v="899"/>
    <n v="899"/>
    <x v="5"/>
    <n v="224.75"/>
    <n v="674.25"/>
    <x v="1"/>
    <x v="1"/>
  </r>
  <r>
    <x v="2844"/>
    <s v="21 Sun"/>
    <x v="11"/>
    <x v="0"/>
    <s v="CUST-1326"/>
    <s v="Rohan Verma"/>
    <x v="4"/>
    <x v="3"/>
    <x v="6"/>
    <n v="1"/>
    <n v="799"/>
    <n v="799"/>
    <x v="2"/>
    <n v="39.950000000000003"/>
    <n v="759.05"/>
    <x v="0"/>
    <x v="0"/>
  </r>
  <r>
    <x v="2845"/>
    <s v="21 Sun"/>
    <x v="11"/>
    <x v="0"/>
    <s v="CUST-1262"/>
    <s v="Kunal Joshi"/>
    <x v="2"/>
    <x v="3"/>
    <x v="6"/>
    <n v="1"/>
    <n v="799"/>
    <n v="799"/>
    <x v="0"/>
    <n v="0"/>
    <n v="799"/>
    <x v="3"/>
    <x v="0"/>
  </r>
  <r>
    <x v="2846"/>
    <s v="21 Sun"/>
    <x v="11"/>
    <x v="0"/>
    <s v="CUST-1100"/>
    <s v="Vivaan Saxena"/>
    <x v="0"/>
    <x v="0"/>
    <x v="0"/>
    <n v="1"/>
    <n v="99"/>
    <n v="99"/>
    <x v="4"/>
    <n v="9.9"/>
    <n v="89.1"/>
    <x v="2"/>
    <x v="0"/>
  </r>
  <r>
    <x v="2847"/>
    <s v="21 Sun"/>
    <x v="11"/>
    <x v="0"/>
    <s v="CUST-1095"/>
    <s v="Nandini Joshi"/>
    <x v="4"/>
    <x v="2"/>
    <x v="3"/>
    <n v="2"/>
    <n v="249"/>
    <n v="498"/>
    <x v="3"/>
    <n v="99.6"/>
    <n v="398.4"/>
    <x v="0"/>
    <x v="0"/>
  </r>
  <r>
    <x v="2848"/>
    <s v="21 Sun"/>
    <x v="11"/>
    <x v="0"/>
    <s v="CUST-1048"/>
    <s v="Divya Mehta"/>
    <x v="4"/>
    <x v="1"/>
    <x v="14"/>
    <n v="2"/>
    <n v="1799"/>
    <n v="3598"/>
    <x v="1"/>
    <n v="539.70000000000005"/>
    <n v="3058.3"/>
    <x v="3"/>
    <x v="0"/>
  </r>
  <r>
    <x v="2849"/>
    <s v="21 Sun"/>
    <x v="11"/>
    <x v="0"/>
    <s v="CUST-1300"/>
    <s v="Vivaan Mehta"/>
    <x v="3"/>
    <x v="1"/>
    <x v="14"/>
    <n v="1"/>
    <n v="1799"/>
    <n v="1799"/>
    <x v="0"/>
    <n v="0"/>
    <n v="1799"/>
    <x v="0"/>
    <x v="0"/>
  </r>
  <r>
    <x v="2850"/>
    <s v="21 Sun"/>
    <x v="11"/>
    <x v="0"/>
    <s v="CUST-1262"/>
    <s v="Kunal Joshi"/>
    <x v="0"/>
    <x v="2"/>
    <x v="15"/>
    <n v="2"/>
    <n v="299"/>
    <n v="598"/>
    <x v="4"/>
    <n v="59.8"/>
    <n v="538.20000000000005"/>
    <x v="2"/>
    <x v="0"/>
  </r>
  <r>
    <x v="2851"/>
    <s v="21 Sun"/>
    <x v="11"/>
    <x v="0"/>
    <s v="CUST-1326"/>
    <s v="Rohan Verma"/>
    <x v="4"/>
    <x v="3"/>
    <x v="6"/>
    <n v="1"/>
    <n v="799"/>
    <n v="799"/>
    <x v="3"/>
    <n v="159.80000000000001"/>
    <n v="639.20000000000005"/>
    <x v="1"/>
    <x v="0"/>
  </r>
  <r>
    <x v="2852"/>
    <s v="21 Sun"/>
    <x v="11"/>
    <x v="0"/>
    <s v="CUST-1076"/>
    <s v="Tanya Saxena"/>
    <x v="2"/>
    <x v="1"/>
    <x v="14"/>
    <n v="1"/>
    <n v="1799"/>
    <n v="1799"/>
    <x v="1"/>
    <n v="269.85000000000002"/>
    <n v="1529.15"/>
    <x v="0"/>
    <x v="0"/>
  </r>
  <r>
    <x v="2853"/>
    <s v="21 Sun"/>
    <x v="11"/>
    <x v="0"/>
    <s v="CUST-1175"/>
    <s v="Vivaan Kapoor"/>
    <x v="2"/>
    <x v="2"/>
    <x v="3"/>
    <n v="2"/>
    <n v="249"/>
    <n v="498"/>
    <x v="6"/>
    <n v="149.4"/>
    <n v="348.6"/>
    <x v="2"/>
    <x v="1"/>
  </r>
  <r>
    <x v="2854"/>
    <s v="21 Sun"/>
    <x v="11"/>
    <x v="0"/>
    <s v="CUST-1366"/>
    <s v="Vivaan Joshi"/>
    <x v="1"/>
    <x v="2"/>
    <x v="15"/>
    <n v="2"/>
    <n v="299"/>
    <n v="598"/>
    <x v="6"/>
    <n v="179.4"/>
    <n v="418.6"/>
    <x v="1"/>
    <x v="1"/>
  </r>
  <r>
    <x v="2855"/>
    <s v="21 Sun"/>
    <x v="11"/>
    <x v="0"/>
    <s v="CUST-1256"/>
    <s v="Rohan Singh"/>
    <x v="4"/>
    <x v="1"/>
    <x v="4"/>
    <n v="4"/>
    <n v="2999"/>
    <n v="11996"/>
    <x v="4"/>
    <n v="1199.5999999999999"/>
    <n v="10796.4"/>
    <x v="3"/>
    <x v="0"/>
  </r>
  <r>
    <x v="2856"/>
    <s v="21 Sun"/>
    <x v="11"/>
    <x v="0"/>
    <s v="CUST-1145"/>
    <s v="Kunal Joshi"/>
    <x v="2"/>
    <x v="3"/>
    <x v="5"/>
    <n v="2"/>
    <n v="1299"/>
    <n v="2598"/>
    <x v="3"/>
    <n v="519.6"/>
    <n v="2078.4"/>
    <x v="1"/>
    <x v="0"/>
  </r>
  <r>
    <x v="2857"/>
    <s v="21 Sun"/>
    <x v="11"/>
    <x v="0"/>
    <s v="CUST-1074"/>
    <s v="Kabir Kapoor"/>
    <x v="2"/>
    <x v="5"/>
    <x v="8"/>
    <n v="1"/>
    <n v="349"/>
    <n v="349"/>
    <x v="2"/>
    <n v="17.45"/>
    <n v="331.55"/>
    <x v="4"/>
    <x v="0"/>
  </r>
  <r>
    <x v="2858"/>
    <s v="21 Sun"/>
    <x v="11"/>
    <x v="0"/>
    <s v="CUST-1222"/>
    <s v="Sakshi Sharma"/>
    <x v="1"/>
    <x v="1"/>
    <x v="14"/>
    <n v="1"/>
    <n v="1799"/>
    <n v="1799"/>
    <x v="2"/>
    <n v="89.95"/>
    <n v="1709.05"/>
    <x v="4"/>
    <x v="0"/>
  </r>
  <r>
    <x v="2859"/>
    <s v="21 Sun"/>
    <x v="11"/>
    <x v="0"/>
    <s v="CUST-1067"/>
    <s v="Nandini Gupta"/>
    <x v="4"/>
    <x v="1"/>
    <x v="2"/>
    <n v="2"/>
    <n v="599"/>
    <n v="1198"/>
    <x v="1"/>
    <n v="179.7"/>
    <n v="1018.3"/>
    <x v="2"/>
    <x v="0"/>
  </r>
  <r>
    <x v="2860"/>
    <s v="22 Mon"/>
    <x v="11"/>
    <x v="0"/>
    <s v="CUST-1139"/>
    <s v="Aditya Sharma"/>
    <x v="3"/>
    <x v="4"/>
    <x v="7"/>
    <n v="1"/>
    <n v="1999"/>
    <n v="1999"/>
    <x v="6"/>
    <n v="599.70000000000005"/>
    <n v="1399.3"/>
    <x v="0"/>
    <x v="0"/>
  </r>
  <r>
    <x v="2861"/>
    <s v="22 Mon"/>
    <x v="11"/>
    <x v="0"/>
    <s v="CUST-1313"/>
    <s v="Kunal Joshi"/>
    <x v="2"/>
    <x v="4"/>
    <x v="11"/>
    <n v="2"/>
    <n v="499"/>
    <n v="998"/>
    <x v="3"/>
    <n v="199.6"/>
    <n v="798.4"/>
    <x v="1"/>
    <x v="0"/>
  </r>
  <r>
    <x v="2862"/>
    <s v="22 Mon"/>
    <x v="11"/>
    <x v="0"/>
    <s v="CUST-1381"/>
    <s v="Kabir Kapoor"/>
    <x v="3"/>
    <x v="2"/>
    <x v="3"/>
    <n v="2"/>
    <n v="249"/>
    <n v="498"/>
    <x v="5"/>
    <n v="124.5"/>
    <n v="373.5"/>
    <x v="0"/>
    <x v="0"/>
  </r>
  <r>
    <x v="2863"/>
    <s v="22 Mon"/>
    <x v="11"/>
    <x v="0"/>
    <s v="CUST-1179"/>
    <s v="Nandini Saxena"/>
    <x v="0"/>
    <x v="5"/>
    <x v="9"/>
    <n v="3"/>
    <n v="549"/>
    <n v="1647"/>
    <x v="3"/>
    <n v="329.4"/>
    <n v="1317.6"/>
    <x v="0"/>
    <x v="0"/>
  </r>
  <r>
    <x v="2864"/>
    <s v="22 Mon"/>
    <x v="11"/>
    <x v="0"/>
    <s v="CUST-1242"/>
    <s v="Sakshi Malhotra"/>
    <x v="0"/>
    <x v="4"/>
    <x v="10"/>
    <n v="1"/>
    <n v="899"/>
    <n v="899"/>
    <x v="1"/>
    <n v="134.85"/>
    <n v="764.15"/>
    <x v="0"/>
    <x v="0"/>
  </r>
  <r>
    <x v="2865"/>
    <s v="22 Mon"/>
    <x v="11"/>
    <x v="0"/>
    <s v="CUST-1254"/>
    <s v="Meera Malhotra"/>
    <x v="4"/>
    <x v="1"/>
    <x v="2"/>
    <n v="1"/>
    <n v="599"/>
    <n v="599"/>
    <x v="0"/>
    <n v="0"/>
    <n v="599"/>
    <x v="2"/>
    <x v="0"/>
  </r>
  <r>
    <x v="2866"/>
    <s v="22 Mon"/>
    <x v="11"/>
    <x v="0"/>
    <s v="CUST-1007"/>
    <s v="Aarav Sharma"/>
    <x v="3"/>
    <x v="3"/>
    <x v="6"/>
    <n v="1"/>
    <n v="799"/>
    <n v="799"/>
    <x v="6"/>
    <n v="239.7"/>
    <n v="559.29999999999995"/>
    <x v="2"/>
    <x v="0"/>
  </r>
  <r>
    <x v="2867"/>
    <s v="22 Mon"/>
    <x v="11"/>
    <x v="0"/>
    <s v="CUST-1161"/>
    <s v="Ankit Gupta"/>
    <x v="1"/>
    <x v="4"/>
    <x v="11"/>
    <n v="1"/>
    <n v="499"/>
    <n v="499"/>
    <x v="0"/>
    <n v="0"/>
    <n v="499"/>
    <x v="1"/>
    <x v="1"/>
  </r>
  <r>
    <x v="2868"/>
    <s v="22 Mon"/>
    <x v="11"/>
    <x v="0"/>
    <s v="CUST-1059"/>
    <s v="Kunal Verma"/>
    <x v="1"/>
    <x v="6"/>
    <x v="12"/>
    <n v="1"/>
    <n v="1499"/>
    <n v="1499"/>
    <x v="0"/>
    <n v="0"/>
    <n v="1499"/>
    <x v="1"/>
    <x v="0"/>
  </r>
  <r>
    <x v="2869"/>
    <s v="22 Mon"/>
    <x v="11"/>
    <x v="0"/>
    <s v="CUST-1024"/>
    <s v="Tanya Singh"/>
    <x v="0"/>
    <x v="1"/>
    <x v="4"/>
    <n v="1"/>
    <n v="2999"/>
    <n v="2999"/>
    <x v="4"/>
    <n v="299.89999999999998"/>
    <n v="2699.1"/>
    <x v="3"/>
    <x v="0"/>
  </r>
  <r>
    <x v="2870"/>
    <s v="22 Mon"/>
    <x v="11"/>
    <x v="0"/>
    <s v="CUST-1133"/>
    <s v="Kunal Mehta"/>
    <x v="3"/>
    <x v="3"/>
    <x v="6"/>
    <n v="1"/>
    <n v="799"/>
    <n v="799"/>
    <x v="6"/>
    <n v="239.7"/>
    <n v="559.29999999999995"/>
    <x v="1"/>
    <x v="0"/>
  </r>
  <r>
    <x v="2871"/>
    <s v="22 Mon"/>
    <x v="11"/>
    <x v="0"/>
    <s v="CUST-1278"/>
    <s v="Meera Verma"/>
    <x v="4"/>
    <x v="3"/>
    <x v="5"/>
    <n v="1"/>
    <n v="1299"/>
    <n v="1299"/>
    <x v="0"/>
    <n v="0"/>
    <n v="1299"/>
    <x v="1"/>
    <x v="0"/>
  </r>
  <r>
    <x v="2872"/>
    <s v="22 Mon"/>
    <x v="11"/>
    <x v="0"/>
    <s v="CUST-1159"/>
    <s v="Isha Kapoor"/>
    <x v="3"/>
    <x v="3"/>
    <x v="6"/>
    <n v="2"/>
    <n v="799"/>
    <n v="1598"/>
    <x v="5"/>
    <n v="399.5"/>
    <n v="1198.5"/>
    <x v="4"/>
    <x v="1"/>
  </r>
  <r>
    <x v="2873"/>
    <s v="22 Mon"/>
    <x v="11"/>
    <x v="0"/>
    <s v="CUST-1343"/>
    <s v="Tanya Sharma"/>
    <x v="2"/>
    <x v="0"/>
    <x v="0"/>
    <n v="1"/>
    <n v="99"/>
    <n v="99"/>
    <x v="2"/>
    <n v="4.95"/>
    <n v="94.05"/>
    <x v="0"/>
    <x v="1"/>
  </r>
  <r>
    <x v="2874"/>
    <s v="23 Tue"/>
    <x v="11"/>
    <x v="0"/>
    <s v="CUST-1369"/>
    <s v="Rohan Sharma"/>
    <x v="4"/>
    <x v="1"/>
    <x v="2"/>
    <n v="2"/>
    <n v="599"/>
    <n v="1198"/>
    <x v="1"/>
    <n v="179.7"/>
    <n v="1018.3"/>
    <x v="1"/>
    <x v="0"/>
  </r>
  <r>
    <x v="2875"/>
    <s v="23 Tue"/>
    <x v="11"/>
    <x v="0"/>
    <s v="CUST-1180"/>
    <s v="Muskan Joshi"/>
    <x v="2"/>
    <x v="5"/>
    <x v="8"/>
    <n v="1"/>
    <n v="349"/>
    <n v="349"/>
    <x v="2"/>
    <n v="17.45"/>
    <n v="331.55"/>
    <x v="1"/>
    <x v="0"/>
  </r>
  <r>
    <x v="2876"/>
    <s v="23 Tue"/>
    <x v="11"/>
    <x v="0"/>
    <s v="CUST-1103"/>
    <s v="Muskan Gupta"/>
    <x v="0"/>
    <x v="4"/>
    <x v="10"/>
    <n v="1"/>
    <n v="899"/>
    <n v="899"/>
    <x v="1"/>
    <n v="134.85"/>
    <n v="764.15"/>
    <x v="2"/>
    <x v="0"/>
  </r>
  <r>
    <x v="2877"/>
    <s v="23 Tue"/>
    <x v="11"/>
    <x v="0"/>
    <s v="CUST-1094"/>
    <s v="Swati Kapoor"/>
    <x v="0"/>
    <x v="6"/>
    <x v="12"/>
    <n v="1"/>
    <n v="1499"/>
    <n v="1499"/>
    <x v="0"/>
    <n v="0"/>
    <n v="1499"/>
    <x v="2"/>
    <x v="1"/>
  </r>
  <r>
    <x v="2878"/>
    <s v="23 Tue"/>
    <x v="11"/>
    <x v="0"/>
    <s v="CUST-1252"/>
    <s v="Arjun Singh"/>
    <x v="4"/>
    <x v="0"/>
    <x v="0"/>
    <n v="3"/>
    <n v="99"/>
    <n v="297"/>
    <x v="2"/>
    <n v="14.85"/>
    <n v="282.14999999999998"/>
    <x v="1"/>
    <x v="0"/>
  </r>
  <r>
    <x v="2879"/>
    <s v="23 Tue"/>
    <x v="11"/>
    <x v="0"/>
    <s v="CUST-1045"/>
    <s v="Arjun Verma"/>
    <x v="4"/>
    <x v="4"/>
    <x v="7"/>
    <n v="1"/>
    <n v="1999"/>
    <n v="1999"/>
    <x v="3"/>
    <n v="399.8"/>
    <n v="1599.2"/>
    <x v="3"/>
    <x v="1"/>
  </r>
  <r>
    <x v="2880"/>
    <s v="23 Tue"/>
    <x v="11"/>
    <x v="0"/>
    <s v="CUST-1221"/>
    <s v="Kunal Singh"/>
    <x v="3"/>
    <x v="1"/>
    <x v="4"/>
    <n v="1"/>
    <n v="2999"/>
    <n v="2999"/>
    <x v="5"/>
    <n v="749.75"/>
    <n v="2249.25"/>
    <x v="2"/>
    <x v="1"/>
  </r>
  <r>
    <x v="2881"/>
    <s v="23 Tue"/>
    <x v="11"/>
    <x v="0"/>
    <s v="CUST-1295"/>
    <s v="Tanya Singh"/>
    <x v="2"/>
    <x v="0"/>
    <x v="0"/>
    <n v="2"/>
    <n v="99"/>
    <n v="198"/>
    <x v="2"/>
    <n v="9.9"/>
    <n v="188.1"/>
    <x v="0"/>
    <x v="0"/>
  </r>
  <r>
    <x v="2882"/>
    <s v="23 Tue"/>
    <x v="11"/>
    <x v="0"/>
    <s v="CUST-1042"/>
    <s v="Kunal Saxena"/>
    <x v="1"/>
    <x v="0"/>
    <x v="1"/>
    <n v="1"/>
    <n v="199"/>
    <n v="199"/>
    <x v="3"/>
    <n v="39.799999999999997"/>
    <n v="159.19999999999999"/>
    <x v="3"/>
    <x v="1"/>
  </r>
  <r>
    <x v="2883"/>
    <s v="24 Wed"/>
    <x v="11"/>
    <x v="0"/>
    <s v="CUST-1278"/>
    <s v="Meera Verma"/>
    <x v="1"/>
    <x v="5"/>
    <x v="8"/>
    <n v="2"/>
    <n v="349"/>
    <n v="698"/>
    <x v="2"/>
    <n v="34.9"/>
    <n v="663.1"/>
    <x v="4"/>
    <x v="1"/>
  </r>
  <r>
    <x v="2884"/>
    <s v="24 Wed"/>
    <x v="11"/>
    <x v="0"/>
    <s v="CUST-1090"/>
    <s v="Aarav Joshi"/>
    <x v="1"/>
    <x v="4"/>
    <x v="10"/>
    <n v="1"/>
    <n v="899"/>
    <n v="899"/>
    <x v="0"/>
    <n v="0"/>
    <n v="899"/>
    <x v="0"/>
    <x v="0"/>
  </r>
  <r>
    <x v="2885"/>
    <s v="24 Wed"/>
    <x v="11"/>
    <x v="0"/>
    <s v="CUST-1364"/>
    <s v="Rahul Malhotra"/>
    <x v="2"/>
    <x v="3"/>
    <x v="5"/>
    <n v="1"/>
    <n v="1299"/>
    <n v="1299"/>
    <x v="1"/>
    <n v="194.85"/>
    <n v="1104.1500000000001"/>
    <x v="0"/>
    <x v="0"/>
  </r>
  <r>
    <x v="2886"/>
    <s v="24 Wed"/>
    <x v="11"/>
    <x v="0"/>
    <s v="CUST-1326"/>
    <s v="Rohan Verma"/>
    <x v="1"/>
    <x v="0"/>
    <x v="0"/>
    <n v="1"/>
    <n v="99"/>
    <n v="99"/>
    <x v="5"/>
    <n v="24.75"/>
    <n v="74.25"/>
    <x v="1"/>
    <x v="0"/>
  </r>
  <r>
    <x v="2887"/>
    <s v="24 Wed"/>
    <x v="11"/>
    <x v="0"/>
    <s v="CUST-1036"/>
    <s v="Nandini Mehta"/>
    <x v="3"/>
    <x v="2"/>
    <x v="15"/>
    <n v="1"/>
    <n v="299"/>
    <n v="299"/>
    <x v="2"/>
    <n v="14.95"/>
    <n v="284.05"/>
    <x v="2"/>
    <x v="0"/>
  </r>
  <r>
    <x v="2888"/>
    <s v="24 Wed"/>
    <x v="11"/>
    <x v="0"/>
    <s v="CUST-1102"/>
    <s v="Aarav Patel"/>
    <x v="3"/>
    <x v="1"/>
    <x v="4"/>
    <n v="3"/>
    <n v="2999"/>
    <n v="8997"/>
    <x v="2"/>
    <n v="449.85"/>
    <n v="8547.15"/>
    <x v="4"/>
    <x v="1"/>
  </r>
  <r>
    <x v="2889"/>
    <s v="24 Wed"/>
    <x v="11"/>
    <x v="0"/>
    <s v="CUST-1237"/>
    <s v="Divya Sharma"/>
    <x v="1"/>
    <x v="3"/>
    <x v="6"/>
    <n v="5"/>
    <n v="799"/>
    <n v="3995"/>
    <x v="3"/>
    <n v="799"/>
    <n v="3196"/>
    <x v="3"/>
    <x v="0"/>
  </r>
  <r>
    <x v="2890"/>
    <s v="24 Wed"/>
    <x v="11"/>
    <x v="0"/>
    <s v="CUST-1131"/>
    <s v="Aarav Sharma"/>
    <x v="1"/>
    <x v="3"/>
    <x v="6"/>
    <n v="3"/>
    <n v="799"/>
    <n v="2397"/>
    <x v="1"/>
    <n v="359.55"/>
    <n v="2037.45"/>
    <x v="3"/>
    <x v="0"/>
  </r>
  <r>
    <x v="2891"/>
    <s v="24 Wed"/>
    <x v="11"/>
    <x v="0"/>
    <s v="CUST-1164"/>
    <s v="Kabir Malhotra"/>
    <x v="3"/>
    <x v="6"/>
    <x v="13"/>
    <n v="4"/>
    <n v="699"/>
    <n v="2796"/>
    <x v="0"/>
    <n v="0"/>
    <n v="2796"/>
    <x v="1"/>
    <x v="0"/>
  </r>
  <r>
    <x v="2892"/>
    <s v="24 Wed"/>
    <x v="11"/>
    <x v="0"/>
    <s v="CUST-1053"/>
    <s v="Vivaan Malhotra"/>
    <x v="1"/>
    <x v="5"/>
    <x v="8"/>
    <n v="1"/>
    <n v="349"/>
    <n v="349"/>
    <x v="4"/>
    <n v="34.9"/>
    <n v="314.10000000000002"/>
    <x v="1"/>
    <x v="0"/>
  </r>
  <r>
    <x v="2893"/>
    <s v="24 Wed"/>
    <x v="11"/>
    <x v="0"/>
    <s v="CUST-1375"/>
    <s v="Kunal Joshi"/>
    <x v="1"/>
    <x v="2"/>
    <x v="15"/>
    <n v="2"/>
    <n v="299"/>
    <n v="598"/>
    <x v="6"/>
    <n v="179.4"/>
    <n v="418.6"/>
    <x v="0"/>
    <x v="0"/>
  </r>
  <r>
    <x v="2894"/>
    <s v="24 Wed"/>
    <x v="11"/>
    <x v="0"/>
    <s v="CUST-1257"/>
    <s v="Shreya Saxena"/>
    <x v="1"/>
    <x v="5"/>
    <x v="8"/>
    <n v="2"/>
    <n v="349"/>
    <n v="698"/>
    <x v="6"/>
    <n v="209.4"/>
    <n v="488.6"/>
    <x v="2"/>
    <x v="0"/>
  </r>
  <r>
    <x v="2895"/>
    <s v="24 Wed"/>
    <x v="11"/>
    <x v="0"/>
    <s v="CUST-1231"/>
    <s v="Divya Gupta"/>
    <x v="1"/>
    <x v="1"/>
    <x v="2"/>
    <n v="2"/>
    <n v="599"/>
    <n v="1198"/>
    <x v="0"/>
    <n v="0"/>
    <n v="1198"/>
    <x v="2"/>
    <x v="1"/>
  </r>
  <r>
    <x v="2896"/>
    <s v="25 Thu"/>
    <x v="11"/>
    <x v="0"/>
    <s v="CUST-1252"/>
    <s v="Arjun Singh"/>
    <x v="0"/>
    <x v="0"/>
    <x v="0"/>
    <n v="4"/>
    <n v="99"/>
    <n v="396"/>
    <x v="6"/>
    <n v="118.8"/>
    <n v="277.2"/>
    <x v="2"/>
    <x v="0"/>
  </r>
  <r>
    <x v="2897"/>
    <s v="25 Thu"/>
    <x v="11"/>
    <x v="0"/>
    <s v="CUST-1171"/>
    <s v="Ankit Verma"/>
    <x v="2"/>
    <x v="6"/>
    <x v="12"/>
    <n v="1"/>
    <n v="1499"/>
    <n v="1499"/>
    <x v="2"/>
    <n v="74.95"/>
    <n v="1424.05"/>
    <x v="0"/>
    <x v="0"/>
  </r>
  <r>
    <x v="2898"/>
    <s v="25 Thu"/>
    <x v="11"/>
    <x v="0"/>
    <s v="CUST-1048"/>
    <s v="Divya Mehta"/>
    <x v="2"/>
    <x v="6"/>
    <x v="12"/>
    <n v="4"/>
    <n v="1499"/>
    <n v="5996"/>
    <x v="0"/>
    <n v="0"/>
    <n v="5996"/>
    <x v="3"/>
    <x v="1"/>
  </r>
  <r>
    <x v="2899"/>
    <s v="25 Thu"/>
    <x v="11"/>
    <x v="0"/>
    <s v="CUST-1383"/>
    <s v="Aman Gupta"/>
    <x v="4"/>
    <x v="0"/>
    <x v="0"/>
    <n v="3"/>
    <n v="99"/>
    <n v="297"/>
    <x v="0"/>
    <n v="0"/>
    <n v="297"/>
    <x v="1"/>
    <x v="1"/>
  </r>
  <r>
    <x v="2900"/>
    <s v="25 Thu"/>
    <x v="11"/>
    <x v="0"/>
    <s v="CUST-1294"/>
    <s v="Kabir Joshi"/>
    <x v="0"/>
    <x v="1"/>
    <x v="4"/>
    <n v="3"/>
    <n v="2999"/>
    <n v="8997"/>
    <x v="1"/>
    <n v="1349.55"/>
    <n v="7647.45"/>
    <x v="2"/>
    <x v="0"/>
  </r>
  <r>
    <x v="2901"/>
    <s v="25 Thu"/>
    <x v="11"/>
    <x v="0"/>
    <s v="CUST-1109"/>
    <s v="Kabir Mehta"/>
    <x v="4"/>
    <x v="4"/>
    <x v="7"/>
    <n v="2"/>
    <n v="1999"/>
    <n v="3998"/>
    <x v="3"/>
    <n v="799.6"/>
    <n v="3198.4"/>
    <x v="2"/>
    <x v="0"/>
  </r>
  <r>
    <x v="2902"/>
    <s v="25 Thu"/>
    <x v="11"/>
    <x v="0"/>
    <s v="CUST-1338"/>
    <s v="Komal Malhotra"/>
    <x v="2"/>
    <x v="4"/>
    <x v="10"/>
    <n v="3"/>
    <n v="899"/>
    <n v="2697"/>
    <x v="2"/>
    <n v="134.85"/>
    <n v="2562.15"/>
    <x v="2"/>
    <x v="0"/>
  </r>
  <r>
    <x v="2903"/>
    <s v="25 Thu"/>
    <x v="11"/>
    <x v="0"/>
    <s v="CUST-1239"/>
    <s v="Rohan Malhotra"/>
    <x v="1"/>
    <x v="0"/>
    <x v="1"/>
    <n v="4"/>
    <n v="199"/>
    <n v="796"/>
    <x v="1"/>
    <n v="119.4"/>
    <n v="676.6"/>
    <x v="3"/>
    <x v="1"/>
  </r>
  <r>
    <x v="2904"/>
    <s v="25 Thu"/>
    <x v="11"/>
    <x v="0"/>
    <s v="CUST-1333"/>
    <s v="Aarav Gupta"/>
    <x v="2"/>
    <x v="4"/>
    <x v="10"/>
    <n v="1"/>
    <n v="899"/>
    <n v="899"/>
    <x v="3"/>
    <n v="179.8"/>
    <n v="719.2"/>
    <x v="2"/>
    <x v="0"/>
  </r>
  <r>
    <x v="2905"/>
    <s v="25 Thu"/>
    <x v="11"/>
    <x v="0"/>
    <s v="CUST-1188"/>
    <s v="Shreya Malhotra"/>
    <x v="4"/>
    <x v="4"/>
    <x v="10"/>
    <n v="1"/>
    <n v="899"/>
    <n v="899"/>
    <x v="6"/>
    <n v="269.7"/>
    <n v="629.29999999999995"/>
    <x v="4"/>
    <x v="1"/>
  </r>
  <r>
    <x v="2906"/>
    <s v="25 Thu"/>
    <x v="11"/>
    <x v="0"/>
    <s v="CUST-1339"/>
    <s v="Aarav Patel"/>
    <x v="2"/>
    <x v="3"/>
    <x v="5"/>
    <n v="1"/>
    <n v="1299"/>
    <n v="1299"/>
    <x v="6"/>
    <n v="389.7"/>
    <n v="909.3"/>
    <x v="1"/>
    <x v="0"/>
  </r>
  <r>
    <x v="2907"/>
    <s v="25 Thu"/>
    <x v="11"/>
    <x v="0"/>
    <s v="CUST-1350"/>
    <s v="Isha Kapoor"/>
    <x v="3"/>
    <x v="5"/>
    <x v="9"/>
    <n v="2"/>
    <n v="549"/>
    <n v="1098"/>
    <x v="4"/>
    <n v="109.8"/>
    <n v="988.2"/>
    <x v="0"/>
    <x v="0"/>
  </r>
  <r>
    <x v="2908"/>
    <s v="25 Thu"/>
    <x v="11"/>
    <x v="0"/>
    <s v="CUST-1114"/>
    <s v="Vivaan Malhotra"/>
    <x v="1"/>
    <x v="6"/>
    <x v="12"/>
    <n v="3"/>
    <n v="1499"/>
    <n v="4497"/>
    <x v="0"/>
    <n v="0"/>
    <n v="4497"/>
    <x v="1"/>
    <x v="0"/>
  </r>
  <r>
    <x v="2909"/>
    <s v="26 Fri"/>
    <x v="11"/>
    <x v="0"/>
    <s v="CUST-1153"/>
    <s v="Swati Verma"/>
    <x v="0"/>
    <x v="0"/>
    <x v="1"/>
    <n v="2"/>
    <n v="199"/>
    <n v="398"/>
    <x v="1"/>
    <n v="59.7"/>
    <n v="338.3"/>
    <x v="1"/>
    <x v="0"/>
  </r>
  <r>
    <x v="2910"/>
    <s v="26 Fri"/>
    <x v="11"/>
    <x v="0"/>
    <s v="CUST-1091"/>
    <s v="Kabir Gupta"/>
    <x v="0"/>
    <x v="3"/>
    <x v="5"/>
    <n v="1"/>
    <n v="1299"/>
    <n v="1299"/>
    <x v="1"/>
    <n v="194.85"/>
    <n v="1104.1500000000001"/>
    <x v="1"/>
    <x v="0"/>
  </r>
  <r>
    <x v="2911"/>
    <s v="26 Fri"/>
    <x v="11"/>
    <x v="0"/>
    <s v="CUST-1059"/>
    <s v="Kunal Verma"/>
    <x v="4"/>
    <x v="0"/>
    <x v="1"/>
    <n v="2"/>
    <n v="199"/>
    <n v="398"/>
    <x v="6"/>
    <n v="119.4"/>
    <n v="278.60000000000002"/>
    <x v="0"/>
    <x v="0"/>
  </r>
  <r>
    <x v="2912"/>
    <s v="26 Fri"/>
    <x v="11"/>
    <x v="0"/>
    <s v="CUST-1205"/>
    <s v="Aman Sharma"/>
    <x v="0"/>
    <x v="5"/>
    <x v="8"/>
    <n v="3"/>
    <n v="349"/>
    <n v="1047"/>
    <x v="3"/>
    <n v="209.4"/>
    <n v="837.6"/>
    <x v="1"/>
    <x v="0"/>
  </r>
  <r>
    <x v="2913"/>
    <s v="26 Fri"/>
    <x v="11"/>
    <x v="0"/>
    <s v="CUST-1091"/>
    <s v="Kabir Gupta"/>
    <x v="0"/>
    <x v="0"/>
    <x v="1"/>
    <n v="1"/>
    <n v="199"/>
    <n v="199"/>
    <x v="3"/>
    <n v="39.799999999999997"/>
    <n v="159.19999999999999"/>
    <x v="3"/>
    <x v="0"/>
  </r>
  <r>
    <x v="2914"/>
    <s v="26 Fri"/>
    <x v="11"/>
    <x v="0"/>
    <s v="CUST-1075"/>
    <s v="Divya Patel"/>
    <x v="4"/>
    <x v="3"/>
    <x v="6"/>
    <n v="2"/>
    <n v="799"/>
    <n v="1598"/>
    <x v="4"/>
    <n v="159.80000000000001"/>
    <n v="1438.2"/>
    <x v="3"/>
    <x v="1"/>
  </r>
  <r>
    <x v="2915"/>
    <s v="26 Fri"/>
    <x v="11"/>
    <x v="0"/>
    <s v="CUST-1204"/>
    <s v="Meera Mehta"/>
    <x v="4"/>
    <x v="2"/>
    <x v="3"/>
    <n v="1"/>
    <n v="249"/>
    <n v="249"/>
    <x v="4"/>
    <n v="24.9"/>
    <n v="224.1"/>
    <x v="4"/>
    <x v="0"/>
  </r>
  <r>
    <x v="2916"/>
    <s v="26 Fri"/>
    <x v="11"/>
    <x v="0"/>
    <s v="CUST-1382"/>
    <s v="Meera Verma"/>
    <x v="1"/>
    <x v="4"/>
    <x v="7"/>
    <n v="1"/>
    <n v="1999"/>
    <n v="1999"/>
    <x v="6"/>
    <n v="599.70000000000005"/>
    <n v="1399.3"/>
    <x v="1"/>
    <x v="0"/>
  </r>
  <r>
    <x v="2917"/>
    <s v="26 Fri"/>
    <x v="11"/>
    <x v="0"/>
    <s v="CUST-1052"/>
    <s v="Meera Verma"/>
    <x v="3"/>
    <x v="2"/>
    <x v="15"/>
    <n v="3"/>
    <n v="299"/>
    <n v="897"/>
    <x v="5"/>
    <n v="224.25"/>
    <n v="672.75"/>
    <x v="2"/>
    <x v="0"/>
  </r>
  <r>
    <x v="2918"/>
    <s v="26 Fri"/>
    <x v="11"/>
    <x v="0"/>
    <s v="CUST-1249"/>
    <s v="Kabir Sharma"/>
    <x v="2"/>
    <x v="6"/>
    <x v="12"/>
    <n v="1"/>
    <n v="1499"/>
    <n v="1499"/>
    <x v="4"/>
    <n v="149.9"/>
    <n v="1349.1"/>
    <x v="1"/>
    <x v="0"/>
  </r>
  <r>
    <x v="2919"/>
    <s v="26 Fri"/>
    <x v="11"/>
    <x v="0"/>
    <s v="CUST-1384"/>
    <s v="Vivaan Singh"/>
    <x v="2"/>
    <x v="5"/>
    <x v="9"/>
    <n v="1"/>
    <n v="549"/>
    <n v="549"/>
    <x v="4"/>
    <n v="54.9"/>
    <n v="494.1"/>
    <x v="2"/>
    <x v="1"/>
  </r>
  <r>
    <x v="2920"/>
    <s v="26 Fri"/>
    <x v="11"/>
    <x v="0"/>
    <s v="CUST-1125"/>
    <s v="Muskan Malhotra"/>
    <x v="1"/>
    <x v="1"/>
    <x v="14"/>
    <n v="2"/>
    <n v="1799"/>
    <n v="3598"/>
    <x v="3"/>
    <n v="719.6"/>
    <n v="2878.4"/>
    <x v="1"/>
    <x v="1"/>
  </r>
  <r>
    <x v="2921"/>
    <s v="26 Fri"/>
    <x v="11"/>
    <x v="0"/>
    <s v="CUST-1338"/>
    <s v="Komal Malhotra"/>
    <x v="2"/>
    <x v="1"/>
    <x v="2"/>
    <n v="4"/>
    <n v="599"/>
    <n v="2396"/>
    <x v="3"/>
    <n v="479.2"/>
    <n v="1916.8"/>
    <x v="3"/>
    <x v="0"/>
  </r>
  <r>
    <x v="2922"/>
    <s v="26 Fri"/>
    <x v="11"/>
    <x v="0"/>
    <s v="CUST-1156"/>
    <s v="Nandini Joshi"/>
    <x v="3"/>
    <x v="2"/>
    <x v="3"/>
    <n v="1"/>
    <n v="249"/>
    <n v="249"/>
    <x v="1"/>
    <n v="37.35"/>
    <n v="211.65"/>
    <x v="0"/>
    <x v="0"/>
  </r>
  <r>
    <x v="2923"/>
    <s v="27 Sat"/>
    <x v="11"/>
    <x v="0"/>
    <s v="CUST-1120"/>
    <s v="Divya Kapoor"/>
    <x v="1"/>
    <x v="1"/>
    <x v="2"/>
    <n v="2"/>
    <n v="599"/>
    <n v="1198"/>
    <x v="1"/>
    <n v="179.7"/>
    <n v="1018.3"/>
    <x v="2"/>
    <x v="0"/>
  </r>
  <r>
    <x v="2924"/>
    <s v="27 Sat"/>
    <x v="11"/>
    <x v="0"/>
    <s v="CUST-1247"/>
    <s v="Meera Malhotra"/>
    <x v="4"/>
    <x v="1"/>
    <x v="4"/>
    <n v="1"/>
    <n v="2999"/>
    <n v="2999"/>
    <x v="3"/>
    <n v="599.79999999999995"/>
    <n v="2399.1999999999998"/>
    <x v="2"/>
    <x v="0"/>
  </r>
  <r>
    <x v="2925"/>
    <s v="27 Sat"/>
    <x v="11"/>
    <x v="0"/>
    <s v="CUST-1326"/>
    <s v="Rohan Verma"/>
    <x v="3"/>
    <x v="3"/>
    <x v="6"/>
    <n v="1"/>
    <n v="799"/>
    <n v="799"/>
    <x v="2"/>
    <n v="39.950000000000003"/>
    <n v="759.05"/>
    <x v="1"/>
    <x v="0"/>
  </r>
  <r>
    <x v="2926"/>
    <s v="27 Sat"/>
    <x v="11"/>
    <x v="0"/>
    <s v="CUST-1089"/>
    <s v="Arjun Verma"/>
    <x v="2"/>
    <x v="1"/>
    <x v="14"/>
    <n v="1"/>
    <n v="1799"/>
    <n v="1799"/>
    <x v="6"/>
    <n v="539.70000000000005"/>
    <n v="1259.3"/>
    <x v="3"/>
    <x v="0"/>
  </r>
  <r>
    <x v="2927"/>
    <s v="27 Sat"/>
    <x v="11"/>
    <x v="0"/>
    <s v="CUST-1389"/>
    <s v="Ankit Mehta"/>
    <x v="3"/>
    <x v="0"/>
    <x v="1"/>
    <n v="4"/>
    <n v="199"/>
    <n v="796"/>
    <x v="5"/>
    <n v="199"/>
    <n v="597"/>
    <x v="3"/>
    <x v="1"/>
  </r>
  <r>
    <x v="2928"/>
    <s v="27 Sat"/>
    <x v="11"/>
    <x v="0"/>
    <s v="CUST-1009"/>
    <s v="Shreya Gupta"/>
    <x v="0"/>
    <x v="2"/>
    <x v="3"/>
    <n v="3"/>
    <n v="249"/>
    <n v="747"/>
    <x v="5"/>
    <n v="186.75"/>
    <n v="560.25"/>
    <x v="1"/>
    <x v="0"/>
  </r>
  <r>
    <x v="2929"/>
    <s v="27 Sat"/>
    <x v="11"/>
    <x v="0"/>
    <s v="CUST-1038"/>
    <s v="Rohan Joshi"/>
    <x v="1"/>
    <x v="1"/>
    <x v="14"/>
    <n v="3"/>
    <n v="1799"/>
    <n v="5397"/>
    <x v="1"/>
    <n v="809.55"/>
    <n v="4587.45"/>
    <x v="2"/>
    <x v="0"/>
  </r>
  <r>
    <x v="2930"/>
    <s v="27 Sat"/>
    <x v="11"/>
    <x v="0"/>
    <s v="CUST-1290"/>
    <s v="Kabir Mehta"/>
    <x v="1"/>
    <x v="5"/>
    <x v="9"/>
    <n v="1"/>
    <n v="549"/>
    <n v="549"/>
    <x v="3"/>
    <n v="109.8"/>
    <n v="439.2"/>
    <x v="1"/>
    <x v="1"/>
  </r>
  <r>
    <x v="2931"/>
    <s v="27 Sat"/>
    <x v="11"/>
    <x v="0"/>
    <s v="CUST-1089"/>
    <s v="Arjun Verma"/>
    <x v="0"/>
    <x v="6"/>
    <x v="12"/>
    <n v="3"/>
    <n v="1499"/>
    <n v="4497"/>
    <x v="0"/>
    <n v="0"/>
    <n v="4497"/>
    <x v="1"/>
    <x v="1"/>
  </r>
  <r>
    <x v="2932"/>
    <s v="27 Sat"/>
    <x v="11"/>
    <x v="0"/>
    <s v="CUST-1018"/>
    <s v="Aditya Gupta"/>
    <x v="1"/>
    <x v="0"/>
    <x v="0"/>
    <n v="2"/>
    <n v="99"/>
    <n v="198"/>
    <x v="2"/>
    <n v="9.9"/>
    <n v="188.1"/>
    <x v="0"/>
    <x v="1"/>
  </r>
  <r>
    <x v="2933"/>
    <s v="27 Sat"/>
    <x v="11"/>
    <x v="0"/>
    <s v="CUST-1009"/>
    <s v="Shreya Gupta"/>
    <x v="3"/>
    <x v="1"/>
    <x v="4"/>
    <n v="2"/>
    <n v="2999"/>
    <n v="5998"/>
    <x v="2"/>
    <n v="299.89999999999998"/>
    <n v="5698.1"/>
    <x v="2"/>
    <x v="0"/>
  </r>
  <r>
    <x v="2934"/>
    <s v="27 Sat"/>
    <x v="11"/>
    <x v="0"/>
    <s v="CUST-1018"/>
    <s v="Aditya Gupta"/>
    <x v="1"/>
    <x v="5"/>
    <x v="8"/>
    <n v="1"/>
    <n v="349"/>
    <n v="349"/>
    <x v="3"/>
    <n v="69.8"/>
    <n v="279.2"/>
    <x v="1"/>
    <x v="0"/>
  </r>
  <r>
    <x v="2935"/>
    <s v="27 Sat"/>
    <x v="11"/>
    <x v="0"/>
    <s v="CUST-1251"/>
    <s v="Aarav Singh"/>
    <x v="0"/>
    <x v="1"/>
    <x v="4"/>
    <n v="2"/>
    <n v="2999"/>
    <n v="5998"/>
    <x v="0"/>
    <n v="0"/>
    <n v="5998"/>
    <x v="4"/>
    <x v="0"/>
  </r>
  <r>
    <x v="2936"/>
    <s v="27 Sat"/>
    <x v="11"/>
    <x v="0"/>
    <s v="CUST-1389"/>
    <s v="Ankit Mehta"/>
    <x v="2"/>
    <x v="3"/>
    <x v="5"/>
    <n v="1"/>
    <n v="1299"/>
    <n v="1299"/>
    <x v="4"/>
    <n v="129.9"/>
    <n v="1169.0999999999999"/>
    <x v="4"/>
    <x v="0"/>
  </r>
  <r>
    <x v="2937"/>
    <s v="28 Sun"/>
    <x v="11"/>
    <x v="0"/>
    <s v="CUST-1109"/>
    <s v="Kabir Mehta"/>
    <x v="1"/>
    <x v="6"/>
    <x v="12"/>
    <n v="1"/>
    <n v="1499"/>
    <n v="1499"/>
    <x v="6"/>
    <n v="449.7"/>
    <n v="1049.3"/>
    <x v="2"/>
    <x v="0"/>
  </r>
  <r>
    <x v="2938"/>
    <s v="28 Sun"/>
    <x v="11"/>
    <x v="0"/>
    <s v="CUST-1145"/>
    <s v="Kunal Joshi"/>
    <x v="0"/>
    <x v="5"/>
    <x v="9"/>
    <n v="2"/>
    <n v="549"/>
    <n v="1098"/>
    <x v="3"/>
    <n v="219.6"/>
    <n v="878.4"/>
    <x v="1"/>
    <x v="0"/>
  </r>
  <r>
    <x v="2939"/>
    <s v="28 Sun"/>
    <x v="11"/>
    <x v="0"/>
    <s v="CUST-1127"/>
    <s v="Muskan Joshi"/>
    <x v="2"/>
    <x v="4"/>
    <x v="10"/>
    <n v="5"/>
    <n v="899"/>
    <n v="4495"/>
    <x v="2"/>
    <n v="224.75"/>
    <n v="4270.25"/>
    <x v="4"/>
    <x v="0"/>
  </r>
  <r>
    <x v="2940"/>
    <s v="28 Sun"/>
    <x v="11"/>
    <x v="0"/>
    <s v="CUST-1282"/>
    <s v="Muskan Saxena"/>
    <x v="3"/>
    <x v="0"/>
    <x v="0"/>
    <n v="3"/>
    <n v="99"/>
    <n v="297"/>
    <x v="5"/>
    <n v="74.25"/>
    <n v="222.75"/>
    <x v="0"/>
    <x v="0"/>
  </r>
  <r>
    <x v="2941"/>
    <s v="28 Sun"/>
    <x v="11"/>
    <x v="0"/>
    <s v="CUST-1050"/>
    <s v="Rohan Gupta"/>
    <x v="0"/>
    <x v="1"/>
    <x v="14"/>
    <n v="3"/>
    <n v="1799"/>
    <n v="5397"/>
    <x v="3"/>
    <n v="1079.4000000000001"/>
    <n v="4317.6000000000004"/>
    <x v="1"/>
    <x v="0"/>
  </r>
  <r>
    <x v="2942"/>
    <s v="28 Sun"/>
    <x v="11"/>
    <x v="0"/>
    <s v="CUST-1136"/>
    <s v="Kunal Patel"/>
    <x v="3"/>
    <x v="0"/>
    <x v="0"/>
    <n v="1"/>
    <n v="99"/>
    <n v="99"/>
    <x v="5"/>
    <n v="24.75"/>
    <n v="74.25"/>
    <x v="2"/>
    <x v="1"/>
  </r>
  <r>
    <x v="2943"/>
    <s v="28 Sun"/>
    <x v="11"/>
    <x v="0"/>
    <s v="CUST-1271"/>
    <s v="Nandini Sharma"/>
    <x v="4"/>
    <x v="1"/>
    <x v="14"/>
    <n v="2"/>
    <n v="1799"/>
    <n v="3598"/>
    <x v="5"/>
    <n v="899.5"/>
    <n v="2698.5"/>
    <x v="2"/>
    <x v="1"/>
  </r>
  <r>
    <x v="2944"/>
    <s v="28 Sun"/>
    <x v="11"/>
    <x v="0"/>
    <s v="CUST-1157"/>
    <s v="Arjun Verma"/>
    <x v="1"/>
    <x v="2"/>
    <x v="3"/>
    <n v="2"/>
    <n v="249"/>
    <n v="498"/>
    <x v="5"/>
    <n v="124.5"/>
    <n v="373.5"/>
    <x v="3"/>
    <x v="0"/>
  </r>
  <r>
    <x v="2945"/>
    <s v="28 Sun"/>
    <x v="11"/>
    <x v="0"/>
    <s v="CUST-1019"/>
    <s v="Aarav Joshi"/>
    <x v="1"/>
    <x v="1"/>
    <x v="4"/>
    <n v="2"/>
    <n v="2999"/>
    <n v="5998"/>
    <x v="3"/>
    <n v="1199.5999999999999"/>
    <n v="4798.3999999999996"/>
    <x v="3"/>
    <x v="1"/>
  </r>
  <r>
    <x v="2946"/>
    <s v="28 Sun"/>
    <x v="11"/>
    <x v="0"/>
    <s v="CUST-1194"/>
    <s v="Muskan Sharma"/>
    <x v="3"/>
    <x v="0"/>
    <x v="1"/>
    <n v="1"/>
    <n v="199"/>
    <n v="199"/>
    <x v="0"/>
    <n v="0"/>
    <n v="199"/>
    <x v="0"/>
    <x v="0"/>
  </r>
  <r>
    <x v="2947"/>
    <s v="28 Sun"/>
    <x v="11"/>
    <x v="0"/>
    <s v="CUST-1155"/>
    <s v="Aman Saxena"/>
    <x v="1"/>
    <x v="4"/>
    <x v="10"/>
    <n v="1"/>
    <n v="899"/>
    <n v="899"/>
    <x v="4"/>
    <n v="89.9"/>
    <n v="809.1"/>
    <x v="0"/>
    <x v="0"/>
  </r>
  <r>
    <x v="2948"/>
    <s v="28 Sun"/>
    <x v="11"/>
    <x v="0"/>
    <s v="CUST-1353"/>
    <s v="Vivaan Gupta"/>
    <x v="3"/>
    <x v="5"/>
    <x v="8"/>
    <n v="1"/>
    <n v="349"/>
    <n v="349"/>
    <x v="3"/>
    <n v="69.8"/>
    <n v="279.2"/>
    <x v="1"/>
    <x v="0"/>
  </r>
  <r>
    <x v="2949"/>
    <s v="28 Sun"/>
    <x v="11"/>
    <x v="0"/>
    <s v="CUST-1083"/>
    <s v="Komal Kapoor"/>
    <x v="3"/>
    <x v="1"/>
    <x v="4"/>
    <n v="1"/>
    <n v="2999"/>
    <n v="2999"/>
    <x v="6"/>
    <n v="899.7"/>
    <n v="2099.3000000000002"/>
    <x v="1"/>
    <x v="1"/>
  </r>
  <r>
    <x v="2950"/>
    <s v="28 Sun"/>
    <x v="11"/>
    <x v="0"/>
    <s v="CUST-1379"/>
    <s v="Divya Verma"/>
    <x v="1"/>
    <x v="6"/>
    <x v="12"/>
    <n v="1"/>
    <n v="1499"/>
    <n v="1499"/>
    <x v="5"/>
    <n v="374.75"/>
    <n v="1124.25"/>
    <x v="0"/>
    <x v="0"/>
  </r>
  <r>
    <x v="2951"/>
    <s v="28 Sun"/>
    <x v="11"/>
    <x v="0"/>
    <s v="CUST-1243"/>
    <s v="Aman Joshi"/>
    <x v="3"/>
    <x v="2"/>
    <x v="3"/>
    <n v="1"/>
    <n v="249"/>
    <n v="249"/>
    <x v="1"/>
    <n v="37.35"/>
    <n v="211.65"/>
    <x v="3"/>
    <x v="1"/>
  </r>
  <r>
    <x v="2952"/>
    <s v="29 Mon"/>
    <x v="11"/>
    <x v="0"/>
    <s v="CUST-1217"/>
    <s v="Ankit Patel"/>
    <x v="2"/>
    <x v="1"/>
    <x v="4"/>
    <n v="4"/>
    <n v="2999"/>
    <n v="11996"/>
    <x v="0"/>
    <n v="0"/>
    <n v="11996"/>
    <x v="2"/>
    <x v="0"/>
  </r>
  <r>
    <x v="2953"/>
    <s v="29 Mon"/>
    <x v="11"/>
    <x v="0"/>
    <s v="CUST-1043"/>
    <s v="Divya Kapoor"/>
    <x v="0"/>
    <x v="2"/>
    <x v="15"/>
    <n v="1"/>
    <n v="299"/>
    <n v="299"/>
    <x v="0"/>
    <n v="0"/>
    <n v="299"/>
    <x v="1"/>
    <x v="1"/>
  </r>
  <r>
    <x v="2954"/>
    <s v="29 Mon"/>
    <x v="11"/>
    <x v="0"/>
    <s v="CUST-1379"/>
    <s v="Divya Verma"/>
    <x v="3"/>
    <x v="5"/>
    <x v="8"/>
    <n v="1"/>
    <n v="349"/>
    <n v="349"/>
    <x v="1"/>
    <n v="52.35"/>
    <n v="296.64999999999998"/>
    <x v="0"/>
    <x v="1"/>
  </r>
  <r>
    <x v="2955"/>
    <s v="29 Mon"/>
    <x v="11"/>
    <x v="0"/>
    <s v="CUST-1327"/>
    <s v="Kunal Malhotra"/>
    <x v="1"/>
    <x v="6"/>
    <x v="13"/>
    <n v="1"/>
    <n v="699"/>
    <n v="699"/>
    <x v="2"/>
    <n v="34.950000000000003"/>
    <n v="664.05"/>
    <x v="0"/>
    <x v="1"/>
  </r>
  <r>
    <x v="2956"/>
    <s v="29 Mon"/>
    <x v="11"/>
    <x v="0"/>
    <s v="CUST-1282"/>
    <s v="Muskan Saxena"/>
    <x v="1"/>
    <x v="1"/>
    <x v="14"/>
    <n v="5"/>
    <n v="1799"/>
    <n v="8995"/>
    <x v="3"/>
    <n v="1799"/>
    <n v="7196"/>
    <x v="1"/>
    <x v="1"/>
  </r>
  <r>
    <x v="2957"/>
    <s v="29 Mon"/>
    <x v="11"/>
    <x v="0"/>
    <s v="CUST-1101"/>
    <s v="Sakshi Sharma"/>
    <x v="2"/>
    <x v="6"/>
    <x v="13"/>
    <n v="1"/>
    <n v="699"/>
    <n v="699"/>
    <x v="4"/>
    <n v="69.900000000000006"/>
    <n v="629.1"/>
    <x v="1"/>
    <x v="0"/>
  </r>
  <r>
    <x v="2958"/>
    <s v="29 Mon"/>
    <x v="11"/>
    <x v="0"/>
    <s v="CUST-1289"/>
    <s v="Kunal Verma"/>
    <x v="1"/>
    <x v="4"/>
    <x v="11"/>
    <n v="3"/>
    <n v="499"/>
    <n v="1497"/>
    <x v="3"/>
    <n v="299.39999999999998"/>
    <n v="1197.5999999999999"/>
    <x v="3"/>
    <x v="1"/>
  </r>
  <r>
    <x v="2959"/>
    <s v="29 Mon"/>
    <x v="11"/>
    <x v="0"/>
    <s v="CUST-1068"/>
    <s v="Isha Verma"/>
    <x v="2"/>
    <x v="5"/>
    <x v="9"/>
    <n v="3"/>
    <n v="549"/>
    <n v="1647"/>
    <x v="5"/>
    <n v="411.75"/>
    <n v="1235.25"/>
    <x v="3"/>
    <x v="1"/>
  </r>
  <r>
    <x v="2960"/>
    <s v="29 Mon"/>
    <x v="11"/>
    <x v="0"/>
    <s v="CUST-1269"/>
    <s v="Kunal Verma"/>
    <x v="2"/>
    <x v="1"/>
    <x v="14"/>
    <n v="2"/>
    <n v="1799"/>
    <n v="3598"/>
    <x v="2"/>
    <n v="179.9"/>
    <n v="3418.1"/>
    <x v="2"/>
    <x v="1"/>
  </r>
  <r>
    <x v="2961"/>
    <s v="29 Mon"/>
    <x v="11"/>
    <x v="0"/>
    <s v="CUST-1128"/>
    <s v="Sakshi Malhotra"/>
    <x v="1"/>
    <x v="3"/>
    <x v="6"/>
    <n v="2"/>
    <n v="799"/>
    <n v="1598"/>
    <x v="2"/>
    <n v="79.900000000000006"/>
    <n v="1518.1"/>
    <x v="1"/>
    <x v="1"/>
  </r>
  <r>
    <x v="2962"/>
    <s v="29 Mon"/>
    <x v="11"/>
    <x v="0"/>
    <s v="CUST-1135"/>
    <s v="Shreya Joshi"/>
    <x v="4"/>
    <x v="4"/>
    <x v="7"/>
    <n v="4"/>
    <n v="1999"/>
    <n v="7996"/>
    <x v="2"/>
    <n v="399.8"/>
    <n v="7596.2"/>
    <x v="2"/>
    <x v="0"/>
  </r>
  <r>
    <x v="2963"/>
    <s v="29 Mon"/>
    <x v="11"/>
    <x v="0"/>
    <s v="CUST-1175"/>
    <s v="Vivaan Kapoor"/>
    <x v="2"/>
    <x v="5"/>
    <x v="8"/>
    <n v="1"/>
    <n v="349"/>
    <n v="349"/>
    <x v="6"/>
    <n v="104.7"/>
    <n v="244.3"/>
    <x v="3"/>
    <x v="0"/>
  </r>
  <r>
    <x v="2964"/>
    <s v="30 Tue"/>
    <x v="11"/>
    <x v="0"/>
    <s v="CUST-1127"/>
    <s v="Muskan Joshi"/>
    <x v="4"/>
    <x v="1"/>
    <x v="2"/>
    <n v="1"/>
    <n v="599"/>
    <n v="599"/>
    <x v="0"/>
    <n v="0"/>
    <n v="599"/>
    <x v="1"/>
    <x v="0"/>
  </r>
  <r>
    <x v="2965"/>
    <s v="30 Tue"/>
    <x v="11"/>
    <x v="0"/>
    <s v="CUST-1102"/>
    <s v="Aarav Patel"/>
    <x v="2"/>
    <x v="3"/>
    <x v="6"/>
    <n v="1"/>
    <n v="799"/>
    <n v="799"/>
    <x v="4"/>
    <n v="79.900000000000006"/>
    <n v="719.1"/>
    <x v="1"/>
    <x v="0"/>
  </r>
  <r>
    <x v="2966"/>
    <s v="30 Tue"/>
    <x v="11"/>
    <x v="0"/>
    <s v="CUST-1230"/>
    <s v="Divya Malhotra"/>
    <x v="3"/>
    <x v="4"/>
    <x v="11"/>
    <n v="4"/>
    <n v="499"/>
    <n v="1996"/>
    <x v="5"/>
    <n v="499"/>
    <n v="1497"/>
    <x v="4"/>
    <x v="0"/>
  </r>
  <r>
    <x v="2967"/>
    <s v="30 Tue"/>
    <x v="11"/>
    <x v="0"/>
    <s v="CUST-1375"/>
    <s v="Kunal Joshi"/>
    <x v="4"/>
    <x v="0"/>
    <x v="1"/>
    <n v="1"/>
    <n v="199"/>
    <n v="199"/>
    <x v="4"/>
    <n v="19.899999999999999"/>
    <n v="179.1"/>
    <x v="3"/>
    <x v="0"/>
  </r>
  <r>
    <x v="2968"/>
    <s v="30 Tue"/>
    <x v="11"/>
    <x v="0"/>
    <s v="CUST-1233"/>
    <s v="Rahul Joshi"/>
    <x v="0"/>
    <x v="3"/>
    <x v="6"/>
    <n v="4"/>
    <n v="799"/>
    <n v="3196"/>
    <x v="4"/>
    <n v="319.60000000000002"/>
    <n v="2876.4"/>
    <x v="3"/>
    <x v="1"/>
  </r>
  <r>
    <x v="2969"/>
    <s v="30 Tue"/>
    <x v="11"/>
    <x v="0"/>
    <s v="CUST-1397"/>
    <s v="Aman Verma"/>
    <x v="1"/>
    <x v="2"/>
    <x v="15"/>
    <n v="3"/>
    <n v="299"/>
    <n v="897"/>
    <x v="2"/>
    <n v="44.85"/>
    <n v="852.15"/>
    <x v="2"/>
    <x v="1"/>
  </r>
  <r>
    <x v="2970"/>
    <s v="30 Tue"/>
    <x v="11"/>
    <x v="0"/>
    <s v="CUST-1347"/>
    <s v="Ankit Joshi"/>
    <x v="4"/>
    <x v="2"/>
    <x v="3"/>
    <n v="2"/>
    <n v="249"/>
    <n v="498"/>
    <x v="6"/>
    <n v="149.4"/>
    <n v="348.6"/>
    <x v="4"/>
    <x v="1"/>
  </r>
  <r>
    <x v="2971"/>
    <s v="30 Tue"/>
    <x v="11"/>
    <x v="0"/>
    <s v="CUST-1202"/>
    <s v="Isha Verma"/>
    <x v="1"/>
    <x v="1"/>
    <x v="14"/>
    <n v="1"/>
    <n v="1799"/>
    <n v="1799"/>
    <x v="3"/>
    <n v="359.8"/>
    <n v="1439.2"/>
    <x v="1"/>
    <x v="0"/>
  </r>
  <r>
    <x v="2972"/>
    <s v="30 Tue"/>
    <x v="11"/>
    <x v="0"/>
    <s v="CUST-1243"/>
    <s v="Aman Joshi"/>
    <x v="3"/>
    <x v="3"/>
    <x v="6"/>
    <n v="2"/>
    <n v="799"/>
    <n v="1598"/>
    <x v="5"/>
    <n v="399.5"/>
    <n v="1198.5"/>
    <x v="0"/>
    <x v="0"/>
  </r>
  <r>
    <x v="2973"/>
    <s v="30 Tue"/>
    <x v="11"/>
    <x v="0"/>
    <s v="CUST-1056"/>
    <s v="Aarav Kapoor"/>
    <x v="4"/>
    <x v="0"/>
    <x v="1"/>
    <n v="1"/>
    <n v="199"/>
    <n v="199"/>
    <x v="6"/>
    <n v="59.7"/>
    <n v="139.30000000000001"/>
    <x v="2"/>
    <x v="1"/>
  </r>
  <r>
    <x v="2974"/>
    <s v="30 Tue"/>
    <x v="11"/>
    <x v="0"/>
    <s v="CUST-1385"/>
    <s v="Aman Kapoor"/>
    <x v="1"/>
    <x v="5"/>
    <x v="9"/>
    <n v="2"/>
    <n v="549"/>
    <n v="1098"/>
    <x v="5"/>
    <n v="274.5"/>
    <n v="823.5"/>
    <x v="2"/>
    <x v="0"/>
  </r>
  <r>
    <x v="2975"/>
    <s v="30 Tue"/>
    <x v="11"/>
    <x v="0"/>
    <s v="CUST-1216"/>
    <s v="Meera Malhotra"/>
    <x v="0"/>
    <x v="3"/>
    <x v="6"/>
    <n v="1"/>
    <n v="799"/>
    <n v="799"/>
    <x v="2"/>
    <n v="39.950000000000003"/>
    <n v="759.05"/>
    <x v="3"/>
    <x v="0"/>
  </r>
  <r>
    <x v="2976"/>
    <s v="30 Tue"/>
    <x v="11"/>
    <x v="0"/>
    <s v="CUST-1063"/>
    <s v="Aman Sharma"/>
    <x v="2"/>
    <x v="5"/>
    <x v="8"/>
    <n v="1"/>
    <n v="349"/>
    <n v="349"/>
    <x v="1"/>
    <n v="52.35"/>
    <n v="296.64999999999998"/>
    <x v="1"/>
    <x v="1"/>
  </r>
  <r>
    <x v="2977"/>
    <s v="31 Wed"/>
    <x v="11"/>
    <x v="0"/>
    <s v="CUST-1222"/>
    <s v="Sakshi Sharma"/>
    <x v="4"/>
    <x v="6"/>
    <x v="12"/>
    <n v="1"/>
    <n v="1499"/>
    <n v="1499"/>
    <x v="0"/>
    <n v="0"/>
    <n v="1499"/>
    <x v="2"/>
    <x v="0"/>
  </r>
  <r>
    <x v="2978"/>
    <s v="31 Wed"/>
    <x v="11"/>
    <x v="0"/>
    <s v="CUST-1329"/>
    <s v="Swati Gupta"/>
    <x v="3"/>
    <x v="3"/>
    <x v="6"/>
    <n v="3"/>
    <n v="799"/>
    <n v="2397"/>
    <x v="5"/>
    <n v="599.25"/>
    <n v="1797.75"/>
    <x v="1"/>
    <x v="0"/>
  </r>
  <r>
    <x v="2979"/>
    <s v="31 Wed"/>
    <x v="11"/>
    <x v="0"/>
    <s v="CUST-1145"/>
    <s v="Kunal Joshi"/>
    <x v="2"/>
    <x v="0"/>
    <x v="1"/>
    <n v="3"/>
    <n v="199"/>
    <n v="597"/>
    <x v="6"/>
    <n v="179.1"/>
    <n v="417.9"/>
    <x v="1"/>
    <x v="1"/>
  </r>
  <r>
    <x v="2980"/>
    <s v="31 Wed"/>
    <x v="11"/>
    <x v="0"/>
    <s v="CUST-1029"/>
    <s v="Swati Patel"/>
    <x v="2"/>
    <x v="3"/>
    <x v="6"/>
    <n v="4"/>
    <n v="799"/>
    <n v="3196"/>
    <x v="1"/>
    <n v="479.4"/>
    <n v="2716.6"/>
    <x v="1"/>
    <x v="0"/>
  </r>
  <r>
    <x v="2981"/>
    <s v="31 Wed"/>
    <x v="11"/>
    <x v="0"/>
    <s v="CUST-1278"/>
    <s v="Meera Verma"/>
    <x v="1"/>
    <x v="2"/>
    <x v="3"/>
    <n v="3"/>
    <n v="249"/>
    <n v="747"/>
    <x v="1"/>
    <n v="112.05"/>
    <n v="634.95000000000005"/>
    <x v="1"/>
    <x v="0"/>
  </r>
  <r>
    <x v="2982"/>
    <s v="31 Wed"/>
    <x v="11"/>
    <x v="0"/>
    <s v="CUST-1103"/>
    <s v="Muskan Gupta"/>
    <x v="4"/>
    <x v="3"/>
    <x v="6"/>
    <n v="1"/>
    <n v="799"/>
    <n v="799"/>
    <x v="2"/>
    <n v="39.950000000000003"/>
    <n v="759.05"/>
    <x v="2"/>
    <x v="0"/>
  </r>
  <r>
    <x v="2983"/>
    <s v="31 Wed"/>
    <x v="11"/>
    <x v="0"/>
    <s v="CUST-1160"/>
    <s v="Komal Singh"/>
    <x v="3"/>
    <x v="3"/>
    <x v="6"/>
    <n v="3"/>
    <n v="799"/>
    <n v="2397"/>
    <x v="2"/>
    <n v="119.85"/>
    <n v="2277.15"/>
    <x v="2"/>
    <x v="1"/>
  </r>
  <r>
    <x v="2984"/>
    <s v="31 Wed"/>
    <x v="11"/>
    <x v="0"/>
    <s v="CUST-1195"/>
    <s v="Komal Gupta"/>
    <x v="1"/>
    <x v="2"/>
    <x v="15"/>
    <n v="2"/>
    <n v="299"/>
    <n v="598"/>
    <x v="4"/>
    <n v="59.8"/>
    <n v="538.20000000000005"/>
    <x v="0"/>
    <x v="1"/>
  </r>
  <r>
    <x v="2985"/>
    <s v="31 Wed"/>
    <x v="11"/>
    <x v="0"/>
    <s v="CUST-1387"/>
    <s v="Rohan Patel"/>
    <x v="0"/>
    <x v="6"/>
    <x v="12"/>
    <n v="1"/>
    <n v="1499"/>
    <n v="1499"/>
    <x v="1"/>
    <n v="224.85"/>
    <n v="1274.1500000000001"/>
    <x v="3"/>
    <x v="0"/>
  </r>
  <r>
    <x v="2986"/>
    <s v="31 Wed"/>
    <x v="11"/>
    <x v="0"/>
    <s v="CUST-1233"/>
    <s v="Rahul Joshi"/>
    <x v="3"/>
    <x v="5"/>
    <x v="9"/>
    <n v="2"/>
    <n v="549"/>
    <n v="1098"/>
    <x v="0"/>
    <n v="0"/>
    <n v="1098"/>
    <x v="0"/>
    <x v="0"/>
  </r>
  <r>
    <x v="2987"/>
    <s v="31 Wed"/>
    <x v="11"/>
    <x v="0"/>
    <s v="CUST-1033"/>
    <s v="Meera Joshi"/>
    <x v="1"/>
    <x v="2"/>
    <x v="3"/>
    <n v="1"/>
    <n v="249"/>
    <n v="249"/>
    <x v="2"/>
    <n v="12.45"/>
    <n v="236.55"/>
    <x v="2"/>
    <x v="0"/>
  </r>
  <r>
    <x v="2988"/>
    <m/>
    <x v="12"/>
    <x v="1"/>
    <m/>
    <m/>
    <x v="5"/>
    <x v="7"/>
    <x v="16"/>
    <m/>
    <m/>
    <m/>
    <x v="7"/>
    <m/>
    <m/>
    <x v="5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8">
  <r>
    <s v="ORD-2025001"/>
    <s v="1 Wed"/>
    <s v="Jan"/>
    <s v="2025"/>
    <s v="CUST-1039"/>
    <s v="Aarav Joshi"/>
    <x v="0"/>
    <s v="Stationery"/>
    <s v="Gel Pen Pack"/>
    <n v="2"/>
    <n v="99"/>
    <n v="198"/>
    <n v="0"/>
    <n v="0"/>
    <n v="198"/>
    <s v="Credit Card"/>
    <x v="0"/>
  </r>
  <r>
    <s v="ORD-2025002"/>
    <s v="1 Wed"/>
    <s v="Jan"/>
    <s v="2025"/>
    <s v="CUST-1212"/>
    <s v="Komal Joshi"/>
    <x v="1"/>
    <s v="Stationery"/>
    <s v="Notebook Set"/>
    <n v="3"/>
    <n v="199"/>
    <n v="597"/>
    <n v="15"/>
    <n v="89.55"/>
    <n v="507.45"/>
    <s v="Debit Card"/>
    <x v="1"/>
  </r>
  <r>
    <s v="ORD-2025003"/>
    <s v="1 Wed"/>
    <s v="Jan"/>
    <s v="2025"/>
    <s v="CUST-1132"/>
    <s v="Shreya Sharma"/>
    <x v="2"/>
    <s v="Electronics"/>
    <s v="Wireless Mouse"/>
    <n v="1"/>
    <n v="599"/>
    <n v="599"/>
    <n v="0"/>
    <n v="0"/>
    <n v="599"/>
    <s v="UPI"/>
    <x v="1"/>
  </r>
  <r>
    <s v="ORD-2025004"/>
    <s v="1 Wed"/>
    <s v="Jan"/>
    <s v="2025"/>
    <s v="CUST-1272"/>
    <s v="Aarav Saxena"/>
    <x v="3"/>
    <s v="Beauty"/>
    <s v="Herbal Shampoo"/>
    <n v="1"/>
    <n v="249"/>
    <n v="249"/>
    <n v="15"/>
    <n v="37.35"/>
    <n v="211.65"/>
    <s v="Credit Card"/>
    <x v="0"/>
  </r>
  <r>
    <s v="ORD-2025005"/>
    <s v="1 Wed"/>
    <s v="Jan"/>
    <s v="2025"/>
    <s v="CUST-1083"/>
    <s v="Komal Kapoor"/>
    <x v="1"/>
    <s v="Electronics"/>
    <s v="Smartwatch"/>
    <n v="1"/>
    <n v="2999"/>
    <n v="2999"/>
    <n v="0"/>
    <n v="0"/>
    <n v="2999"/>
    <s v="Cash"/>
    <x v="0"/>
  </r>
  <r>
    <s v="ORD-2025006"/>
    <s v="1 Wed"/>
    <s v="Jan"/>
    <s v="2025"/>
    <s v="CUST-1013"/>
    <s v="Divya Joshi"/>
    <x v="4"/>
    <s v="Home &amp; Kitchen"/>
    <s v="Non-stick Pan Set"/>
    <n v="1"/>
    <n v="1299"/>
    <n v="1299"/>
    <n v="0"/>
    <n v="0"/>
    <n v="1299"/>
    <s v="Credit Card"/>
    <x v="0"/>
  </r>
  <r>
    <s v="ORD-2025007"/>
    <s v="1 Wed"/>
    <s v="Jan"/>
    <s v="2025"/>
    <s v="CUST-1166"/>
    <s v="Divya Mehta"/>
    <x v="3"/>
    <s v="Home &amp; Kitchen"/>
    <s v="LED Desk Lamp"/>
    <n v="2"/>
    <n v="799"/>
    <n v="1598"/>
    <n v="0"/>
    <n v="0"/>
    <n v="1598"/>
    <s v="Debit Card"/>
    <x v="1"/>
  </r>
  <r>
    <s v="ORD-2025008"/>
    <s v="2 Thu"/>
    <s v="Jan"/>
    <s v="2025"/>
    <s v="CUST-1212"/>
    <s v="Komal Joshi"/>
    <x v="1"/>
    <s v="Apparel"/>
    <s v="Denim Jacket"/>
    <n v="1"/>
    <n v="1999"/>
    <n v="1999"/>
    <n v="0"/>
    <n v="0"/>
    <n v="1999"/>
    <s v="UPI"/>
    <x v="0"/>
  </r>
  <r>
    <s v="ORD-2025009"/>
    <s v="2 Thu"/>
    <s v="Jan"/>
    <s v="2025"/>
    <s v="CUST-1125"/>
    <s v="Muskan Malhotra"/>
    <x v="0"/>
    <s v="Groceries"/>
    <s v="Organic Honey 500g"/>
    <n v="1"/>
    <n v="349"/>
    <n v="349"/>
    <n v="0"/>
    <n v="0"/>
    <n v="349"/>
    <s v="Credit Card"/>
    <x v="0"/>
  </r>
  <r>
    <s v="ORD-2025010"/>
    <s v="2 Thu"/>
    <s v="Jan"/>
    <s v="2025"/>
    <s v="CUST-1317"/>
    <s v="Aditya Kapoor"/>
    <x v="0"/>
    <s v="Home &amp; Kitchen"/>
    <s v="Non-stick Pan Set"/>
    <n v="4"/>
    <n v="1299"/>
    <n v="5196"/>
    <n v="5"/>
    <n v="259.8"/>
    <n v="4936.2"/>
    <s v="Debit Card"/>
    <x v="0"/>
  </r>
  <r>
    <s v="ORD-2025011"/>
    <s v="2 Thu"/>
    <s v="Jan"/>
    <s v="2025"/>
    <s v="CUST-1369"/>
    <s v="Rohan Sharma"/>
    <x v="3"/>
    <s v="Apparel"/>
    <s v="Denim Jacket"/>
    <n v="2"/>
    <n v="1999"/>
    <n v="3998"/>
    <n v="0"/>
    <n v="0"/>
    <n v="3998"/>
    <s v="UPI"/>
    <x v="0"/>
  </r>
  <r>
    <s v="ORD-2025012"/>
    <s v="2 Thu"/>
    <s v="Jan"/>
    <s v="2025"/>
    <s v="CUST-1250"/>
    <s v="Shreya Saxena"/>
    <x v="4"/>
    <s v="Electronics"/>
    <s v="Smartwatch"/>
    <n v="4"/>
    <n v="2999"/>
    <n v="11996"/>
    <n v="0"/>
    <n v="0"/>
    <n v="11996"/>
    <s v="UPI"/>
    <x v="0"/>
  </r>
  <r>
    <s v="ORD-2025013"/>
    <s v="2 Thu"/>
    <s v="Jan"/>
    <s v="2025"/>
    <s v="CUST-1159"/>
    <s v="Isha Kapoor"/>
    <x v="0"/>
    <s v="Electronics"/>
    <s v="Wireless Mouse"/>
    <n v="2"/>
    <n v="599"/>
    <n v="1198"/>
    <n v="15"/>
    <n v="179.7"/>
    <n v="1018.3"/>
    <s v="Debit Card"/>
    <x v="0"/>
  </r>
  <r>
    <s v="ORD-2025014"/>
    <s v="2 Thu"/>
    <s v="Jan"/>
    <s v="2025"/>
    <s v="CUST-1047"/>
    <s v="Isha Kapoor"/>
    <x v="2"/>
    <s v="Electronics"/>
    <s v="Smartwatch"/>
    <n v="2"/>
    <n v="2999"/>
    <n v="5998"/>
    <n v="0"/>
    <n v="0"/>
    <n v="5998"/>
    <s v="Net Banking"/>
    <x v="0"/>
  </r>
  <r>
    <s v="ORD-2025015"/>
    <s v="3 Fri"/>
    <s v="Jan"/>
    <s v="2025"/>
    <s v="CUST-1290"/>
    <s v="Kabir Mehta"/>
    <x v="3"/>
    <s v="Groceries"/>
    <s v="Basmati Rice 5kg"/>
    <n v="1"/>
    <n v="549"/>
    <n v="549"/>
    <n v="20"/>
    <n v="109.8"/>
    <n v="439.2"/>
    <s v="Net Banking"/>
    <x v="1"/>
  </r>
  <r>
    <s v="ORD-2025016"/>
    <s v="3 Fri"/>
    <s v="Jan"/>
    <s v="2025"/>
    <s v="CUST-1211"/>
    <s v="Rohan Sharma"/>
    <x v="3"/>
    <s v="Apparel"/>
    <s v="Formal Shirt"/>
    <n v="2"/>
    <n v="899"/>
    <n v="1798"/>
    <n v="10"/>
    <n v="179.8"/>
    <n v="1618.2"/>
    <s v="Credit Card"/>
    <x v="0"/>
  </r>
  <r>
    <s v="ORD-2025017"/>
    <s v="3 Fri"/>
    <s v="Jan"/>
    <s v="2025"/>
    <s v="CUST-1274"/>
    <s v="Muskan Singh"/>
    <x v="1"/>
    <s v="Apparel"/>
    <s v="Cotton T-Shirt"/>
    <n v="2"/>
    <n v="499"/>
    <n v="998"/>
    <n v="0"/>
    <n v="0"/>
    <n v="998"/>
    <s v="Debit Card"/>
    <x v="0"/>
  </r>
  <r>
    <s v="ORD-2025018"/>
    <s v="3 Fri"/>
    <s v="Jan"/>
    <s v="2025"/>
    <s v="CUST-1242"/>
    <s v="Sakshi Malhotra"/>
    <x v="1"/>
    <s v="Stationery"/>
    <s v="Notebook Set"/>
    <n v="1"/>
    <n v="199"/>
    <n v="199"/>
    <n v="20"/>
    <n v="39.799999999999997"/>
    <n v="159.19999999999999"/>
    <s v="Credit Card"/>
    <x v="0"/>
  </r>
  <r>
    <s v="ORD-2025019"/>
    <s v="3 Fri"/>
    <s v="Jan"/>
    <s v="2025"/>
    <s v="CUST-1352"/>
    <s v="Nandini Mehta"/>
    <x v="3"/>
    <s v="Groceries"/>
    <s v="Basmati Rice 5kg"/>
    <n v="2"/>
    <n v="549"/>
    <n v="1098"/>
    <n v="0"/>
    <n v="0"/>
    <n v="1098"/>
    <s v="Debit Card"/>
    <x v="0"/>
  </r>
  <r>
    <s v="ORD-2025020"/>
    <s v="3 Fri"/>
    <s v="Jan"/>
    <s v="2025"/>
    <s v="CUST-1324"/>
    <s v="Rahul Verma"/>
    <x v="3"/>
    <s v="Sports"/>
    <s v="Cricket Bat"/>
    <n v="3"/>
    <n v="1499"/>
    <n v="4497"/>
    <n v="20"/>
    <n v="899.4"/>
    <n v="3597.6"/>
    <s v="Credit Card"/>
    <x v="0"/>
  </r>
  <r>
    <s v="ORD-2025021"/>
    <s v="3 Fri"/>
    <s v="Jan"/>
    <s v="2025"/>
    <s v="CUST-1371"/>
    <s v="Rahul Verma"/>
    <x v="0"/>
    <s v="Apparel"/>
    <s v="Denim Jacket"/>
    <n v="1"/>
    <n v="1999"/>
    <n v="1999"/>
    <n v="20"/>
    <n v="399.8"/>
    <n v="1599.2"/>
    <s v="UPI"/>
    <x v="0"/>
  </r>
  <r>
    <s v="ORD-2025022"/>
    <s v="4 Sat"/>
    <s v="Jan"/>
    <s v="2025"/>
    <s v="CUST-1258"/>
    <s v="Muskan Joshi"/>
    <x v="3"/>
    <s v="Groceries"/>
    <s v="Basmati Rice 5kg"/>
    <n v="1"/>
    <n v="549"/>
    <n v="549"/>
    <n v="20"/>
    <n v="109.8"/>
    <n v="439.2"/>
    <s v="Debit Card"/>
    <x v="0"/>
  </r>
  <r>
    <s v="ORD-2025023"/>
    <s v="4 Sat"/>
    <s v="Jan"/>
    <s v="2025"/>
    <s v="CUST-1289"/>
    <s v="Kunal Verma"/>
    <x v="1"/>
    <s v="Apparel"/>
    <s v="Cotton T-Shirt"/>
    <n v="4"/>
    <n v="499"/>
    <n v="1996"/>
    <n v="0"/>
    <n v="0"/>
    <n v="1996"/>
    <s v="Net Banking"/>
    <x v="1"/>
  </r>
  <r>
    <s v="ORD-2025024"/>
    <s v="4 Sat"/>
    <s v="Jan"/>
    <s v="2025"/>
    <s v="CUST-1395"/>
    <s v="Rahul Verma"/>
    <x v="4"/>
    <s v="Electronics"/>
    <s v="Wireless Mouse"/>
    <n v="2"/>
    <n v="599"/>
    <n v="1198"/>
    <n v="20"/>
    <n v="239.6"/>
    <n v="958.4"/>
    <s v="UPI"/>
    <x v="1"/>
  </r>
  <r>
    <s v="ORD-2025025"/>
    <s v="4 Sat"/>
    <s v="Jan"/>
    <s v="2025"/>
    <s v="CUST-1351"/>
    <s v="Tanya Mehta"/>
    <x v="2"/>
    <s v="Sports"/>
    <s v="Cricket Bat"/>
    <n v="3"/>
    <n v="1499"/>
    <n v="4497"/>
    <n v="5"/>
    <n v="224.85"/>
    <n v="4272.1499999999996"/>
    <s v="Credit Card"/>
    <x v="0"/>
  </r>
  <r>
    <s v="ORD-2025026"/>
    <s v="5 Sun"/>
    <s v="Jan"/>
    <s v="2025"/>
    <s v="CUST-1214"/>
    <s v="Rohan Sharma"/>
    <x v="2"/>
    <s v="Groceries"/>
    <s v="Organic Honey 500g"/>
    <n v="1"/>
    <n v="349"/>
    <n v="349"/>
    <n v="15"/>
    <n v="52.35"/>
    <n v="296.64999999999998"/>
    <s v="UPI"/>
    <x v="1"/>
  </r>
  <r>
    <s v="ORD-2025027"/>
    <s v="5 Sun"/>
    <s v="Jan"/>
    <s v="2025"/>
    <s v="CUST-1145"/>
    <s v="Kunal Joshi"/>
    <x v="2"/>
    <s v="Sports"/>
    <s v="Yoga Mat"/>
    <n v="2"/>
    <n v="699"/>
    <n v="1398"/>
    <n v="0"/>
    <n v="0"/>
    <n v="1398"/>
    <s v="Cash"/>
    <x v="0"/>
  </r>
  <r>
    <s v="ORD-2025028"/>
    <s v="5 Sun"/>
    <s v="Jan"/>
    <s v="2025"/>
    <s v="CUST-1272"/>
    <s v="Aarav Saxena"/>
    <x v="1"/>
    <s v="Beauty"/>
    <s v="Herbal Shampoo"/>
    <n v="1"/>
    <n v="249"/>
    <n v="249"/>
    <n v="0"/>
    <n v="0"/>
    <n v="249"/>
    <s v="Credit Card"/>
    <x v="1"/>
  </r>
  <r>
    <s v="ORD-2025029"/>
    <s v="5 Sun"/>
    <s v="Jan"/>
    <s v="2025"/>
    <s v="CUST-1053"/>
    <s v="Vivaan Malhotra"/>
    <x v="3"/>
    <s v="Home &amp; Kitchen"/>
    <s v="LED Desk Lamp"/>
    <n v="1"/>
    <n v="799"/>
    <n v="799"/>
    <n v="20"/>
    <n v="159.80000000000001"/>
    <n v="639.20000000000005"/>
    <s v="Net Banking"/>
    <x v="1"/>
  </r>
  <r>
    <s v="ORD-2025030"/>
    <s v="5 Sun"/>
    <s v="Jan"/>
    <s v="2025"/>
    <s v="CUST-1305"/>
    <s v="Muskan Joshi"/>
    <x v="1"/>
    <s v="Apparel"/>
    <s v="Denim Jacket"/>
    <n v="2"/>
    <n v="1999"/>
    <n v="3998"/>
    <n v="15"/>
    <n v="599.70000000000005"/>
    <n v="3398.3"/>
    <s v="Debit Card"/>
    <x v="1"/>
  </r>
  <r>
    <s v="ORD-2025031"/>
    <s v="5 Sun"/>
    <s v="Jan"/>
    <s v="2025"/>
    <s v="CUST-1291"/>
    <s v="Arjun Saxena"/>
    <x v="2"/>
    <s v="Electronics"/>
    <s v="Bluetooth Headphones"/>
    <n v="2"/>
    <n v="1799"/>
    <n v="3598"/>
    <n v="0"/>
    <n v="0"/>
    <n v="3598"/>
    <s v="Net Banking"/>
    <x v="0"/>
  </r>
  <r>
    <s v="ORD-2025032"/>
    <s v="5 Sun"/>
    <s v="Jan"/>
    <s v="2025"/>
    <s v="CUST-1022"/>
    <s v="Tanya Verma"/>
    <x v="2"/>
    <s v="Groceries"/>
    <s v="Organic Honey 500g"/>
    <n v="5"/>
    <n v="349"/>
    <n v="1745"/>
    <n v="0"/>
    <n v="0"/>
    <n v="1745"/>
    <s v="Credit Card"/>
    <x v="0"/>
  </r>
  <r>
    <s v="ORD-2025033"/>
    <s v="6 Mon"/>
    <s v="Jan"/>
    <s v="2025"/>
    <s v="CUST-1207"/>
    <s v="Rohan Malhotra"/>
    <x v="3"/>
    <s v="Stationery"/>
    <s v="Notebook Set"/>
    <n v="3"/>
    <n v="199"/>
    <n v="597"/>
    <n v="5"/>
    <n v="29.85"/>
    <n v="567.15"/>
    <s v="Credit Card"/>
    <x v="0"/>
  </r>
  <r>
    <s v="ORD-2025034"/>
    <s v="6 Mon"/>
    <s v="Jan"/>
    <s v="2025"/>
    <s v="CUST-1092"/>
    <s v="Arjun Mehta"/>
    <x v="4"/>
    <s v="Home &amp; Kitchen"/>
    <s v="Non-stick Pan Set"/>
    <n v="1"/>
    <n v="1299"/>
    <n v="1299"/>
    <n v="0"/>
    <n v="0"/>
    <n v="1299"/>
    <s v="Cash"/>
    <x v="0"/>
  </r>
  <r>
    <s v="ORD-2025035"/>
    <s v="6 Mon"/>
    <s v="Jan"/>
    <s v="2025"/>
    <s v="CUST-1206"/>
    <s v="Aditya Gupta"/>
    <x v="4"/>
    <s v="Beauty"/>
    <s v="Face Wash 100ml"/>
    <n v="3"/>
    <n v="299"/>
    <n v="897"/>
    <n v="5"/>
    <n v="44.85"/>
    <n v="852.15"/>
    <s v="Credit Card"/>
    <x v="0"/>
  </r>
  <r>
    <s v="ORD-2025036"/>
    <s v="6 Mon"/>
    <s v="Jan"/>
    <s v="2025"/>
    <s v="CUST-1385"/>
    <s v="Aman Kapoor"/>
    <x v="0"/>
    <s v="Sports"/>
    <s v="Yoga Mat"/>
    <n v="3"/>
    <n v="699"/>
    <n v="2097"/>
    <n v="10"/>
    <n v="209.7"/>
    <n v="1887.3"/>
    <s v="Debit Card"/>
    <x v="1"/>
  </r>
  <r>
    <s v="ORD-2025037"/>
    <s v="6 Mon"/>
    <s v="Jan"/>
    <s v="2025"/>
    <s v="CUST-1164"/>
    <s v="Kabir Malhotra"/>
    <x v="0"/>
    <s v="Stationery"/>
    <s v="Gel Pen Pack"/>
    <n v="3"/>
    <n v="99"/>
    <n v="297"/>
    <n v="5"/>
    <n v="14.85"/>
    <n v="282.14999999999998"/>
    <s v="Credit Card"/>
    <x v="0"/>
  </r>
  <r>
    <s v="ORD-2025038"/>
    <s v="6 Mon"/>
    <s v="Jan"/>
    <s v="2025"/>
    <s v="CUST-1317"/>
    <s v="Aditya Kapoor"/>
    <x v="1"/>
    <s v="Stationery"/>
    <s v="Gel Pen Pack"/>
    <n v="3"/>
    <n v="99"/>
    <n v="297"/>
    <n v="5"/>
    <n v="14.85"/>
    <n v="282.14999999999998"/>
    <s v="Credit Card"/>
    <x v="0"/>
  </r>
  <r>
    <s v="ORD-2025039"/>
    <s v="7 Tue"/>
    <s v="Jan"/>
    <s v="2025"/>
    <s v="CUST-1242"/>
    <s v="Sakshi Malhotra"/>
    <x v="3"/>
    <s v="Groceries"/>
    <s v="Basmati Rice 5kg"/>
    <n v="1"/>
    <n v="549"/>
    <n v="549"/>
    <n v="10"/>
    <n v="54.9"/>
    <n v="494.1"/>
    <s v="UPI"/>
    <x v="0"/>
  </r>
  <r>
    <s v="ORD-2025040"/>
    <s v="7 Tue"/>
    <s v="Jan"/>
    <s v="2025"/>
    <s v="CUST-1176"/>
    <s v="Meera Sharma"/>
    <x v="2"/>
    <s v="Sports"/>
    <s v="Cricket Bat"/>
    <n v="3"/>
    <n v="1499"/>
    <n v="4497"/>
    <n v="20"/>
    <n v="899.4"/>
    <n v="3597.6"/>
    <s v="Credit Card"/>
    <x v="0"/>
  </r>
  <r>
    <s v="ORD-2025041"/>
    <s v="7 Tue"/>
    <s v="Jan"/>
    <s v="2025"/>
    <s v="CUST-1351"/>
    <s v="Tanya Mehta"/>
    <x v="1"/>
    <s v="Groceries"/>
    <s v="Organic Honey 500g"/>
    <n v="1"/>
    <n v="349"/>
    <n v="349"/>
    <n v="15"/>
    <n v="52.35"/>
    <n v="296.64999999999998"/>
    <s v="Cash"/>
    <x v="1"/>
  </r>
  <r>
    <s v="ORD-2025042"/>
    <s v="7 Tue"/>
    <s v="Jan"/>
    <s v="2025"/>
    <s v="CUST-1335"/>
    <s v="Divya Saxena"/>
    <x v="2"/>
    <s v="Apparel"/>
    <s v="Cotton T-Shirt"/>
    <n v="1"/>
    <n v="499"/>
    <n v="499"/>
    <n v="20"/>
    <n v="99.8"/>
    <n v="399.2"/>
    <s v="UPI"/>
    <x v="0"/>
  </r>
  <r>
    <s v="ORD-2025043"/>
    <s v="7 Tue"/>
    <s v="Jan"/>
    <s v="2025"/>
    <s v="CUST-1270"/>
    <s v="Nandini Verma"/>
    <x v="3"/>
    <s v="Sports"/>
    <s v="Yoga Mat"/>
    <n v="1"/>
    <n v="699"/>
    <n v="699"/>
    <n v="20"/>
    <n v="139.80000000000001"/>
    <n v="559.20000000000005"/>
    <s v="UPI"/>
    <x v="1"/>
  </r>
  <r>
    <s v="ORD-2025044"/>
    <s v="7 Tue"/>
    <s v="Jan"/>
    <s v="2025"/>
    <s v="CUST-1191"/>
    <s v="Nandini Malhotra"/>
    <x v="3"/>
    <s v="Electronics"/>
    <s v="Smartwatch"/>
    <n v="2"/>
    <n v="2999"/>
    <n v="5998"/>
    <n v="10"/>
    <n v="599.79999999999995"/>
    <n v="5398.2"/>
    <s v="Debit Card"/>
    <x v="0"/>
  </r>
  <r>
    <s v="ORD-2025045"/>
    <s v="7 Tue"/>
    <s v="Jan"/>
    <s v="2025"/>
    <s v="CUST-1055"/>
    <s v="Rohan Saxena"/>
    <x v="2"/>
    <s v="Sports"/>
    <s v="Yoga Mat"/>
    <n v="4"/>
    <n v="699"/>
    <n v="2796"/>
    <n v="20"/>
    <n v="559.20000000000005"/>
    <n v="2236.8000000000002"/>
    <s v="Net Banking"/>
    <x v="1"/>
  </r>
  <r>
    <s v="ORD-2025046"/>
    <s v="8 Wed"/>
    <s v="Jan"/>
    <s v="2025"/>
    <s v="CUST-1098"/>
    <s v="Rohan Patel"/>
    <x v="2"/>
    <s v="Sports"/>
    <s v="Yoga Mat"/>
    <n v="1"/>
    <n v="699"/>
    <n v="699"/>
    <n v="0"/>
    <n v="0"/>
    <n v="699"/>
    <s v="Credit Card"/>
    <x v="0"/>
  </r>
  <r>
    <s v="ORD-2025047"/>
    <s v="9 Thu"/>
    <s v="Jan"/>
    <s v="2025"/>
    <s v="CUST-1171"/>
    <s v="Ankit Verma"/>
    <x v="0"/>
    <s v="Home &amp; Kitchen"/>
    <s v="Non-stick Pan Set"/>
    <n v="2"/>
    <n v="1299"/>
    <n v="2598"/>
    <n v="10"/>
    <n v="259.8"/>
    <n v="2338.1999999999998"/>
    <s v="UPI"/>
    <x v="1"/>
  </r>
  <r>
    <s v="ORD-2025048"/>
    <s v="9 Thu"/>
    <s v="Jan"/>
    <s v="2025"/>
    <s v="CUST-1145"/>
    <s v="Kunal Joshi"/>
    <x v="2"/>
    <s v="Apparel"/>
    <s v="Cotton T-Shirt"/>
    <n v="3"/>
    <n v="499"/>
    <n v="1497"/>
    <n v="20"/>
    <n v="299.39999999999998"/>
    <n v="1197.5999999999999"/>
    <s v="Debit Card"/>
    <x v="1"/>
  </r>
  <r>
    <s v="ORD-2025049"/>
    <s v="9 Thu"/>
    <s v="Jan"/>
    <s v="2025"/>
    <s v="CUST-1249"/>
    <s v="Kabir Sharma"/>
    <x v="3"/>
    <s v="Electronics"/>
    <s v="Bluetooth Headphones"/>
    <n v="3"/>
    <n v="1799"/>
    <n v="5397"/>
    <n v="5"/>
    <n v="269.85000000000002"/>
    <n v="5127.1499999999996"/>
    <s v="Credit Card"/>
    <x v="0"/>
  </r>
  <r>
    <s v="ORD-2025050"/>
    <s v="9 Thu"/>
    <s v="Jan"/>
    <s v="2025"/>
    <s v="CUST-1013"/>
    <s v="Divya Joshi"/>
    <x v="1"/>
    <s v="Stationery"/>
    <s v="Gel Pen Pack"/>
    <n v="1"/>
    <n v="99"/>
    <n v="99"/>
    <n v="0"/>
    <n v="0"/>
    <n v="99"/>
    <s v="Cash"/>
    <x v="0"/>
  </r>
  <r>
    <s v="ORD-2025051"/>
    <s v="9 Thu"/>
    <s v="Jan"/>
    <s v="2025"/>
    <s v="CUST-1362"/>
    <s v="Shreya Malhotra"/>
    <x v="1"/>
    <s v="Sports"/>
    <s v="Yoga Mat"/>
    <n v="1"/>
    <n v="699"/>
    <n v="699"/>
    <n v="20"/>
    <n v="139.80000000000001"/>
    <n v="559.20000000000005"/>
    <s v="Net Banking"/>
    <x v="0"/>
  </r>
  <r>
    <s v="ORD-2025052"/>
    <s v="9 Thu"/>
    <s v="Jan"/>
    <s v="2025"/>
    <s v="CUST-1135"/>
    <s v="Shreya Joshi"/>
    <x v="0"/>
    <s v="Groceries"/>
    <s v="Basmati Rice 5kg"/>
    <n v="2"/>
    <n v="549"/>
    <n v="1098"/>
    <n v="0"/>
    <n v="0"/>
    <n v="1098"/>
    <s v="Credit Card"/>
    <x v="1"/>
  </r>
  <r>
    <s v="ORD-2025053"/>
    <s v="9 Thu"/>
    <s v="Jan"/>
    <s v="2025"/>
    <s v="CUST-1019"/>
    <s v="Aarav Joshi"/>
    <x v="4"/>
    <s v="Apparel"/>
    <s v="Denim Jacket"/>
    <n v="3"/>
    <n v="1999"/>
    <n v="5997"/>
    <n v="10"/>
    <n v="599.70000000000005"/>
    <n v="5397.3"/>
    <s v="UPI"/>
    <x v="0"/>
  </r>
  <r>
    <s v="ORD-2025054"/>
    <s v="9 Thu"/>
    <s v="Jan"/>
    <s v="2025"/>
    <s v="CUST-1043"/>
    <s v="Divya Kapoor"/>
    <x v="0"/>
    <s v="Home &amp; Kitchen"/>
    <s v="LED Desk Lamp"/>
    <n v="1"/>
    <n v="799"/>
    <n v="799"/>
    <n v="15"/>
    <n v="119.85"/>
    <n v="679.15"/>
    <s v="Debit Card"/>
    <x v="1"/>
  </r>
  <r>
    <s v="ORD-2025055"/>
    <s v="9 Thu"/>
    <s v="Jan"/>
    <s v="2025"/>
    <s v="CUST-1243"/>
    <s v="Aman Joshi"/>
    <x v="2"/>
    <s v="Beauty"/>
    <s v="Herbal Shampoo"/>
    <n v="1"/>
    <n v="249"/>
    <n v="249"/>
    <n v="0"/>
    <n v="0"/>
    <n v="249"/>
    <s v="Cash"/>
    <x v="0"/>
  </r>
  <r>
    <s v="ORD-2025056"/>
    <s v="9 Thu"/>
    <s v="Jan"/>
    <s v="2025"/>
    <s v="CUST-1273"/>
    <s v="Aman Saxena"/>
    <x v="3"/>
    <s v="Beauty"/>
    <s v="Face Wash 100ml"/>
    <n v="2"/>
    <n v="299"/>
    <n v="598"/>
    <n v="0"/>
    <n v="0"/>
    <n v="598"/>
    <s v="Cash"/>
    <x v="0"/>
  </r>
  <r>
    <s v="ORD-2025057"/>
    <s v="10 Fri"/>
    <s v="Jan"/>
    <s v="2025"/>
    <s v="CUST-1085"/>
    <s v="Shreya Mehta"/>
    <x v="4"/>
    <s v="Sports"/>
    <s v="Yoga Mat"/>
    <n v="1"/>
    <n v="699"/>
    <n v="699"/>
    <n v="0"/>
    <n v="0"/>
    <n v="699"/>
    <s v="Debit Card"/>
    <x v="1"/>
  </r>
  <r>
    <s v="ORD-2025058"/>
    <s v="10 Fri"/>
    <s v="Jan"/>
    <s v="2025"/>
    <s v="CUST-1093"/>
    <s v="Kabir Mehta"/>
    <x v="3"/>
    <s v="Electronics"/>
    <s v="Smartwatch"/>
    <n v="1"/>
    <n v="2999"/>
    <n v="2999"/>
    <n v="0"/>
    <n v="0"/>
    <n v="2999"/>
    <s v="Cash"/>
    <x v="0"/>
  </r>
  <r>
    <s v="ORD-2025059"/>
    <s v="10 Fri"/>
    <s v="Jan"/>
    <s v="2025"/>
    <s v="CUST-1327"/>
    <s v="Kunal Malhotra"/>
    <x v="2"/>
    <s v="Home &amp; Kitchen"/>
    <s v="LED Desk Lamp"/>
    <n v="2"/>
    <n v="799"/>
    <n v="1598"/>
    <n v="0"/>
    <n v="0"/>
    <n v="1598"/>
    <s v="Credit Card"/>
    <x v="0"/>
  </r>
  <r>
    <s v="ORD-2025060"/>
    <s v="10 Fri"/>
    <s v="Jan"/>
    <s v="2025"/>
    <s v="CUST-1027"/>
    <s v="Aditya Gupta"/>
    <x v="1"/>
    <s v="Stationery"/>
    <s v="Gel Pen Pack"/>
    <n v="3"/>
    <n v="99"/>
    <n v="297"/>
    <n v="0"/>
    <n v="0"/>
    <n v="297"/>
    <s v="Debit Card"/>
    <x v="1"/>
  </r>
  <r>
    <s v="ORD-2025061"/>
    <s v="10 Fri"/>
    <s v="Jan"/>
    <s v="2025"/>
    <s v="CUST-1185"/>
    <s v="Meera Sharma"/>
    <x v="1"/>
    <s v="Groceries"/>
    <s v="Basmati Rice 5kg"/>
    <n v="1"/>
    <n v="549"/>
    <n v="549"/>
    <n v="0"/>
    <n v="0"/>
    <n v="549"/>
    <s v="UPI"/>
    <x v="0"/>
  </r>
  <r>
    <s v="ORD-2025062"/>
    <s v="10 Fri"/>
    <s v="Jan"/>
    <s v="2025"/>
    <s v="CUST-1017"/>
    <s v="Aarav Verma"/>
    <x v="4"/>
    <s v="Beauty"/>
    <s v="Face Wash 100ml"/>
    <n v="3"/>
    <n v="299"/>
    <n v="897"/>
    <n v="0"/>
    <n v="0"/>
    <n v="897"/>
    <s v="Credit Card"/>
    <x v="1"/>
  </r>
  <r>
    <s v="ORD-2025063"/>
    <s v="11 Sat"/>
    <s v="Jan"/>
    <s v="2025"/>
    <s v="CUST-1162"/>
    <s v="Aarav Kapoor"/>
    <x v="4"/>
    <s v="Home &amp; Kitchen"/>
    <s v="LED Desk Lamp"/>
    <n v="1"/>
    <n v="799"/>
    <n v="799"/>
    <n v="10"/>
    <n v="79.900000000000006"/>
    <n v="719.1"/>
    <s v="Cash"/>
    <x v="0"/>
  </r>
  <r>
    <s v="ORD-2025064"/>
    <s v="11 Sat"/>
    <s v="Jan"/>
    <s v="2025"/>
    <s v="CUST-1081"/>
    <s v="Nandini Verma"/>
    <x v="2"/>
    <s v="Electronics"/>
    <s v="Bluetooth Headphones"/>
    <n v="1"/>
    <n v="1799"/>
    <n v="1799"/>
    <n v="5"/>
    <n v="89.95"/>
    <n v="1709.05"/>
    <s v="Debit Card"/>
    <x v="0"/>
  </r>
  <r>
    <s v="ORD-2025065"/>
    <s v="12 Sun"/>
    <s v="Jan"/>
    <s v="2025"/>
    <s v="CUST-1351"/>
    <s v="Tanya Mehta"/>
    <x v="2"/>
    <s v="Sports"/>
    <s v="Cricket Bat"/>
    <n v="2"/>
    <n v="1499"/>
    <n v="2998"/>
    <n v="0"/>
    <n v="0"/>
    <n v="2998"/>
    <s v="Debit Card"/>
    <x v="0"/>
  </r>
  <r>
    <s v="ORD-2025066"/>
    <s v="12 Sun"/>
    <s v="Jan"/>
    <s v="2025"/>
    <s v="CUST-1247"/>
    <s v="Meera Malhotra"/>
    <x v="1"/>
    <s v="Electronics"/>
    <s v="Bluetooth Headphones"/>
    <n v="1"/>
    <n v="1799"/>
    <n v="1799"/>
    <n v="10"/>
    <n v="179.9"/>
    <n v="1619.1"/>
    <s v="Net Banking"/>
    <x v="0"/>
  </r>
  <r>
    <s v="ORD-2025067"/>
    <s v="12 Sun"/>
    <s v="Jan"/>
    <s v="2025"/>
    <s v="CUST-1064"/>
    <s v="Ankit Mehta"/>
    <x v="2"/>
    <s v="Groceries"/>
    <s v="Basmati Rice 5kg"/>
    <n v="1"/>
    <n v="549"/>
    <n v="549"/>
    <n v="0"/>
    <n v="0"/>
    <n v="549"/>
    <s v="Credit Card"/>
    <x v="1"/>
  </r>
  <r>
    <s v="ORD-2025068"/>
    <s v="12 Sun"/>
    <s v="Jan"/>
    <s v="2025"/>
    <s v="CUST-1169"/>
    <s v="Nandini Patel"/>
    <x v="0"/>
    <s v="Apparel"/>
    <s v="Denim Jacket"/>
    <n v="1"/>
    <n v="1999"/>
    <n v="1999"/>
    <n v="15"/>
    <n v="299.85000000000002"/>
    <n v="1699.15"/>
    <s v="Debit Card"/>
    <x v="0"/>
  </r>
  <r>
    <s v="ORD-2025069"/>
    <s v="12 Sun"/>
    <s v="Jan"/>
    <s v="2025"/>
    <s v="CUST-1356"/>
    <s v="Isha Verma"/>
    <x v="1"/>
    <s v="Sports"/>
    <s v="Cricket Bat"/>
    <n v="3"/>
    <n v="1499"/>
    <n v="4497"/>
    <n v="0"/>
    <n v="0"/>
    <n v="4497"/>
    <s v="UPI"/>
    <x v="0"/>
  </r>
  <r>
    <s v="ORD-2025070"/>
    <s v="12 Sun"/>
    <s v="Jan"/>
    <s v="2025"/>
    <s v="CUST-1252"/>
    <s v="Arjun Singh"/>
    <x v="4"/>
    <s v="Home &amp; Kitchen"/>
    <s v="LED Desk Lamp"/>
    <n v="3"/>
    <n v="799"/>
    <n v="2397"/>
    <n v="0"/>
    <n v="0"/>
    <n v="2397"/>
    <s v="Credit Card"/>
    <x v="1"/>
  </r>
  <r>
    <s v="ORD-2025071"/>
    <s v="13 Mon"/>
    <s v="Jan"/>
    <s v="2025"/>
    <s v="CUST-1243"/>
    <s v="Aman Joshi"/>
    <x v="4"/>
    <s v="Groceries"/>
    <s v="Organic Honey 500g"/>
    <n v="1"/>
    <n v="349"/>
    <n v="349"/>
    <n v="0"/>
    <n v="0"/>
    <n v="349"/>
    <s v="Cash"/>
    <x v="0"/>
  </r>
  <r>
    <s v="ORD-2025072"/>
    <s v="13 Mon"/>
    <s v="Jan"/>
    <s v="2025"/>
    <s v="CUST-1030"/>
    <s v="Rahul Kapoor"/>
    <x v="4"/>
    <s v="Home &amp; Kitchen"/>
    <s v="LED Desk Lamp"/>
    <n v="3"/>
    <n v="799"/>
    <n v="2397"/>
    <n v="0"/>
    <n v="0"/>
    <n v="2397"/>
    <s v="Credit Card"/>
    <x v="0"/>
  </r>
  <r>
    <s v="ORD-2025073"/>
    <s v="13 Mon"/>
    <s v="Jan"/>
    <s v="2025"/>
    <s v="CUST-1326"/>
    <s v="Rohan Verma"/>
    <x v="4"/>
    <s v="Beauty"/>
    <s v="Face Wash 100ml"/>
    <n v="1"/>
    <n v="299"/>
    <n v="299"/>
    <n v="15"/>
    <n v="44.85"/>
    <n v="254.15"/>
    <s v="UPI"/>
    <x v="0"/>
  </r>
  <r>
    <s v="ORD-2025074"/>
    <s v="13 Mon"/>
    <s v="Jan"/>
    <s v="2025"/>
    <s v="CUST-1391"/>
    <s v="Kunal Gupta"/>
    <x v="0"/>
    <s v="Stationery"/>
    <s v="Notebook Set"/>
    <n v="3"/>
    <n v="199"/>
    <n v="597"/>
    <n v="15"/>
    <n v="89.55"/>
    <n v="507.45"/>
    <s v="UPI"/>
    <x v="1"/>
  </r>
  <r>
    <s v="ORD-2025075"/>
    <s v="13 Mon"/>
    <s v="Jan"/>
    <s v="2025"/>
    <s v="CUST-1356"/>
    <s v="Isha Verma"/>
    <x v="3"/>
    <s v="Home &amp; Kitchen"/>
    <s v="Non-stick Pan Set"/>
    <n v="2"/>
    <n v="1299"/>
    <n v="2598"/>
    <n v="5"/>
    <n v="129.9"/>
    <n v="2468.1"/>
    <s v="Cash"/>
    <x v="0"/>
  </r>
  <r>
    <s v="ORD-2025076"/>
    <s v="13 Mon"/>
    <s v="Jan"/>
    <s v="2025"/>
    <s v="CUST-1319"/>
    <s v="Rohan Sharma"/>
    <x v="3"/>
    <s v="Sports"/>
    <s v="Yoga Mat"/>
    <n v="1"/>
    <n v="699"/>
    <n v="699"/>
    <n v="5"/>
    <n v="34.950000000000003"/>
    <n v="664.05"/>
    <s v="Cash"/>
    <x v="1"/>
  </r>
  <r>
    <s v="ORD-2025077"/>
    <s v="13 Mon"/>
    <s v="Jan"/>
    <s v="2025"/>
    <s v="CUST-1314"/>
    <s v="Kunal Sharma"/>
    <x v="2"/>
    <s v="Stationery"/>
    <s v="Gel Pen Pack"/>
    <n v="1"/>
    <n v="99"/>
    <n v="99"/>
    <n v="5"/>
    <n v="4.95"/>
    <n v="94.05"/>
    <s v="UPI"/>
    <x v="0"/>
  </r>
  <r>
    <s v="ORD-2025078"/>
    <s v="13 Mon"/>
    <s v="Jan"/>
    <s v="2025"/>
    <s v="CUST-1400"/>
    <s v="Aarav Gupta"/>
    <x v="3"/>
    <s v="Home &amp; Kitchen"/>
    <s v="Non-stick Pan Set"/>
    <n v="2"/>
    <n v="1299"/>
    <n v="2598"/>
    <n v="0"/>
    <n v="0"/>
    <n v="2598"/>
    <s v="Net Banking"/>
    <x v="0"/>
  </r>
  <r>
    <s v="ORD-2025079"/>
    <s v="13 Mon"/>
    <s v="Jan"/>
    <s v="2025"/>
    <s v="CUST-1400"/>
    <s v="Aarav Gupta"/>
    <x v="3"/>
    <s v="Beauty"/>
    <s v="Herbal Shampoo"/>
    <n v="1"/>
    <n v="249"/>
    <n v="249"/>
    <n v="20"/>
    <n v="49.8"/>
    <n v="199.2"/>
    <s v="Debit Card"/>
    <x v="0"/>
  </r>
  <r>
    <s v="ORD-2025080"/>
    <s v="13 Mon"/>
    <s v="Jan"/>
    <s v="2025"/>
    <s v="CUST-1091"/>
    <s v="Kabir Gupta"/>
    <x v="1"/>
    <s v="Apparel"/>
    <s v="Cotton T-Shirt"/>
    <n v="1"/>
    <n v="499"/>
    <n v="499"/>
    <n v="15"/>
    <n v="74.849999999999994"/>
    <n v="424.15"/>
    <s v="Credit Card"/>
    <x v="0"/>
  </r>
  <r>
    <s v="ORD-2025081"/>
    <s v="14 Tue"/>
    <s v="Jan"/>
    <s v="2025"/>
    <s v="CUST-1277"/>
    <s v="Vivaan Sharma"/>
    <x v="4"/>
    <s v="Groceries"/>
    <s v="Basmati Rice 5kg"/>
    <n v="1"/>
    <n v="549"/>
    <n v="549"/>
    <n v="0"/>
    <n v="0"/>
    <n v="549"/>
    <s v="Net Banking"/>
    <x v="1"/>
  </r>
  <r>
    <s v="ORD-2025082"/>
    <s v="14 Tue"/>
    <s v="Jan"/>
    <s v="2025"/>
    <s v="CUST-1067"/>
    <s v="Nandini Gupta"/>
    <x v="0"/>
    <s v="Home &amp; Kitchen"/>
    <s v="LED Desk Lamp"/>
    <n v="1"/>
    <n v="799"/>
    <n v="799"/>
    <n v="5"/>
    <n v="39.950000000000003"/>
    <n v="759.05"/>
    <s v="Debit Card"/>
    <x v="0"/>
  </r>
  <r>
    <s v="ORD-2025083"/>
    <s v="15 Wed"/>
    <s v="Jan"/>
    <s v="2025"/>
    <s v="CUST-1365"/>
    <s v="Meera Singh"/>
    <x v="2"/>
    <s v="Beauty"/>
    <s v="Herbal Shampoo"/>
    <n v="2"/>
    <n v="249"/>
    <n v="498"/>
    <n v="0"/>
    <n v="0"/>
    <n v="498"/>
    <s v="Debit Card"/>
    <x v="1"/>
  </r>
  <r>
    <s v="ORD-2025084"/>
    <s v="15 Wed"/>
    <s v="Jan"/>
    <s v="2025"/>
    <s v="CUST-1135"/>
    <s v="Shreya Joshi"/>
    <x v="2"/>
    <s v="Home &amp; Kitchen"/>
    <s v="LED Desk Lamp"/>
    <n v="3"/>
    <n v="799"/>
    <n v="2397"/>
    <n v="0"/>
    <n v="0"/>
    <n v="2397"/>
    <s v="UPI"/>
    <x v="0"/>
  </r>
  <r>
    <s v="ORD-2025085"/>
    <s v="15 Wed"/>
    <s v="Jan"/>
    <s v="2025"/>
    <s v="CUST-1283"/>
    <s v="Aditya Mehta"/>
    <x v="1"/>
    <s v="Apparel"/>
    <s v="Formal Shirt"/>
    <n v="4"/>
    <n v="899"/>
    <n v="3596"/>
    <n v="0"/>
    <n v="0"/>
    <n v="3596"/>
    <s v="UPI"/>
    <x v="0"/>
  </r>
  <r>
    <s v="ORD-2025086"/>
    <s v="15 Wed"/>
    <s v="Jan"/>
    <s v="2025"/>
    <s v="CUST-1178"/>
    <s v="Komal Sharma"/>
    <x v="1"/>
    <s v="Apparel"/>
    <s v="Formal Shirt"/>
    <n v="1"/>
    <n v="899"/>
    <n v="899"/>
    <n v="5"/>
    <n v="44.95"/>
    <n v="854.05"/>
    <s v="Cash"/>
    <x v="0"/>
  </r>
  <r>
    <s v="ORD-2025087"/>
    <s v="15 Wed"/>
    <s v="Jan"/>
    <s v="2025"/>
    <s v="CUST-1375"/>
    <s v="Kunal Joshi"/>
    <x v="3"/>
    <s v="Home &amp; Kitchen"/>
    <s v="Non-stick Pan Set"/>
    <n v="1"/>
    <n v="1299"/>
    <n v="1299"/>
    <n v="5"/>
    <n v="64.95"/>
    <n v="1234.05"/>
    <s v="Net Banking"/>
    <x v="0"/>
  </r>
  <r>
    <s v="ORD-2025088"/>
    <s v="15 Wed"/>
    <s v="Jan"/>
    <s v="2025"/>
    <s v="CUST-1062"/>
    <s v="Tanya Sharma"/>
    <x v="4"/>
    <s v="Stationery"/>
    <s v="Notebook Set"/>
    <n v="1"/>
    <n v="199"/>
    <n v="199"/>
    <n v="10"/>
    <n v="19.899999999999999"/>
    <n v="179.1"/>
    <s v="Debit Card"/>
    <x v="1"/>
  </r>
  <r>
    <s v="ORD-2025089"/>
    <s v="15 Wed"/>
    <s v="Jan"/>
    <s v="2025"/>
    <s v="CUST-1223"/>
    <s v="Meera Saxena"/>
    <x v="0"/>
    <s v="Beauty"/>
    <s v="Herbal Shampoo"/>
    <n v="1"/>
    <n v="249"/>
    <n v="249"/>
    <n v="20"/>
    <n v="49.8"/>
    <n v="199.2"/>
    <s v="Credit Card"/>
    <x v="1"/>
  </r>
  <r>
    <s v="ORD-2025090"/>
    <s v="15 Wed"/>
    <s v="Jan"/>
    <s v="2025"/>
    <s v="CUST-1187"/>
    <s v="Kabir Saxena"/>
    <x v="3"/>
    <s v="Electronics"/>
    <s v="Smartwatch"/>
    <n v="1"/>
    <n v="2999"/>
    <n v="2999"/>
    <n v="10"/>
    <n v="299.89999999999998"/>
    <n v="2699.1"/>
    <s v="Debit Card"/>
    <x v="1"/>
  </r>
  <r>
    <s v="ORD-2025091"/>
    <s v="15 Wed"/>
    <s v="Jan"/>
    <s v="2025"/>
    <s v="CUST-1033"/>
    <s v="Meera Joshi"/>
    <x v="1"/>
    <s v="Stationery"/>
    <s v="Gel Pen Pack"/>
    <n v="3"/>
    <n v="99"/>
    <n v="297"/>
    <n v="0"/>
    <n v="0"/>
    <n v="297"/>
    <s v="Debit Card"/>
    <x v="0"/>
  </r>
  <r>
    <s v="ORD-2025092"/>
    <s v="15 Wed"/>
    <s v="Jan"/>
    <s v="2025"/>
    <s v="CUST-1213"/>
    <s v="Ankit Patel"/>
    <x v="4"/>
    <s v="Sports"/>
    <s v="Cricket Bat"/>
    <n v="1"/>
    <n v="1499"/>
    <n v="1499"/>
    <n v="20"/>
    <n v="299.8"/>
    <n v="1199.2"/>
    <s v="Credit Card"/>
    <x v="0"/>
  </r>
  <r>
    <s v="ORD-2025093"/>
    <s v="16 Thu"/>
    <s v="Jan"/>
    <s v="2025"/>
    <s v="CUST-1316"/>
    <s v="Komal Saxena"/>
    <x v="2"/>
    <s v="Home &amp; Kitchen"/>
    <s v="Non-stick Pan Set"/>
    <n v="1"/>
    <n v="1299"/>
    <n v="1299"/>
    <n v="5"/>
    <n v="64.95"/>
    <n v="1234.05"/>
    <s v="UPI"/>
    <x v="0"/>
  </r>
  <r>
    <s v="ORD-2025094"/>
    <s v="16 Thu"/>
    <s v="Jan"/>
    <s v="2025"/>
    <s v="CUST-1228"/>
    <s v="Aarav Mehta"/>
    <x v="0"/>
    <s v="Home &amp; Kitchen"/>
    <s v="LED Desk Lamp"/>
    <n v="1"/>
    <n v="799"/>
    <n v="799"/>
    <n v="15"/>
    <n v="119.85"/>
    <n v="679.15"/>
    <s v="Debit Card"/>
    <x v="0"/>
  </r>
  <r>
    <s v="ORD-2025095"/>
    <s v="16 Thu"/>
    <s v="Jan"/>
    <s v="2025"/>
    <s v="CUST-1061"/>
    <s v="Muskan Patel"/>
    <x v="4"/>
    <s v="Groceries"/>
    <s v="Organic Honey 500g"/>
    <n v="1"/>
    <n v="349"/>
    <n v="349"/>
    <n v="0"/>
    <n v="0"/>
    <n v="349"/>
    <s v="UPI"/>
    <x v="0"/>
  </r>
  <r>
    <s v="ORD-2025096"/>
    <s v="16 Thu"/>
    <s v="Jan"/>
    <s v="2025"/>
    <s v="CUST-1002"/>
    <s v="Shreya Mehta"/>
    <x v="3"/>
    <s v="Electronics"/>
    <s v="Smartwatch"/>
    <n v="2"/>
    <n v="2999"/>
    <n v="5998"/>
    <n v="10"/>
    <n v="599.79999999999995"/>
    <n v="5398.2"/>
    <s v="Credit Card"/>
    <x v="1"/>
  </r>
  <r>
    <s v="ORD-2025097"/>
    <s v="16 Thu"/>
    <s v="Jan"/>
    <s v="2025"/>
    <s v="CUST-1283"/>
    <s v="Aditya Mehta"/>
    <x v="0"/>
    <s v="Stationery"/>
    <s v="Notebook Set"/>
    <n v="3"/>
    <n v="199"/>
    <n v="597"/>
    <n v="10"/>
    <n v="59.7"/>
    <n v="537.29999999999995"/>
    <s v="Debit Card"/>
    <x v="0"/>
  </r>
  <r>
    <s v="ORD-2025098"/>
    <s v="16 Thu"/>
    <s v="Jan"/>
    <s v="2025"/>
    <s v="CUST-1154"/>
    <s v="Aditya Malhotra"/>
    <x v="3"/>
    <s v="Apparel"/>
    <s v="Cotton T-Shirt"/>
    <n v="3"/>
    <n v="499"/>
    <n v="1497"/>
    <n v="10"/>
    <n v="149.69999999999999"/>
    <n v="1347.3"/>
    <s v="UPI"/>
    <x v="1"/>
  </r>
  <r>
    <s v="ORD-2025099"/>
    <s v="16 Thu"/>
    <s v="Jan"/>
    <s v="2025"/>
    <s v="CUST-1224"/>
    <s v="Swati Verma"/>
    <x v="3"/>
    <s v="Stationery"/>
    <s v="Notebook Set"/>
    <n v="1"/>
    <n v="199"/>
    <n v="199"/>
    <n v="20"/>
    <n v="39.799999999999997"/>
    <n v="159.19999999999999"/>
    <s v="Net Banking"/>
    <x v="0"/>
  </r>
  <r>
    <s v="ORD-2025100"/>
    <s v="16 Thu"/>
    <s v="Jan"/>
    <s v="2025"/>
    <s v="CUST-1227"/>
    <s v="Rohan Joshi"/>
    <x v="3"/>
    <s v="Stationery"/>
    <s v="Notebook Set"/>
    <n v="3"/>
    <n v="199"/>
    <n v="597"/>
    <n v="0"/>
    <n v="0"/>
    <n v="597"/>
    <s v="Credit Card"/>
    <x v="0"/>
  </r>
  <r>
    <s v="ORD-2025101"/>
    <s v="17 Fri"/>
    <s v="Jan"/>
    <s v="2025"/>
    <s v="CUST-1373"/>
    <s v="Rahul Verma"/>
    <x v="1"/>
    <s v="Groceries"/>
    <s v="Organic Honey 500g"/>
    <n v="1"/>
    <n v="349"/>
    <n v="349"/>
    <n v="5"/>
    <n v="17.45"/>
    <n v="331.55"/>
    <s v="UPI"/>
    <x v="0"/>
  </r>
  <r>
    <s v="ORD-2025102"/>
    <s v="17 Fri"/>
    <s v="Jan"/>
    <s v="2025"/>
    <s v="CUST-1063"/>
    <s v="Aman Sharma"/>
    <x v="4"/>
    <s v="Electronics"/>
    <s v="Wireless Mouse"/>
    <n v="3"/>
    <n v="599"/>
    <n v="1797"/>
    <n v="5"/>
    <n v="89.85"/>
    <n v="1707.15"/>
    <s v="Debit Card"/>
    <x v="1"/>
  </r>
  <r>
    <s v="ORD-2025103"/>
    <s v="17 Fri"/>
    <s v="Jan"/>
    <s v="2025"/>
    <s v="CUST-1084"/>
    <s v="Kunal Saxena"/>
    <x v="1"/>
    <s v="Apparel"/>
    <s v="Cotton T-Shirt"/>
    <n v="1"/>
    <n v="499"/>
    <n v="499"/>
    <n v="0"/>
    <n v="0"/>
    <n v="499"/>
    <s v="Net Banking"/>
    <x v="0"/>
  </r>
  <r>
    <s v="ORD-2025104"/>
    <s v="17 Fri"/>
    <s v="Jan"/>
    <s v="2025"/>
    <s v="CUST-1062"/>
    <s v="Tanya Sharma"/>
    <x v="3"/>
    <s v="Stationery"/>
    <s v="Gel Pen Pack"/>
    <n v="1"/>
    <n v="99"/>
    <n v="99"/>
    <n v="10"/>
    <n v="9.9"/>
    <n v="89.1"/>
    <s v="Cash"/>
    <x v="0"/>
  </r>
  <r>
    <s v="ORD-2025105"/>
    <s v="17 Fri"/>
    <s v="Jan"/>
    <s v="2025"/>
    <s v="CUST-1338"/>
    <s v="Komal Malhotra"/>
    <x v="0"/>
    <s v="Apparel"/>
    <s v="Formal Shirt"/>
    <n v="3"/>
    <n v="899"/>
    <n v="2697"/>
    <n v="0"/>
    <n v="0"/>
    <n v="2697"/>
    <s v="Credit Card"/>
    <x v="1"/>
  </r>
  <r>
    <s v="ORD-2025106"/>
    <s v="17 Fri"/>
    <s v="Jan"/>
    <s v="2025"/>
    <s v="CUST-1278"/>
    <s v="Meera Verma"/>
    <x v="4"/>
    <s v="Beauty"/>
    <s v="Face Wash 100ml"/>
    <n v="2"/>
    <n v="299"/>
    <n v="598"/>
    <n v="0"/>
    <n v="0"/>
    <n v="598"/>
    <s v="UPI"/>
    <x v="0"/>
  </r>
  <r>
    <s v="ORD-2025107"/>
    <s v="17 Fri"/>
    <s v="Jan"/>
    <s v="2025"/>
    <s v="CUST-1342"/>
    <s v="Vivaan Saxena"/>
    <x v="1"/>
    <s v="Groceries"/>
    <s v="Basmati Rice 5kg"/>
    <n v="1"/>
    <n v="549"/>
    <n v="549"/>
    <n v="10"/>
    <n v="54.9"/>
    <n v="494.1"/>
    <s v="Cash"/>
    <x v="1"/>
  </r>
  <r>
    <s v="ORD-2025108"/>
    <s v="18 Sat"/>
    <s v="Jan"/>
    <s v="2025"/>
    <s v="CUST-1191"/>
    <s v="Nandini Malhotra"/>
    <x v="2"/>
    <s v="Sports"/>
    <s v="Cricket Bat"/>
    <n v="1"/>
    <n v="1499"/>
    <n v="1499"/>
    <n v="10"/>
    <n v="149.9"/>
    <n v="1349.1"/>
    <s v="Credit Card"/>
    <x v="0"/>
  </r>
  <r>
    <s v="ORD-2025109"/>
    <s v="18 Sat"/>
    <s v="Jan"/>
    <s v="2025"/>
    <s v="CUST-1264"/>
    <s v="Vivaan Malhotra"/>
    <x v="0"/>
    <s v="Beauty"/>
    <s v="Face Wash 100ml"/>
    <n v="1"/>
    <n v="299"/>
    <n v="299"/>
    <n v="15"/>
    <n v="44.85"/>
    <n v="254.15"/>
    <s v="Credit Card"/>
    <x v="1"/>
  </r>
  <r>
    <s v="ORD-2025110"/>
    <s v="18 Sat"/>
    <s v="Jan"/>
    <s v="2025"/>
    <s v="CUST-1015"/>
    <s v="Swati Joshi"/>
    <x v="3"/>
    <s v="Electronics"/>
    <s v="Smartwatch"/>
    <n v="1"/>
    <n v="2999"/>
    <n v="2999"/>
    <n v="20"/>
    <n v="599.79999999999995"/>
    <n v="2399.1999999999998"/>
    <s v="Net Banking"/>
    <x v="1"/>
  </r>
  <r>
    <s v="ORD-2025111"/>
    <s v="18 Sat"/>
    <s v="Jan"/>
    <s v="2025"/>
    <s v="CUST-1157"/>
    <s v="Arjun Verma"/>
    <x v="4"/>
    <s v="Stationery"/>
    <s v="Notebook Set"/>
    <n v="4"/>
    <n v="199"/>
    <n v="796"/>
    <n v="5"/>
    <n v="39.799999999999997"/>
    <n v="756.2"/>
    <s v="UPI"/>
    <x v="0"/>
  </r>
  <r>
    <s v="ORD-2025112"/>
    <s v="18 Sat"/>
    <s v="Jan"/>
    <s v="2025"/>
    <s v="CUST-1077"/>
    <s v="Tanya Mehta"/>
    <x v="3"/>
    <s v="Sports"/>
    <s v="Cricket Bat"/>
    <n v="3"/>
    <n v="1499"/>
    <n v="4497"/>
    <n v="10"/>
    <n v="449.7"/>
    <n v="4047.3"/>
    <s v="Cash"/>
    <x v="1"/>
  </r>
  <r>
    <s v="ORD-2025113"/>
    <s v="18 Sat"/>
    <s v="Jan"/>
    <s v="2025"/>
    <s v="CUST-1128"/>
    <s v="Sakshi Malhotra"/>
    <x v="4"/>
    <s v="Electronics"/>
    <s v="Smartwatch"/>
    <n v="1"/>
    <n v="2999"/>
    <n v="2999"/>
    <n v="0"/>
    <n v="0"/>
    <n v="2999"/>
    <s v="Credit Card"/>
    <x v="1"/>
  </r>
  <r>
    <s v="ORD-2025114"/>
    <s v="19 Sun"/>
    <s v="Jan"/>
    <s v="2025"/>
    <s v="CUST-1010"/>
    <s v="Kabir Singh"/>
    <x v="2"/>
    <s v="Sports"/>
    <s v="Yoga Mat"/>
    <n v="4"/>
    <n v="699"/>
    <n v="2796"/>
    <n v="0"/>
    <n v="0"/>
    <n v="2796"/>
    <s v="Credit Card"/>
    <x v="0"/>
  </r>
  <r>
    <s v="ORD-2025115"/>
    <s v="19 Sun"/>
    <s v="Jan"/>
    <s v="2025"/>
    <s v="CUST-1280"/>
    <s v="Muskan Kapoor"/>
    <x v="3"/>
    <s v="Apparel"/>
    <s v="Formal Shirt"/>
    <n v="1"/>
    <n v="899"/>
    <n v="899"/>
    <n v="5"/>
    <n v="44.95"/>
    <n v="854.05"/>
    <s v="Debit Card"/>
    <x v="1"/>
  </r>
  <r>
    <s v="ORD-2025116"/>
    <s v="19 Sun"/>
    <s v="Jan"/>
    <s v="2025"/>
    <s v="CUST-1059"/>
    <s v="Kunal Verma"/>
    <x v="0"/>
    <s v="Apparel"/>
    <s v="Formal Shirt"/>
    <n v="5"/>
    <n v="899"/>
    <n v="4495"/>
    <n v="5"/>
    <n v="224.75"/>
    <n v="4270.25"/>
    <s v="Cash"/>
    <x v="0"/>
  </r>
  <r>
    <s v="ORD-2025117"/>
    <s v="19 Sun"/>
    <s v="Jan"/>
    <s v="2025"/>
    <s v="CUST-1001"/>
    <s v="Rohan Patel"/>
    <x v="2"/>
    <s v="Electronics"/>
    <s v="Bluetooth Headphones"/>
    <n v="1"/>
    <n v="1799"/>
    <n v="1799"/>
    <n v="0"/>
    <n v="0"/>
    <n v="1799"/>
    <s v="UPI"/>
    <x v="1"/>
  </r>
  <r>
    <s v="ORD-2025118"/>
    <s v="19 Sun"/>
    <s v="Jan"/>
    <s v="2025"/>
    <s v="CUST-1377"/>
    <s v="Sakshi Patel"/>
    <x v="0"/>
    <s v="Apparel"/>
    <s v="Formal Shirt"/>
    <n v="2"/>
    <n v="899"/>
    <n v="1798"/>
    <n v="0"/>
    <n v="0"/>
    <n v="1798"/>
    <s v="Credit Card"/>
    <x v="0"/>
  </r>
  <r>
    <s v="ORD-2025119"/>
    <s v="19 Sun"/>
    <s v="Jan"/>
    <s v="2025"/>
    <s v="CUST-1123"/>
    <s v="Shreya Gupta"/>
    <x v="3"/>
    <s v="Stationery"/>
    <s v="Gel Pen Pack"/>
    <n v="4"/>
    <n v="99"/>
    <n v="396"/>
    <n v="0"/>
    <n v="0"/>
    <n v="396"/>
    <s v="Debit Card"/>
    <x v="0"/>
  </r>
  <r>
    <s v="ORD-2025120"/>
    <s v="20 Mon"/>
    <s v="Jan"/>
    <s v="2025"/>
    <s v="CUST-1243"/>
    <s v="Aman Joshi"/>
    <x v="4"/>
    <s v="Stationery"/>
    <s v="Gel Pen Pack"/>
    <n v="1"/>
    <n v="99"/>
    <n v="99"/>
    <n v="0"/>
    <n v="0"/>
    <n v="99"/>
    <s v="UPI"/>
    <x v="0"/>
  </r>
  <r>
    <s v="ORD-2025121"/>
    <s v="20 Mon"/>
    <s v="Jan"/>
    <s v="2025"/>
    <s v="CUST-1138"/>
    <s v="Tanya Singh"/>
    <x v="1"/>
    <s v="Beauty"/>
    <s v="Herbal Shampoo"/>
    <n v="2"/>
    <n v="249"/>
    <n v="498"/>
    <n v="0"/>
    <n v="0"/>
    <n v="498"/>
    <s v="Debit Card"/>
    <x v="0"/>
  </r>
  <r>
    <s v="ORD-2025122"/>
    <s v="20 Mon"/>
    <s v="Jan"/>
    <s v="2025"/>
    <s v="CUST-1387"/>
    <s v="Rohan Patel"/>
    <x v="0"/>
    <s v="Stationery"/>
    <s v="Gel Pen Pack"/>
    <n v="1"/>
    <n v="99"/>
    <n v="99"/>
    <n v="10"/>
    <n v="9.9"/>
    <n v="89.1"/>
    <s v="Credit Card"/>
    <x v="1"/>
  </r>
  <r>
    <s v="ORD-2025123"/>
    <s v="21 Tue"/>
    <s v="Jan"/>
    <s v="2025"/>
    <s v="CUST-1279"/>
    <s v="Tanya Kapoor"/>
    <x v="4"/>
    <s v="Groceries"/>
    <s v="Organic Honey 500g"/>
    <n v="1"/>
    <n v="349"/>
    <n v="349"/>
    <n v="10"/>
    <n v="34.9"/>
    <n v="314.10000000000002"/>
    <s v="Net Banking"/>
    <x v="0"/>
  </r>
  <r>
    <s v="ORD-2025124"/>
    <s v="21 Tue"/>
    <s v="Jan"/>
    <s v="2025"/>
    <s v="CUST-1254"/>
    <s v="Meera Malhotra"/>
    <x v="1"/>
    <s v="Home &amp; Kitchen"/>
    <s v="LED Desk Lamp"/>
    <n v="1"/>
    <n v="799"/>
    <n v="799"/>
    <n v="10"/>
    <n v="79.900000000000006"/>
    <n v="719.1"/>
    <s v="UPI"/>
    <x v="0"/>
  </r>
  <r>
    <s v="ORD-2025125"/>
    <s v="21 Tue"/>
    <s v="Jan"/>
    <s v="2025"/>
    <s v="CUST-1096"/>
    <s v="Kunal Saxena"/>
    <x v="0"/>
    <s v="Apparel"/>
    <s v="Denim Jacket"/>
    <n v="3"/>
    <n v="1999"/>
    <n v="5997"/>
    <n v="0"/>
    <n v="0"/>
    <n v="5997"/>
    <s v="UPI"/>
    <x v="0"/>
  </r>
  <r>
    <s v="ORD-2025126"/>
    <s v="21 Tue"/>
    <s v="Jan"/>
    <s v="2025"/>
    <s v="CUST-1177"/>
    <s v="Aditya Malhotra"/>
    <x v="2"/>
    <s v="Electronics"/>
    <s v="Smartwatch"/>
    <n v="2"/>
    <n v="2999"/>
    <n v="5998"/>
    <n v="20"/>
    <n v="1199.5999999999999"/>
    <n v="4798.3999999999996"/>
    <s v="Debit Card"/>
    <x v="0"/>
  </r>
  <r>
    <s v="ORD-2025127"/>
    <s v="21 Tue"/>
    <s v="Jan"/>
    <s v="2025"/>
    <s v="CUST-1030"/>
    <s v="Rahul Kapoor"/>
    <x v="2"/>
    <s v="Apparel"/>
    <s v="Denim Jacket"/>
    <n v="3"/>
    <n v="1999"/>
    <n v="5997"/>
    <n v="0"/>
    <n v="0"/>
    <n v="5997"/>
    <s v="Debit Card"/>
    <x v="1"/>
  </r>
  <r>
    <s v="ORD-2025128"/>
    <s v="22 Wed"/>
    <s v="Jan"/>
    <s v="2025"/>
    <s v="CUST-1177"/>
    <s v="Aditya Malhotra"/>
    <x v="3"/>
    <s v="Sports"/>
    <s v="Yoga Mat"/>
    <n v="4"/>
    <n v="699"/>
    <n v="2796"/>
    <n v="20"/>
    <n v="559.20000000000005"/>
    <n v="2236.8000000000002"/>
    <s v="Cash"/>
    <x v="0"/>
  </r>
  <r>
    <s v="ORD-2025129"/>
    <s v="22 Wed"/>
    <s v="Jan"/>
    <s v="2025"/>
    <s v="CUST-1028"/>
    <s v="Swati Joshi"/>
    <x v="3"/>
    <s v="Electronics"/>
    <s v="Bluetooth Headphones"/>
    <n v="1"/>
    <n v="1799"/>
    <n v="1799"/>
    <n v="5"/>
    <n v="89.95"/>
    <n v="1709.05"/>
    <s v="Debit Card"/>
    <x v="0"/>
  </r>
  <r>
    <s v="ORD-2025130"/>
    <s v="22 Wed"/>
    <s v="Jan"/>
    <s v="2025"/>
    <s v="CUST-1138"/>
    <s v="Tanya Singh"/>
    <x v="1"/>
    <s v="Apparel"/>
    <s v="Cotton T-Shirt"/>
    <n v="2"/>
    <n v="499"/>
    <n v="998"/>
    <n v="20"/>
    <n v="199.6"/>
    <n v="798.4"/>
    <s v="Credit Card"/>
    <x v="1"/>
  </r>
  <r>
    <s v="ORD-2025131"/>
    <s v="22 Wed"/>
    <s v="Jan"/>
    <s v="2025"/>
    <s v="CUST-1033"/>
    <s v="Meera Joshi"/>
    <x v="4"/>
    <s v="Apparel"/>
    <s v="Denim Jacket"/>
    <n v="1"/>
    <n v="1999"/>
    <n v="1999"/>
    <n v="0"/>
    <n v="0"/>
    <n v="1999"/>
    <s v="Net Banking"/>
    <x v="1"/>
  </r>
  <r>
    <s v="ORD-2025132"/>
    <s v="22 Wed"/>
    <s v="Jan"/>
    <s v="2025"/>
    <s v="CUST-1331"/>
    <s v="Arjun Singh"/>
    <x v="2"/>
    <s v="Apparel"/>
    <s v="Formal Shirt"/>
    <n v="1"/>
    <n v="899"/>
    <n v="899"/>
    <n v="15"/>
    <n v="134.85"/>
    <n v="764.15"/>
    <s v="Debit Card"/>
    <x v="1"/>
  </r>
  <r>
    <s v="ORD-2025133"/>
    <s v="22 Wed"/>
    <s v="Jan"/>
    <s v="2025"/>
    <s v="CUST-1038"/>
    <s v="Rohan Joshi"/>
    <x v="1"/>
    <s v="Apparel"/>
    <s v="Cotton T-Shirt"/>
    <n v="2"/>
    <n v="499"/>
    <n v="998"/>
    <n v="5"/>
    <n v="49.9"/>
    <n v="948.1"/>
    <s v="Net Banking"/>
    <x v="1"/>
  </r>
  <r>
    <s v="ORD-2025134"/>
    <s v="22 Wed"/>
    <s v="Jan"/>
    <s v="2025"/>
    <s v="CUST-1103"/>
    <s v="Muskan Gupta"/>
    <x v="3"/>
    <s v="Stationery"/>
    <s v="Gel Pen Pack"/>
    <n v="3"/>
    <n v="99"/>
    <n v="297"/>
    <n v="10"/>
    <n v="29.7"/>
    <n v="267.3"/>
    <s v="UPI"/>
    <x v="0"/>
  </r>
  <r>
    <s v="ORD-2025135"/>
    <s v="23 Thu"/>
    <s v="Jan"/>
    <s v="2025"/>
    <s v="CUST-1013"/>
    <s v="Divya Joshi"/>
    <x v="1"/>
    <s v="Sports"/>
    <s v="Yoga Mat"/>
    <n v="3"/>
    <n v="699"/>
    <n v="2097"/>
    <n v="0"/>
    <n v="0"/>
    <n v="2097"/>
    <s v="Debit Card"/>
    <x v="1"/>
  </r>
  <r>
    <s v="ORD-2025136"/>
    <s v="23 Thu"/>
    <s v="Jan"/>
    <s v="2025"/>
    <s v="CUST-1237"/>
    <s v="Divya Sharma"/>
    <x v="1"/>
    <s v="Sports"/>
    <s v="Cricket Bat"/>
    <n v="2"/>
    <n v="1499"/>
    <n v="2998"/>
    <n v="0"/>
    <n v="0"/>
    <n v="2998"/>
    <s v="Debit Card"/>
    <x v="0"/>
  </r>
  <r>
    <s v="ORD-2025137"/>
    <s v="23 Thu"/>
    <s v="Jan"/>
    <s v="2025"/>
    <s v="CUST-1228"/>
    <s v="Aarav Mehta"/>
    <x v="0"/>
    <s v="Apparel"/>
    <s v="Formal Shirt"/>
    <n v="1"/>
    <n v="899"/>
    <n v="899"/>
    <n v="10"/>
    <n v="89.9"/>
    <n v="809.1"/>
    <s v="Debit Card"/>
    <x v="1"/>
  </r>
  <r>
    <s v="ORD-2025138"/>
    <s v="23 Thu"/>
    <s v="Jan"/>
    <s v="2025"/>
    <s v="CUST-1239"/>
    <s v="Rohan Malhotra"/>
    <x v="4"/>
    <s v="Beauty"/>
    <s v="Herbal Shampoo"/>
    <n v="1"/>
    <n v="249"/>
    <n v="249"/>
    <n v="20"/>
    <n v="49.8"/>
    <n v="199.2"/>
    <s v="Debit Card"/>
    <x v="1"/>
  </r>
  <r>
    <s v="ORD-2025139"/>
    <s v="23 Thu"/>
    <s v="Jan"/>
    <s v="2025"/>
    <s v="CUST-1213"/>
    <s v="Ankit Patel"/>
    <x v="4"/>
    <s v="Stationery"/>
    <s v="Notebook Set"/>
    <n v="2"/>
    <n v="199"/>
    <n v="398"/>
    <n v="0"/>
    <n v="0"/>
    <n v="398"/>
    <s v="Net Banking"/>
    <x v="0"/>
  </r>
  <r>
    <s v="ORD-2025140"/>
    <s v="23 Thu"/>
    <s v="Jan"/>
    <s v="2025"/>
    <s v="CUST-1046"/>
    <s v="Rohan Kapoor"/>
    <x v="1"/>
    <s v="Home &amp; Kitchen"/>
    <s v="LED Desk Lamp"/>
    <n v="2"/>
    <n v="799"/>
    <n v="1598"/>
    <n v="0"/>
    <n v="0"/>
    <n v="1598"/>
    <s v="Cash"/>
    <x v="1"/>
  </r>
  <r>
    <s v="ORD-2025141"/>
    <s v="23 Thu"/>
    <s v="Jan"/>
    <s v="2025"/>
    <s v="CUST-1044"/>
    <s v="Swati Saxena"/>
    <x v="2"/>
    <s v="Groceries"/>
    <s v="Basmati Rice 5kg"/>
    <n v="4"/>
    <n v="549"/>
    <n v="2196"/>
    <n v="0"/>
    <n v="0"/>
    <n v="2196"/>
    <s v="Cash"/>
    <x v="0"/>
  </r>
  <r>
    <s v="ORD-2025142"/>
    <s v="24 Fri"/>
    <s v="Jan"/>
    <s v="2025"/>
    <s v="CUST-1093"/>
    <s v="Kabir Mehta"/>
    <x v="3"/>
    <s v="Beauty"/>
    <s v="Herbal Shampoo"/>
    <n v="4"/>
    <n v="249"/>
    <n v="996"/>
    <n v="0"/>
    <n v="0"/>
    <n v="996"/>
    <s v="Cash"/>
    <x v="1"/>
  </r>
  <r>
    <s v="ORD-2025143"/>
    <s v="24 Fri"/>
    <s v="Jan"/>
    <s v="2025"/>
    <s v="CUST-1191"/>
    <s v="Nandini Malhotra"/>
    <x v="4"/>
    <s v="Apparel"/>
    <s v="Denim Jacket"/>
    <n v="1"/>
    <n v="1999"/>
    <n v="1999"/>
    <n v="10"/>
    <n v="199.9"/>
    <n v="1799.1"/>
    <s v="Credit Card"/>
    <x v="0"/>
  </r>
  <r>
    <s v="ORD-2025144"/>
    <s v="24 Fri"/>
    <s v="Jan"/>
    <s v="2025"/>
    <s v="CUST-1306"/>
    <s v="Sakshi Malhotra"/>
    <x v="1"/>
    <s v="Apparel"/>
    <s v="Cotton T-Shirt"/>
    <n v="2"/>
    <n v="499"/>
    <n v="998"/>
    <n v="15"/>
    <n v="149.69999999999999"/>
    <n v="848.3"/>
    <s v="Debit Card"/>
    <x v="0"/>
  </r>
  <r>
    <s v="ORD-2025145"/>
    <s v="24 Fri"/>
    <s v="Jan"/>
    <s v="2025"/>
    <s v="CUST-1264"/>
    <s v="Vivaan Malhotra"/>
    <x v="2"/>
    <s v="Sports"/>
    <s v="Cricket Bat"/>
    <n v="2"/>
    <n v="1499"/>
    <n v="2998"/>
    <n v="0"/>
    <n v="0"/>
    <n v="2998"/>
    <s v="Cash"/>
    <x v="1"/>
  </r>
  <r>
    <s v="ORD-2025146"/>
    <s v="24 Fri"/>
    <s v="Jan"/>
    <s v="2025"/>
    <s v="CUST-1368"/>
    <s v="Isha Patel"/>
    <x v="3"/>
    <s v="Electronics"/>
    <s v="Wireless Mouse"/>
    <n v="3"/>
    <n v="599"/>
    <n v="1797"/>
    <n v="0"/>
    <n v="0"/>
    <n v="1797"/>
    <s v="Net Banking"/>
    <x v="1"/>
  </r>
  <r>
    <s v="ORD-2025147"/>
    <s v="24 Fri"/>
    <s v="Jan"/>
    <s v="2025"/>
    <s v="CUST-1228"/>
    <s v="Aarav Mehta"/>
    <x v="3"/>
    <s v="Sports"/>
    <s v="Cricket Bat"/>
    <n v="4"/>
    <n v="1499"/>
    <n v="5996"/>
    <n v="0"/>
    <n v="0"/>
    <n v="5996"/>
    <s v="UPI"/>
    <x v="0"/>
  </r>
  <r>
    <s v="ORD-2025148"/>
    <s v="24 Fri"/>
    <s v="Jan"/>
    <s v="2025"/>
    <s v="CUST-1196"/>
    <s v="Aditya Patel"/>
    <x v="1"/>
    <s v="Stationery"/>
    <s v="Notebook Set"/>
    <n v="1"/>
    <n v="199"/>
    <n v="199"/>
    <n v="10"/>
    <n v="19.899999999999999"/>
    <n v="179.1"/>
    <s v="Debit Card"/>
    <x v="0"/>
  </r>
  <r>
    <s v="ORD-2025149"/>
    <s v="24 Fri"/>
    <s v="Jan"/>
    <s v="2025"/>
    <s v="CUST-1049"/>
    <s v="Kunal Gupta"/>
    <x v="4"/>
    <s v="Beauty"/>
    <s v="Herbal Shampoo"/>
    <n v="1"/>
    <n v="249"/>
    <n v="249"/>
    <n v="5"/>
    <n v="12.45"/>
    <n v="236.55"/>
    <s v="Net Banking"/>
    <x v="0"/>
  </r>
  <r>
    <s v="ORD-2025150"/>
    <s v="24 Fri"/>
    <s v="Jan"/>
    <s v="2025"/>
    <s v="CUST-1232"/>
    <s v="Aman Patel"/>
    <x v="4"/>
    <s v="Sports"/>
    <s v="Cricket Bat"/>
    <n v="1"/>
    <n v="1499"/>
    <n v="1499"/>
    <n v="0"/>
    <n v="0"/>
    <n v="1499"/>
    <s v="Debit Card"/>
    <x v="0"/>
  </r>
  <r>
    <s v="ORD-2025151"/>
    <s v="25 Sat"/>
    <s v="Jan"/>
    <s v="2025"/>
    <s v="CUST-1247"/>
    <s v="Meera Malhotra"/>
    <x v="2"/>
    <s v="Electronics"/>
    <s v="Smartwatch"/>
    <n v="2"/>
    <n v="2999"/>
    <n v="5998"/>
    <n v="0"/>
    <n v="0"/>
    <n v="5998"/>
    <s v="UPI"/>
    <x v="0"/>
  </r>
  <r>
    <s v="ORD-2025152"/>
    <s v="25 Sat"/>
    <s v="Jan"/>
    <s v="2025"/>
    <s v="CUST-1225"/>
    <s v="Aarav Kapoor"/>
    <x v="3"/>
    <s v="Home &amp; Kitchen"/>
    <s v="Non-stick Pan Set"/>
    <n v="2"/>
    <n v="1299"/>
    <n v="2598"/>
    <n v="15"/>
    <n v="389.7"/>
    <n v="2208.3000000000002"/>
    <s v="Cash"/>
    <x v="0"/>
  </r>
  <r>
    <s v="ORD-2025153"/>
    <s v="25 Sat"/>
    <s v="Jan"/>
    <s v="2025"/>
    <s v="CUST-1105"/>
    <s v="Rohan Singh"/>
    <x v="0"/>
    <s v="Electronics"/>
    <s v="Smartwatch"/>
    <n v="3"/>
    <n v="2999"/>
    <n v="8997"/>
    <n v="5"/>
    <n v="449.85"/>
    <n v="8547.15"/>
    <s v="Credit Card"/>
    <x v="0"/>
  </r>
  <r>
    <s v="ORD-2025154"/>
    <s v="25 Sat"/>
    <s v="Jan"/>
    <s v="2025"/>
    <s v="CUST-1128"/>
    <s v="Sakshi Malhotra"/>
    <x v="2"/>
    <s v="Sports"/>
    <s v="Cricket Bat"/>
    <n v="3"/>
    <n v="1499"/>
    <n v="4497"/>
    <n v="5"/>
    <n v="224.85"/>
    <n v="4272.1499999999996"/>
    <s v="Cash"/>
    <x v="0"/>
  </r>
  <r>
    <s v="ORD-2025155"/>
    <s v="25 Sat"/>
    <s v="Jan"/>
    <s v="2025"/>
    <s v="CUST-1321"/>
    <s v="Isha Mehta"/>
    <x v="4"/>
    <s v="Home &amp; Kitchen"/>
    <s v="LED Desk Lamp"/>
    <n v="1"/>
    <n v="799"/>
    <n v="799"/>
    <n v="0"/>
    <n v="0"/>
    <n v="799"/>
    <s v="UPI"/>
    <x v="0"/>
  </r>
  <r>
    <s v="ORD-2025156"/>
    <s v="25 Sat"/>
    <s v="Jan"/>
    <s v="2025"/>
    <s v="CUST-1314"/>
    <s v="Kunal Sharma"/>
    <x v="4"/>
    <s v="Groceries"/>
    <s v="Basmati Rice 5kg"/>
    <n v="1"/>
    <n v="549"/>
    <n v="549"/>
    <n v="15"/>
    <n v="82.35"/>
    <n v="466.65"/>
    <s v="UPI"/>
    <x v="0"/>
  </r>
  <r>
    <s v="ORD-2025157"/>
    <s v="25 Sat"/>
    <s v="Jan"/>
    <s v="2025"/>
    <s v="CUST-1228"/>
    <s v="Aarav Mehta"/>
    <x v="4"/>
    <s v="Apparel"/>
    <s v="Formal Shirt"/>
    <n v="1"/>
    <n v="899"/>
    <n v="899"/>
    <n v="20"/>
    <n v="179.8"/>
    <n v="719.2"/>
    <s v="Cash"/>
    <x v="0"/>
  </r>
  <r>
    <s v="ORD-2025158"/>
    <s v="25 Sat"/>
    <s v="Jan"/>
    <s v="2025"/>
    <s v="CUST-1227"/>
    <s v="Rohan Joshi"/>
    <x v="3"/>
    <s v="Beauty"/>
    <s v="Face Wash 100ml"/>
    <n v="3"/>
    <n v="299"/>
    <n v="897"/>
    <n v="5"/>
    <n v="44.85"/>
    <n v="852.15"/>
    <s v="UPI"/>
    <x v="0"/>
  </r>
  <r>
    <s v="ORD-2025159"/>
    <s v="26 Sun"/>
    <s v="Jan"/>
    <s v="2025"/>
    <s v="CUST-1291"/>
    <s v="Arjun Saxena"/>
    <x v="4"/>
    <s v="Electronics"/>
    <s v="Wireless Mouse"/>
    <n v="1"/>
    <n v="599"/>
    <n v="599"/>
    <n v="20"/>
    <n v="119.8"/>
    <n v="479.2"/>
    <s v="Credit Card"/>
    <x v="0"/>
  </r>
  <r>
    <s v="ORD-2025160"/>
    <s v="26 Sun"/>
    <s v="Jan"/>
    <s v="2025"/>
    <s v="CUST-1296"/>
    <s v="Vivaan Kapoor"/>
    <x v="2"/>
    <s v="Stationery"/>
    <s v="Gel Pen Pack"/>
    <n v="1"/>
    <n v="99"/>
    <n v="99"/>
    <n v="20"/>
    <n v="19.8"/>
    <n v="79.2"/>
    <s v="Debit Card"/>
    <x v="1"/>
  </r>
  <r>
    <s v="ORD-2025161"/>
    <s v="26 Sun"/>
    <s v="Jan"/>
    <s v="2025"/>
    <s v="CUST-1384"/>
    <s v="Vivaan Singh"/>
    <x v="4"/>
    <s v="Sports"/>
    <s v="Cricket Bat"/>
    <n v="2"/>
    <n v="1499"/>
    <n v="2998"/>
    <n v="10"/>
    <n v="299.8"/>
    <n v="2698.2"/>
    <s v="UPI"/>
    <x v="1"/>
  </r>
  <r>
    <s v="ORD-2025162"/>
    <s v="26 Sun"/>
    <s v="Jan"/>
    <s v="2025"/>
    <s v="CUST-1002"/>
    <s v="Shreya Mehta"/>
    <x v="1"/>
    <s v="Groceries"/>
    <s v="Organic Honey 500g"/>
    <n v="1"/>
    <n v="349"/>
    <n v="349"/>
    <n v="0"/>
    <n v="0"/>
    <n v="349"/>
    <s v="Debit Card"/>
    <x v="0"/>
  </r>
  <r>
    <s v="ORD-2025163"/>
    <s v="26 Sun"/>
    <s v="Jan"/>
    <s v="2025"/>
    <s v="CUST-1400"/>
    <s v="Aarav Gupta"/>
    <x v="2"/>
    <s v="Electronics"/>
    <s v="Smartwatch"/>
    <n v="2"/>
    <n v="2999"/>
    <n v="5998"/>
    <n v="0"/>
    <n v="0"/>
    <n v="5998"/>
    <s v="Debit Card"/>
    <x v="1"/>
  </r>
  <r>
    <s v="ORD-2025164"/>
    <s v="26 Sun"/>
    <s v="Jan"/>
    <s v="2025"/>
    <s v="CUST-1364"/>
    <s v="Rahul Malhotra"/>
    <x v="0"/>
    <s v="Groceries"/>
    <s v="Basmati Rice 5kg"/>
    <n v="1"/>
    <n v="549"/>
    <n v="549"/>
    <n v="10"/>
    <n v="54.9"/>
    <n v="494.1"/>
    <s v="Debit Card"/>
    <x v="1"/>
  </r>
  <r>
    <s v="ORD-2025165"/>
    <s v="26 Sun"/>
    <s v="Jan"/>
    <s v="2025"/>
    <s v="CUST-1379"/>
    <s v="Divya Verma"/>
    <x v="2"/>
    <s v="Electronics"/>
    <s v="Smartwatch"/>
    <n v="3"/>
    <n v="2999"/>
    <n v="8997"/>
    <n v="5"/>
    <n v="449.85"/>
    <n v="8547.15"/>
    <s v="UPI"/>
    <x v="0"/>
  </r>
  <r>
    <s v="ORD-2025166"/>
    <s v="26 Sun"/>
    <s v="Jan"/>
    <s v="2025"/>
    <s v="CUST-1257"/>
    <s v="Shreya Saxena"/>
    <x v="4"/>
    <s v="Sports"/>
    <s v="Yoga Mat"/>
    <n v="1"/>
    <n v="699"/>
    <n v="699"/>
    <n v="0"/>
    <n v="0"/>
    <n v="699"/>
    <s v="Credit Card"/>
    <x v="1"/>
  </r>
  <r>
    <s v="ORD-2025167"/>
    <s v="26 Sun"/>
    <s v="Jan"/>
    <s v="2025"/>
    <s v="CUST-1307"/>
    <s v="Swati Kapoor"/>
    <x v="3"/>
    <s v="Beauty"/>
    <s v="Face Wash 100ml"/>
    <n v="1"/>
    <n v="299"/>
    <n v="299"/>
    <n v="0"/>
    <n v="0"/>
    <n v="299"/>
    <s v="Credit Card"/>
    <x v="0"/>
  </r>
  <r>
    <s v="ORD-2025168"/>
    <s v="26 Sun"/>
    <s v="Jan"/>
    <s v="2025"/>
    <s v="CUST-1073"/>
    <s v="Rahul Kapoor"/>
    <x v="4"/>
    <s v="Sports"/>
    <s v="Yoga Mat"/>
    <n v="4"/>
    <n v="699"/>
    <n v="2796"/>
    <n v="0"/>
    <n v="0"/>
    <n v="2796"/>
    <s v="UPI"/>
    <x v="0"/>
  </r>
  <r>
    <s v="ORD-2025169"/>
    <s v="27 Mon"/>
    <s v="Jan"/>
    <s v="2025"/>
    <s v="CUST-1362"/>
    <s v="Shreya Malhotra"/>
    <x v="4"/>
    <s v="Stationery"/>
    <s v="Gel Pen Pack"/>
    <n v="3"/>
    <n v="99"/>
    <n v="297"/>
    <n v="0"/>
    <n v="0"/>
    <n v="297"/>
    <s v="UPI"/>
    <x v="0"/>
  </r>
  <r>
    <s v="ORD-2025170"/>
    <s v="27 Mon"/>
    <s v="Jan"/>
    <s v="2025"/>
    <s v="CUST-1320"/>
    <s v="Ankit Kapoor"/>
    <x v="1"/>
    <s v="Home &amp; Kitchen"/>
    <s v="Non-stick Pan Set"/>
    <n v="1"/>
    <n v="1299"/>
    <n v="1299"/>
    <n v="5"/>
    <n v="64.95"/>
    <n v="1234.05"/>
    <s v="Credit Card"/>
    <x v="0"/>
  </r>
  <r>
    <s v="ORD-2025171"/>
    <s v="28 Tue"/>
    <s v="Jan"/>
    <s v="2025"/>
    <s v="CUST-1159"/>
    <s v="Isha Kapoor"/>
    <x v="1"/>
    <s v="Electronics"/>
    <s v="Bluetooth Headphones"/>
    <n v="1"/>
    <n v="1799"/>
    <n v="1799"/>
    <n v="10"/>
    <n v="179.9"/>
    <n v="1619.1"/>
    <s v="Credit Card"/>
    <x v="1"/>
  </r>
  <r>
    <s v="ORD-2025172"/>
    <s v="29 Wed"/>
    <s v="Jan"/>
    <s v="2025"/>
    <s v="CUST-1094"/>
    <s v="Swati Kapoor"/>
    <x v="0"/>
    <s v="Stationery"/>
    <s v="Gel Pen Pack"/>
    <n v="2"/>
    <n v="99"/>
    <n v="198"/>
    <n v="0"/>
    <n v="0"/>
    <n v="198"/>
    <s v="Credit Card"/>
    <x v="1"/>
  </r>
  <r>
    <s v="ORD-2025173"/>
    <s v="29 Wed"/>
    <s v="Jan"/>
    <s v="2025"/>
    <s v="CUST-1362"/>
    <s v="Shreya Malhotra"/>
    <x v="2"/>
    <s v="Electronics"/>
    <s v="Smartwatch"/>
    <n v="3"/>
    <n v="2999"/>
    <n v="8997"/>
    <n v="10"/>
    <n v="899.7"/>
    <n v="8097.3"/>
    <s v="Credit Card"/>
    <x v="0"/>
  </r>
  <r>
    <s v="ORD-2025174"/>
    <s v="29 Wed"/>
    <s v="Jan"/>
    <s v="2025"/>
    <s v="CUST-1100"/>
    <s v="Vivaan Saxena"/>
    <x v="4"/>
    <s v="Stationery"/>
    <s v="Notebook Set"/>
    <n v="2"/>
    <n v="199"/>
    <n v="398"/>
    <n v="0"/>
    <n v="0"/>
    <n v="398"/>
    <s v="Net Banking"/>
    <x v="0"/>
  </r>
  <r>
    <s v="ORD-2025175"/>
    <s v="29 Wed"/>
    <s v="Jan"/>
    <s v="2025"/>
    <s v="CUST-1260"/>
    <s v="Ankit Verma"/>
    <x v="0"/>
    <s v="Apparel"/>
    <s v="Cotton T-Shirt"/>
    <n v="1"/>
    <n v="499"/>
    <n v="499"/>
    <n v="15"/>
    <n v="74.849999999999994"/>
    <n v="424.15"/>
    <s v="Credit Card"/>
    <x v="0"/>
  </r>
  <r>
    <s v="ORD-2025176"/>
    <s v="30 Thu"/>
    <s v="Jan"/>
    <s v="2025"/>
    <s v="CUST-1089"/>
    <s v="Arjun Verma"/>
    <x v="3"/>
    <s v="Apparel"/>
    <s v="Formal Shirt"/>
    <n v="2"/>
    <n v="899"/>
    <n v="1798"/>
    <n v="0"/>
    <n v="0"/>
    <n v="1798"/>
    <s v="Debit Card"/>
    <x v="0"/>
  </r>
  <r>
    <s v="ORD-2025177"/>
    <s v="30 Thu"/>
    <s v="Jan"/>
    <s v="2025"/>
    <s v="CUST-1218"/>
    <s v="Rahul Singh"/>
    <x v="4"/>
    <s v="Sports"/>
    <s v="Cricket Bat"/>
    <n v="3"/>
    <n v="1499"/>
    <n v="4497"/>
    <n v="0"/>
    <n v="0"/>
    <n v="4497"/>
    <s v="Debit Card"/>
    <x v="0"/>
  </r>
  <r>
    <s v="ORD-2025178"/>
    <s v="30 Thu"/>
    <s v="Jan"/>
    <s v="2025"/>
    <s v="CUST-1390"/>
    <s v="Rahul Saxena"/>
    <x v="3"/>
    <s v="Home &amp; Kitchen"/>
    <s v="LED Desk Lamp"/>
    <n v="2"/>
    <n v="799"/>
    <n v="1598"/>
    <n v="5"/>
    <n v="79.900000000000006"/>
    <n v="1518.1"/>
    <s v="Credit Card"/>
    <x v="1"/>
  </r>
  <r>
    <s v="ORD-2025179"/>
    <s v="30 Thu"/>
    <s v="Jan"/>
    <s v="2025"/>
    <s v="CUST-1357"/>
    <s v="Kabir Mehta"/>
    <x v="0"/>
    <s v="Beauty"/>
    <s v="Face Wash 100ml"/>
    <n v="1"/>
    <n v="299"/>
    <n v="299"/>
    <n v="10"/>
    <n v="29.9"/>
    <n v="269.10000000000002"/>
    <s v="Cash"/>
    <x v="0"/>
  </r>
  <r>
    <s v="ORD-2025180"/>
    <s v="30 Thu"/>
    <s v="Jan"/>
    <s v="2025"/>
    <s v="CUST-1212"/>
    <s v="Komal Joshi"/>
    <x v="4"/>
    <s v="Stationery"/>
    <s v="Notebook Set"/>
    <n v="1"/>
    <n v="199"/>
    <n v="199"/>
    <n v="15"/>
    <n v="29.85"/>
    <n v="169.15"/>
    <s v="Debit Card"/>
    <x v="0"/>
  </r>
  <r>
    <s v="ORD-2025181"/>
    <s v="31 Fri"/>
    <s v="Jan"/>
    <s v="2025"/>
    <s v="CUST-1200"/>
    <s v="Swati Saxena"/>
    <x v="0"/>
    <s v="Stationery"/>
    <s v="Gel Pen Pack"/>
    <n v="5"/>
    <n v="99"/>
    <n v="495"/>
    <n v="0"/>
    <n v="0"/>
    <n v="495"/>
    <s v="Credit Card"/>
    <x v="0"/>
  </r>
  <r>
    <s v="ORD-2025182"/>
    <s v="31 Fri"/>
    <s v="Jan"/>
    <s v="2025"/>
    <s v="CUST-1349"/>
    <s v="Rohan Mehta"/>
    <x v="2"/>
    <s v="Apparel"/>
    <s v="Cotton T-Shirt"/>
    <n v="3"/>
    <n v="499"/>
    <n v="1497"/>
    <n v="20"/>
    <n v="299.39999999999998"/>
    <n v="1197.5999999999999"/>
    <s v="Debit Card"/>
    <x v="0"/>
  </r>
  <r>
    <s v="ORD-2025183"/>
    <s v="31 Fri"/>
    <s v="Jan"/>
    <s v="2025"/>
    <s v="CUST-1142"/>
    <s v="Divya Singh"/>
    <x v="0"/>
    <s v="Apparel"/>
    <s v="Cotton T-Shirt"/>
    <n v="2"/>
    <n v="499"/>
    <n v="998"/>
    <n v="10"/>
    <n v="99.8"/>
    <n v="898.2"/>
    <s v="Cash"/>
    <x v="1"/>
  </r>
  <r>
    <s v="ORD-2025184"/>
    <s v="31 Fri"/>
    <s v="Jan"/>
    <s v="2025"/>
    <s v="CUST-1366"/>
    <s v="Vivaan Joshi"/>
    <x v="1"/>
    <s v="Beauty"/>
    <s v="Herbal Shampoo"/>
    <n v="3"/>
    <n v="249"/>
    <n v="747"/>
    <n v="0"/>
    <n v="0"/>
    <n v="747"/>
    <s v="Credit Card"/>
    <x v="1"/>
  </r>
  <r>
    <s v="ORD-2025185"/>
    <s v="31 Fri"/>
    <s v="Jan"/>
    <s v="2025"/>
    <s v="CUST-1140"/>
    <s v="Tanya Verma"/>
    <x v="0"/>
    <s v="Electronics"/>
    <s v="Bluetooth Headphones"/>
    <n v="1"/>
    <n v="1799"/>
    <n v="1799"/>
    <n v="0"/>
    <n v="0"/>
    <n v="1799"/>
    <s v="Debit Card"/>
    <x v="1"/>
  </r>
  <r>
    <s v="ORD-2025186"/>
    <s v="1 Sat"/>
    <s v="Feb"/>
    <s v="2025"/>
    <s v="CUST-1332"/>
    <s v="Rahul Malhotra"/>
    <x v="4"/>
    <s v="Electronics"/>
    <s v="Bluetooth Headphones"/>
    <n v="1"/>
    <n v="1799"/>
    <n v="1799"/>
    <n v="20"/>
    <n v="359.8"/>
    <n v="1439.2"/>
    <s v="Debit Card"/>
    <x v="1"/>
  </r>
  <r>
    <s v="ORD-2025187"/>
    <s v="1 Sat"/>
    <s v="Feb"/>
    <s v="2025"/>
    <s v="CUST-1140"/>
    <s v="Tanya Verma"/>
    <x v="1"/>
    <s v="Sports"/>
    <s v="Yoga Mat"/>
    <n v="3"/>
    <n v="699"/>
    <n v="2097"/>
    <n v="0"/>
    <n v="0"/>
    <n v="2097"/>
    <s v="Net Banking"/>
    <x v="1"/>
  </r>
  <r>
    <s v="ORD-2025188"/>
    <s v="1 Sat"/>
    <s v="Feb"/>
    <s v="2025"/>
    <s v="CUST-1142"/>
    <s v="Divya Singh"/>
    <x v="3"/>
    <s v="Home &amp; Kitchen"/>
    <s v="LED Desk Lamp"/>
    <n v="4"/>
    <n v="799"/>
    <n v="3196"/>
    <n v="0"/>
    <n v="0"/>
    <n v="3196"/>
    <s v="Cash"/>
    <x v="0"/>
  </r>
  <r>
    <s v="ORD-2025189"/>
    <s v="1 Sat"/>
    <s v="Feb"/>
    <s v="2025"/>
    <s v="CUST-1357"/>
    <s v="Kabir Mehta"/>
    <x v="1"/>
    <s v="Beauty"/>
    <s v="Herbal Shampoo"/>
    <n v="2"/>
    <n v="249"/>
    <n v="498"/>
    <n v="0"/>
    <n v="0"/>
    <n v="498"/>
    <s v="Debit Card"/>
    <x v="1"/>
  </r>
  <r>
    <s v="ORD-2025190"/>
    <s v="1 Sat"/>
    <s v="Feb"/>
    <s v="2025"/>
    <s v="CUST-1027"/>
    <s v="Aditya Gupta"/>
    <x v="2"/>
    <s v="Sports"/>
    <s v="Cricket Bat"/>
    <n v="4"/>
    <n v="1499"/>
    <n v="5996"/>
    <n v="15"/>
    <n v="899.4"/>
    <n v="5096.6000000000004"/>
    <s v="Credit Card"/>
    <x v="1"/>
  </r>
  <r>
    <s v="ORD-2025191"/>
    <s v="1 Sat"/>
    <s v="Feb"/>
    <s v="2025"/>
    <s v="CUST-1343"/>
    <s v="Tanya Sharma"/>
    <x v="2"/>
    <s v="Groceries"/>
    <s v="Basmati Rice 5kg"/>
    <n v="3"/>
    <n v="549"/>
    <n v="1647"/>
    <n v="10"/>
    <n v="164.7"/>
    <n v="1482.3"/>
    <s v="Cash"/>
    <x v="0"/>
  </r>
  <r>
    <s v="ORD-2025192"/>
    <s v="1 Sat"/>
    <s v="Feb"/>
    <s v="2025"/>
    <s v="CUST-1363"/>
    <s v="Arjun Joshi"/>
    <x v="1"/>
    <s v="Beauty"/>
    <s v="Face Wash 100ml"/>
    <n v="3"/>
    <n v="299"/>
    <n v="897"/>
    <n v="20"/>
    <n v="179.4"/>
    <n v="717.6"/>
    <s v="Net Banking"/>
    <x v="0"/>
  </r>
  <r>
    <s v="ORD-2025193"/>
    <s v="1 Sat"/>
    <s v="Feb"/>
    <s v="2025"/>
    <s v="CUST-1072"/>
    <s v="Tanya Sharma"/>
    <x v="1"/>
    <s v="Sports"/>
    <s v="Cricket Bat"/>
    <n v="3"/>
    <n v="1499"/>
    <n v="4497"/>
    <n v="20"/>
    <n v="899.4"/>
    <n v="3597.6"/>
    <s v="Cash"/>
    <x v="0"/>
  </r>
  <r>
    <s v="ORD-2025194"/>
    <s v="2 Sun"/>
    <s v="Feb"/>
    <s v="2025"/>
    <s v="CUST-1248"/>
    <s v="Meera Saxena"/>
    <x v="2"/>
    <s v="Apparel"/>
    <s v="Cotton T-Shirt"/>
    <n v="2"/>
    <n v="499"/>
    <n v="998"/>
    <n v="0"/>
    <n v="0"/>
    <n v="998"/>
    <s v="Credit Card"/>
    <x v="0"/>
  </r>
  <r>
    <s v="ORD-2025195"/>
    <s v="2 Sun"/>
    <s v="Feb"/>
    <s v="2025"/>
    <s v="CUST-1082"/>
    <s v="Aarav Mehta"/>
    <x v="1"/>
    <s v="Home &amp; Kitchen"/>
    <s v="LED Desk Lamp"/>
    <n v="1"/>
    <n v="799"/>
    <n v="799"/>
    <n v="5"/>
    <n v="39.950000000000003"/>
    <n v="759.05"/>
    <s v="Credit Card"/>
    <x v="0"/>
  </r>
  <r>
    <s v="ORD-2025196"/>
    <s v="2 Sun"/>
    <s v="Feb"/>
    <s v="2025"/>
    <s v="CUST-1373"/>
    <s v="Rahul Verma"/>
    <x v="1"/>
    <s v="Electronics"/>
    <s v="Bluetooth Headphones"/>
    <n v="2"/>
    <n v="1799"/>
    <n v="3598"/>
    <n v="10"/>
    <n v="359.8"/>
    <n v="3238.2"/>
    <s v="Credit Card"/>
    <x v="0"/>
  </r>
  <r>
    <s v="ORD-2025197"/>
    <s v="3 Mon"/>
    <s v="Feb"/>
    <s v="2025"/>
    <s v="CUST-1300"/>
    <s v="Vivaan Mehta"/>
    <x v="0"/>
    <s v="Sports"/>
    <s v="Yoga Mat"/>
    <n v="1"/>
    <n v="699"/>
    <n v="699"/>
    <n v="0"/>
    <n v="0"/>
    <n v="699"/>
    <s v="Credit Card"/>
    <x v="0"/>
  </r>
  <r>
    <s v="ORD-2025198"/>
    <s v="3 Mon"/>
    <s v="Feb"/>
    <s v="2025"/>
    <s v="CUST-1100"/>
    <s v="Vivaan Saxena"/>
    <x v="2"/>
    <s v="Electronics"/>
    <s v="Wireless Mouse"/>
    <n v="5"/>
    <n v="599"/>
    <n v="2995"/>
    <n v="5"/>
    <n v="149.75"/>
    <n v="2845.25"/>
    <s v="UPI"/>
    <x v="0"/>
  </r>
  <r>
    <s v="ORD-2025199"/>
    <s v="3 Mon"/>
    <s v="Feb"/>
    <s v="2025"/>
    <s v="CUST-1331"/>
    <s v="Arjun Singh"/>
    <x v="0"/>
    <s v="Sports"/>
    <s v="Yoga Mat"/>
    <n v="3"/>
    <n v="699"/>
    <n v="2097"/>
    <n v="15"/>
    <n v="314.55"/>
    <n v="1782.45"/>
    <s v="UPI"/>
    <x v="1"/>
  </r>
  <r>
    <s v="ORD-2025200"/>
    <s v="3 Mon"/>
    <s v="Feb"/>
    <s v="2025"/>
    <s v="CUST-1055"/>
    <s v="Rohan Saxena"/>
    <x v="2"/>
    <s v="Groceries"/>
    <s v="Basmati Rice 5kg"/>
    <n v="2"/>
    <n v="549"/>
    <n v="1098"/>
    <n v="5"/>
    <n v="54.9"/>
    <n v="1043.0999999999999"/>
    <s v="Net Banking"/>
    <x v="1"/>
  </r>
  <r>
    <s v="ORD-2025201"/>
    <s v="4 Tue"/>
    <s v="Feb"/>
    <s v="2025"/>
    <s v="CUST-1134"/>
    <s v="Komal Patel"/>
    <x v="2"/>
    <s v="Apparel"/>
    <s v="Cotton T-Shirt"/>
    <n v="3"/>
    <n v="499"/>
    <n v="1497"/>
    <n v="0"/>
    <n v="0"/>
    <n v="1497"/>
    <s v="Credit Card"/>
    <x v="0"/>
  </r>
  <r>
    <s v="ORD-2025202"/>
    <s v="4 Tue"/>
    <s v="Feb"/>
    <s v="2025"/>
    <s v="CUST-1024"/>
    <s v="Tanya Singh"/>
    <x v="0"/>
    <s v="Electronics"/>
    <s v="Smartwatch"/>
    <n v="1"/>
    <n v="2999"/>
    <n v="2999"/>
    <n v="10"/>
    <n v="299.89999999999998"/>
    <n v="2699.1"/>
    <s v="Cash"/>
    <x v="0"/>
  </r>
  <r>
    <s v="ORD-2025203"/>
    <s v="4 Tue"/>
    <s v="Feb"/>
    <s v="2025"/>
    <s v="CUST-1364"/>
    <s v="Rahul Malhotra"/>
    <x v="1"/>
    <s v="Sports"/>
    <s v="Cricket Bat"/>
    <n v="1"/>
    <n v="1499"/>
    <n v="1499"/>
    <n v="20"/>
    <n v="299.8"/>
    <n v="1199.2"/>
    <s v="Credit Card"/>
    <x v="0"/>
  </r>
  <r>
    <s v="ORD-2025204"/>
    <s v="4 Tue"/>
    <s v="Feb"/>
    <s v="2025"/>
    <s v="CUST-1283"/>
    <s v="Aditya Mehta"/>
    <x v="4"/>
    <s v="Electronics"/>
    <s v="Smartwatch"/>
    <n v="2"/>
    <n v="2999"/>
    <n v="5998"/>
    <n v="5"/>
    <n v="299.89999999999998"/>
    <n v="5698.1"/>
    <s v="Debit Card"/>
    <x v="0"/>
  </r>
  <r>
    <s v="ORD-2025205"/>
    <s v="4 Tue"/>
    <s v="Feb"/>
    <s v="2025"/>
    <s v="CUST-1254"/>
    <s v="Meera Malhotra"/>
    <x v="4"/>
    <s v="Sports"/>
    <s v="Yoga Mat"/>
    <n v="1"/>
    <n v="699"/>
    <n v="699"/>
    <n v="0"/>
    <n v="0"/>
    <n v="699"/>
    <s v="Credit Card"/>
    <x v="0"/>
  </r>
  <r>
    <s v="ORD-2025206"/>
    <s v="4 Tue"/>
    <s v="Feb"/>
    <s v="2025"/>
    <s v="CUST-1132"/>
    <s v="Shreya Sharma"/>
    <x v="0"/>
    <s v="Apparel"/>
    <s v="Formal Shirt"/>
    <n v="2"/>
    <n v="899"/>
    <n v="1798"/>
    <n v="0"/>
    <n v="0"/>
    <n v="1798"/>
    <s v="Net Banking"/>
    <x v="0"/>
  </r>
  <r>
    <s v="ORD-2025207"/>
    <s v="4 Tue"/>
    <s v="Feb"/>
    <s v="2025"/>
    <s v="CUST-1284"/>
    <s v="Arjun Kapoor"/>
    <x v="0"/>
    <s v="Apparel"/>
    <s v="Denim Jacket"/>
    <n v="3"/>
    <n v="1999"/>
    <n v="5997"/>
    <n v="0"/>
    <n v="0"/>
    <n v="5997"/>
    <s v="Credit Card"/>
    <x v="1"/>
  </r>
  <r>
    <s v="ORD-2025208"/>
    <s v="5 Wed"/>
    <s v="Feb"/>
    <s v="2025"/>
    <s v="CUST-1115"/>
    <s v="Divya Kapoor"/>
    <x v="0"/>
    <s v="Stationery"/>
    <s v="Notebook Set"/>
    <n v="1"/>
    <n v="199"/>
    <n v="199"/>
    <n v="10"/>
    <n v="19.899999999999999"/>
    <n v="179.1"/>
    <s v="Debit Card"/>
    <x v="1"/>
  </r>
  <r>
    <s v="ORD-2025209"/>
    <s v="5 Wed"/>
    <s v="Feb"/>
    <s v="2025"/>
    <s v="CUST-1320"/>
    <s v="Ankit Kapoor"/>
    <x v="4"/>
    <s v="Home &amp; Kitchen"/>
    <s v="Non-stick Pan Set"/>
    <n v="1"/>
    <n v="1299"/>
    <n v="1299"/>
    <n v="20"/>
    <n v="259.8"/>
    <n v="1039.2"/>
    <s v="UPI"/>
    <x v="0"/>
  </r>
  <r>
    <s v="ORD-2025210"/>
    <s v="5 Wed"/>
    <s v="Feb"/>
    <s v="2025"/>
    <s v="CUST-1374"/>
    <s v="Isha Sharma"/>
    <x v="1"/>
    <s v="Electronics"/>
    <s v="Bluetooth Headphones"/>
    <n v="1"/>
    <n v="1799"/>
    <n v="1799"/>
    <n v="5"/>
    <n v="89.95"/>
    <n v="1709.05"/>
    <s v="Debit Card"/>
    <x v="0"/>
  </r>
  <r>
    <s v="ORD-2025211"/>
    <s v="5 Wed"/>
    <s v="Feb"/>
    <s v="2025"/>
    <s v="CUST-1237"/>
    <s v="Divya Sharma"/>
    <x v="3"/>
    <s v="Sports"/>
    <s v="Yoga Mat"/>
    <n v="3"/>
    <n v="699"/>
    <n v="2097"/>
    <n v="0"/>
    <n v="0"/>
    <n v="2097"/>
    <s v="Debit Card"/>
    <x v="0"/>
  </r>
  <r>
    <s v="ORD-2025212"/>
    <s v="5 Wed"/>
    <s v="Feb"/>
    <s v="2025"/>
    <s v="CUST-1059"/>
    <s v="Kunal Verma"/>
    <x v="0"/>
    <s v="Beauty"/>
    <s v="Herbal Shampoo"/>
    <n v="3"/>
    <n v="249"/>
    <n v="747"/>
    <n v="0"/>
    <n v="0"/>
    <n v="747"/>
    <s v="Credit Card"/>
    <x v="1"/>
  </r>
  <r>
    <s v="ORD-2025213"/>
    <s v="5 Wed"/>
    <s v="Feb"/>
    <s v="2025"/>
    <s v="CUST-1119"/>
    <s v="Rahul Gupta"/>
    <x v="1"/>
    <s v="Apparel"/>
    <s v="Cotton T-Shirt"/>
    <n v="2"/>
    <n v="499"/>
    <n v="998"/>
    <n v="5"/>
    <n v="49.9"/>
    <n v="948.1"/>
    <s v="Cash"/>
    <x v="0"/>
  </r>
  <r>
    <s v="ORD-2025214"/>
    <s v="5 Wed"/>
    <s v="Feb"/>
    <s v="2025"/>
    <s v="CUST-1395"/>
    <s v="Rahul Verma"/>
    <x v="1"/>
    <s v="Apparel"/>
    <s v="Cotton T-Shirt"/>
    <n v="1"/>
    <n v="499"/>
    <n v="499"/>
    <n v="0"/>
    <n v="0"/>
    <n v="499"/>
    <s v="Credit Card"/>
    <x v="0"/>
  </r>
  <r>
    <s v="ORD-2025215"/>
    <s v="5 Wed"/>
    <s v="Feb"/>
    <s v="2025"/>
    <s v="CUST-1324"/>
    <s v="Rahul Verma"/>
    <x v="3"/>
    <s v="Sports"/>
    <s v="Cricket Bat"/>
    <n v="2"/>
    <n v="1499"/>
    <n v="2998"/>
    <n v="0"/>
    <n v="0"/>
    <n v="2998"/>
    <s v="Credit Card"/>
    <x v="1"/>
  </r>
  <r>
    <s v="ORD-2025216"/>
    <s v="5 Wed"/>
    <s v="Feb"/>
    <s v="2025"/>
    <s v="CUST-1158"/>
    <s v="Shreya Singh"/>
    <x v="3"/>
    <s v="Stationery"/>
    <s v="Gel Pen Pack"/>
    <n v="1"/>
    <n v="99"/>
    <n v="99"/>
    <n v="5"/>
    <n v="4.95"/>
    <n v="94.05"/>
    <s v="Credit Card"/>
    <x v="0"/>
  </r>
  <r>
    <s v="ORD-2025217"/>
    <s v="6 Thu"/>
    <s v="Feb"/>
    <s v="2025"/>
    <s v="CUST-1375"/>
    <s v="Kunal Joshi"/>
    <x v="2"/>
    <s v="Home &amp; Kitchen"/>
    <s v="LED Desk Lamp"/>
    <n v="3"/>
    <n v="799"/>
    <n v="2397"/>
    <n v="20"/>
    <n v="479.4"/>
    <n v="1917.6"/>
    <s v="Net Banking"/>
    <x v="0"/>
  </r>
  <r>
    <s v="ORD-2025218"/>
    <s v="6 Thu"/>
    <s v="Feb"/>
    <s v="2025"/>
    <s v="CUST-1006"/>
    <s v="Sakshi Singh"/>
    <x v="1"/>
    <s v="Electronics"/>
    <s v="Wireless Mouse"/>
    <n v="1"/>
    <n v="599"/>
    <n v="599"/>
    <n v="15"/>
    <n v="89.85"/>
    <n v="509.15"/>
    <s v="Net Banking"/>
    <x v="0"/>
  </r>
  <r>
    <s v="ORD-2025219"/>
    <s v="6 Thu"/>
    <s v="Feb"/>
    <s v="2025"/>
    <s v="CUST-1346"/>
    <s v="Vivaan Gupta"/>
    <x v="0"/>
    <s v="Beauty"/>
    <s v="Face Wash 100ml"/>
    <n v="3"/>
    <n v="299"/>
    <n v="897"/>
    <n v="0"/>
    <n v="0"/>
    <n v="897"/>
    <s v="Debit Card"/>
    <x v="0"/>
  </r>
  <r>
    <s v="ORD-2025220"/>
    <s v="6 Thu"/>
    <s v="Feb"/>
    <s v="2025"/>
    <s v="CUST-1174"/>
    <s v="Rahul Singh"/>
    <x v="2"/>
    <s v="Home &amp; Kitchen"/>
    <s v="LED Desk Lamp"/>
    <n v="2"/>
    <n v="799"/>
    <n v="1598"/>
    <n v="5"/>
    <n v="79.900000000000006"/>
    <n v="1518.1"/>
    <s v="Debit Card"/>
    <x v="0"/>
  </r>
  <r>
    <s v="ORD-2025221"/>
    <s v="7 Fri"/>
    <s v="Feb"/>
    <s v="2025"/>
    <s v="CUST-1037"/>
    <s v="Aarav Gupta"/>
    <x v="0"/>
    <s v="Stationery"/>
    <s v="Notebook Set"/>
    <n v="4"/>
    <n v="199"/>
    <n v="796"/>
    <n v="0"/>
    <n v="0"/>
    <n v="796"/>
    <s v="Credit Card"/>
    <x v="1"/>
  </r>
  <r>
    <s v="ORD-2025222"/>
    <s v="7 Fri"/>
    <s v="Feb"/>
    <s v="2025"/>
    <s v="CUST-1189"/>
    <s v="Vivaan Mehta"/>
    <x v="1"/>
    <s v="Groceries"/>
    <s v="Organic Honey 500g"/>
    <n v="1"/>
    <n v="349"/>
    <n v="349"/>
    <n v="10"/>
    <n v="34.9"/>
    <n v="314.10000000000002"/>
    <s v="Credit Card"/>
    <x v="0"/>
  </r>
  <r>
    <s v="ORD-2025223"/>
    <s v="7 Fri"/>
    <s v="Feb"/>
    <s v="2025"/>
    <s v="CUST-1184"/>
    <s v="Rahul Joshi"/>
    <x v="2"/>
    <s v="Groceries"/>
    <s v="Basmati Rice 5kg"/>
    <n v="3"/>
    <n v="549"/>
    <n v="1647"/>
    <n v="20"/>
    <n v="329.4"/>
    <n v="1317.6"/>
    <s v="Net Banking"/>
    <x v="0"/>
  </r>
  <r>
    <s v="ORD-2025224"/>
    <s v="7 Fri"/>
    <s v="Feb"/>
    <s v="2025"/>
    <s v="CUST-1399"/>
    <s v="Vivaan Verma"/>
    <x v="1"/>
    <s v="Electronics"/>
    <s v="Smartwatch"/>
    <n v="2"/>
    <n v="2999"/>
    <n v="5998"/>
    <n v="5"/>
    <n v="299.89999999999998"/>
    <n v="5698.1"/>
    <s v="Debit Card"/>
    <x v="0"/>
  </r>
  <r>
    <s v="ORD-2025225"/>
    <s v="8 Sat"/>
    <s v="Feb"/>
    <s v="2025"/>
    <s v="CUST-1268"/>
    <s v="Aman Verma"/>
    <x v="0"/>
    <s v="Beauty"/>
    <s v="Face Wash 100ml"/>
    <n v="1"/>
    <n v="299"/>
    <n v="299"/>
    <n v="0"/>
    <n v="0"/>
    <n v="299"/>
    <s v="Cash"/>
    <x v="0"/>
  </r>
  <r>
    <s v="ORD-2025226"/>
    <s v="8 Sat"/>
    <s v="Feb"/>
    <s v="2025"/>
    <s v="CUST-1173"/>
    <s v="Ankit Gupta"/>
    <x v="4"/>
    <s v="Beauty"/>
    <s v="Face Wash 100ml"/>
    <n v="3"/>
    <n v="299"/>
    <n v="897"/>
    <n v="0"/>
    <n v="0"/>
    <n v="897"/>
    <s v="Net Banking"/>
    <x v="1"/>
  </r>
  <r>
    <s v="ORD-2025227"/>
    <s v="8 Sat"/>
    <s v="Feb"/>
    <s v="2025"/>
    <s v="CUST-1085"/>
    <s v="Shreya Mehta"/>
    <x v="0"/>
    <s v="Stationery"/>
    <s v="Gel Pen Pack"/>
    <n v="1"/>
    <n v="99"/>
    <n v="99"/>
    <n v="10"/>
    <n v="9.9"/>
    <n v="89.1"/>
    <s v="Debit Card"/>
    <x v="0"/>
  </r>
  <r>
    <s v="ORD-2025228"/>
    <s v="8 Sat"/>
    <s v="Feb"/>
    <s v="2025"/>
    <s v="CUST-1169"/>
    <s v="Nandini Patel"/>
    <x v="2"/>
    <s v="Home &amp; Kitchen"/>
    <s v="LED Desk Lamp"/>
    <n v="4"/>
    <n v="799"/>
    <n v="3196"/>
    <n v="20"/>
    <n v="639.20000000000005"/>
    <n v="2556.8000000000002"/>
    <s v="Net Banking"/>
    <x v="0"/>
  </r>
  <r>
    <s v="ORD-2025229"/>
    <s v="8 Sat"/>
    <s v="Feb"/>
    <s v="2025"/>
    <s v="CUST-1351"/>
    <s v="Tanya Mehta"/>
    <x v="1"/>
    <s v="Groceries"/>
    <s v="Basmati Rice 5kg"/>
    <n v="1"/>
    <n v="549"/>
    <n v="549"/>
    <n v="10"/>
    <n v="54.9"/>
    <n v="494.1"/>
    <s v="UPI"/>
    <x v="1"/>
  </r>
  <r>
    <s v="ORD-2025230"/>
    <s v="8 Sat"/>
    <s v="Feb"/>
    <s v="2025"/>
    <s v="CUST-1110"/>
    <s v="Aman Malhotra"/>
    <x v="1"/>
    <s v="Apparel"/>
    <s v="Cotton T-Shirt"/>
    <n v="1"/>
    <n v="499"/>
    <n v="499"/>
    <n v="20"/>
    <n v="99.8"/>
    <n v="399.2"/>
    <s v="Debit Card"/>
    <x v="0"/>
  </r>
  <r>
    <s v="ORD-2025231"/>
    <s v="8 Sat"/>
    <s v="Feb"/>
    <s v="2025"/>
    <s v="CUST-1342"/>
    <s v="Vivaan Saxena"/>
    <x v="1"/>
    <s v="Electronics"/>
    <s v="Bluetooth Headphones"/>
    <n v="2"/>
    <n v="1799"/>
    <n v="3598"/>
    <n v="15"/>
    <n v="539.70000000000005"/>
    <n v="3058.3"/>
    <s v="Credit Card"/>
    <x v="0"/>
  </r>
  <r>
    <s v="ORD-2025232"/>
    <s v="8 Sat"/>
    <s v="Feb"/>
    <s v="2025"/>
    <s v="CUST-1221"/>
    <s v="Kunal Singh"/>
    <x v="0"/>
    <s v="Beauty"/>
    <s v="Face Wash 100ml"/>
    <n v="3"/>
    <n v="299"/>
    <n v="897"/>
    <n v="0"/>
    <n v="0"/>
    <n v="897"/>
    <s v="Cash"/>
    <x v="0"/>
  </r>
  <r>
    <s v="ORD-2025233"/>
    <s v="8 Sat"/>
    <s v="Feb"/>
    <s v="2025"/>
    <s v="CUST-1395"/>
    <s v="Rahul Verma"/>
    <x v="0"/>
    <s v="Home &amp; Kitchen"/>
    <s v="Non-stick Pan Set"/>
    <n v="2"/>
    <n v="1299"/>
    <n v="2598"/>
    <n v="10"/>
    <n v="259.8"/>
    <n v="2338.1999999999998"/>
    <s v="Credit Card"/>
    <x v="0"/>
  </r>
  <r>
    <s v="ORD-2025234"/>
    <s v="8 Sat"/>
    <s v="Feb"/>
    <s v="2025"/>
    <s v="CUST-1365"/>
    <s v="Meera Singh"/>
    <x v="2"/>
    <s v="Beauty"/>
    <s v="Herbal Shampoo"/>
    <n v="1"/>
    <n v="249"/>
    <n v="249"/>
    <n v="0"/>
    <n v="0"/>
    <n v="249"/>
    <s v="UPI"/>
    <x v="1"/>
  </r>
  <r>
    <s v="ORD-2025235"/>
    <s v="9 Sun"/>
    <s v="Feb"/>
    <s v="2025"/>
    <s v="CUST-1190"/>
    <s v="Rahul Patel"/>
    <x v="4"/>
    <s v="Home &amp; Kitchen"/>
    <s v="Non-stick Pan Set"/>
    <n v="1"/>
    <n v="1299"/>
    <n v="1299"/>
    <n v="20"/>
    <n v="259.8"/>
    <n v="1039.2"/>
    <s v="UPI"/>
    <x v="0"/>
  </r>
  <r>
    <s v="ORD-2025236"/>
    <s v="9 Sun"/>
    <s v="Feb"/>
    <s v="2025"/>
    <s v="CUST-1103"/>
    <s v="Muskan Gupta"/>
    <x v="0"/>
    <s v="Groceries"/>
    <s v="Basmati Rice 5kg"/>
    <n v="1"/>
    <n v="549"/>
    <n v="549"/>
    <n v="0"/>
    <n v="0"/>
    <n v="549"/>
    <s v="Cash"/>
    <x v="0"/>
  </r>
  <r>
    <s v="ORD-2025237"/>
    <s v="9 Sun"/>
    <s v="Feb"/>
    <s v="2025"/>
    <s v="CUST-1398"/>
    <s v="Sakshi Patel"/>
    <x v="3"/>
    <s v="Home &amp; Kitchen"/>
    <s v="LED Desk Lamp"/>
    <n v="3"/>
    <n v="799"/>
    <n v="2397"/>
    <n v="0"/>
    <n v="0"/>
    <n v="2397"/>
    <s v="Cash"/>
    <x v="0"/>
  </r>
  <r>
    <s v="ORD-2025238"/>
    <s v="9 Sun"/>
    <s v="Feb"/>
    <s v="2025"/>
    <s v="CUST-1068"/>
    <s v="Isha Verma"/>
    <x v="0"/>
    <s v="Stationery"/>
    <s v="Gel Pen Pack"/>
    <n v="1"/>
    <n v="99"/>
    <n v="99"/>
    <n v="0"/>
    <n v="0"/>
    <n v="99"/>
    <s v="Credit Card"/>
    <x v="1"/>
  </r>
  <r>
    <s v="ORD-2025239"/>
    <s v="9 Sun"/>
    <s v="Feb"/>
    <s v="2025"/>
    <s v="CUST-1221"/>
    <s v="Kunal Singh"/>
    <x v="1"/>
    <s v="Groceries"/>
    <s v="Organic Honey 500g"/>
    <n v="2"/>
    <n v="349"/>
    <n v="698"/>
    <n v="0"/>
    <n v="0"/>
    <n v="698"/>
    <s v="Credit Card"/>
    <x v="0"/>
  </r>
  <r>
    <s v="ORD-2025240"/>
    <s v="10 Mon"/>
    <s v="Feb"/>
    <s v="2025"/>
    <s v="CUST-1030"/>
    <s v="Rahul Kapoor"/>
    <x v="2"/>
    <s v="Home &amp; Kitchen"/>
    <s v="LED Desk Lamp"/>
    <n v="2"/>
    <n v="799"/>
    <n v="1598"/>
    <n v="20"/>
    <n v="319.60000000000002"/>
    <n v="1278.4000000000001"/>
    <s v="Debit Card"/>
    <x v="1"/>
  </r>
  <r>
    <s v="ORD-2025241"/>
    <s v="10 Mon"/>
    <s v="Feb"/>
    <s v="2025"/>
    <s v="CUST-1387"/>
    <s v="Rohan Patel"/>
    <x v="1"/>
    <s v="Apparel"/>
    <s v="Formal Shirt"/>
    <n v="1"/>
    <n v="899"/>
    <n v="899"/>
    <n v="15"/>
    <n v="134.85"/>
    <n v="764.15"/>
    <s v="Net Banking"/>
    <x v="1"/>
  </r>
  <r>
    <s v="ORD-2025242"/>
    <s v="10 Mon"/>
    <s v="Feb"/>
    <s v="2025"/>
    <s v="CUST-1062"/>
    <s v="Tanya Sharma"/>
    <x v="4"/>
    <s v="Home &amp; Kitchen"/>
    <s v="LED Desk Lamp"/>
    <n v="2"/>
    <n v="799"/>
    <n v="1598"/>
    <n v="5"/>
    <n v="79.900000000000006"/>
    <n v="1518.1"/>
    <s v="Debit Card"/>
    <x v="0"/>
  </r>
  <r>
    <s v="ORD-2025243"/>
    <s v="10 Mon"/>
    <s v="Feb"/>
    <s v="2025"/>
    <s v="CUST-1254"/>
    <s v="Meera Malhotra"/>
    <x v="0"/>
    <s v="Apparel"/>
    <s v="Formal Shirt"/>
    <n v="1"/>
    <n v="899"/>
    <n v="899"/>
    <n v="5"/>
    <n v="44.95"/>
    <n v="854.05"/>
    <s v="UPI"/>
    <x v="0"/>
  </r>
  <r>
    <s v="ORD-2025244"/>
    <s v="10 Mon"/>
    <s v="Feb"/>
    <s v="2025"/>
    <s v="CUST-1048"/>
    <s v="Divya Mehta"/>
    <x v="1"/>
    <s v="Apparel"/>
    <s v="Cotton T-Shirt"/>
    <n v="1"/>
    <n v="499"/>
    <n v="499"/>
    <n v="0"/>
    <n v="0"/>
    <n v="499"/>
    <s v="Net Banking"/>
    <x v="0"/>
  </r>
  <r>
    <s v="ORD-2025245"/>
    <s v="10 Mon"/>
    <s v="Feb"/>
    <s v="2025"/>
    <s v="CUST-1205"/>
    <s v="Aman Sharma"/>
    <x v="2"/>
    <s v="Electronics"/>
    <s v="Wireless Mouse"/>
    <n v="4"/>
    <n v="599"/>
    <n v="2396"/>
    <n v="0"/>
    <n v="0"/>
    <n v="2396"/>
    <s v="Net Banking"/>
    <x v="0"/>
  </r>
  <r>
    <s v="ORD-2025246"/>
    <s v="10 Mon"/>
    <s v="Feb"/>
    <s v="2025"/>
    <s v="CUST-1149"/>
    <s v="Aarav Verma"/>
    <x v="4"/>
    <s v="Stationery"/>
    <s v="Notebook Set"/>
    <n v="1"/>
    <n v="199"/>
    <n v="199"/>
    <n v="5"/>
    <n v="9.9499999999999993"/>
    <n v="189.05"/>
    <s v="Cash"/>
    <x v="0"/>
  </r>
  <r>
    <s v="ORD-2025247"/>
    <s v="10 Mon"/>
    <s v="Feb"/>
    <s v="2025"/>
    <s v="CUST-1278"/>
    <s v="Meera Verma"/>
    <x v="0"/>
    <s v="Beauty"/>
    <s v="Herbal Shampoo"/>
    <n v="3"/>
    <n v="249"/>
    <n v="747"/>
    <n v="0"/>
    <n v="0"/>
    <n v="747"/>
    <s v="Debit Card"/>
    <x v="0"/>
  </r>
  <r>
    <s v="ORD-2025248"/>
    <s v="11 Tue"/>
    <s v="Feb"/>
    <s v="2025"/>
    <s v="CUST-1326"/>
    <s v="Rohan Verma"/>
    <x v="3"/>
    <s v="Beauty"/>
    <s v="Herbal Shampoo"/>
    <n v="3"/>
    <n v="249"/>
    <n v="747"/>
    <n v="20"/>
    <n v="149.4"/>
    <n v="597.6"/>
    <s v="Cash"/>
    <x v="1"/>
  </r>
  <r>
    <s v="ORD-2025249"/>
    <s v="11 Tue"/>
    <s v="Feb"/>
    <s v="2025"/>
    <s v="CUST-1208"/>
    <s v="Arjun Singh"/>
    <x v="1"/>
    <s v="Apparel"/>
    <s v="Denim Jacket"/>
    <n v="4"/>
    <n v="1999"/>
    <n v="7996"/>
    <n v="0"/>
    <n v="0"/>
    <n v="7996"/>
    <s v="UPI"/>
    <x v="0"/>
  </r>
  <r>
    <s v="ORD-2025250"/>
    <s v="11 Tue"/>
    <s v="Feb"/>
    <s v="2025"/>
    <s v="CUST-1092"/>
    <s v="Arjun Mehta"/>
    <x v="2"/>
    <s v="Sports"/>
    <s v="Yoga Mat"/>
    <n v="3"/>
    <n v="699"/>
    <n v="2097"/>
    <n v="5"/>
    <n v="104.85"/>
    <n v="1992.15"/>
    <s v="UPI"/>
    <x v="0"/>
  </r>
  <r>
    <s v="ORD-2025251"/>
    <s v="11 Tue"/>
    <s v="Feb"/>
    <s v="2025"/>
    <s v="CUST-1032"/>
    <s v="Shreya Mehta"/>
    <x v="2"/>
    <s v="Groceries"/>
    <s v="Organic Honey 500g"/>
    <n v="3"/>
    <n v="349"/>
    <n v="1047"/>
    <n v="10"/>
    <n v="104.7"/>
    <n v="942.3"/>
    <s v="Net Banking"/>
    <x v="0"/>
  </r>
  <r>
    <s v="ORD-2025252"/>
    <s v="12 Wed"/>
    <s v="Feb"/>
    <s v="2025"/>
    <s v="CUST-1365"/>
    <s v="Meera Singh"/>
    <x v="2"/>
    <s v="Electronics"/>
    <s v="Smartwatch"/>
    <n v="3"/>
    <n v="2999"/>
    <n v="8997"/>
    <n v="5"/>
    <n v="449.85"/>
    <n v="8547.15"/>
    <s v="Debit Card"/>
    <x v="0"/>
  </r>
  <r>
    <s v="ORD-2025253"/>
    <s v="12 Wed"/>
    <s v="Feb"/>
    <s v="2025"/>
    <s v="CUST-1358"/>
    <s v="Aman Patel"/>
    <x v="2"/>
    <s v="Electronics"/>
    <s v="Smartwatch"/>
    <n v="1"/>
    <n v="2999"/>
    <n v="2999"/>
    <n v="0"/>
    <n v="0"/>
    <n v="2999"/>
    <s v="UPI"/>
    <x v="0"/>
  </r>
  <r>
    <s v="ORD-2025254"/>
    <s v="12 Wed"/>
    <s v="Feb"/>
    <s v="2025"/>
    <s v="CUST-1357"/>
    <s v="Kabir Mehta"/>
    <x v="3"/>
    <s v="Electronics"/>
    <s v="Bluetooth Headphones"/>
    <n v="1"/>
    <n v="1799"/>
    <n v="1799"/>
    <n v="15"/>
    <n v="269.85000000000002"/>
    <n v="1529.15"/>
    <s v="Net Banking"/>
    <x v="0"/>
  </r>
  <r>
    <s v="ORD-2025255"/>
    <s v="12 Wed"/>
    <s v="Feb"/>
    <s v="2025"/>
    <s v="CUST-1188"/>
    <s v="Shreya Malhotra"/>
    <x v="0"/>
    <s v="Electronics"/>
    <s v="Bluetooth Headphones"/>
    <n v="2"/>
    <n v="1799"/>
    <n v="3598"/>
    <n v="0"/>
    <n v="0"/>
    <n v="3598"/>
    <s v="Cash"/>
    <x v="0"/>
  </r>
  <r>
    <s v="ORD-2025256"/>
    <s v="12 Wed"/>
    <s v="Feb"/>
    <s v="2025"/>
    <s v="CUST-1020"/>
    <s v="Rohan Malhotra"/>
    <x v="2"/>
    <s v="Stationery"/>
    <s v="Notebook Set"/>
    <n v="1"/>
    <n v="199"/>
    <n v="199"/>
    <n v="0"/>
    <n v="0"/>
    <n v="199"/>
    <s v="Credit Card"/>
    <x v="0"/>
  </r>
  <r>
    <s v="ORD-2025257"/>
    <s v="12 Wed"/>
    <s v="Feb"/>
    <s v="2025"/>
    <s v="CUST-1121"/>
    <s v="Rahul Kapoor"/>
    <x v="3"/>
    <s v="Groceries"/>
    <s v="Organic Honey 500g"/>
    <n v="1"/>
    <n v="349"/>
    <n v="349"/>
    <n v="0"/>
    <n v="0"/>
    <n v="349"/>
    <s v="UPI"/>
    <x v="0"/>
  </r>
  <r>
    <s v="ORD-2025258"/>
    <s v="13 Thu"/>
    <s v="Feb"/>
    <s v="2025"/>
    <s v="CUST-1256"/>
    <s v="Rohan Singh"/>
    <x v="3"/>
    <s v="Beauty"/>
    <s v="Herbal Shampoo"/>
    <n v="2"/>
    <n v="249"/>
    <n v="498"/>
    <n v="15"/>
    <n v="74.7"/>
    <n v="423.3"/>
    <s v="Debit Card"/>
    <x v="0"/>
  </r>
  <r>
    <s v="ORD-2025259"/>
    <s v="13 Thu"/>
    <s v="Feb"/>
    <s v="2025"/>
    <s v="CUST-1162"/>
    <s v="Aarav Kapoor"/>
    <x v="0"/>
    <s v="Sports"/>
    <s v="Cricket Bat"/>
    <n v="2"/>
    <n v="1499"/>
    <n v="2998"/>
    <n v="0"/>
    <n v="0"/>
    <n v="2998"/>
    <s v="UPI"/>
    <x v="0"/>
  </r>
  <r>
    <s v="ORD-2025260"/>
    <s v="13 Thu"/>
    <s v="Feb"/>
    <s v="2025"/>
    <s v="CUST-1292"/>
    <s v="Aman Singh"/>
    <x v="3"/>
    <s v="Stationery"/>
    <s v="Notebook Set"/>
    <n v="1"/>
    <n v="199"/>
    <n v="199"/>
    <n v="20"/>
    <n v="39.799999999999997"/>
    <n v="159.19999999999999"/>
    <s v="Credit Card"/>
    <x v="0"/>
  </r>
  <r>
    <s v="ORD-2025261"/>
    <s v="13 Thu"/>
    <s v="Feb"/>
    <s v="2025"/>
    <s v="CUST-1112"/>
    <s v="Komal Gupta"/>
    <x v="2"/>
    <s v="Beauty"/>
    <s v="Face Wash 100ml"/>
    <n v="1"/>
    <n v="299"/>
    <n v="299"/>
    <n v="0"/>
    <n v="0"/>
    <n v="299"/>
    <s v="Credit Card"/>
    <x v="1"/>
  </r>
  <r>
    <s v="ORD-2025262"/>
    <s v="14 Fri"/>
    <s v="Feb"/>
    <s v="2025"/>
    <s v="CUST-1342"/>
    <s v="Vivaan Saxena"/>
    <x v="0"/>
    <s v="Apparel"/>
    <s v="Denim Jacket"/>
    <n v="3"/>
    <n v="1999"/>
    <n v="5997"/>
    <n v="5"/>
    <n v="299.85000000000002"/>
    <n v="5697.15"/>
    <s v="Cash"/>
    <x v="0"/>
  </r>
  <r>
    <s v="ORD-2025263"/>
    <s v="14 Fri"/>
    <s v="Feb"/>
    <s v="2025"/>
    <s v="CUST-1044"/>
    <s v="Swati Saxena"/>
    <x v="0"/>
    <s v="Stationery"/>
    <s v="Notebook Set"/>
    <n v="4"/>
    <n v="199"/>
    <n v="796"/>
    <n v="5"/>
    <n v="39.799999999999997"/>
    <n v="756.2"/>
    <s v="Debit Card"/>
    <x v="0"/>
  </r>
  <r>
    <s v="ORD-2025264"/>
    <s v="14 Fri"/>
    <s v="Feb"/>
    <s v="2025"/>
    <s v="CUST-1007"/>
    <s v="Aarav Sharma"/>
    <x v="3"/>
    <s v="Electronics"/>
    <s v="Wireless Mouse"/>
    <n v="3"/>
    <n v="599"/>
    <n v="1797"/>
    <n v="10"/>
    <n v="179.7"/>
    <n v="1617.3"/>
    <s v="Debit Card"/>
    <x v="1"/>
  </r>
  <r>
    <s v="ORD-2025265"/>
    <s v="14 Fri"/>
    <s v="Feb"/>
    <s v="2025"/>
    <s v="CUST-1233"/>
    <s v="Rahul Joshi"/>
    <x v="0"/>
    <s v="Sports"/>
    <s v="Yoga Mat"/>
    <n v="3"/>
    <n v="699"/>
    <n v="2097"/>
    <n v="20"/>
    <n v="419.4"/>
    <n v="1677.6"/>
    <s v="Cash"/>
    <x v="0"/>
  </r>
  <r>
    <s v="ORD-2025266"/>
    <s v="14 Fri"/>
    <s v="Feb"/>
    <s v="2025"/>
    <s v="CUST-1224"/>
    <s v="Swati Verma"/>
    <x v="4"/>
    <s v="Sports"/>
    <s v="Cricket Bat"/>
    <n v="1"/>
    <n v="1499"/>
    <n v="1499"/>
    <n v="5"/>
    <n v="74.95"/>
    <n v="1424.05"/>
    <s v="UPI"/>
    <x v="0"/>
  </r>
  <r>
    <s v="ORD-2025267"/>
    <s v="14 Fri"/>
    <s v="Feb"/>
    <s v="2025"/>
    <s v="CUST-1090"/>
    <s v="Aarav Joshi"/>
    <x v="2"/>
    <s v="Stationery"/>
    <s v="Notebook Set"/>
    <n v="2"/>
    <n v="199"/>
    <n v="398"/>
    <n v="20"/>
    <n v="79.599999999999994"/>
    <n v="318.39999999999998"/>
    <s v="UPI"/>
    <x v="0"/>
  </r>
  <r>
    <s v="ORD-2025268"/>
    <s v="15 Sat"/>
    <s v="Feb"/>
    <s v="2025"/>
    <s v="CUST-1214"/>
    <s v="Rohan Sharma"/>
    <x v="3"/>
    <s v="Stationery"/>
    <s v="Notebook Set"/>
    <n v="2"/>
    <n v="199"/>
    <n v="398"/>
    <n v="15"/>
    <n v="59.7"/>
    <n v="338.3"/>
    <s v="Credit Card"/>
    <x v="0"/>
  </r>
  <r>
    <s v="ORD-2025269"/>
    <s v="15 Sat"/>
    <s v="Feb"/>
    <s v="2025"/>
    <s v="CUST-1138"/>
    <s v="Tanya Singh"/>
    <x v="1"/>
    <s v="Electronics"/>
    <s v="Smartwatch"/>
    <n v="3"/>
    <n v="2999"/>
    <n v="8997"/>
    <n v="0"/>
    <n v="0"/>
    <n v="8997"/>
    <s v="Cash"/>
    <x v="0"/>
  </r>
  <r>
    <s v="ORD-2025270"/>
    <s v="15 Sat"/>
    <s v="Feb"/>
    <s v="2025"/>
    <s v="CUST-1292"/>
    <s v="Aman Singh"/>
    <x v="4"/>
    <s v="Electronics"/>
    <s v="Bluetooth Headphones"/>
    <n v="1"/>
    <n v="1799"/>
    <n v="1799"/>
    <n v="0"/>
    <n v="0"/>
    <n v="1799"/>
    <s v="Credit Card"/>
    <x v="1"/>
  </r>
  <r>
    <s v="ORD-2025271"/>
    <s v="15 Sat"/>
    <s v="Feb"/>
    <s v="2025"/>
    <s v="CUST-1151"/>
    <s v="Aman Patel"/>
    <x v="4"/>
    <s v="Stationery"/>
    <s v="Notebook Set"/>
    <n v="2"/>
    <n v="199"/>
    <n v="398"/>
    <n v="0"/>
    <n v="0"/>
    <n v="398"/>
    <s v="Credit Card"/>
    <x v="1"/>
  </r>
  <r>
    <s v="ORD-2025272"/>
    <s v="15 Sat"/>
    <s v="Feb"/>
    <s v="2025"/>
    <s v="CUST-1384"/>
    <s v="Vivaan Singh"/>
    <x v="3"/>
    <s v="Sports"/>
    <s v="Yoga Mat"/>
    <n v="2"/>
    <n v="699"/>
    <n v="1398"/>
    <n v="15"/>
    <n v="209.7"/>
    <n v="1188.3"/>
    <s v="Cash"/>
    <x v="0"/>
  </r>
  <r>
    <s v="ORD-2025273"/>
    <s v="15 Sat"/>
    <s v="Feb"/>
    <s v="2025"/>
    <s v="CUST-1335"/>
    <s v="Divya Saxena"/>
    <x v="4"/>
    <s v="Sports"/>
    <s v="Cricket Bat"/>
    <n v="1"/>
    <n v="1499"/>
    <n v="1499"/>
    <n v="5"/>
    <n v="74.95"/>
    <n v="1424.05"/>
    <s v="Debit Card"/>
    <x v="0"/>
  </r>
  <r>
    <s v="ORD-2025274"/>
    <s v="16 Sun"/>
    <s v="Feb"/>
    <s v="2025"/>
    <s v="CUST-1042"/>
    <s v="Kunal Saxena"/>
    <x v="3"/>
    <s v="Apparel"/>
    <s v="Cotton T-Shirt"/>
    <n v="1"/>
    <n v="499"/>
    <n v="499"/>
    <n v="5"/>
    <n v="24.95"/>
    <n v="474.05"/>
    <s v="UPI"/>
    <x v="0"/>
  </r>
  <r>
    <s v="ORD-2025275"/>
    <s v="16 Sun"/>
    <s v="Feb"/>
    <s v="2025"/>
    <s v="CUST-1172"/>
    <s v="Nandini Saxena"/>
    <x v="1"/>
    <s v="Electronics"/>
    <s v="Bluetooth Headphones"/>
    <n v="2"/>
    <n v="1799"/>
    <n v="3598"/>
    <n v="20"/>
    <n v="719.6"/>
    <n v="2878.4"/>
    <s v="UPI"/>
    <x v="0"/>
  </r>
  <r>
    <s v="ORD-2025276"/>
    <s v="16 Sun"/>
    <s v="Feb"/>
    <s v="2025"/>
    <s v="CUST-1338"/>
    <s v="Komal Malhotra"/>
    <x v="3"/>
    <s v="Apparel"/>
    <s v="Cotton T-Shirt"/>
    <n v="4"/>
    <n v="499"/>
    <n v="1996"/>
    <n v="10"/>
    <n v="199.6"/>
    <n v="1796.4"/>
    <s v="Cash"/>
    <x v="0"/>
  </r>
  <r>
    <s v="ORD-2025277"/>
    <s v="16 Sun"/>
    <s v="Feb"/>
    <s v="2025"/>
    <s v="CUST-1163"/>
    <s v="Sakshi Mehta"/>
    <x v="2"/>
    <s v="Electronics"/>
    <s v="Wireless Mouse"/>
    <n v="1"/>
    <n v="599"/>
    <n v="599"/>
    <n v="15"/>
    <n v="89.85"/>
    <n v="509.15"/>
    <s v="Debit Card"/>
    <x v="1"/>
  </r>
  <r>
    <s v="ORD-2025278"/>
    <s v="17 Mon"/>
    <s v="Feb"/>
    <s v="2025"/>
    <s v="CUST-1009"/>
    <s v="Shreya Gupta"/>
    <x v="0"/>
    <s v="Sports"/>
    <s v="Yoga Mat"/>
    <n v="2"/>
    <n v="699"/>
    <n v="1398"/>
    <n v="5"/>
    <n v="69.900000000000006"/>
    <n v="1328.1"/>
    <s v="UPI"/>
    <x v="0"/>
  </r>
  <r>
    <s v="ORD-2025279"/>
    <s v="18 Tue"/>
    <s v="Feb"/>
    <s v="2025"/>
    <s v="CUST-1283"/>
    <s v="Aditya Mehta"/>
    <x v="2"/>
    <s v="Groceries"/>
    <s v="Basmati Rice 5kg"/>
    <n v="1"/>
    <n v="549"/>
    <n v="549"/>
    <n v="0"/>
    <n v="0"/>
    <n v="549"/>
    <s v="Credit Card"/>
    <x v="1"/>
  </r>
  <r>
    <s v="ORD-2025280"/>
    <s v="18 Tue"/>
    <s v="Feb"/>
    <s v="2025"/>
    <s v="CUST-1165"/>
    <s v="Rahul Singh"/>
    <x v="1"/>
    <s v="Stationery"/>
    <s v="Gel Pen Pack"/>
    <n v="1"/>
    <n v="99"/>
    <n v="99"/>
    <n v="10"/>
    <n v="9.9"/>
    <n v="89.1"/>
    <s v="Cash"/>
    <x v="0"/>
  </r>
  <r>
    <s v="ORD-2025281"/>
    <s v="18 Tue"/>
    <s v="Feb"/>
    <s v="2025"/>
    <s v="CUST-1129"/>
    <s v="Nandini Patel"/>
    <x v="4"/>
    <s v="Beauty"/>
    <s v="Herbal Shampoo"/>
    <n v="1"/>
    <n v="249"/>
    <n v="249"/>
    <n v="0"/>
    <n v="0"/>
    <n v="249"/>
    <s v="Credit Card"/>
    <x v="1"/>
  </r>
  <r>
    <s v="ORD-2025282"/>
    <s v="18 Tue"/>
    <s v="Feb"/>
    <s v="2025"/>
    <s v="CUST-1104"/>
    <s v="Nandini Saxena"/>
    <x v="1"/>
    <s v="Sports"/>
    <s v="Yoga Mat"/>
    <n v="4"/>
    <n v="699"/>
    <n v="2796"/>
    <n v="5"/>
    <n v="139.80000000000001"/>
    <n v="2656.2"/>
    <s v="UPI"/>
    <x v="0"/>
  </r>
  <r>
    <s v="ORD-2025283"/>
    <s v="19 Wed"/>
    <s v="Feb"/>
    <s v="2025"/>
    <s v="CUST-1324"/>
    <s v="Rahul Verma"/>
    <x v="4"/>
    <s v="Sports"/>
    <s v="Yoga Mat"/>
    <n v="1"/>
    <n v="699"/>
    <n v="699"/>
    <n v="10"/>
    <n v="69.900000000000006"/>
    <n v="629.1"/>
    <s v="Credit Card"/>
    <x v="1"/>
  </r>
  <r>
    <s v="ORD-2025284"/>
    <s v="19 Wed"/>
    <s v="Feb"/>
    <s v="2025"/>
    <s v="CUST-1029"/>
    <s v="Swati Patel"/>
    <x v="0"/>
    <s v="Beauty"/>
    <s v="Face Wash 100ml"/>
    <n v="1"/>
    <n v="299"/>
    <n v="299"/>
    <n v="0"/>
    <n v="0"/>
    <n v="299"/>
    <s v="UPI"/>
    <x v="0"/>
  </r>
  <r>
    <s v="ORD-2025285"/>
    <s v="19 Wed"/>
    <s v="Feb"/>
    <s v="2025"/>
    <s v="CUST-1378"/>
    <s v="Rahul Mehta"/>
    <x v="2"/>
    <s v="Beauty"/>
    <s v="Face Wash 100ml"/>
    <n v="1"/>
    <n v="299"/>
    <n v="299"/>
    <n v="0"/>
    <n v="0"/>
    <n v="299"/>
    <s v="UPI"/>
    <x v="1"/>
  </r>
  <r>
    <s v="ORD-2025286"/>
    <s v="19 Wed"/>
    <s v="Feb"/>
    <s v="2025"/>
    <s v="CUST-1277"/>
    <s v="Vivaan Sharma"/>
    <x v="0"/>
    <s v="Electronics"/>
    <s v="Bluetooth Headphones"/>
    <n v="2"/>
    <n v="1799"/>
    <n v="3598"/>
    <n v="15"/>
    <n v="539.70000000000005"/>
    <n v="3058.3"/>
    <s v="Credit Card"/>
    <x v="1"/>
  </r>
  <r>
    <s v="ORD-2025287"/>
    <s v="19 Wed"/>
    <s v="Feb"/>
    <s v="2025"/>
    <s v="CUST-1176"/>
    <s v="Meera Sharma"/>
    <x v="4"/>
    <s v="Groceries"/>
    <s v="Organic Honey 500g"/>
    <n v="1"/>
    <n v="349"/>
    <n v="349"/>
    <n v="20"/>
    <n v="69.8"/>
    <n v="279.2"/>
    <s v="UPI"/>
    <x v="0"/>
  </r>
  <r>
    <s v="ORD-2025288"/>
    <s v="20 Thu"/>
    <s v="Feb"/>
    <s v="2025"/>
    <s v="CUST-1106"/>
    <s v="Ankit Saxena"/>
    <x v="0"/>
    <s v="Home &amp; Kitchen"/>
    <s v="LED Desk Lamp"/>
    <n v="1"/>
    <n v="799"/>
    <n v="799"/>
    <n v="0"/>
    <n v="0"/>
    <n v="799"/>
    <s v="UPI"/>
    <x v="0"/>
  </r>
  <r>
    <s v="ORD-2025289"/>
    <s v="20 Thu"/>
    <s v="Feb"/>
    <s v="2025"/>
    <s v="CUST-1076"/>
    <s v="Tanya Saxena"/>
    <x v="0"/>
    <s v="Beauty"/>
    <s v="Face Wash 100ml"/>
    <n v="2"/>
    <n v="299"/>
    <n v="598"/>
    <n v="5"/>
    <n v="29.9"/>
    <n v="568.1"/>
    <s v="Debit Card"/>
    <x v="0"/>
  </r>
  <r>
    <s v="ORD-2025290"/>
    <s v="20 Thu"/>
    <s v="Feb"/>
    <s v="2025"/>
    <s v="CUST-1006"/>
    <s v="Sakshi Singh"/>
    <x v="4"/>
    <s v="Electronics"/>
    <s v="Bluetooth Headphones"/>
    <n v="1"/>
    <n v="1799"/>
    <n v="1799"/>
    <n v="20"/>
    <n v="359.8"/>
    <n v="1439.2"/>
    <s v="Credit Card"/>
    <x v="0"/>
  </r>
  <r>
    <s v="ORD-2025291"/>
    <s v="20 Thu"/>
    <s v="Feb"/>
    <s v="2025"/>
    <s v="CUST-1201"/>
    <s v="Tanya Joshi"/>
    <x v="3"/>
    <s v="Stationery"/>
    <s v="Notebook Set"/>
    <n v="1"/>
    <n v="199"/>
    <n v="199"/>
    <n v="20"/>
    <n v="39.799999999999997"/>
    <n v="159.19999999999999"/>
    <s v="Credit Card"/>
    <x v="0"/>
  </r>
  <r>
    <s v="ORD-2025292"/>
    <s v="20 Thu"/>
    <s v="Feb"/>
    <s v="2025"/>
    <s v="CUST-1098"/>
    <s v="Rohan Patel"/>
    <x v="2"/>
    <s v="Electronics"/>
    <s v="Smartwatch"/>
    <n v="1"/>
    <n v="2999"/>
    <n v="2999"/>
    <n v="0"/>
    <n v="0"/>
    <n v="2999"/>
    <s v="Cash"/>
    <x v="0"/>
  </r>
  <r>
    <s v="ORD-2025293"/>
    <s v="20 Thu"/>
    <s v="Feb"/>
    <s v="2025"/>
    <s v="CUST-1383"/>
    <s v="Aman Gupta"/>
    <x v="4"/>
    <s v="Home &amp; Kitchen"/>
    <s v="Non-stick Pan Set"/>
    <n v="3"/>
    <n v="1299"/>
    <n v="3897"/>
    <n v="0"/>
    <n v="0"/>
    <n v="3897"/>
    <s v="Debit Card"/>
    <x v="1"/>
  </r>
  <r>
    <s v="ORD-2025294"/>
    <s v="21 Fri"/>
    <s v="Feb"/>
    <s v="2025"/>
    <s v="CUST-1373"/>
    <s v="Rahul Verma"/>
    <x v="4"/>
    <s v="Electronics"/>
    <s v="Bluetooth Headphones"/>
    <n v="2"/>
    <n v="1799"/>
    <n v="3598"/>
    <n v="20"/>
    <n v="719.6"/>
    <n v="2878.4"/>
    <s v="Debit Card"/>
    <x v="1"/>
  </r>
  <r>
    <s v="ORD-2025295"/>
    <s v="21 Fri"/>
    <s v="Feb"/>
    <s v="2025"/>
    <s v="CUST-1081"/>
    <s v="Nandini Verma"/>
    <x v="1"/>
    <s v="Stationery"/>
    <s v="Notebook Set"/>
    <n v="1"/>
    <n v="199"/>
    <n v="199"/>
    <n v="5"/>
    <n v="9.9499999999999993"/>
    <n v="189.05"/>
    <s v="Credit Card"/>
    <x v="0"/>
  </r>
  <r>
    <s v="ORD-2025296"/>
    <s v="21 Fri"/>
    <s v="Feb"/>
    <s v="2025"/>
    <s v="CUST-1218"/>
    <s v="Rahul Singh"/>
    <x v="2"/>
    <s v="Sports"/>
    <s v="Cricket Bat"/>
    <n v="1"/>
    <n v="1499"/>
    <n v="1499"/>
    <n v="0"/>
    <n v="0"/>
    <n v="1499"/>
    <s v="UPI"/>
    <x v="1"/>
  </r>
  <r>
    <s v="ORD-2025297"/>
    <s v="21 Fri"/>
    <s v="Feb"/>
    <s v="2025"/>
    <s v="CUST-1219"/>
    <s v="Sakshi Patel"/>
    <x v="1"/>
    <s v="Stationery"/>
    <s v="Notebook Set"/>
    <n v="3"/>
    <n v="199"/>
    <n v="597"/>
    <n v="10"/>
    <n v="59.7"/>
    <n v="537.29999999999995"/>
    <s v="UPI"/>
    <x v="1"/>
  </r>
  <r>
    <s v="ORD-2025298"/>
    <s v="21 Fri"/>
    <s v="Feb"/>
    <s v="2025"/>
    <s v="CUST-1358"/>
    <s v="Aman Patel"/>
    <x v="0"/>
    <s v="Beauty"/>
    <s v="Face Wash 100ml"/>
    <n v="3"/>
    <n v="299"/>
    <n v="897"/>
    <n v="0"/>
    <n v="0"/>
    <n v="897"/>
    <s v="Credit Card"/>
    <x v="0"/>
  </r>
  <r>
    <s v="ORD-2025299"/>
    <s v="21 Fri"/>
    <s v="Feb"/>
    <s v="2025"/>
    <s v="CUST-1206"/>
    <s v="Aditya Gupta"/>
    <x v="3"/>
    <s v="Stationery"/>
    <s v="Gel Pen Pack"/>
    <n v="1"/>
    <n v="99"/>
    <n v="99"/>
    <n v="0"/>
    <n v="0"/>
    <n v="99"/>
    <s v="Credit Card"/>
    <x v="0"/>
  </r>
  <r>
    <s v="ORD-2025300"/>
    <s v="21 Fri"/>
    <s v="Feb"/>
    <s v="2025"/>
    <s v="CUST-1173"/>
    <s v="Ankit Gupta"/>
    <x v="1"/>
    <s v="Stationery"/>
    <s v="Gel Pen Pack"/>
    <n v="1"/>
    <n v="99"/>
    <n v="99"/>
    <n v="10"/>
    <n v="9.9"/>
    <n v="89.1"/>
    <s v="UPI"/>
    <x v="1"/>
  </r>
  <r>
    <s v="ORD-2025301"/>
    <s v="21 Fri"/>
    <s v="Feb"/>
    <s v="2025"/>
    <s v="CUST-1198"/>
    <s v="Vivaan Joshi"/>
    <x v="0"/>
    <s v="Stationery"/>
    <s v="Notebook Set"/>
    <n v="3"/>
    <n v="199"/>
    <n v="597"/>
    <n v="15"/>
    <n v="89.55"/>
    <n v="507.45"/>
    <s v="UPI"/>
    <x v="0"/>
  </r>
  <r>
    <s v="ORD-2025302"/>
    <s v="21 Fri"/>
    <s v="Feb"/>
    <s v="2025"/>
    <s v="CUST-1355"/>
    <s v="Aditya Joshi"/>
    <x v="4"/>
    <s v="Groceries"/>
    <s v="Basmati Rice 5kg"/>
    <n v="3"/>
    <n v="549"/>
    <n v="1647"/>
    <n v="10"/>
    <n v="164.7"/>
    <n v="1482.3"/>
    <s v="Debit Card"/>
    <x v="1"/>
  </r>
  <r>
    <s v="ORD-2025303"/>
    <s v="21 Fri"/>
    <s v="Feb"/>
    <s v="2025"/>
    <s v="CUST-1350"/>
    <s v="Isha Kapoor"/>
    <x v="2"/>
    <s v="Sports"/>
    <s v="Yoga Mat"/>
    <n v="1"/>
    <n v="699"/>
    <n v="699"/>
    <n v="0"/>
    <n v="0"/>
    <n v="699"/>
    <s v="Cash"/>
    <x v="0"/>
  </r>
  <r>
    <s v="ORD-2025304"/>
    <s v="22 Sat"/>
    <s v="Feb"/>
    <s v="2025"/>
    <s v="CUST-1331"/>
    <s v="Arjun Singh"/>
    <x v="3"/>
    <s v="Sports"/>
    <s v="Yoga Mat"/>
    <n v="5"/>
    <n v="699"/>
    <n v="3495"/>
    <n v="0"/>
    <n v="0"/>
    <n v="3495"/>
    <s v="Cash"/>
    <x v="0"/>
  </r>
  <r>
    <s v="ORD-2025305"/>
    <s v="22 Sat"/>
    <s v="Feb"/>
    <s v="2025"/>
    <s v="CUST-1048"/>
    <s v="Divya Mehta"/>
    <x v="4"/>
    <s v="Beauty"/>
    <s v="Herbal Shampoo"/>
    <n v="1"/>
    <n v="249"/>
    <n v="249"/>
    <n v="0"/>
    <n v="0"/>
    <n v="249"/>
    <s v="Debit Card"/>
    <x v="0"/>
  </r>
  <r>
    <s v="ORD-2025306"/>
    <s v="22 Sat"/>
    <s v="Feb"/>
    <s v="2025"/>
    <s v="CUST-1075"/>
    <s v="Divya Patel"/>
    <x v="1"/>
    <s v="Electronics"/>
    <s v="Smartwatch"/>
    <n v="1"/>
    <n v="2999"/>
    <n v="2999"/>
    <n v="10"/>
    <n v="299.89999999999998"/>
    <n v="2699.1"/>
    <s v="UPI"/>
    <x v="0"/>
  </r>
  <r>
    <s v="ORD-2025307"/>
    <s v="22 Sat"/>
    <s v="Feb"/>
    <s v="2025"/>
    <s v="CUST-1054"/>
    <s v="Kunal Patel"/>
    <x v="1"/>
    <s v="Home &amp; Kitchen"/>
    <s v="Non-stick Pan Set"/>
    <n v="2"/>
    <n v="1299"/>
    <n v="2598"/>
    <n v="0"/>
    <n v="0"/>
    <n v="2598"/>
    <s v="Debit Card"/>
    <x v="0"/>
  </r>
  <r>
    <s v="ORD-2025308"/>
    <s v="22 Sat"/>
    <s v="Feb"/>
    <s v="2025"/>
    <s v="CUST-1325"/>
    <s v="Aarav Saxena"/>
    <x v="4"/>
    <s v="Home &amp; Kitchen"/>
    <s v="LED Desk Lamp"/>
    <n v="2"/>
    <n v="799"/>
    <n v="1598"/>
    <n v="15"/>
    <n v="239.7"/>
    <n v="1358.3"/>
    <s v="Debit Card"/>
    <x v="0"/>
  </r>
  <r>
    <s v="ORD-2025309"/>
    <s v="22 Sat"/>
    <s v="Feb"/>
    <s v="2025"/>
    <s v="CUST-1066"/>
    <s v="Kunal Verma"/>
    <x v="2"/>
    <s v="Beauty"/>
    <s v="Face Wash 100ml"/>
    <n v="1"/>
    <n v="299"/>
    <n v="299"/>
    <n v="0"/>
    <n v="0"/>
    <n v="299"/>
    <s v="Net Banking"/>
    <x v="1"/>
  </r>
  <r>
    <s v="ORD-2025310"/>
    <s v="23 Sun"/>
    <s v="Feb"/>
    <s v="2025"/>
    <s v="CUST-1102"/>
    <s v="Aarav Patel"/>
    <x v="3"/>
    <s v="Groceries"/>
    <s v="Organic Honey 500g"/>
    <n v="1"/>
    <n v="349"/>
    <n v="349"/>
    <n v="15"/>
    <n v="52.35"/>
    <n v="296.64999999999998"/>
    <s v="Cash"/>
    <x v="0"/>
  </r>
  <r>
    <s v="ORD-2025311"/>
    <s v="23 Sun"/>
    <s v="Feb"/>
    <s v="2025"/>
    <s v="CUST-1118"/>
    <s v="Sakshi Malhotra"/>
    <x v="4"/>
    <s v="Groceries"/>
    <s v="Basmati Rice 5kg"/>
    <n v="1"/>
    <n v="549"/>
    <n v="549"/>
    <n v="5"/>
    <n v="27.45"/>
    <n v="521.54999999999995"/>
    <s v="Debit Card"/>
    <x v="0"/>
  </r>
  <r>
    <s v="ORD-2025312"/>
    <s v="23 Sun"/>
    <s v="Feb"/>
    <s v="2025"/>
    <s v="CUST-1106"/>
    <s v="Ankit Saxena"/>
    <x v="4"/>
    <s v="Home &amp; Kitchen"/>
    <s v="LED Desk Lamp"/>
    <n v="1"/>
    <n v="799"/>
    <n v="799"/>
    <n v="5"/>
    <n v="39.950000000000003"/>
    <n v="759.05"/>
    <s v="Cash"/>
    <x v="0"/>
  </r>
  <r>
    <s v="ORD-2025313"/>
    <s v="23 Sun"/>
    <s v="Feb"/>
    <s v="2025"/>
    <s v="CUST-1211"/>
    <s v="Rohan Sharma"/>
    <x v="0"/>
    <s v="Beauty"/>
    <s v="Face Wash 100ml"/>
    <n v="1"/>
    <n v="299"/>
    <n v="299"/>
    <n v="20"/>
    <n v="59.8"/>
    <n v="239.2"/>
    <s v="Credit Card"/>
    <x v="1"/>
  </r>
  <r>
    <s v="ORD-2025314"/>
    <s v="23 Sun"/>
    <s v="Feb"/>
    <s v="2025"/>
    <s v="CUST-1400"/>
    <s v="Aarav Gupta"/>
    <x v="2"/>
    <s v="Stationery"/>
    <s v="Gel Pen Pack"/>
    <n v="1"/>
    <n v="99"/>
    <n v="99"/>
    <n v="0"/>
    <n v="0"/>
    <n v="99"/>
    <s v="Cash"/>
    <x v="0"/>
  </r>
  <r>
    <s v="ORD-2025315"/>
    <s v="23 Sun"/>
    <s v="Feb"/>
    <s v="2025"/>
    <s v="CUST-1247"/>
    <s v="Meera Malhotra"/>
    <x v="3"/>
    <s v="Groceries"/>
    <s v="Basmati Rice 5kg"/>
    <n v="1"/>
    <n v="549"/>
    <n v="549"/>
    <n v="5"/>
    <n v="27.45"/>
    <n v="521.54999999999995"/>
    <s v="Net Banking"/>
    <x v="0"/>
  </r>
  <r>
    <s v="ORD-2025316"/>
    <s v="24 Mon"/>
    <s v="Feb"/>
    <s v="2025"/>
    <s v="CUST-1018"/>
    <s v="Aditya Gupta"/>
    <x v="0"/>
    <s v="Electronics"/>
    <s v="Wireless Mouse"/>
    <n v="3"/>
    <n v="599"/>
    <n v="1797"/>
    <n v="5"/>
    <n v="89.85"/>
    <n v="1707.15"/>
    <s v="Cash"/>
    <x v="0"/>
  </r>
  <r>
    <s v="ORD-2025317"/>
    <s v="24 Mon"/>
    <s v="Feb"/>
    <s v="2025"/>
    <s v="CUST-1288"/>
    <s v="Aditya Mehta"/>
    <x v="4"/>
    <s v="Electronics"/>
    <s v="Bluetooth Headphones"/>
    <n v="1"/>
    <n v="1799"/>
    <n v="1799"/>
    <n v="5"/>
    <n v="89.95"/>
    <n v="1709.05"/>
    <s v="Credit Card"/>
    <x v="0"/>
  </r>
  <r>
    <s v="ORD-2025318"/>
    <s v="24 Mon"/>
    <s v="Feb"/>
    <s v="2025"/>
    <s v="CUST-1026"/>
    <s v="Rahul Saxena"/>
    <x v="4"/>
    <s v="Electronics"/>
    <s v="Wireless Mouse"/>
    <n v="1"/>
    <n v="599"/>
    <n v="599"/>
    <n v="0"/>
    <n v="0"/>
    <n v="599"/>
    <s v="Credit Card"/>
    <x v="0"/>
  </r>
  <r>
    <s v="ORD-2025319"/>
    <s v="24 Mon"/>
    <s v="Feb"/>
    <s v="2025"/>
    <s v="CUST-1239"/>
    <s v="Rohan Malhotra"/>
    <x v="3"/>
    <s v="Electronics"/>
    <s v="Wireless Mouse"/>
    <n v="3"/>
    <n v="599"/>
    <n v="1797"/>
    <n v="10"/>
    <n v="179.7"/>
    <n v="1617.3"/>
    <s v="Debit Card"/>
    <x v="1"/>
  </r>
  <r>
    <s v="ORD-2025320"/>
    <s v="24 Mon"/>
    <s v="Feb"/>
    <s v="2025"/>
    <s v="CUST-1261"/>
    <s v="Shreya Patel"/>
    <x v="4"/>
    <s v="Home &amp; Kitchen"/>
    <s v="Non-stick Pan Set"/>
    <n v="2"/>
    <n v="1299"/>
    <n v="2598"/>
    <n v="0"/>
    <n v="0"/>
    <n v="2598"/>
    <s v="Credit Card"/>
    <x v="1"/>
  </r>
  <r>
    <s v="ORD-2025321"/>
    <s v="25 Tue"/>
    <s v="Feb"/>
    <s v="2025"/>
    <s v="CUST-1041"/>
    <s v="Divya Malhotra"/>
    <x v="1"/>
    <s v="Home &amp; Kitchen"/>
    <s v="Non-stick Pan Set"/>
    <n v="2"/>
    <n v="1299"/>
    <n v="2598"/>
    <n v="0"/>
    <n v="0"/>
    <n v="2598"/>
    <s v="Credit Card"/>
    <x v="0"/>
  </r>
  <r>
    <s v="ORD-2025322"/>
    <s v="25 Tue"/>
    <s v="Feb"/>
    <s v="2025"/>
    <s v="CUST-1365"/>
    <s v="Meera Singh"/>
    <x v="0"/>
    <s v="Electronics"/>
    <s v="Wireless Mouse"/>
    <n v="1"/>
    <n v="599"/>
    <n v="599"/>
    <n v="0"/>
    <n v="0"/>
    <n v="599"/>
    <s v="Credit Card"/>
    <x v="1"/>
  </r>
  <r>
    <s v="ORD-2025323"/>
    <s v="25 Tue"/>
    <s v="Feb"/>
    <s v="2025"/>
    <s v="CUST-1301"/>
    <s v="Shreya Sharma"/>
    <x v="0"/>
    <s v="Electronics"/>
    <s v="Wireless Mouse"/>
    <n v="1"/>
    <n v="599"/>
    <n v="599"/>
    <n v="0"/>
    <n v="0"/>
    <n v="599"/>
    <s v="UPI"/>
    <x v="0"/>
  </r>
  <r>
    <s v="ORD-2025324"/>
    <s v="25 Tue"/>
    <s v="Feb"/>
    <s v="2025"/>
    <s v="CUST-1313"/>
    <s v="Kunal Joshi"/>
    <x v="1"/>
    <s v="Stationery"/>
    <s v="Gel Pen Pack"/>
    <n v="1"/>
    <n v="99"/>
    <n v="99"/>
    <n v="20"/>
    <n v="19.8"/>
    <n v="79.2"/>
    <s v="Credit Card"/>
    <x v="0"/>
  </r>
  <r>
    <s v="ORD-2025325"/>
    <s v="25 Tue"/>
    <s v="Feb"/>
    <s v="2025"/>
    <s v="CUST-1143"/>
    <s v="Muskan Saxena"/>
    <x v="4"/>
    <s v="Apparel"/>
    <s v="Formal Shirt"/>
    <n v="2"/>
    <n v="899"/>
    <n v="1798"/>
    <n v="5"/>
    <n v="89.9"/>
    <n v="1708.1"/>
    <s v="Net Banking"/>
    <x v="1"/>
  </r>
  <r>
    <s v="ORD-2025326"/>
    <s v="25 Tue"/>
    <s v="Feb"/>
    <s v="2025"/>
    <s v="CUST-1340"/>
    <s v="Aman Kapoor"/>
    <x v="2"/>
    <s v="Apparel"/>
    <s v="Formal Shirt"/>
    <n v="1"/>
    <n v="899"/>
    <n v="899"/>
    <n v="0"/>
    <n v="0"/>
    <n v="899"/>
    <s v="Net Banking"/>
    <x v="0"/>
  </r>
  <r>
    <s v="ORD-2025327"/>
    <s v="25 Tue"/>
    <s v="Feb"/>
    <s v="2025"/>
    <s v="CUST-1314"/>
    <s v="Kunal Sharma"/>
    <x v="4"/>
    <s v="Electronics"/>
    <s v="Wireless Mouse"/>
    <n v="2"/>
    <n v="599"/>
    <n v="1198"/>
    <n v="0"/>
    <n v="0"/>
    <n v="1198"/>
    <s v="Credit Card"/>
    <x v="0"/>
  </r>
  <r>
    <s v="ORD-2025328"/>
    <s v="25 Tue"/>
    <s v="Feb"/>
    <s v="2025"/>
    <s v="CUST-1329"/>
    <s v="Swati Gupta"/>
    <x v="3"/>
    <s v="Electronics"/>
    <s v="Bluetooth Headphones"/>
    <n v="1"/>
    <n v="1799"/>
    <n v="1799"/>
    <n v="15"/>
    <n v="269.85000000000002"/>
    <n v="1529.15"/>
    <s v="Credit Card"/>
    <x v="0"/>
  </r>
  <r>
    <s v="ORD-2025329"/>
    <s v="25 Tue"/>
    <s v="Feb"/>
    <s v="2025"/>
    <s v="CUST-1390"/>
    <s v="Rahul Saxena"/>
    <x v="4"/>
    <s v="Beauty"/>
    <s v="Herbal Shampoo"/>
    <n v="2"/>
    <n v="249"/>
    <n v="498"/>
    <n v="0"/>
    <n v="0"/>
    <n v="498"/>
    <s v="Credit Card"/>
    <x v="0"/>
  </r>
  <r>
    <s v="ORD-2025330"/>
    <s v="25 Tue"/>
    <s v="Feb"/>
    <s v="2025"/>
    <s v="CUST-1346"/>
    <s v="Vivaan Gupta"/>
    <x v="2"/>
    <s v="Sports"/>
    <s v="Cricket Bat"/>
    <n v="3"/>
    <n v="1499"/>
    <n v="4497"/>
    <n v="15"/>
    <n v="674.55"/>
    <n v="3822.45"/>
    <s v="Debit Card"/>
    <x v="1"/>
  </r>
  <r>
    <s v="ORD-2025331"/>
    <s v="25 Tue"/>
    <s v="Feb"/>
    <s v="2025"/>
    <s v="CUST-1302"/>
    <s v="Arjun Saxena"/>
    <x v="0"/>
    <s v="Stationery"/>
    <s v="Gel Pen Pack"/>
    <n v="1"/>
    <n v="99"/>
    <n v="99"/>
    <n v="20"/>
    <n v="19.8"/>
    <n v="79.2"/>
    <s v="Credit Card"/>
    <x v="1"/>
  </r>
  <r>
    <s v="ORD-2025332"/>
    <s v="26 Wed"/>
    <s v="Feb"/>
    <s v="2025"/>
    <s v="CUST-1272"/>
    <s v="Aarav Saxena"/>
    <x v="1"/>
    <s v="Electronics"/>
    <s v="Bluetooth Headphones"/>
    <n v="2"/>
    <n v="1799"/>
    <n v="3598"/>
    <n v="0"/>
    <n v="0"/>
    <n v="3598"/>
    <s v="UPI"/>
    <x v="0"/>
  </r>
  <r>
    <s v="ORD-2025333"/>
    <s v="26 Wed"/>
    <s v="Feb"/>
    <s v="2025"/>
    <s v="CUST-1365"/>
    <s v="Meera Singh"/>
    <x v="2"/>
    <s v="Groceries"/>
    <s v="Basmati Rice 5kg"/>
    <n v="2"/>
    <n v="549"/>
    <n v="1098"/>
    <n v="20"/>
    <n v="219.6"/>
    <n v="878.4"/>
    <s v="Credit Card"/>
    <x v="1"/>
  </r>
  <r>
    <s v="ORD-2025334"/>
    <s v="26 Wed"/>
    <s v="Feb"/>
    <s v="2025"/>
    <s v="CUST-1234"/>
    <s v="Meera Sharma"/>
    <x v="0"/>
    <s v="Apparel"/>
    <s v="Formal Shirt"/>
    <n v="1"/>
    <n v="899"/>
    <n v="899"/>
    <n v="0"/>
    <n v="0"/>
    <n v="899"/>
    <s v="UPI"/>
    <x v="0"/>
  </r>
  <r>
    <s v="ORD-2025335"/>
    <s v="26 Wed"/>
    <s v="Feb"/>
    <s v="2025"/>
    <s v="CUST-1089"/>
    <s v="Arjun Verma"/>
    <x v="2"/>
    <s v="Sports"/>
    <s v="Yoga Mat"/>
    <n v="1"/>
    <n v="699"/>
    <n v="699"/>
    <n v="0"/>
    <n v="0"/>
    <n v="699"/>
    <s v="Credit Card"/>
    <x v="1"/>
  </r>
  <r>
    <s v="ORD-2025336"/>
    <s v="26 Wed"/>
    <s v="Feb"/>
    <s v="2025"/>
    <s v="CUST-1224"/>
    <s v="Swati Verma"/>
    <x v="1"/>
    <s v="Electronics"/>
    <s v="Wireless Mouse"/>
    <n v="3"/>
    <n v="599"/>
    <n v="1797"/>
    <n v="5"/>
    <n v="89.85"/>
    <n v="1707.15"/>
    <s v="UPI"/>
    <x v="0"/>
  </r>
  <r>
    <s v="ORD-2025337"/>
    <s v="26 Wed"/>
    <s v="Feb"/>
    <s v="2025"/>
    <s v="CUST-1033"/>
    <s v="Meera Joshi"/>
    <x v="2"/>
    <s v="Sports"/>
    <s v="Yoga Mat"/>
    <n v="2"/>
    <n v="699"/>
    <n v="1398"/>
    <n v="10"/>
    <n v="139.80000000000001"/>
    <n v="1258.2"/>
    <s v="UPI"/>
    <x v="0"/>
  </r>
  <r>
    <s v="ORD-2025338"/>
    <s v="26 Wed"/>
    <s v="Feb"/>
    <s v="2025"/>
    <s v="CUST-1132"/>
    <s v="Shreya Sharma"/>
    <x v="2"/>
    <s v="Home &amp; Kitchen"/>
    <s v="Non-stick Pan Set"/>
    <n v="1"/>
    <n v="1299"/>
    <n v="1299"/>
    <n v="20"/>
    <n v="259.8"/>
    <n v="1039.2"/>
    <s v="Credit Card"/>
    <x v="0"/>
  </r>
  <r>
    <s v="ORD-2025339"/>
    <s v="26 Wed"/>
    <s v="Feb"/>
    <s v="2025"/>
    <s v="CUST-1359"/>
    <s v="Arjun Mehta"/>
    <x v="2"/>
    <s v="Electronics"/>
    <s v="Smartwatch"/>
    <n v="1"/>
    <n v="2999"/>
    <n v="2999"/>
    <n v="10"/>
    <n v="299.89999999999998"/>
    <n v="2699.1"/>
    <s v="Credit Card"/>
    <x v="1"/>
  </r>
  <r>
    <s v="ORD-2025340"/>
    <s v="26 Wed"/>
    <s v="Feb"/>
    <s v="2025"/>
    <s v="CUST-1332"/>
    <s v="Rahul Malhotra"/>
    <x v="4"/>
    <s v="Beauty"/>
    <s v="Face Wash 100ml"/>
    <n v="1"/>
    <n v="299"/>
    <n v="299"/>
    <n v="10"/>
    <n v="29.9"/>
    <n v="269.10000000000002"/>
    <s v="Cash"/>
    <x v="0"/>
  </r>
  <r>
    <s v="ORD-2025341"/>
    <s v="27 Thu"/>
    <s v="Feb"/>
    <s v="2025"/>
    <s v="CUST-1386"/>
    <s v="Swati Patel"/>
    <x v="1"/>
    <s v="Apparel"/>
    <s v="Cotton T-Shirt"/>
    <n v="3"/>
    <n v="499"/>
    <n v="1497"/>
    <n v="10"/>
    <n v="149.69999999999999"/>
    <n v="1347.3"/>
    <s v="Debit Card"/>
    <x v="0"/>
  </r>
  <r>
    <s v="ORD-2025342"/>
    <s v="27 Thu"/>
    <s v="Feb"/>
    <s v="2025"/>
    <s v="CUST-1104"/>
    <s v="Nandini Saxena"/>
    <x v="3"/>
    <s v="Home &amp; Kitchen"/>
    <s v="LED Desk Lamp"/>
    <n v="2"/>
    <n v="799"/>
    <n v="1598"/>
    <n v="0"/>
    <n v="0"/>
    <n v="1598"/>
    <s v="Cash"/>
    <x v="0"/>
  </r>
  <r>
    <s v="ORD-2025343"/>
    <s v="27 Thu"/>
    <s v="Feb"/>
    <s v="2025"/>
    <s v="CUST-1384"/>
    <s v="Vivaan Singh"/>
    <x v="4"/>
    <s v="Electronics"/>
    <s v="Bluetooth Headphones"/>
    <n v="1"/>
    <n v="1799"/>
    <n v="1799"/>
    <n v="20"/>
    <n v="359.8"/>
    <n v="1439.2"/>
    <s v="UPI"/>
    <x v="1"/>
  </r>
  <r>
    <s v="ORD-2025344"/>
    <s v="27 Thu"/>
    <s v="Feb"/>
    <s v="2025"/>
    <s v="CUST-1020"/>
    <s v="Rohan Malhotra"/>
    <x v="0"/>
    <s v="Apparel"/>
    <s v="Cotton T-Shirt"/>
    <n v="3"/>
    <n v="499"/>
    <n v="1497"/>
    <n v="0"/>
    <n v="0"/>
    <n v="1497"/>
    <s v="Cash"/>
    <x v="0"/>
  </r>
  <r>
    <s v="ORD-2025345"/>
    <s v="27 Thu"/>
    <s v="Feb"/>
    <s v="2025"/>
    <s v="CUST-1151"/>
    <s v="Aman Patel"/>
    <x v="3"/>
    <s v="Apparel"/>
    <s v="Cotton T-Shirt"/>
    <n v="1"/>
    <n v="499"/>
    <n v="499"/>
    <n v="15"/>
    <n v="74.849999999999994"/>
    <n v="424.15"/>
    <s v="UPI"/>
    <x v="1"/>
  </r>
  <r>
    <s v="ORD-2025346"/>
    <s v="27 Thu"/>
    <s v="Feb"/>
    <s v="2025"/>
    <s v="CUST-1055"/>
    <s v="Rohan Saxena"/>
    <x v="0"/>
    <s v="Stationery"/>
    <s v="Gel Pen Pack"/>
    <n v="1"/>
    <n v="99"/>
    <n v="99"/>
    <n v="0"/>
    <n v="0"/>
    <n v="99"/>
    <s v="UPI"/>
    <x v="0"/>
  </r>
  <r>
    <s v="ORD-2025347"/>
    <s v="27 Thu"/>
    <s v="Feb"/>
    <s v="2025"/>
    <s v="CUST-1176"/>
    <s v="Meera Sharma"/>
    <x v="1"/>
    <s v="Beauty"/>
    <s v="Face Wash 100ml"/>
    <n v="1"/>
    <n v="299"/>
    <n v="299"/>
    <n v="0"/>
    <n v="0"/>
    <n v="299"/>
    <s v="Credit Card"/>
    <x v="0"/>
  </r>
  <r>
    <s v="ORD-2025348"/>
    <s v="27 Thu"/>
    <s v="Feb"/>
    <s v="2025"/>
    <s v="CUST-1188"/>
    <s v="Shreya Malhotra"/>
    <x v="4"/>
    <s v="Electronics"/>
    <s v="Smartwatch"/>
    <n v="1"/>
    <n v="2999"/>
    <n v="2999"/>
    <n v="5"/>
    <n v="149.94999999999999"/>
    <n v="2849.05"/>
    <s v="Credit Card"/>
    <x v="0"/>
  </r>
  <r>
    <s v="ORD-2025349"/>
    <s v="28 Fri"/>
    <s v="Feb"/>
    <s v="2025"/>
    <s v="CUST-1102"/>
    <s v="Aarav Patel"/>
    <x v="0"/>
    <s v="Sports"/>
    <s v="Yoga Mat"/>
    <n v="2"/>
    <n v="699"/>
    <n v="1398"/>
    <n v="15"/>
    <n v="209.7"/>
    <n v="1188.3"/>
    <s v="Cash"/>
    <x v="0"/>
  </r>
  <r>
    <s v="ORD-2025350"/>
    <s v="28 Fri"/>
    <s v="Feb"/>
    <s v="2025"/>
    <s v="CUST-1210"/>
    <s v="Meera Sharma"/>
    <x v="4"/>
    <s v="Home &amp; Kitchen"/>
    <s v="LED Desk Lamp"/>
    <n v="1"/>
    <n v="799"/>
    <n v="799"/>
    <n v="5"/>
    <n v="39.950000000000003"/>
    <n v="759.05"/>
    <s v="Net Banking"/>
    <x v="0"/>
  </r>
  <r>
    <s v="ORD-2025351"/>
    <s v="28 Fri"/>
    <s v="Feb"/>
    <s v="2025"/>
    <s v="CUST-1373"/>
    <s v="Rahul Verma"/>
    <x v="4"/>
    <s v="Apparel"/>
    <s v="Formal Shirt"/>
    <n v="1"/>
    <n v="899"/>
    <n v="899"/>
    <n v="0"/>
    <n v="0"/>
    <n v="899"/>
    <s v="Debit Card"/>
    <x v="0"/>
  </r>
  <r>
    <s v="ORD-2025352"/>
    <s v="28 Fri"/>
    <s v="Feb"/>
    <s v="2025"/>
    <s v="CUST-1025"/>
    <s v="Aditya Singh"/>
    <x v="2"/>
    <s v="Apparel"/>
    <s v="Cotton T-Shirt"/>
    <n v="2"/>
    <n v="499"/>
    <n v="998"/>
    <n v="10"/>
    <n v="99.8"/>
    <n v="898.2"/>
    <s v="Cash"/>
    <x v="0"/>
  </r>
  <r>
    <s v="ORD-2025353"/>
    <s v="28 Fri"/>
    <s v="Feb"/>
    <s v="2025"/>
    <s v="CUST-1174"/>
    <s v="Rahul Singh"/>
    <x v="3"/>
    <s v="Electronics"/>
    <s v="Smartwatch"/>
    <n v="1"/>
    <n v="2999"/>
    <n v="2999"/>
    <n v="15"/>
    <n v="449.85"/>
    <n v="2549.15"/>
    <s v="UPI"/>
    <x v="0"/>
  </r>
  <r>
    <s v="ORD-2025354"/>
    <s v="1 Sat"/>
    <s v="Mar"/>
    <s v="2025"/>
    <s v="CUST-1361"/>
    <s v="Vivaan Kapoor"/>
    <x v="4"/>
    <s v="Groceries"/>
    <s v="Basmati Rice 5kg"/>
    <n v="2"/>
    <n v="549"/>
    <n v="1098"/>
    <n v="0"/>
    <n v="0"/>
    <n v="1098"/>
    <s v="Debit Card"/>
    <x v="0"/>
  </r>
  <r>
    <s v="ORD-2025355"/>
    <s v="1 Sat"/>
    <s v="Mar"/>
    <s v="2025"/>
    <s v="CUST-1149"/>
    <s v="Aarav Verma"/>
    <x v="4"/>
    <s v="Apparel"/>
    <s v="Cotton T-Shirt"/>
    <n v="1"/>
    <n v="499"/>
    <n v="499"/>
    <n v="10"/>
    <n v="49.9"/>
    <n v="449.1"/>
    <s v="Credit Card"/>
    <x v="1"/>
  </r>
  <r>
    <s v="ORD-2025356"/>
    <s v="1 Sat"/>
    <s v="Mar"/>
    <s v="2025"/>
    <s v="CUST-1259"/>
    <s v="Rahul Singh"/>
    <x v="3"/>
    <s v="Beauty"/>
    <s v="Herbal Shampoo"/>
    <n v="2"/>
    <n v="249"/>
    <n v="498"/>
    <n v="0"/>
    <n v="0"/>
    <n v="498"/>
    <s v="Debit Card"/>
    <x v="0"/>
  </r>
  <r>
    <s v="ORD-2025357"/>
    <s v="1 Sat"/>
    <s v="Mar"/>
    <s v="2025"/>
    <s v="CUST-1054"/>
    <s v="Kunal Patel"/>
    <x v="3"/>
    <s v="Beauty"/>
    <s v="Face Wash 100ml"/>
    <n v="1"/>
    <n v="299"/>
    <n v="299"/>
    <n v="0"/>
    <n v="0"/>
    <n v="299"/>
    <s v="Credit Card"/>
    <x v="0"/>
  </r>
  <r>
    <s v="ORD-2025358"/>
    <s v="1 Sat"/>
    <s v="Mar"/>
    <s v="2025"/>
    <s v="CUST-1006"/>
    <s v="Sakshi Singh"/>
    <x v="0"/>
    <s v="Stationery"/>
    <s v="Notebook Set"/>
    <n v="1"/>
    <n v="199"/>
    <n v="199"/>
    <n v="15"/>
    <n v="29.85"/>
    <n v="169.15"/>
    <s v="Net Banking"/>
    <x v="0"/>
  </r>
  <r>
    <s v="ORD-2025359"/>
    <s v="1 Sat"/>
    <s v="Mar"/>
    <s v="2025"/>
    <s v="CUST-1131"/>
    <s v="Aarav Sharma"/>
    <x v="4"/>
    <s v="Sports"/>
    <s v="Yoga Mat"/>
    <n v="1"/>
    <n v="699"/>
    <n v="699"/>
    <n v="0"/>
    <n v="0"/>
    <n v="699"/>
    <s v="Credit Card"/>
    <x v="0"/>
  </r>
  <r>
    <s v="ORD-2025360"/>
    <s v="1 Sat"/>
    <s v="Mar"/>
    <s v="2025"/>
    <s v="CUST-1211"/>
    <s v="Rohan Sharma"/>
    <x v="4"/>
    <s v="Beauty"/>
    <s v="Herbal Shampoo"/>
    <n v="4"/>
    <n v="249"/>
    <n v="996"/>
    <n v="10"/>
    <n v="99.6"/>
    <n v="896.4"/>
    <s v="Credit Card"/>
    <x v="0"/>
  </r>
  <r>
    <s v="ORD-2025361"/>
    <s v="1 Sat"/>
    <s v="Mar"/>
    <s v="2025"/>
    <s v="CUST-1136"/>
    <s v="Kunal Patel"/>
    <x v="1"/>
    <s v="Electronics"/>
    <s v="Bluetooth Headphones"/>
    <n v="4"/>
    <n v="1799"/>
    <n v="7196"/>
    <n v="5"/>
    <n v="359.8"/>
    <n v="6836.2"/>
    <s v="Net Banking"/>
    <x v="0"/>
  </r>
  <r>
    <s v="ORD-2025362"/>
    <s v="1 Sat"/>
    <s v="Mar"/>
    <s v="2025"/>
    <s v="CUST-1004"/>
    <s v="Tanya Malhotra"/>
    <x v="4"/>
    <s v="Sports"/>
    <s v="Cricket Bat"/>
    <n v="2"/>
    <n v="1499"/>
    <n v="2998"/>
    <n v="10"/>
    <n v="299.8"/>
    <n v="2698.2"/>
    <s v="Credit Card"/>
    <x v="1"/>
  </r>
  <r>
    <s v="ORD-2025363"/>
    <s v="1 Sat"/>
    <s v="Mar"/>
    <s v="2025"/>
    <s v="CUST-1231"/>
    <s v="Divya Gupta"/>
    <x v="3"/>
    <s v="Home &amp; Kitchen"/>
    <s v="LED Desk Lamp"/>
    <n v="3"/>
    <n v="799"/>
    <n v="2397"/>
    <n v="10"/>
    <n v="239.7"/>
    <n v="2157.3000000000002"/>
    <s v="Credit Card"/>
    <x v="0"/>
  </r>
  <r>
    <s v="ORD-2025364"/>
    <s v="2 Sun"/>
    <s v="Mar"/>
    <s v="2025"/>
    <s v="CUST-1223"/>
    <s v="Meera Saxena"/>
    <x v="0"/>
    <s v="Electronics"/>
    <s v="Smartwatch"/>
    <n v="1"/>
    <n v="2999"/>
    <n v="2999"/>
    <n v="20"/>
    <n v="599.79999999999995"/>
    <n v="2399.1999999999998"/>
    <s v="UPI"/>
    <x v="0"/>
  </r>
  <r>
    <s v="ORD-2025365"/>
    <s v="2 Sun"/>
    <s v="Mar"/>
    <s v="2025"/>
    <s v="CUST-1177"/>
    <s v="Aditya Malhotra"/>
    <x v="2"/>
    <s v="Electronics"/>
    <s v="Smartwatch"/>
    <n v="2"/>
    <n v="2999"/>
    <n v="5998"/>
    <n v="0"/>
    <n v="0"/>
    <n v="5998"/>
    <s v="Cash"/>
    <x v="0"/>
  </r>
  <r>
    <s v="ORD-2025366"/>
    <s v="2 Sun"/>
    <s v="Mar"/>
    <s v="2025"/>
    <s v="CUST-1242"/>
    <s v="Sakshi Malhotra"/>
    <x v="4"/>
    <s v="Beauty"/>
    <s v="Herbal Shampoo"/>
    <n v="2"/>
    <n v="249"/>
    <n v="498"/>
    <n v="20"/>
    <n v="99.6"/>
    <n v="398.4"/>
    <s v="Cash"/>
    <x v="1"/>
  </r>
  <r>
    <s v="ORD-2025367"/>
    <s v="2 Sun"/>
    <s v="Mar"/>
    <s v="2025"/>
    <s v="CUST-1331"/>
    <s v="Arjun Singh"/>
    <x v="4"/>
    <s v="Apparel"/>
    <s v="Cotton T-Shirt"/>
    <n v="1"/>
    <n v="499"/>
    <n v="499"/>
    <n v="0"/>
    <n v="0"/>
    <n v="499"/>
    <s v="Cash"/>
    <x v="0"/>
  </r>
  <r>
    <s v="ORD-2025368"/>
    <s v="2 Sun"/>
    <s v="Mar"/>
    <s v="2025"/>
    <s v="CUST-1348"/>
    <s v="Ankit Malhotra"/>
    <x v="0"/>
    <s v="Apparel"/>
    <s v="Cotton T-Shirt"/>
    <n v="1"/>
    <n v="499"/>
    <n v="499"/>
    <n v="5"/>
    <n v="24.95"/>
    <n v="474.05"/>
    <s v="UPI"/>
    <x v="0"/>
  </r>
  <r>
    <s v="ORD-2025369"/>
    <s v="2 Sun"/>
    <s v="Mar"/>
    <s v="2025"/>
    <s v="CUST-1111"/>
    <s v="Swati Joshi"/>
    <x v="2"/>
    <s v="Electronics"/>
    <s v="Bluetooth Headphones"/>
    <n v="1"/>
    <n v="1799"/>
    <n v="1799"/>
    <n v="20"/>
    <n v="359.8"/>
    <n v="1439.2"/>
    <s v="UPI"/>
    <x v="1"/>
  </r>
  <r>
    <s v="ORD-2025370"/>
    <s v="2 Sun"/>
    <s v="Mar"/>
    <s v="2025"/>
    <s v="CUST-1192"/>
    <s v="Kunal Singh"/>
    <x v="0"/>
    <s v="Apparel"/>
    <s v="Cotton T-Shirt"/>
    <n v="1"/>
    <n v="499"/>
    <n v="499"/>
    <n v="15"/>
    <n v="74.849999999999994"/>
    <n v="424.15"/>
    <s v="Debit Card"/>
    <x v="0"/>
  </r>
  <r>
    <s v="ORD-2025371"/>
    <s v="2 Sun"/>
    <s v="Mar"/>
    <s v="2025"/>
    <s v="CUST-1027"/>
    <s v="Aditya Gupta"/>
    <x v="0"/>
    <s v="Groceries"/>
    <s v="Basmati Rice 5kg"/>
    <n v="2"/>
    <n v="549"/>
    <n v="1098"/>
    <n v="0"/>
    <n v="0"/>
    <n v="1098"/>
    <s v="Cash"/>
    <x v="1"/>
  </r>
  <r>
    <s v="ORD-2025372"/>
    <s v="2 Sun"/>
    <s v="Mar"/>
    <s v="2025"/>
    <s v="CUST-1195"/>
    <s v="Komal Gupta"/>
    <x v="1"/>
    <s v="Apparel"/>
    <s v="Denim Jacket"/>
    <n v="1"/>
    <n v="1999"/>
    <n v="1999"/>
    <n v="15"/>
    <n v="299.85000000000002"/>
    <n v="1699.15"/>
    <s v="Net Banking"/>
    <x v="0"/>
  </r>
  <r>
    <s v="ORD-2025373"/>
    <s v="2 Sun"/>
    <s v="Mar"/>
    <s v="2025"/>
    <s v="CUST-1209"/>
    <s v="Meera Mehta"/>
    <x v="1"/>
    <s v="Electronics"/>
    <s v="Bluetooth Headphones"/>
    <n v="2"/>
    <n v="1799"/>
    <n v="3598"/>
    <n v="10"/>
    <n v="359.8"/>
    <n v="3238.2"/>
    <s v="Debit Card"/>
    <x v="0"/>
  </r>
  <r>
    <s v="ORD-2025374"/>
    <s v="3 Mon"/>
    <s v="Mar"/>
    <s v="2025"/>
    <s v="CUST-1074"/>
    <s v="Kabir Kapoor"/>
    <x v="2"/>
    <s v="Home &amp; Kitchen"/>
    <s v="LED Desk Lamp"/>
    <n v="1"/>
    <n v="799"/>
    <n v="799"/>
    <n v="5"/>
    <n v="39.950000000000003"/>
    <n v="759.05"/>
    <s v="Credit Card"/>
    <x v="0"/>
  </r>
  <r>
    <s v="ORD-2025375"/>
    <s v="3 Mon"/>
    <s v="Mar"/>
    <s v="2025"/>
    <s v="CUST-1312"/>
    <s v="Sakshi Saxena"/>
    <x v="4"/>
    <s v="Sports"/>
    <s v="Cricket Bat"/>
    <n v="2"/>
    <n v="1499"/>
    <n v="2998"/>
    <n v="15"/>
    <n v="449.7"/>
    <n v="2548.3000000000002"/>
    <s v="Credit Card"/>
    <x v="1"/>
  </r>
  <r>
    <s v="ORD-2025376"/>
    <s v="3 Mon"/>
    <s v="Mar"/>
    <s v="2025"/>
    <s v="CUST-1288"/>
    <s v="Aditya Mehta"/>
    <x v="0"/>
    <s v="Home &amp; Kitchen"/>
    <s v="LED Desk Lamp"/>
    <n v="4"/>
    <n v="799"/>
    <n v="3196"/>
    <n v="0"/>
    <n v="0"/>
    <n v="3196"/>
    <s v="UPI"/>
    <x v="0"/>
  </r>
  <r>
    <s v="ORD-2025377"/>
    <s v="3 Mon"/>
    <s v="Mar"/>
    <s v="2025"/>
    <s v="CUST-1103"/>
    <s v="Muskan Gupta"/>
    <x v="1"/>
    <s v="Beauty"/>
    <s v="Herbal Shampoo"/>
    <n v="1"/>
    <n v="249"/>
    <n v="249"/>
    <n v="0"/>
    <n v="0"/>
    <n v="249"/>
    <s v="Credit Card"/>
    <x v="1"/>
  </r>
  <r>
    <s v="ORD-2025378"/>
    <s v="4 Tue"/>
    <s v="Mar"/>
    <s v="2025"/>
    <s v="CUST-1213"/>
    <s v="Ankit Patel"/>
    <x v="4"/>
    <s v="Apparel"/>
    <s v="Cotton T-Shirt"/>
    <n v="1"/>
    <n v="499"/>
    <n v="499"/>
    <n v="15"/>
    <n v="74.849999999999994"/>
    <n v="424.15"/>
    <s v="Cash"/>
    <x v="0"/>
  </r>
  <r>
    <s v="ORD-2025379"/>
    <s v="4 Tue"/>
    <s v="Mar"/>
    <s v="2025"/>
    <s v="CUST-1071"/>
    <s v="Kabir Malhotra"/>
    <x v="2"/>
    <s v="Beauty"/>
    <s v="Face Wash 100ml"/>
    <n v="1"/>
    <n v="299"/>
    <n v="299"/>
    <n v="0"/>
    <n v="0"/>
    <n v="299"/>
    <s v="Net Banking"/>
    <x v="1"/>
  </r>
  <r>
    <s v="ORD-2025380"/>
    <s v="4 Tue"/>
    <s v="Mar"/>
    <s v="2025"/>
    <s v="CUST-1122"/>
    <s v="Aditya Kapoor"/>
    <x v="3"/>
    <s v="Apparel"/>
    <s v="Cotton T-Shirt"/>
    <n v="1"/>
    <n v="499"/>
    <n v="499"/>
    <n v="15"/>
    <n v="74.849999999999994"/>
    <n v="424.15"/>
    <s v="Credit Card"/>
    <x v="0"/>
  </r>
  <r>
    <s v="ORD-2025381"/>
    <s v="4 Tue"/>
    <s v="Mar"/>
    <s v="2025"/>
    <s v="CUST-1116"/>
    <s v="Sakshi Mehta"/>
    <x v="4"/>
    <s v="Apparel"/>
    <s v="Cotton T-Shirt"/>
    <n v="1"/>
    <n v="499"/>
    <n v="499"/>
    <n v="20"/>
    <n v="99.8"/>
    <n v="399.2"/>
    <s v="Net Banking"/>
    <x v="1"/>
  </r>
  <r>
    <s v="ORD-2025382"/>
    <s v="4 Tue"/>
    <s v="Mar"/>
    <s v="2025"/>
    <s v="CUST-1136"/>
    <s v="Kunal Patel"/>
    <x v="4"/>
    <s v="Beauty"/>
    <s v="Face Wash 100ml"/>
    <n v="3"/>
    <n v="299"/>
    <n v="897"/>
    <n v="15"/>
    <n v="134.55000000000001"/>
    <n v="762.45"/>
    <s v="UPI"/>
    <x v="0"/>
  </r>
  <r>
    <s v="ORD-2025383"/>
    <s v="4 Tue"/>
    <s v="Mar"/>
    <s v="2025"/>
    <s v="CUST-1176"/>
    <s v="Meera Sharma"/>
    <x v="2"/>
    <s v="Stationery"/>
    <s v="Gel Pen Pack"/>
    <n v="2"/>
    <n v="99"/>
    <n v="198"/>
    <n v="15"/>
    <n v="29.7"/>
    <n v="168.3"/>
    <s v="Credit Card"/>
    <x v="1"/>
  </r>
  <r>
    <s v="ORD-2025384"/>
    <s v="4 Tue"/>
    <s v="Mar"/>
    <s v="2025"/>
    <s v="CUST-1264"/>
    <s v="Vivaan Malhotra"/>
    <x v="1"/>
    <s v="Beauty"/>
    <s v="Face Wash 100ml"/>
    <n v="2"/>
    <n v="299"/>
    <n v="598"/>
    <n v="20"/>
    <n v="119.6"/>
    <n v="478.4"/>
    <s v="Credit Card"/>
    <x v="0"/>
  </r>
  <r>
    <s v="ORD-2025385"/>
    <s v="4 Tue"/>
    <s v="Mar"/>
    <s v="2025"/>
    <s v="CUST-1021"/>
    <s v="Isha Patel"/>
    <x v="4"/>
    <s v="Groceries"/>
    <s v="Basmati Rice 5kg"/>
    <n v="5"/>
    <n v="549"/>
    <n v="2745"/>
    <n v="10"/>
    <n v="274.5"/>
    <n v="2470.5"/>
    <s v="Credit Card"/>
    <x v="0"/>
  </r>
  <r>
    <s v="ORD-2025386"/>
    <s v="4 Tue"/>
    <s v="Mar"/>
    <s v="2025"/>
    <s v="CUST-1108"/>
    <s v="Kunal Patel"/>
    <x v="0"/>
    <s v="Beauty"/>
    <s v="Face Wash 100ml"/>
    <n v="1"/>
    <n v="299"/>
    <n v="299"/>
    <n v="5"/>
    <n v="14.95"/>
    <n v="284.05"/>
    <s v="Debit Card"/>
    <x v="1"/>
  </r>
  <r>
    <s v="ORD-2025387"/>
    <s v="4 Tue"/>
    <s v="Mar"/>
    <s v="2025"/>
    <s v="CUST-1391"/>
    <s v="Kunal Gupta"/>
    <x v="2"/>
    <s v="Home &amp; Kitchen"/>
    <s v="LED Desk Lamp"/>
    <n v="2"/>
    <n v="799"/>
    <n v="1598"/>
    <n v="0"/>
    <n v="0"/>
    <n v="1598"/>
    <s v="Debit Card"/>
    <x v="1"/>
  </r>
  <r>
    <s v="ORD-2025388"/>
    <s v="4 Tue"/>
    <s v="Mar"/>
    <s v="2025"/>
    <s v="CUST-1100"/>
    <s v="Vivaan Saxena"/>
    <x v="1"/>
    <s v="Stationery"/>
    <s v="Notebook Set"/>
    <n v="3"/>
    <n v="199"/>
    <n v="597"/>
    <n v="20"/>
    <n v="119.4"/>
    <n v="477.6"/>
    <s v="Credit Card"/>
    <x v="0"/>
  </r>
  <r>
    <s v="ORD-2025389"/>
    <s v="4 Tue"/>
    <s v="Mar"/>
    <s v="2025"/>
    <s v="CUST-1294"/>
    <s v="Kabir Joshi"/>
    <x v="4"/>
    <s v="Electronics"/>
    <s v="Smartwatch"/>
    <n v="5"/>
    <n v="2999"/>
    <n v="14995"/>
    <n v="20"/>
    <n v="2999"/>
    <n v="11996"/>
    <s v="Net Banking"/>
    <x v="1"/>
  </r>
  <r>
    <s v="ORD-2025390"/>
    <s v="5 Wed"/>
    <s v="Mar"/>
    <s v="2025"/>
    <s v="CUST-1364"/>
    <s v="Rahul Malhotra"/>
    <x v="3"/>
    <s v="Groceries"/>
    <s v="Organic Honey 500g"/>
    <n v="3"/>
    <n v="349"/>
    <n v="1047"/>
    <n v="5"/>
    <n v="52.35"/>
    <n v="994.65"/>
    <s v="Cash"/>
    <x v="1"/>
  </r>
  <r>
    <s v="ORD-2025391"/>
    <s v="5 Wed"/>
    <s v="Mar"/>
    <s v="2025"/>
    <s v="CUST-1122"/>
    <s v="Aditya Kapoor"/>
    <x v="1"/>
    <s v="Apparel"/>
    <s v="Cotton T-Shirt"/>
    <n v="3"/>
    <n v="499"/>
    <n v="1497"/>
    <n v="15"/>
    <n v="224.55"/>
    <n v="1272.45"/>
    <s v="Debit Card"/>
    <x v="0"/>
  </r>
  <r>
    <s v="ORD-2025392"/>
    <s v="5 Wed"/>
    <s v="Mar"/>
    <s v="2025"/>
    <s v="CUST-1080"/>
    <s v="Kabir Sharma"/>
    <x v="2"/>
    <s v="Electronics"/>
    <s v="Bluetooth Headphones"/>
    <n v="3"/>
    <n v="1799"/>
    <n v="5397"/>
    <n v="20"/>
    <n v="1079.4000000000001"/>
    <n v="4317.6000000000004"/>
    <s v="UPI"/>
    <x v="1"/>
  </r>
  <r>
    <s v="ORD-2025393"/>
    <s v="5 Wed"/>
    <s v="Mar"/>
    <s v="2025"/>
    <s v="CUST-1095"/>
    <s v="Nandini Joshi"/>
    <x v="2"/>
    <s v="Sports"/>
    <s v="Yoga Mat"/>
    <n v="1"/>
    <n v="699"/>
    <n v="699"/>
    <n v="10"/>
    <n v="69.900000000000006"/>
    <n v="629.1"/>
    <s v="Net Banking"/>
    <x v="1"/>
  </r>
  <r>
    <s v="ORD-2025394"/>
    <s v="5 Wed"/>
    <s v="Mar"/>
    <s v="2025"/>
    <s v="CUST-1135"/>
    <s v="Shreya Joshi"/>
    <x v="0"/>
    <s v="Stationery"/>
    <s v="Gel Pen Pack"/>
    <n v="4"/>
    <n v="99"/>
    <n v="396"/>
    <n v="0"/>
    <n v="0"/>
    <n v="396"/>
    <s v="UPI"/>
    <x v="0"/>
  </r>
  <r>
    <s v="ORD-2025395"/>
    <s v="5 Wed"/>
    <s v="Mar"/>
    <s v="2025"/>
    <s v="CUST-1085"/>
    <s v="Shreya Mehta"/>
    <x v="2"/>
    <s v="Beauty"/>
    <s v="Face Wash 100ml"/>
    <n v="1"/>
    <n v="299"/>
    <n v="299"/>
    <n v="0"/>
    <n v="0"/>
    <n v="299"/>
    <s v="Net Banking"/>
    <x v="0"/>
  </r>
  <r>
    <s v="ORD-2025396"/>
    <s v="6 Thu"/>
    <s v="Mar"/>
    <s v="2025"/>
    <s v="CUST-1064"/>
    <s v="Ankit Mehta"/>
    <x v="1"/>
    <s v="Beauty"/>
    <s v="Herbal Shampoo"/>
    <n v="2"/>
    <n v="249"/>
    <n v="498"/>
    <n v="0"/>
    <n v="0"/>
    <n v="498"/>
    <s v="Credit Card"/>
    <x v="1"/>
  </r>
  <r>
    <s v="ORD-2025397"/>
    <s v="6 Thu"/>
    <s v="Mar"/>
    <s v="2025"/>
    <s v="CUST-1164"/>
    <s v="Kabir Malhotra"/>
    <x v="2"/>
    <s v="Stationery"/>
    <s v="Gel Pen Pack"/>
    <n v="5"/>
    <n v="99"/>
    <n v="495"/>
    <n v="5"/>
    <n v="24.75"/>
    <n v="470.25"/>
    <s v="UPI"/>
    <x v="0"/>
  </r>
  <r>
    <s v="ORD-2025398"/>
    <s v="6 Thu"/>
    <s v="Mar"/>
    <s v="2025"/>
    <s v="CUST-1234"/>
    <s v="Meera Sharma"/>
    <x v="1"/>
    <s v="Sports"/>
    <s v="Cricket Bat"/>
    <n v="1"/>
    <n v="1499"/>
    <n v="1499"/>
    <n v="0"/>
    <n v="0"/>
    <n v="1499"/>
    <s v="Credit Card"/>
    <x v="1"/>
  </r>
  <r>
    <s v="ORD-2025399"/>
    <s v="6 Thu"/>
    <s v="Mar"/>
    <s v="2025"/>
    <s v="CUST-1218"/>
    <s v="Rahul Singh"/>
    <x v="0"/>
    <s v="Beauty"/>
    <s v="Face Wash 100ml"/>
    <n v="1"/>
    <n v="299"/>
    <n v="299"/>
    <n v="20"/>
    <n v="59.8"/>
    <n v="239.2"/>
    <s v="Debit Card"/>
    <x v="0"/>
  </r>
  <r>
    <s v="ORD-2025400"/>
    <s v="6 Thu"/>
    <s v="Mar"/>
    <s v="2025"/>
    <s v="CUST-1235"/>
    <s v="Meera Verma"/>
    <x v="3"/>
    <s v="Apparel"/>
    <s v="Formal Shirt"/>
    <n v="2"/>
    <n v="899"/>
    <n v="1798"/>
    <n v="0"/>
    <n v="0"/>
    <n v="1798"/>
    <s v="Debit Card"/>
    <x v="0"/>
  </r>
  <r>
    <s v="ORD-2025401"/>
    <s v="7 Fri"/>
    <s v="Mar"/>
    <s v="2025"/>
    <s v="CUST-1373"/>
    <s v="Rahul Verma"/>
    <x v="2"/>
    <s v="Stationery"/>
    <s v="Notebook Set"/>
    <n v="1"/>
    <n v="199"/>
    <n v="199"/>
    <n v="0"/>
    <n v="0"/>
    <n v="199"/>
    <s v="Credit Card"/>
    <x v="0"/>
  </r>
  <r>
    <s v="ORD-2025402"/>
    <s v="7 Fri"/>
    <s v="Mar"/>
    <s v="2025"/>
    <s v="CUST-1201"/>
    <s v="Tanya Joshi"/>
    <x v="1"/>
    <s v="Apparel"/>
    <s v="Cotton T-Shirt"/>
    <n v="1"/>
    <n v="499"/>
    <n v="499"/>
    <n v="5"/>
    <n v="24.95"/>
    <n v="474.05"/>
    <s v="UPI"/>
    <x v="0"/>
  </r>
  <r>
    <s v="ORD-2025403"/>
    <s v="7 Fri"/>
    <s v="Mar"/>
    <s v="2025"/>
    <s v="CUST-1176"/>
    <s v="Meera Sharma"/>
    <x v="0"/>
    <s v="Electronics"/>
    <s v="Smartwatch"/>
    <n v="1"/>
    <n v="2999"/>
    <n v="2999"/>
    <n v="10"/>
    <n v="299.89999999999998"/>
    <n v="2699.1"/>
    <s v="Cash"/>
    <x v="1"/>
  </r>
  <r>
    <s v="ORD-2025404"/>
    <s v="7 Fri"/>
    <s v="Mar"/>
    <s v="2025"/>
    <s v="CUST-1072"/>
    <s v="Tanya Sharma"/>
    <x v="3"/>
    <s v="Electronics"/>
    <s v="Smartwatch"/>
    <n v="3"/>
    <n v="2999"/>
    <n v="8997"/>
    <n v="0"/>
    <n v="0"/>
    <n v="8997"/>
    <s v="Cash"/>
    <x v="1"/>
  </r>
  <r>
    <s v="ORD-2025405"/>
    <s v="7 Fri"/>
    <s v="Mar"/>
    <s v="2025"/>
    <s v="CUST-1036"/>
    <s v="Nandini Mehta"/>
    <x v="3"/>
    <s v="Beauty"/>
    <s v="Herbal Shampoo"/>
    <n v="4"/>
    <n v="249"/>
    <n v="996"/>
    <n v="0"/>
    <n v="0"/>
    <n v="996"/>
    <s v="Credit Card"/>
    <x v="0"/>
  </r>
  <r>
    <s v="ORD-2025406"/>
    <s v="7 Fri"/>
    <s v="Mar"/>
    <s v="2025"/>
    <s v="CUST-1248"/>
    <s v="Meera Saxena"/>
    <x v="4"/>
    <s v="Sports"/>
    <s v="Yoga Mat"/>
    <n v="2"/>
    <n v="699"/>
    <n v="1398"/>
    <n v="0"/>
    <n v="0"/>
    <n v="1398"/>
    <s v="Debit Card"/>
    <x v="0"/>
  </r>
  <r>
    <s v="ORD-2025407"/>
    <s v="7 Fri"/>
    <s v="Mar"/>
    <s v="2025"/>
    <s v="CUST-1256"/>
    <s v="Rohan Singh"/>
    <x v="2"/>
    <s v="Apparel"/>
    <s v="Formal Shirt"/>
    <n v="4"/>
    <n v="899"/>
    <n v="3596"/>
    <n v="0"/>
    <n v="0"/>
    <n v="3596"/>
    <s v="Credit Card"/>
    <x v="0"/>
  </r>
  <r>
    <s v="ORD-2025408"/>
    <s v="7 Fri"/>
    <s v="Mar"/>
    <s v="2025"/>
    <s v="CUST-1215"/>
    <s v="Arjun Singh"/>
    <x v="2"/>
    <s v="Beauty"/>
    <s v="Face Wash 100ml"/>
    <n v="3"/>
    <n v="299"/>
    <n v="897"/>
    <n v="20"/>
    <n v="179.4"/>
    <n v="717.6"/>
    <s v="Credit Card"/>
    <x v="1"/>
  </r>
  <r>
    <s v="ORD-2025409"/>
    <s v="8 Sat"/>
    <s v="Mar"/>
    <s v="2025"/>
    <s v="CUST-1277"/>
    <s v="Vivaan Sharma"/>
    <x v="0"/>
    <s v="Beauty"/>
    <s v="Herbal Shampoo"/>
    <n v="1"/>
    <n v="249"/>
    <n v="249"/>
    <n v="5"/>
    <n v="12.45"/>
    <n v="236.55"/>
    <s v="Debit Card"/>
    <x v="0"/>
  </r>
  <r>
    <s v="ORD-2025410"/>
    <s v="8 Sat"/>
    <s v="Mar"/>
    <s v="2025"/>
    <s v="CUST-1005"/>
    <s v="Rohan Malhotra"/>
    <x v="0"/>
    <s v="Apparel"/>
    <s v="Denim Jacket"/>
    <n v="1"/>
    <n v="1999"/>
    <n v="1999"/>
    <n v="10"/>
    <n v="199.9"/>
    <n v="1799.1"/>
    <s v="Cash"/>
    <x v="0"/>
  </r>
  <r>
    <s v="ORD-2025411"/>
    <s v="8 Sat"/>
    <s v="Mar"/>
    <s v="2025"/>
    <s v="CUST-1138"/>
    <s v="Tanya Singh"/>
    <x v="1"/>
    <s v="Stationery"/>
    <s v="Gel Pen Pack"/>
    <n v="3"/>
    <n v="99"/>
    <n v="297"/>
    <n v="20"/>
    <n v="59.4"/>
    <n v="237.6"/>
    <s v="Debit Card"/>
    <x v="0"/>
  </r>
  <r>
    <s v="ORD-2025412"/>
    <s v="8 Sat"/>
    <s v="Mar"/>
    <s v="2025"/>
    <s v="CUST-1127"/>
    <s v="Muskan Joshi"/>
    <x v="2"/>
    <s v="Apparel"/>
    <s v="Denim Jacket"/>
    <n v="2"/>
    <n v="1999"/>
    <n v="3998"/>
    <n v="0"/>
    <n v="0"/>
    <n v="3998"/>
    <s v="Debit Card"/>
    <x v="0"/>
  </r>
  <r>
    <s v="ORD-2025413"/>
    <s v="8 Sat"/>
    <s v="Mar"/>
    <s v="2025"/>
    <s v="CUST-1394"/>
    <s v="Tanya Malhotra"/>
    <x v="0"/>
    <s v="Electronics"/>
    <s v="Smartwatch"/>
    <n v="3"/>
    <n v="2999"/>
    <n v="8997"/>
    <n v="15"/>
    <n v="1349.55"/>
    <n v="7647.45"/>
    <s v="Debit Card"/>
    <x v="0"/>
  </r>
  <r>
    <s v="ORD-2025414"/>
    <s v="8 Sat"/>
    <s v="Mar"/>
    <s v="2025"/>
    <s v="CUST-1195"/>
    <s v="Komal Gupta"/>
    <x v="2"/>
    <s v="Stationery"/>
    <s v="Gel Pen Pack"/>
    <n v="1"/>
    <n v="99"/>
    <n v="99"/>
    <n v="0"/>
    <n v="0"/>
    <n v="99"/>
    <s v="Debit Card"/>
    <x v="0"/>
  </r>
  <r>
    <s v="ORD-2025415"/>
    <s v="8 Sat"/>
    <s v="Mar"/>
    <s v="2025"/>
    <s v="CUST-1056"/>
    <s v="Aarav Kapoor"/>
    <x v="2"/>
    <s v="Stationery"/>
    <s v="Notebook Set"/>
    <n v="2"/>
    <n v="199"/>
    <n v="398"/>
    <n v="10"/>
    <n v="39.799999999999997"/>
    <n v="358.2"/>
    <s v="Debit Card"/>
    <x v="0"/>
  </r>
  <r>
    <s v="ORD-2025416"/>
    <s v="8 Sat"/>
    <s v="Mar"/>
    <s v="2025"/>
    <s v="CUST-1203"/>
    <s v="Ankit Verma"/>
    <x v="2"/>
    <s v="Stationery"/>
    <s v="Notebook Set"/>
    <n v="3"/>
    <n v="199"/>
    <n v="597"/>
    <n v="0"/>
    <n v="0"/>
    <n v="597"/>
    <s v="Debit Card"/>
    <x v="0"/>
  </r>
  <r>
    <s v="ORD-2025417"/>
    <s v="9 Sun"/>
    <s v="Mar"/>
    <s v="2025"/>
    <s v="CUST-1259"/>
    <s v="Rahul Singh"/>
    <x v="3"/>
    <s v="Beauty"/>
    <s v="Herbal Shampoo"/>
    <n v="3"/>
    <n v="249"/>
    <n v="747"/>
    <n v="0"/>
    <n v="0"/>
    <n v="747"/>
    <s v="Debit Card"/>
    <x v="1"/>
  </r>
  <r>
    <s v="ORD-2025418"/>
    <s v="9 Sun"/>
    <s v="Mar"/>
    <s v="2025"/>
    <s v="CUST-1362"/>
    <s v="Shreya Malhotra"/>
    <x v="0"/>
    <s v="Stationery"/>
    <s v="Notebook Set"/>
    <n v="1"/>
    <n v="199"/>
    <n v="199"/>
    <n v="0"/>
    <n v="0"/>
    <n v="199"/>
    <s v="Credit Card"/>
    <x v="1"/>
  </r>
  <r>
    <s v="ORD-2025419"/>
    <s v="9 Sun"/>
    <s v="Mar"/>
    <s v="2025"/>
    <s v="CUST-1072"/>
    <s v="Tanya Sharma"/>
    <x v="3"/>
    <s v="Electronics"/>
    <s v="Wireless Mouse"/>
    <n v="2"/>
    <n v="599"/>
    <n v="1198"/>
    <n v="10"/>
    <n v="119.8"/>
    <n v="1078.2"/>
    <s v="Credit Card"/>
    <x v="0"/>
  </r>
  <r>
    <s v="ORD-2025420"/>
    <s v="9 Sun"/>
    <s v="Mar"/>
    <s v="2025"/>
    <s v="CUST-1133"/>
    <s v="Kunal Mehta"/>
    <x v="3"/>
    <s v="Home &amp; Kitchen"/>
    <s v="LED Desk Lamp"/>
    <n v="2"/>
    <n v="799"/>
    <n v="1598"/>
    <n v="0"/>
    <n v="0"/>
    <n v="1598"/>
    <s v="Net Banking"/>
    <x v="0"/>
  </r>
  <r>
    <s v="ORD-2025421"/>
    <s v="9 Sun"/>
    <s v="Mar"/>
    <s v="2025"/>
    <s v="CUST-1323"/>
    <s v="Muskan Verma"/>
    <x v="0"/>
    <s v="Beauty"/>
    <s v="Face Wash 100ml"/>
    <n v="1"/>
    <n v="299"/>
    <n v="299"/>
    <n v="20"/>
    <n v="59.8"/>
    <n v="239.2"/>
    <s v="Net Banking"/>
    <x v="0"/>
  </r>
  <r>
    <s v="ORD-2025422"/>
    <s v="9 Sun"/>
    <s v="Mar"/>
    <s v="2025"/>
    <s v="CUST-1023"/>
    <s v="Rohan Sharma"/>
    <x v="0"/>
    <s v="Beauty"/>
    <s v="Face Wash 100ml"/>
    <n v="1"/>
    <n v="299"/>
    <n v="299"/>
    <n v="15"/>
    <n v="44.85"/>
    <n v="254.15"/>
    <s v="Debit Card"/>
    <x v="0"/>
  </r>
  <r>
    <s v="ORD-2025423"/>
    <s v="10 Mon"/>
    <s v="Mar"/>
    <s v="2025"/>
    <s v="CUST-1187"/>
    <s v="Kabir Saxena"/>
    <x v="3"/>
    <s v="Beauty"/>
    <s v="Herbal Shampoo"/>
    <n v="2"/>
    <n v="249"/>
    <n v="498"/>
    <n v="10"/>
    <n v="49.8"/>
    <n v="448.2"/>
    <s v="UPI"/>
    <x v="0"/>
  </r>
  <r>
    <s v="ORD-2025424"/>
    <s v="10 Mon"/>
    <s v="Mar"/>
    <s v="2025"/>
    <s v="CUST-1114"/>
    <s v="Vivaan Malhotra"/>
    <x v="2"/>
    <s v="Sports"/>
    <s v="Cricket Bat"/>
    <n v="1"/>
    <n v="1499"/>
    <n v="1499"/>
    <n v="15"/>
    <n v="224.85"/>
    <n v="1274.1500000000001"/>
    <s v="Net Banking"/>
    <x v="0"/>
  </r>
  <r>
    <s v="ORD-2025425"/>
    <s v="10 Mon"/>
    <s v="Mar"/>
    <s v="2025"/>
    <s v="CUST-1107"/>
    <s v="Isha Sharma"/>
    <x v="1"/>
    <s v="Home &amp; Kitchen"/>
    <s v="LED Desk Lamp"/>
    <n v="1"/>
    <n v="799"/>
    <n v="799"/>
    <n v="0"/>
    <n v="0"/>
    <n v="799"/>
    <s v="UPI"/>
    <x v="1"/>
  </r>
  <r>
    <s v="ORD-2025426"/>
    <s v="11 Tue"/>
    <s v="Mar"/>
    <s v="2025"/>
    <s v="CUST-1399"/>
    <s v="Vivaan Verma"/>
    <x v="0"/>
    <s v="Home &amp; Kitchen"/>
    <s v="Non-stick Pan Set"/>
    <n v="4"/>
    <n v="1299"/>
    <n v="5196"/>
    <n v="0"/>
    <n v="0"/>
    <n v="5196"/>
    <s v="Net Banking"/>
    <x v="1"/>
  </r>
  <r>
    <s v="ORD-2025427"/>
    <s v="11 Tue"/>
    <s v="Mar"/>
    <s v="2025"/>
    <s v="CUST-1274"/>
    <s v="Muskan Singh"/>
    <x v="3"/>
    <s v="Home &amp; Kitchen"/>
    <s v="Non-stick Pan Set"/>
    <n v="1"/>
    <n v="1299"/>
    <n v="1299"/>
    <n v="0"/>
    <n v="0"/>
    <n v="1299"/>
    <s v="Debit Card"/>
    <x v="0"/>
  </r>
  <r>
    <s v="ORD-2025428"/>
    <s v="11 Tue"/>
    <s v="Mar"/>
    <s v="2025"/>
    <s v="CUST-1386"/>
    <s v="Swati Patel"/>
    <x v="1"/>
    <s v="Stationery"/>
    <s v="Notebook Set"/>
    <n v="1"/>
    <n v="199"/>
    <n v="199"/>
    <n v="0"/>
    <n v="0"/>
    <n v="199"/>
    <s v="Cash"/>
    <x v="0"/>
  </r>
  <r>
    <s v="ORD-2025429"/>
    <s v="11 Tue"/>
    <s v="Mar"/>
    <s v="2025"/>
    <s v="CUST-1347"/>
    <s v="Ankit Joshi"/>
    <x v="4"/>
    <s v="Stationery"/>
    <s v="Notebook Set"/>
    <n v="1"/>
    <n v="199"/>
    <n v="199"/>
    <n v="0"/>
    <n v="0"/>
    <n v="199"/>
    <s v="UPI"/>
    <x v="0"/>
  </r>
  <r>
    <s v="ORD-2025430"/>
    <s v="11 Tue"/>
    <s v="Mar"/>
    <s v="2025"/>
    <s v="CUST-1042"/>
    <s v="Kunal Saxena"/>
    <x v="2"/>
    <s v="Sports"/>
    <s v="Yoga Mat"/>
    <n v="1"/>
    <n v="699"/>
    <n v="699"/>
    <n v="0"/>
    <n v="0"/>
    <n v="699"/>
    <s v="Debit Card"/>
    <x v="0"/>
  </r>
  <r>
    <s v="ORD-2025431"/>
    <s v="11 Tue"/>
    <s v="Mar"/>
    <s v="2025"/>
    <s v="CUST-1024"/>
    <s v="Tanya Singh"/>
    <x v="1"/>
    <s v="Sports"/>
    <s v="Yoga Mat"/>
    <n v="3"/>
    <n v="699"/>
    <n v="2097"/>
    <n v="10"/>
    <n v="209.7"/>
    <n v="1887.3"/>
    <s v="Credit Card"/>
    <x v="0"/>
  </r>
  <r>
    <s v="ORD-2025432"/>
    <s v="11 Tue"/>
    <s v="Mar"/>
    <s v="2025"/>
    <s v="CUST-1011"/>
    <s v="Kunal Sharma"/>
    <x v="0"/>
    <s v="Groceries"/>
    <s v="Basmati Rice 5kg"/>
    <n v="2"/>
    <n v="549"/>
    <n v="1098"/>
    <n v="0"/>
    <n v="0"/>
    <n v="1098"/>
    <s v="Credit Card"/>
    <x v="1"/>
  </r>
  <r>
    <s v="ORD-2025433"/>
    <s v="12 Wed"/>
    <s v="Mar"/>
    <s v="2025"/>
    <s v="CUST-1382"/>
    <s v="Meera Verma"/>
    <x v="4"/>
    <s v="Apparel"/>
    <s v="Denim Jacket"/>
    <n v="2"/>
    <n v="1999"/>
    <n v="3998"/>
    <n v="10"/>
    <n v="399.8"/>
    <n v="3598.2"/>
    <s v="Debit Card"/>
    <x v="1"/>
  </r>
  <r>
    <s v="ORD-2025434"/>
    <s v="12 Wed"/>
    <s v="Mar"/>
    <s v="2025"/>
    <s v="CUST-1168"/>
    <s v="Nandini Joshi"/>
    <x v="2"/>
    <s v="Electronics"/>
    <s v="Bluetooth Headphones"/>
    <n v="1"/>
    <n v="1799"/>
    <n v="1799"/>
    <n v="15"/>
    <n v="269.85000000000002"/>
    <n v="1529.15"/>
    <s v="Debit Card"/>
    <x v="1"/>
  </r>
  <r>
    <s v="ORD-2025435"/>
    <s v="12 Wed"/>
    <s v="Mar"/>
    <s v="2025"/>
    <s v="CUST-1050"/>
    <s v="Rohan Gupta"/>
    <x v="0"/>
    <s v="Stationery"/>
    <s v="Notebook Set"/>
    <n v="1"/>
    <n v="199"/>
    <n v="199"/>
    <n v="20"/>
    <n v="39.799999999999997"/>
    <n v="159.19999999999999"/>
    <s v="Credit Card"/>
    <x v="1"/>
  </r>
  <r>
    <s v="ORD-2025436"/>
    <s v="12 Wed"/>
    <s v="Mar"/>
    <s v="2025"/>
    <s v="CUST-1319"/>
    <s v="Rohan Sharma"/>
    <x v="1"/>
    <s v="Groceries"/>
    <s v="Basmati Rice 5kg"/>
    <n v="1"/>
    <n v="549"/>
    <n v="549"/>
    <n v="20"/>
    <n v="109.8"/>
    <n v="439.2"/>
    <s v="Cash"/>
    <x v="1"/>
  </r>
  <r>
    <s v="ORD-2025437"/>
    <s v="12 Wed"/>
    <s v="Mar"/>
    <s v="2025"/>
    <s v="CUST-1199"/>
    <s v="Sakshi Saxena"/>
    <x v="1"/>
    <s v="Groceries"/>
    <s v="Basmati Rice 5kg"/>
    <n v="3"/>
    <n v="549"/>
    <n v="1647"/>
    <n v="20"/>
    <n v="329.4"/>
    <n v="1317.6"/>
    <s v="Credit Card"/>
    <x v="0"/>
  </r>
  <r>
    <s v="ORD-2025438"/>
    <s v="12 Wed"/>
    <s v="Mar"/>
    <s v="2025"/>
    <s v="CUST-1083"/>
    <s v="Komal Kapoor"/>
    <x v="0"/>
    <s v="Sports"/>
    <s v="Cricket Bat"/>
    <n v="1"/>
    <n v="1499"/>
    <n v="1499"/>
    <n v="0"/>
    <n v="0"/>
    <n v="1499"/>
    <s v="Net Banking"/>
    <x v="1"/>
  </r>
  <r>
    <s v="ORD-2025439"/>
    <s v="13 Thu"/>
    <s v="Mar"/>
    <s v="2025"/>
    <s v="CUST-1147"/>
    <s v="Aman Saxena"/>
    <x v="0"/>
    <s v="Groceries"/>
    <s v="Basmati Rice 5kg"/>
    <n v="1"/>
    <n v="549"/>
    <n v="549"/>
    <n v="10"/>
    <n v="54.9"/>
    <n v="494.1"/>
    <s v="Debit Card"/>
    <x v="0"/>
  </r>
  <r>
    <s v="ORD-2025440"/>
    <s v="13 Thu"/>
    <s v="Mar"/>
    <s v="2025"/>
    <s v="CUST-1397"/>
    <s v="Aman Verma"/>
    <x v="3"/>
    <s v="Stationery"/>
    <s v="Gel Pen Pack"/>
    <n v="1"/>
    <n v="99"/>
    <n v="99"/>
    <n v="0"/>
    <n v="0"/>
    <n v="99"/>
    <s v="Debit Card"/>
    <x v="0"/>
  </r>
  <r>
    <s v="ORD-2025441"/>
    <s v="13 Thu"/>
    <s v="Mar"/>
    <s v="2025"/>
    <s v="CUST-1344"/>
    <s v="Nandini Saxena"/>
    <x v="4"/>
    <s v="Sports"/>
    <s v="Cricket Bat"/>
    <n v="1"/>
    <n v="1499"/>
    <n v="1499"/>
    <n v="5"/>
    <n v="74.95"/>
    <n v="1424.05"/>
    <s v="UPI"/>
    <x v="1"/>
  </r>
  <r>
    <s v="ORD-2025442"/>
    <s v="13 Thu"/>
    <s v="Mar"/>
    <s v="2025"/>
    <s v="CUST-1206"/>
    <s v="Aditya Gupta"/>
    <x v="2"/>
    <s v="Apparel"/>
    <s v="Formal Shirt"/>
    <n v="2"/>
    <n v="899"/>
    <n v="1798"/>
    <n v="20"/>
    <n v="359.6"/>
    <n v="1438.4"/>
    <s v="Credit Card"/>
    <x v="0"/>
  </r>
  <r>
    <s v="ORD-2025443"/>
    <s v="13 Thu"/>
    <s v="Mar"/>
    <s v="2025"/>
    <s v="CUST-1355"/>
    <s v="Aditya Joshi"/>
    <x v="0"/>
    <s v="Electronics"/>
    <s v="Wireless Mouse"/>
    <n v="2"/>
    <n v="599"/>
    <n v="1198"/>
    <n v="0"/>
    <n v="0"/>
    <n v="1198"/>
    <s v="UPI"/>
    <x v="0"/>
  </r>
  <r>
    <s v="ORD-2025444"/>
    <s v="13 Thu"/>
    <s v="Mar"/>
    <s v="2025"/>
    <s v="CUST-1032"/>
    <s v="Shreya Mehta"/>
    <x v="3"/>
    <s v="Home &amp; Kitchen"/>
    <s v="LED Desk Lamp"/>
    <n v="1"/>
    <n v="799"/>
    <n v="799"/>
    <n v="20"/>
    <n v="159.80000000000001"/>
    <n v="639.20000000000005"/>
    <s v="Debit Card"/>
    <x v="0"/>
  </r>
  <r>
    <s v="ORD-2025445"/>
    <s v="13 Thu"/>
    <s v="Mar"/>
    <s v="2025"/>
    <s v="CUST-1367"/>
    <s v="Aman Saxena"/>
    <x v="3"/>
    <s v="Electronics"/>
    <s v="Smartwatch"/>
    <n v="1"/>
    <n v="2999"/>
    <n v="2999"/>
    <n v="0"/>
    <n v="0"/>
    <n v="2999"/>
    <s v="UPI"/>
    <x v="0"/>
  </r>
  <r>
    <s v="ORD-2025446"/>
    <s v="13 Thu"/>
    <s v="Mar"/>
    <s v="2025"/>
    <s v="CUST-1101"/>
    <s v="Sakshi Sharma"/>
    <x v="2"/>
    <s v="Apparel"/>
    <s v="Cotton T-Shirt"/>
    <n v="1"/>
    <n v="499"/>
    <n v="499"/>
    <n v="20"/>
    <n v="99.8"/>
    <n v="399.2"/>
    <s v="UPI"/>
    <x v="1"/>
  </r>
  <r>
    <s v="ORD-2025447"/>
    <s v="13 Thu"/>
    <s v="Mar"/>
    <s v="2025"/>
    <s v="CUST-1380"/>
    <s v="Meera Joshi"/>
    <x v="1"/>
    <s v="Home &amp; Kitchen"/>
    <s v="Non-stick Pan Set"/>
    <n v="3"/>
    <n v="1299"/>
    <n v="3897"/>
    <n v="0"/>
    <n v="0"/>
    <n v="3897"/>
    <s v="Debit Card"/>
    <x v="1"/>
  </r>
  <r>
    <s v="ORD-2025448"/>
    <s v="13 Thu"/>
    <s v="Mar"/>
    <s v="2025"/>
    <s v="CUST-1287"/>
    <s v="Divya Kapoor"/>
    <x v="1"/>
    <s v="Electronics"/>
    <s v="Wireless Mouse"/>
    <n v="2"/>
    <n v="599"/>
    <n v="1198"/>
    <n v="10"/>
    <n v="119.8"/>
    <n v="1078.2"/>
    <s v="Credit Card"/>
    <x v="1"/>
  </r>
  <r>
    <s v="ORD-2025449"/>
    <s v="14 Fri"/>
    <s v="Mar"/>
    <s v="2025"/>
    <s v="CUST-1069"/>
    <s v="Kabir Joshi"/>
    <x v="3"/>
    <s v="Beauty"/>
    <s v="Herbal Shampoo"/>
    <n v="2"/>
    <n v="249"/>
    <n v="498"/>
    <n v="20"/>
    <n v="99.6"/>
    <n v="398.4"/>
    <s v="UPI"/>
    <x v="0"/>
  </r>
  <r>
    <s v="ORD-2025450"/>
    <s v="14 Fri"/>
    <s v="Mar"/>
    <s v="2025"/>
    <s v="CUST-1119"/>
    <s v="Rahul Gupta"/>
    <x v="0"/>
    <s v="Electronics"/>
    <s v="Bluetooth Headphones"/>
    <n v="2"/>
    <n v="1799"/>
    <n v="3598"/>
    <n v="20"/>
    <n v="719.6"/>
    <n v="2878.4"/>
    <s v="Cash"/>
    <x v="1"/>
  </r>
  <r>
    <s v="ORD-2025451"/>
    <s v="14 Fri"/>
    <s v="Mar"/>
    <s v="2025"/>
    <s v="CUST-1256"/>
    <s v="Rohan Singh"/>
    <x v="1"/>
    <s v="Stationery"/>
    <s v="Notebook Set"/>
    <n v="5"/>
    <n v="199"/>
    <n v="995"/>
    <n v="20"/>
    <n v="199"/>
    <n v="796"/>
    <s v="Cash"/>
    <x v="0"/>
  </r>
  <r>
    <s v="ORD-2025452"/>
    <s v="14 Fri"/>
    <s v="Mar"/>
    <s v="2025"/>
    <s v="CUST-1356"/>
    <s v="Isha Verma"/>
    <x v="3"/>
    <s v="Apparel"/>
    <s v="Cotton T-Shirt"/>
    <n v="4"/>
    <n v="499"/>
    <n v="1996"/>
    <n v="0"/>
    <n v="0"/>
    <n v="1996"/>
    <s v="Credit Card"/>
    <x v="0"/>
  </r>
  <r>
    <s v="ORD-2025453"/>
    <s v="15 Sat"/>
    <s v="Mar"/>
    <s v="2025"/>
    <s v="CUST-1380"/>
    <s v="Meera Joshi"/>
    <x v="3"/>
    <s v="Beauty"/>
    <s v="Herbal Shampoo"/>
    <n v="2"/>
    <n v="249"/>
    <n v="498"/>
    <n v="0"/>
    <n v="0"/>
    <n v="498"/>
    <s v="Net Banking"/>
    <x v="0"/>
  </r>
  <r>
    <s v="ORD-2025454"/>
    <s v="15 Sat"/>
    <s v="Mar"/>
    <s v="2025"/>
    <s v="CUST-1299"/>
    <s v="Kabir Mehta"/>
    <x v="0"/>
    <s v="Sports"/>
    <s v="Yoga Mat"/>
    <n v="2"/>
    <n v="699"/>
    <n v="1398"/>
    <n v="0"/>
    <n v="0"/>
    <n v="1398"/>
    <s v="Credit Card"/>
    <x v="0"/>
  </r>
  <r>
    <s v="ORD-2025455"/>
    <s v="15 Sat"/>
    <s v="Mar"/>
    <s v="2025"/>
    <s v="CUST-1194"/>
    <s v="Muskan Sharma"/>
    <x v="0"/>
    <s v="Groceries"/>
    <s v="Organic Honey 500g"/>
    <n v="1"/>
    <n v="349"/>
    <n v="349"/>
    <n v="0"/>
    <n v="0"/>
    <n v="349"/>
    <s v="UPI"/>
    <x v="0"/>
  </r>
  <r>
    <s v="ORD-2025456"/>
    <s v="15 Sat"/>
    <s v="Mar"/>
    <s v="2025"/>
    <s v="CUST-1329"/>
    <s v="Swati Gupta"/>
    <x v="3"/>
    <s v="Apparel"/>
    <s v="Formal Shirt"/>
    <n v="1"/>
    <n v="899"/>
    <n v="899"/>
    <n v="20"/>
    <n v="179.8"/>
    <n v="719.2"/>
    <s v="Credit Card"/>
    <x v="1"/>
  </r>
  <r>
    <s v="ORD-2025457"/>
    <s v="15 Sat"/>
    <s v="Mar"/>
    <s v="2025"/>
    <s v="CUST-1326"/>
    <s v="Rohan Verma"/>
    <x v="1"/>
    <s v="Beauty"/>
    <s v="Face Wash 100ml"/>
    <n v="2"/>
    <n v="299"/>
    <n v="598"/>
    <n v="15"/>
    <n v="89.7"/>
    <n v="508.3"/>
    <s v="Debit Card"/>
    <x v="0"/>
  </r>
  <r>
    <s v="ORD-2025458"/>
    <s v="15 Sat"/>
    <s v="Mar"/>
    <s v="2025"/>
    <s v="CUST-1234"/>
    <s v="Meera Sharma"/>
    <x v="4"/>
    <s v="Electronics"/>
    <s v="Smartwatch"/>
    <n v="1"/>
    <n v="2999"/>
    <n v="2999"/>
    <n v="0"/>
    <n v="0"/>
    <n v="2999"/>
    <s v="Cash"/>
    <x v="0"/>
  </r>
  <r>
    <s v="ORD-2025459"/>
    <s v="15 Sat"/>
    <s v="Mar"/>
    <s v="2025"/>
    <s v="CUST-1091"/>
    <s v="Kabir Gupta"/>
    <x v="4"/>
    <s v="Electronics"/>
    <s v="Wireless Mouse"/>
    <n v="4"/>
    <n v="599"/>
    <n v="2396"/>
    <n v="0"/>
    <n v="0"/>
    <n v="2396"/>
    <s v="UPI"/>
    <x v="0"/>
  </r>
  <r>
    <s v="ORD-2025460"/>
    <s v="15 Sat"/>
    <s v="Mar"/>
    <s v="2025"/>
    <s v="CUST-1326"/>
    <s v="Rohan Verma"/>
    <x v="4"/>
    <s v="Apparel"/>
    <s v="Cotton T-Shirt"/>
    <n v="2"/>
    <n v="499"/>
    <n v="998"/>
    <n v="15"/>
    <n v="149.69999999999999"/>
    <n v="848.3"/>
    <s v="Debit Card"/>
    <x v="1"/>
  </r>
  <r>
    <s v="ORD-2025461"/>
    <s v="16 Sun"/>
    <s v="Mar"/>
    <s v="2025"/>
    <s v="CUST-1210"/>
    <s v="Meera Sharma"/>
    <x v="4"/>
    <s v="Electronics"/>
    <s v="Smartwatch"/>
    <n v="2"/>
    <n v="2999"/>
    <n v="5998"/>
    <n v="15"/>
    <n v="899.7"/>
    <n v="5098.3"/>
    <s v="Debit Card"/>
    <x v="0"/>
  </r>
  <r>
    <s v="ORD-2025462"/>
    <s v="16 Sun"/>
    <s v="Mar"/>
    <s v="2025"/>
    <s v="CUST-1340"/>
    <s v="Aman Kapoor"/>
    <x v="2"/>
    <s v="Groceries"/>
    <s v="Organic Honey 500g"/>
    <n v="1"/>
    <n v="349"/>
    <n v="349"/>
    <n v="5"/>
    <n v="17.45"/>
    <n v="331.55"/>
    <s v="Net Banking"/>
    <x v="1"/>
  </r>
  <r>
    <s v="ORD-2025463"/>
    <s v="16 Sun"/>
    <s v="Mar"/>
    <s v="2025"/>
    <s v="CUST-1264"/>
    <s v="Vivaan Malhotra"/>
    <x v="0"/>
    <s v="Sports"/>
    <s v="Cricket Bat"/>
    <n v="1"/>
    <n v="1499"/>
    <n v="1499"/>
    <n v="5"/>
    <n v="74.95"/>
    <n v="1424.05"/>
    <s v="Debit Card"/>
    <x v="0"/>
  </r>
  <r>
    <s v="ORD-2025464"/>
    <s v="16 Sun"/>
    <s v="Mar"/>
    <s v="2025"/>
    <s v="CUST-1374"/>
    <s v="Isha Sharma"/>
    <x v="4"/>
    <s v="Beauty"/>
    <s v="Herbal Shampoo"/>
    <n v="1"/>
    <n v="249"/>
    <n v="249"/>
    <n v="5"/>
    <n v="12.45"/>
    <n v="236.55"/>
    <s v="Net Banking"/>
    <x v="1"/>
  </r>
  <r>
    <s v="ORD-2025465"/>
    <s v="16 Sun"/>
    <s v="Mar"/>
    <s v="2025"/>
    <s v="CUST-1263"/>
    <s v="Tanya Mehta"/>
    <x v="3"/>
    <s v="Home &amp; Kitchen"/>
    <s v="LED Desk Lamp"/>
    <n v="4"/>
    <n v="799"/>
    <n v="3196"/>
    <n v="10"/>
    <n v="319.60000000000002"/>
    <n v="2876.4"/>
    <s v="Debit Card"/>
    <x v="0"/>
  </r>
  <r>
    <s v="ORD-2025466"/>
    <s v="17 Mon"/>
    <s v="Mar"/>
    <s v="2025"/>
    <s v="CUST-1331"/>
    <s v="Arjun Singh"/>
    <x v="4"/>
    <s v="Stationery"/>
    <s v="Gel Pen Pack"/>
    <n v="2"/>
    <n v="99"/>
    <n v="198"/>
    <n v="0"/>
    <n v="0"/>
    <n v="198"/>
    <s v="Credit Card"/>
    <x v="0"/>
  </r>
  <r>
    <s v="ORD-2025467"/>
    <s v="17 Mon"/>
    <s v="Mar"/>
    <s v="2025"/>
    <s v="CUST-1379"/>
    <s v="Divya Verma"/>
    <x v="0"/>
    <s v="Apparel"/>
    <s v="Formal Shirt"/>
    <n v="1"/>
    <n v="899"/>
    <n v="899"/>
    <n v="10"/>
    <n v="89.9"/>
    <n v="809.1"/>
    <s v="Debit Card"/>
    <x v="0"/>
  </r>
  <r>
    <s v="ORD-2025468"/>
    <s v="17 Mon"/>
    <s v="Mar"/>
    <s v="2025"/>
    <s v="CUST-1271"/>
    <s v="Nandini Sharma"/>
    <x v="0"/>
    <s v="Stationery"/>
    <s v="Notebook Set"/>
    <n v="3"/>
    <n v="199"/>
    <n v="597"/>
    <n v="0"/>
    <n v="0"/>
    <n v="597"/>
    <s v="Credit Card"/>
    <x v="1"/>
  </r>
  <r>
    <s v="ORD-2025469"/>
    <s v="17 Mon"/>
    <s v="Mar"/>
    <s v="2025"/>
    <s v="CUST-1380"/>
    <s v="Meera Joshi"/>
    <x v="4"/>
    <s v="Sports"/>
    <s v="Cricket Bat"/>
    <n v="3"/>
    <n v="1499"/>
    <n v="4497"/>
    <n v="15"/>
    <n v="674.55"/>
    <n v="3822.45"/>
    <s v="UPI"/>
    <x v="1"/>
  </r>
  <r>
    <s v="ORD-2025470"/>
    <s v="17 Mon"/>
    <s v="Mar"/>
    <s v="2025"/>
    <s v="CUST-1331"/>
    <s v="Arjun Singh"/>
    <x v="4"/>
    <s v="Electronics"/>
    <s v="Bluetooth Headphones"/>
    <n v="2"/>
    <n v="1799"/>
    <n v="3598"/>
    <n v="20"/>
    <n v="719.6"/>
    <n v="2878.4"/>
    <s v="Credit Card"/>
    <x v="0"/>
  </r>
  <r>
    <s v="ORD-2025471"/>
    <s v="17 Mon"/>
    <s v="Mar"/>
    <s v="2025"/>
    <s v="CUST-1390"/>
    <s v="Rahul Saxena"/>
    <x v="4"/>
    <s v="Stationery"/>
    <s v="Gel Pen Pack"/>
    <n v="1"/>
    <n v="99"/>
    <n v="99"/>
    <n v="15"/>
    <n v="14.85"/>
    <n v="84.15"/>
    <s v="UPI"/>
    <x v="1"/>
  </r>
  <r>
    <s v="ORD-2025472"/>
    <s v="18 Tue"/>
    <s v="Mar"/>
    <s v="2025"/>
    <s v="CUST-1136"/>
    <s v="Kunal Patel"/>
    <x v="0"/>
    <s v="Stationery"/>
    <s v="Gel Pen Pack"/>
    <n v="4"/>
    <n v="99"/>
    <n v="396"/>
    <n v="5"/>
    <n v="19.8"/>
    <n v="376.2"/>
    <s v="Debit Card"/>
    <x v="0"/>
  </r>
  <r>
    <s v="ORD-2025473"/>
    <s v="18 Tue"/>
    <s v="Mar"/>
    <s v="2025"/>
    <s v="CUST-1358"/>
    <s v="Aman Patel"/>
    <x v="3"/>
    <s v="Sports"/>
    <s v="Cricket Bat"/>
    <n v="2"/>
    <n v="1499"/>
    <n v="2998"/>
    <n v="20"/>
    <n v="599.6"/>
    <n v="2398.4"/>
    <s v="UPI"/>
    <x v="0"/>
  </r>
  <r>
    <s v="ORD-2025474"/>
    <s v="18 Tue"/>
    <s v="Mar"/>
    <s v="2025"/>
    <s v="CUST-1123"/>
    <s v="Shreya Gupta"/>
    <x v="4"/>
    <s v="Sports"/>
    <s v="Yoga Mat"/>
    <n v="4"/>
    <n v="699"/>
    <n v="2796"/>
    <n v="0"/>
    <n v="0"/>
    <n v="2796"/>
    <s v="UPI"/>
    <x v="0"/>
  </r>
  <r>
    <s v="ORD-2025475"/>
    <s v="18 Tue"/>
    <s v="Mar"/>
    <s v="2025"/>
    <s v="CUST-1306"/>
    <s v="Sakshi Malhotra"/>
    <x v="3"/>
    <s v="Electronics"/>
    <s v="Bluetooth Headphones"/>
    <n v="1"/>
    <n v="1799"/>
    <n v="1799"/>
    <n v="15"/>
    <n v="269.85000000000002"/>
    <n v="1529.15"/>
    <s v="Net Banking"/>
    <x v="1"/>
  </r>
  <r>
    <s v="ORD-2025476"/>
    <s v="19 Wed"/>
    <s v="Mar"/>
    <s v="2025"/>
    <s v="CUST-1186"/>
    <s v="Meera Verma"/>
    <x v="1"/>
    <s v="Sports"/>
    <s v="Yoga Mat"/>
    <n v="1"/>
    <n v="699"/>
    <n v="699"/>
    <n v="0"/>
    <n v="0"/>
    <n v="699"/>
    <s v="Credit Card"/>
    <x v="0"/>
  </r>
  <r>
    <s v="ORD-2025477"/>
    <s v="19 Wed"/>
    <s v="Mar"/>
    <s v="2025"/>
    <s v="CUST-1320"/>
    <s v="Ankit Kapoor"/>
    <x v="2"/>
    <s v="Stationery"/>
    <s v="Notebook Set"/>
    <n v="3"/>
    <n v="199"/>
    <n v="597"/>
    <n v="5"/>
    <n v="29.85"/>
    <n v="567.15"/>
    <s v="Net Banking"/>
    <x v="0"/>
  </r>
  <r>
    <s v="ORD-2025478"/>
    <s v="19 Wed"/>
    <s v="Mar"/>
    <s v="2025"/>
    <s v="CUST-1093"/>
    <s v="Kabir Mehta"/>
    <x v="2"/>
    <s v="Electronics"/>
    <s v="Wireless Mouse"/>
    <n v="1"/>
    <n v="599"/>
    <n v="599"/>
    <n v="15"/>
    <n v="89.85"/>
    <n v="509.15"/>
    <s v="Credit Card"/>
    <x v="1"/>
  </r>
  <r>
    <s v="ORD-2025479"/>
    <s v="19 Wed"/>
    <s v="Mar"/>
    <s v="2025"/>
    <s v="CUST-1011"/>
    <s v="Kunal Sharma"/>
    <x v="3"/>
    <s v="Apparel"/>
    <s v="Cotton T-Shirt"/>
    <n v="1"/>
    <n v="499"/>
    <n v="499"/>
    <n v="0"/>
    <n v="0"/>
    <n v="499"/>
    <s v="Cash"/>
    <x v="0"/>
  </r>
  <r>
    <s v="ORD-2025480"/>
    <s v="19 Wed"/>
    <s v="Mar"/>
    <s v="2025"/>
    <s v="CUST-1043"/>
    <s v="Divya Kapoor"/>
    <x v="1"/>
    <s v="Stationery"/>
    <s v="Notebook Set"/>
    <n v="1"/>
    <n v="199"/>
    <n v="199"/>
    <n v="20"/>
    <n v="39.799999999999997"/>
    <n v="159.19999999999999"/>
    <s v="Cash"/>
    <x v="0"/>
  </r>
  <r>
    <s v="ORD-2025481"/>
    <s v="19 Wed"/>
    <s v="Mar"/>
    <s v="2025"/>
    <s v="CUST-1178"/>
    <s v="Komal Sharma"/>
    <x v="3"/>
    <s v="Stationery"/>
    <s v="Gel Pen Pack"/>
    <n v="1"/>
    <n v="99"/>
    <n v="99"/>
    <n v="10"/>
    <n v="9.9"/>
    <n v="89.1"/>
    <s v="Credit Card"/>
    <x v="0"/>
  </r>
  <r>
    <s v="ORD-2025482"/>
    <s v="19 Wed"/>
    <s v="Mar"/>
    <s v="2025"/>
    <s v="CUST-1172"/>
    <s v="Nandini Saxena"/>
    <x v="0"/>
    <s v="Stationery"/>
    <s v="Gel Pen Pack"/>
    <n v="2"/>
    <n v="99"/>
    <n v="198"/>
    <n v="15"/>
    <n v="29.7"/>
    <n v="168.3"/>
    <s v="Credit Card"/>
    <x v="0"/>
  </r>
  <r>
    <s v="ORD-2025483"/>
    <s v="20 Thu"/>
    <s v="Mar"/>
    <s v="2025"/>
    <s v="CUST-1010"/>
    <s v="Kabir Singh"/>
    <x v="1"/>
    <s v="Beauty"/>
    <s v="Face Wash 100ml"/>
    <n v="1"/>
    <n v="299"/>
    <n v="299"/>
    <n v="5"/>
    <n v="14.95"/>
    <n v="284.05"/>
    <s v="Debit Card"/>
    <x v="1"/>
  </r>
  <r>
    <s v="ORD-2025484"/>
    <s v="20 Thu"/>
    <s v="Mar"/>
    <s v="2025"/>
    <s v="CUST-1202"/>
    <s v="Isha Verma"/>
    <x v="3"/>
    <s v="Sports"/>
    <s v="Yoga Mat"/>
    <n v="1"/>
    <n v="699"/>
    <n v="699"/>
    <n v="10"/>
    <n v="69.900000000000006"/>
    <n v="629.1"/>
    <s v="UPI"/>
    <x v="1"/>
  </r>
  <r>
    <s v="ORD-2025485"/>
    <s v="20 Thu"/>
    <s v="Mar"/>
    <s v="2025"/>
    <s v="CUST-1217"/>
    <s v="Ankit Patel"/>
    <x v="0"/>
    <s v="Electronics"/>
    <s v="Smartwatch"/>
    <n v="1"/>
    <n v="2999"/>
    <n v="2999"/>
    <n v="10"/>
    <n v="299.89999999999998"/>
    <n v="2699.1"/>
    <s v="Debit Card"/>
    <x v="1"/>
  </r>
  <r>
    <s v="ORD-2025486"/>
    <s v="20 Thu"/>
    <s v="Mar"/>
    <s v="2025"/>
    <s v="CUST-1399"/>
    <s v="Vivaan Verma"/>
    <x v="3"/>
    <s v="Apparel"/>
    <s v="Cotton T-Shirt"/>
    <n v="1"/>
    <n v="499"/>
    <n v="499"/>
    <n v="0"/>
    <n v="0"/>
    <n v="499"/>
    <s v="Credit Card"/>
    <x v="0"/>
  </r>
  <r>
    <s v="ORD-2025487"/>
    <s v="20 Thu"/>
    <s v="Mar"/>
    <s v="2025"/>
    <s v="CUST-1018"/>
    <s v="Aditya Gupta"/>
    <x v="0"/>
    <s v="Beauty"/>
    <s v="Face Wash 100ml"/>
    <n v="2"/>
    <n v="299"/>
    <n v="598"/>
    <n v="20"/>
    <n v="119.6"/>
    <n v="478.4"/>
    <s v="Cash"/>
    <x v="1"/>
  </r>
  <r>
    <s v="ORD-2025488"/>
    <s v="20 Thu"/>
    <s v="Mar"/>
    <s v="2025"/>
    <s v="CUST-1353"/>
    <s v="Vivaan Gupta"/>
    <x v="0"/>
    <s v="Sports"/>
    <s v="Yoga Mat"/>
    <n v="3"/>
    <n v="699"/>
    <n v="2097"/>
    <n v="15"/>
    <n v="314.55"/>
    <n v="1782.45"/>
    <s v="Net Banking"/>
    <x v="0"/>
  </r>
  <r>
    <s v="ORD-2025489"/>
    <s v="21 Fri"/>
    <s v="Mar"/>
    <s v="2025"/>
    <s v="CUST-1227"/>
    <s v="Rohan Joshi"/>
    <x v="1"/>
    <s v="Electronics"/>
    <s v="Bluetooth Headphones"/>
    <n v="1"/>
    <n v="1799"/>
    <n v="1799"/>
    <n v="0"/>
    <n v="0"/>
    <n v="1799"/>
    <s v="Debit Card"/>
    <x v="0"/>
  </r>
  <r>
    <s v="ORD-2025490"/>
    <s v="21 Fri"/>
    <s v="Mar"/>
    <s v="2025"/>
    <s v="CUST-1009"/>
    <s v="Shreya Gupta"/>
    <x v="2"/>
    <s v="Apparel"/>
    <s v="Formal Shirt"/>
    <n v="4"/>
    <n v="899"/>
    <n v="3596"/>
    <n v="10"/>
    <n v="359.6"/>
    <n v="3236.4"/>
    <s v="UPI"/>
    <x v="1"/>
  </r>
  <r>
    <s v="ORD-2025491"/>
    <s v="21 Fri"/>
    <s v="Mar"/>
    <s v="2025"/>
    <s v="CUST-1168"/>
    <s v="Nandini Joshi"/>
    <x v="1"/>
    <s v="Electronics"/>
    <s v="Bluetooth Headphones"/>
    <n v="2"/>
    <n v="1799"/>
    <n v="3598"/>
    <n v="0"/>
    <n v="0"/>
    <n v="3598"/>
    <s v="UPI"/>
    <x v="1"/>
  </r>
  <r>
    <s v="ORD-2025492"/>
    <s v="21 Fri"/>
    <s v="Mar"/>
    <s v="2025"/>
    <s v="CUST-1126"/>
    <s v="Divya Sharma"/>
    <x v="4"/>
    <s v="Sports"/>
    <s v="Cricket Bat"/>
    <n v="3"/>
    <n v="1499"/>
    <n v="4497"/>
    <n v="0"/>
    <n v="0"/>
    <n v="4497"/>
    <s v="UPI"/>
    <x v="1"/>
  </r>
  <r>
    <s v="ORD-2025493"/>
    <s v="21 Fri"/>
    <s v="Mar"/>
    <s v="2025"/>
    <s v="CUST-1014"/>
    <s v="Vivaan Kapoor"/>
    <x v="1"/>
    <s v="Home &amp; Kitchen"/>
    <s v="LED Desk Lamp"/>
    <n v="2"/>
    <n v="799"/>
    <n v="1598"/>
    <n v="10"/>
    <n v="159.80000000000001"/>
    <n v="1438.2"/>
    <s v="UPI"/>
    <x v="1"/>
  </r>
  <r>
    <s v="ORD-2025494"/>
    <s v="21 Fri"/>
    <s v="Mar"/>
    <s v="2025"/>
    <s v="CUST-1368"/>
    <s v="Isha Patel"/>
    <x v="3"/>
    <s v="Electronics"/>
    <s v="Bluetooth Headphones"/>
    <n v="1"/>
    <n v="1799"/>
    <n v="1799"/>
    <n v="0"/>
    <n v="0"/>
    <n v="1799"/>
    <s v="Credit Card"/>
    <x v="1"/>
  </r>
  <r>
    <s v="ORD-2025495"/>
    <s v="21 Fri"/>
    <s v="Mar"/>
    <s v="2025"/>
    <s v="CUST-1355"/>
    <s v="Aditya Joshi"/>
    <x v="4"/>
    <s v="Home &amp; Kitchen"/>
    <s v="LED Desk Lamp"/>
    <n v="1"/>
    <n v="799"/>
    <n v="799"/>
    <n v="5"/>
    <n v="39.950000000000003"/>
    <n v="759.05"/>
    <s v="Credit Card"/>
    <x v="0"/>
  </r>
  <r>
    <s v="ORD-2025496"/>
    <s v="21 Fri"/>
    <s v="Mar"/>
    <s v="2025"/>
    <s v="CUST-1115"/>
    <s v="Divya Kapoor"/>
    <x v="4"/>
    <s v="Sports"/>
    <s v="Yoga Mat"/>
    <n v="1"/>
    <n v="699"/>
    <n v="699"/>
    <n v="20"/>
    <n v="139.80000000000001"/>
    <n v="559.20000000000005"/>
    <s v="Debit Card"/>
    <x v="0"/>
  </r>
  <r>
    <s v="ORD-2025497"/>
    <s v="22 Sat"/>
    <s v="Mar"/>
    <s v="2025"/>
    <s v="CUST-1144"/>
    <s v="Divya Mehta"/>
    <x v="1"/>
    <s v="Beauty"/>
    <s v="Face Wash 100ml"/>
    <n v="2"/>
    <n v="299"/>
    <n v="598"/>
    <n v="5"/>
    <n v="29.9"/>
    <n v="568.1"/>
    <s v="Cash"/>
    <x v="1"/>
  </r>
  <r>
    <s v="ORD-2025498"/>
    <s v="22 Sat"/>
    <s v="Mar"/>
    <s v="2025"/>
    <s v="CUST-1395"/>
    <s v="Rahul Verma"/>
    <x v="1"/>
    <s v="Electronics"/>
    <s v="Smartwatch"/>
    <n v="2"/>
    <n v="2999"/>
    <n v="5998"/>
    <n v="5"/>
    <n v="299.89999999999998"/>
    <n v="5698.1"/>
    <s v="UPI"/>
    <x v="1"/>
  </r>
  <r>
    <s v="ORD-2025499"/>
    <s v="22 Sat"/>
    <s v="Mar"/>
    <s v="2025"/>
    <s v="CUST-1050"/>
    <s v="Rohan Gupta"/>
    <x v="2"/>
    <s v="Apparel"/>
    <s v="Formal Shirt"/>
    <n v="1"/>
    <n v="899"/>
    <n v="899"/>
    <n v="5"/>
    <n v="44.95"/>
    <n v="854.05"/>
    <s v="Debit Card"/>
    <x v="0"/>
  </r>
  <r>
    <s v="ORD-2025500"/>
    <s v="22 Sat"/>
    <s v="Mar"/>
    <s v="2025"/>
    <s v="CUST-1074"/>
    <s v="Kabir Kapoor"/>
    <x v="3"/>
    <s v="Home &amp; Kitchen"/>
    <s v="Non-stick Pan Set"/>
    <n v="2"/>
    <n v="1299"/>
    <n v="2598"/>
    <n v="0"/>
    <n v="0"/>
    <n v="2598"/>
    <s v="Debit Card"/>
    <x v="0"/>
  </r>
  <r>
    <s v="ORD-2025501"/>
    <s v="22 Sat"/>
    <s v="Mar"/>
    <s v="2025"/>
    <s v="CUST-1087"/>
    <s v="Kabir Verma"/>
    <x v="0"/>
    <s v="Groceries"/>
    <s v="Organic Honey 500g"/>
    <n v="1"/>
    <n v="349"/>
    <n v="349"/>
    <n v="0"/>
    <n v="0"/>
    <n v="349"/>
    <s v="Debit Card"/>
    <x v="0"/>
  </r>
  <r>
    <s v="ORD-2025502"/>
    <s v="22 Sat"/>
    <s v="Mar"/>
    <s v="2025"/>
    <s v="CUST-1051"/>
    <s v="Rohan Patel"/>
    <x v="3"/>
    <s v="Electronics"/>
    <s v="Wireless Mouse"/>
    <n v="2"/>
    <n v="599"/>
    <n v="1198"/>
    <n v="20"/>
    <n v="239.6"/>
    <n v="958.4"/>
    <s v="Debit Card"/>
    <x v="1"/>
  </r>
  <r>
    <s v="ORD-2025503"/>
    <s v="22 Sat"/>
    <s v="Mar"/>
    <s v="2025"/>
    <s v="CUST-1318"/>
    <s v="Tanya Verma"/>
    <x v="2"/>
    <s v="Apparel"/>
    <s v="Formal Shirt"/>
    <n v="1"/>
    <n v="899"/>
    <n v="899"/>
    <n v="0"/>
    <n v="0"/>
    <n v="899"/>
    <s v="Credit Card"/>
    <x v="0"/>
  </r>
  <r>
    <s v="ORD-2025504"/>
    <s v="22 Sat"/>
    <s v="Mar"/>
    <s v="2025"/>
    <s v="CUST-1105"/>
    <s v="Rohan Singh"/>
    <x v="4"/>
    <s v="Apparel"/>
    <s v="Formal Shirt"/>
    <n v="2"/>
    <n v="899"/>
    <n v="1798"/>
    <n v="15"/>
    <n v="269.7"/>
    <n v="1528.3"/>
    <s v="Net Banking"/>
    <x v="1"/>
  </r>
  <r>
    <s v="ORD-2025505"/>
    <s v="23 Sun"/>
    <s v="Mar"/>
    <s v="2025"/>
    <s v="CUST-1304"/>
    <s v="Kunal Saxena"/>
    <x v="3"/>
    <s v="Home &amp; Kitchen"/>
    <s v="Non-stick Pan Set"/>
    <n v="2"/>
    <n v="1299"/>
    <n v="2598"/>
    <n v="20"/>
    <n v="519.6"/>
    <n v="2078.4"/>
    <s v="Credit Card"/>
    <x v="0"/>
  </r>
  <r>
    <s v="ORD-2025506"/>
    <s v="23 Sun"/>
    <s v="Mar"/>
    <s v="2025"/>
    <s v="CUST-1269"/>
    <s v="Kunal Verma"/>
    <x v="4"/>
    <s v="Apparel"/>
    <s v="Denim Jacket"/>
    <n v="1"/>
    <n v="1999"/>
    <n v="1999"/>
    <n v="0"/>
    <n v="0"/>
    <n v="1999"/>
    <s v="Credit Card"/>
    <x v="1"/>
  </r>
  <r>
    <s v="ORD-2025507"/>
    <s v="23 Sun"/>
    <s v="Mar"/>
    <s v="2025"/>
    <s v="CUST-1177"/>
    <s v="Aditya Malhotra"/>
    <x v="3"/>
    <s v="Beauty"/>
    <s v="Face Wash 100ml"/>
    <n v="1"/>
    <n v="299"/>
    <n v="299"/>
    <n v="20"/>
    <n v="59.8"/>
    <n v="239.2"/>
    <s v="UPI"/>
    <x v="0"/>
  </r>
  <r>
    <s v="ORD-2025508"/>
    <s v="23 Sun"/>
    <s v="Mar"/>
    <s v="2025"/>
    <s v="CUST-1249"/>
    <s v="Kabir Sharma"/>
    <x v="0"/>
    <s v="Stationery"/>
    <s v="Notebook Set"/>
    <n v="1"/>
    <n v="199"/>
    <n v="199"/>
    <n v="20"/>
    <n v="39.799999999999997"/>
    <n v="159.19999999999999"/>
    <s v="Debit Card"/>
    <x v="0"/>
  </r>
  <r>
    <s v="ORD-2025509"/>
    <s v="23 Sun"/>
    <s v="Mar"/>
    <s v="2025"/>
    <s v="CUST-1183"/>
    <s v="Arjun Mehta"/>
    <x v="4"/>
    <s v="Electronics"/>
    <s v="Wireless Mouse"/>
    <n v="1"/>
    <n v="599"/>
    <n v="599"/>
    <n v="0"/>
    <n v="0"/>
    <n v="599"/>
    <s v="Cash"/>
    <x v="0"/>
  </r>
  <r>
    <s v="ORD-2025510"/>
    <s v="23 Sun"/>
    <s v="Mar"/>
    <s v="2025"/>
    <s v="CUST-1250"/>
    <s v="Shreya Saxena"/>
    <x v="1"/>
    <s v="Apparel"/>
    <s v="Denim Jacket"/>
    <n v="1"/>
    <n v="1999"/>
    <n v="1999"/>
    <n v="0"/>
    <n v="0"/>
    <n v="1999"/>
    <s v="Credit Card"/>
    <x v="0"/>
  </r>
  <r>
    <s v="ORD-2025511"/>
    <s v="23 Sun"/>
    <s v="Mar"/>
    <s v="2025"/>
    <s v="CUST-1055"/>
    <s v="Rohan Saxena"/>
    <x v="0"/>
    <s v="Electronics"/>
    <s v="Wireless Mouse"/>
    <n v="5"/>
    <n v="599"/>
    <n v="2995"/>
    <n v="5"/>
    <n v="149.75"/>
    <n v="2845.25"/>
    <s v="Credit Card"/>
    <x v="0"/>
  </r>
  <r>
    <s v="ORD-2025512"/>
    <s v="23 Sun"/>
    <s v="Mar"/>
    <s v="2025"/>
    <s v="CUST-1346"/>
    <s v="Vivaan Gupta"/>
    <x v="1"/>
    <s v="Home &amp; Kitchen"/>
    <s v="Non-stick Pan Set"/>
    <n v="3"/>
    <n v="1299"/>
    <n v="3897"/>
    <n v="0"/>
    <n v="0"/>
    <n v="3897"/>
    <s v="UPI"/>
    <x v="1"/>
  </r>
  <r>
    <s v="ORD-2025513"/>
    <s v="23 Sun"/>
    <s v="Mar"/>
    <s v="2025"/>
    <s v="CUST-1013"/>
    <s v="Divya Joshi"/>
    <x v="2"/>
    <s v="Stationery"/>
    <s v="Gel Pen Pack"/>
    <n v="1"/>
    <n v="99"/>
    <n v="99"/>
    <n v="20"/>
    <n v="19.8"/>
    <n v="79.2"/>
    <s v="Cash"/>
    <x v="0"/>
  </r>
  <r>
    <s v="ORD-2025514"/>
    <s v="24 Mon"/>
    <s v="Mar"/>
    <s v="2025"/>
    <s v="CUST-1206"/>
    <s v="Aditya Gupta"/>
    <x v="2"/>
    <s v="Stationery"/>
    <s v="Notebook Set"/>
    <n v="1"/>
    <n v="199"/>
    <n v="199"/>
    <n v="15"/>
    <n v="29.85"/>
    <n v="169.15"/>
    <s v="UPI"/>
    <x v="0"/>
  </r>
  <r>
    <s v="ORD-2025515"/>
    <s v="24 Mon"/>
    <s v="Mar"/>
    <s v="2025"/>
    <s v="CUST-1353"/>
    <s v="Vivaan Gupta"/>
    <x v="2"/>
    <s v="Electronics"/>
    <s v="Smartwatch"/>
    <n v="2"/>
    <n v="2999"/>
    <n v="5998"/>
    <n v="20"/>
    <n v="1199.5999999999999"/>
    <n v="4798.3999999999996"/>
    <s v="UPI"/>
    <x v="0"/>
  </r>
  <r>
    <s v="ORD-2025516"/>
    <s v="25 Tue"/>
    <s v="Mar"/>
    <s v="2025"/>
    <s v="CUST-1278"/>
    <s v="Meera Verma"/>
    <x v="0"/>
    <s v="Sports"/>
    <s v="Yoga Mat"/>
    <n v="2"/>
    <n v="699"/>
    <n v="1398"/>
    <n v="0"/>
    <n v="0"/>
    <n v="1398"/>
    <s v="Credit Card"/>
    <x v="0"/>
  </r>
  <r>
    <s v="ORD-2025517"/>
    <s v="25 Tue"/>
    <s v="Mar"/>
    <s v="2025"/>
    <s v="CUST-1066"/>
    <s v="Kunal Verma"/>
    <x v="4"/>
    <s v="Beauty"/>
    <s v="Face Wash 100ml"/>
    <n v="3"/>
    <n v="299"/>
    <n v="897"/>
    <n v="15"/>
    <n v="134.55000000000001"/>
    <n v="762.45"/>
    <s v="UPI"/>
    <x v="1"/>
  </r>
  <r>
    <s v="ORD-2025518"/>
    <s v="25 Tue"/>
    <s v="Mar"/>
    <s v="2025"/>
    <s v="CUST-1113"/>
    <s v="Swati Saxena"/>
    <x v="1"/>
    <s v="Stationery"/>
    <s v="Notebook Set"/>
    <n v="2"/>
    <n v="199"/>
    <n v="398"/>
    <n v="15"/>
    <n v="59.7"/>
    <n v="338.3"/>
    <s v="Credit Card"/>
    <x v="0"/>
  </r>
  <r>
    <s v="ORD-2025519"/>
    <s v="25 Tue"/>
    <s v="Mar"/>
    <s v="2025"/>
    <s v="CUST-1367"/>
    <s v="Aman Saxena"/>
    <x v="1"/>
    <s v="Beauty"/>
    <s v="Herbal Shampoo"/>
    <n v="4"/>
    <n v="249"/>
    <n v="996"/>
    <n v="0"/>
    <n v="0"/>
    <n v="996"/>
    <s v="Cash"/>
    <x v="0"/>
  </r>
  <r>
    <s v="ORD-2025520"/>
    <s v="26 Wed"/>
    <s v="Mar"/>
    <s v="2025"/>
    <s v="CUST-1031"/>
    <s v="Kabir Malhotra"/>
    <x v="0"/>
    <s v="Electronics"/>
    <s v="Bluetooth Headphones"/>
    <n v="1"/>
    <n v="1799"/>
    <n v="1799"/>
    <n v="0"/>
    <n v="0"/>
    <n v="1799"/>
    <s v="Cash"/>
    <x v="1"/>
  </r>
  <r>
    <s v="ORD-2025521"/>
    <s v="26 Wed"/>
    <s v="Mar"/>
    <s v="2025"/>
    <s v="CUST-1371"/>
    <s v="Rahul Verma"/>
    <x v="0"/>
    <s v="Sports"/>
    <s v="Cricket Bat"/>
    <n v="1"/>
    <n v="1499"/>
    <n v="1499"/>
    <n v="0"/>
    <n v="0"/>
    <n v="1499"/>
    <s v="Net Banking"/>
    <x v="1"/>
  </r>
  <r>
    <s v="ORD-2025522"/>
    <s v="26 Wed"/>
    <s v="Mar"/>
    <s v="2025"/>
    <s v="CUST-1268"/>
    <s v="Aman Verma"/>
    <x v="1"/>
    <s v="Electronics"/>
    <s v="Smartwatch"/>
    <n v="1"/>
    <n v="2999"/>
    <n v="2999"/>
    <n v="20"/>
    <n v="599.79999999999995"/>
    <n v="2399.1999999999998"/>
    <s v="Debit Card"/>
    <x v="1"/>
  </r>
  <r>
    <s v="ORD-2025523"/>
    <s v="27 Thu"/>
    <s v="Mar"/>
    <s v="2025"/>
    <s v="CUST-1077"/>
    <s v="Tanya Mehta"/>
    <x v="4"/>
    <s v="Groceries"/>
    <s v="Organic Honey 500g"/>
    <n v="1"/>
    <n v="349"/>
    <n v="349"/>
    <n v="10"/>
    <n v="34.9"/>
    <n v="314.10000000000002"/>
    <s v="Credit Card"/>
    <x v="0"/>
  </r>
  <r>
    <s v="ORD-2025524"/>
    <s v="27 Thu"/>
    <s v="Mar"/>
    <s v="2025"/>
    <s v="CUST-1160"/>
    <s v="Komal Singh"/>
    <x v="4"/>
    <s v="Home &amp; Kitchen"/>
    <s v="Non-stick Pan Set"/>
    <n v="1"/>
    <n v="1299"/>
    <n v="1299"/>
    <n v="0"/>
    <n v="0"/>
    <n v="1299"/>
    <s v="UPI"/>
    <x v="1"/>
  </r>
  <r>
    <s v="ORD-2025525"/>
    <s v="27 Thu"/>
    <s v="Mar"/>
    <s v="2025"/>
    <s v="CUST-1065"/>
    <s v="Vivaan Patel"/>
    <x v="0"/>
    <s v="Apparel"/>
    <s v="Cotton T-Shirt"/>
    <n v="1"/>
    <n v="499"/>
    <n v="499"/>
    <n v="0"/>
    <n v="0"/>
    <n v="499"/>
    <s v="Cash"/>
    <x v="0"/>
  </r>
  <r>
    <s v="ORD-2025526"/>
    <s v="27 Thu"/>
    <s v="Mar"/>
    <s v="2025"/>
    <s v="CUST-1229"/>
    <s v="Vivaan Singh"/>
    <x v="2"/>
    <s v="Groceries"/>
    <s v="Basmati Rice 5kg"/>
    <n v="1"/>
    <n v="549"/>
    <n v="549"/>
    <n v="0"/>
    <n v="0"/>
    <n v="549"/>
    <s v="Cash"/>
    <x v="1"/>
  </r>
  <r>
    <s v="ORD-2025527"/>
    <s v="28 Fri"/>
    <s v="Mar"/>
    <s v="2025"/>
    <s v="CUST-1303"/>
    <s v="Sakshi Sharma"/>
    <x v="3"/>
    <s v="Groceries"/>
    <s v="Organic Honey 500g"/>
    <n v="2"/>
    <n v="349"/>
    <n v="698"/>
    <n v="20"/>
    <n v="139.6"/>
    <n v="558.4"/>
    <s v="Cash"/>
    <x v="0"/>
  </r>
  <r>
    <s v="ORD-2025528"/>
    <s v="28 Fri"/>
    <s v="Mar"/>
    <s v="2025"/>
    <s v="CUST-1031"/>
    <s v="Kabir Malhotra"/>
    <x v="3"/>
    <s v="Groceries"/>
    <s v="Organic Honey 500g"/>
    <n v="1"/>
    <n v="349"/>
    <n v="349"/>
    <n v="5"/>
    <n v="17.45"/>
    <n v="331.55"/>
    <s v="Credit Card"/>
    <x v="0"/>
  </r>
  <r>
    <s v="ORD-2025529"/>
    <s v="28 Fri"/>
    <s v="Mar"/>
    <s v="2025"/>
    <s v="CUST-1090"/>
    <s v="Aarav Joshi"/>
    <x v="0"/>
    <s v="Groceries"/>
    <s v="Basmati Rice 5kg"/>
    <n v="1"/>
    <n v="549"/>
    <n v="549"/>
    <n v="20"/>
    <n v="109.8"/>
    <n v="439.2"/>
    <s v="Credit Card"/>
    <x v="0"/>
  </r>
  <r>
    <s v="ORD-2025530"/>
    <s v="28 Fri"/>
    <s v="Mar"/>
    <s v="2025"/>
    <s v="CUST-1056"/>
    <s v="Aarav Kapoor"/>
    <x v="0"/>
    <s v="Beauty"/>
    <s v="Face Wash 100ml"/>
    <n v="3"/>
    <n v="299"/>
    <n v="897"/>
    <n v="20"/>
    <n v="179.4"/>
    <n v="717.6"/>
    <s v="Debit Card"/>
    <x v="0"/>
  </r>
  <r>
    <s v="ORD-2025531"/>
    <s v="28 Fri"/>
    <s v="Mar"/>
    <s v="2025"/>
    <s v="CUST-1090"/>
    <s v="Aarav Joshi"/>
    <x v="1"/>
    <s v="Apparel"/>
    <s v="Cotton T-Shirt"/>
    <n v="1"/>
    <n v="499"/>
    <n v="499"/>
    <n v="20"/>
    <n v="99.8"/>
    <n v="399.2"/>
    <s v="Debit Card"/>
    <x v="0"/>
  </r>
  <r>
    <s v="ORD-2025532"/>
    <s v="28 Fri"/>
    <s v="Mar"/>
    <s v="2025"/>
    <s v="CUST-1261"/>
    <s v="Shreya Patel"/>
    <x v="4"/>
    <s v="Home &amp; Kitchen"/>
    <s v="LED Desk Lamp"/>
    <n v="4"/>
    <n v="799"/>
    <n v="3196"/>
    <n v="20"/>
    <n v="639.20000000000005"/>
    <n v="2556.8000000000002"/>
    <s v="UPI"/>
    <x v="0"/>
  </r>
  <r>
    <s v="ORD-2025533"/>
    <s v="28 Fri"/>
    <s v="Mar"/>
    <s v="2025"/>
    <s v="CUST-1046"/>
    <s v="Rohan Kapoor"/>
    <x v="0"/>
    <s v="Electronics"/>
    <s v="Wireless Mouse"/>
    <n v="3"/>
    <n v="599"/>
    <n v="1797"/>
    <n v="0"/>
    <n v="0"/>
    <n v="1797"/>
    <s v="UPI"/>
    <x v="0"/>
  </r>
  <r>
    <s v="ORD-2025534"/>
    <s v="28 Fri"/>
    <s v="Mar"/>
    <s v="2025"/>
    <s v="CUST-1059"/>
    <s v="Kunal Verma"/>
    <x v="2"/>
    <s v="Groceries"/>
    <s v="Basmati Rice 5kg"/>
    <n v="3"/>
    <n v="549"/>
    <n v="1647"/>
    <n v="0"/>
    <n v="0"/>
    <n v="1647"/>
    <s v="UPI"/>
    <x v="1"/>
  </r>
  <r>
    <s v="ORD-2025535"/>
    <s v="28 Fri"/>
    <s v="Mar"/>
    <s v="2025"/>
    <s v="CUST-1330"/>
    <s v="Nandini Gupta"/>
    <x v="3"/>
    <s v="Electronics"/>
    <s v="Bluetooth Headphones"/>
    <n v="1"/>
    <n v="1799"/>
    <n v="1799"/>
    <n v="15"/>
    <n v="269.85000000000002"/>
    <n v="1529.15"/>
    <s v="Debit Card"/>
    <x v="0"/>
  </r>
  <r>
    <s v="ORD-2025536"/>
    <s v="28 Fri"/>
    <s v="Mar"/>
    <s v="2025"/>
    <s v="CUST-1217"/>
    <s v="Ankit Patel"/>
    <x v="2"/>
    <s v="Beauty"/>
    <s v="Herbal Shampoo"/>
    <n v="1"/>
    <n v="249"/>
    <n v="249"/>
    <n v="0"/>
    <n v="0"/>
    <n v="249"/>
    <s v="UPI"/>
    <x v="0"/>
  </r>
  <r>
    <s v="ORD-2025537"/>
    <s v="29 Sat"/>
    <s v="Mar"/>
    <s v="2025"/>
    <s v="CUST-1224"/>
    <s v="Swati Verma"/>
    <x v="1"/>
    <s v="Beauty"/>
    <s v="Face Wash 100ml"/>
    <n v="3"/>
    <n v="299"/>
    <n v="897"/>
    <n v="0"/>
    <n v="0"/>
    <n v="897"/>
    <s v="Credit Card"/>
    <x v="0"/>
  </r>
  <r>
    <s v="ORD-2025538"/>
    <s v="29 Sat"/>
    <s v="Mar"/>
    <s v="2025"/>
    <s v="CUST-1143"/>
    <s v="Muskan Saxena"/>
    <x v="1"/>
    <s v="Beauty"/>
    <s v="Herbal Shampoo"/>
    <n v="1"/>
    <n v="249"/>
    <n v="249"/>
    <n v="5"/>
    <n v="12.45"/>
    <n v="236.55"/>
    <s v="UPI"/>
    <x v="0"/>
  </r>
  <r>
    <s v="ORD-2025539"/>
    <s v="29 Sat"/>
    <s v="Mar"/>
    <s v="2025"/>
    <s v="CUST-1179"/>
    <s v="Nandini Saxena"/>
    <x v="0"/>
    <s v="Electronics"/>
    <s v="Smartwatch"/>
    <n v="1"/>
    <n v="2999"/>
    <n v="2999"/>
    <n v="0"/>
    <n v="0"/>
    <n v="2999"/>
    <s v="Cash"/>
    <x v="1"/>
  </r>
  <r>
    <s v="ORD-2025540"/>
    <s v="29 Sat"/>
    <s v="Mar"/>
    <s v="2025"/>
    <s v="CUST-1396"/>
    <s v="Shreya Patel"/>
    <x v="1"/>
    <s v="Groceries"/>
    <s v="Organic Honey 500g"/>
    <n v="2"/>
    <n v="349"/>
    <n v="698"/>
    <n v="20"/>
    <n v="139.6"/>
    <n v="558.4"/>
    <s v="Debit Card"/>
    <x v="1"/>
  </r>
  <r>
    <s v="ORD-2025541"/>
    <s v="29 Sat"/>
    <s v="Mar"/>
    <s v="2025"/>
    <s v="CUST-1166"/>
    <s v="Divya Mehta"/>
    <x v="3"/>
    <s v="Sports"/>
    <s v="Yoga Mat"/>
    <n v="3"/>
    <n v="699"/>
    <n v="2097"/>
    <n v="10"/>
    <n v="209.7"/>
    <n v="1887.3"/>
    <s v="Cash"/>
    <x v="0"/>
  </r>
  <r>
    <s v="ORD-2025542"/>
    <s v="29 Sat"/>
    <s v="Mar"/>
    <s v="2025"/>
    <s v="CUST-1378"/>
    <s v="Rahul Mehta"/>
    <x v="2"/>
    <s v="Electronics"/>
    <s v="Wireless Mouse"/>
    <n v="1"/>
    <n v="599"/>
    <n v="599"/>
    <n v="20"/>
    <n v="119.8"/>
    <n v="479.2"/>
    <s v="Credit Card"/>
    <x v="0"/>
  </r>
  <r>
    <s v="ORD-2025543"/>
    <s v="29 Sat"/>
    <s v="Mar"/>
    <s v="2025"/>
    <s v="CUST-1020"/>
    <s v="Rohan Malhotra"/>
    <x v="0"/>
    <s v="Electronics"/>
    <s v="Smartwatch"/>
    <n v="3"/>
    <n v="2999"/>
    <n v="8997"/>
    <n v="0"/>
    <n v="0"/>
    <n v="8997"/>
    <s v="UPI"/>
    <x v="1"/>
  </r>
  <r>
    <s v="ORD-2025544"/>
    <s v="30 Sun"/>
    <s v="Mar"/>
    <s v="2025"/>
    <s v="CUST-1347"/>
    <s v="Ankit Joshi"/>
    <x v="2"/>
    <s v="Electronics"/>
    <s v="Bluetooth Headphones"/>
    <n v="1"/>
    <n v="1799"/>
    <n v="1799"/>
    <n v="5"/>
    <n v="89.95"/>
    <n v="1709.05"/>
    <s v="Net Banking"/>
    <x v="0"/>
  </r>
  <r>
    <s v="ORD-2025545"/>
    <s v="30 Sun"/>
    <s v="Mar"/>
    <s v="2025"/>
    <s v="CUST-1051"/>
    <s v="Rohan Patel"/>
    <x v="4"/>
    <s v="Electronics"/>
    <s v="Bluetooth Headphones"/>
    <n v="1"/>
    <n v="1799"/>
    <n v="1799"/>
    <n v="0"/>
    <n v="0"/>
    <n v="1799"/>
    <s v="Cash"/>
    <x v="1"/>
  </r>
  <r>
    <s v="ORD-2025546"/>
    <s v="30 Sun"/>
    <s v="Mar"/>
    <s v="2025"/>
    <s v="CUST-1076"/>
    <s v="Tanya Saxena"/>
    <x v="0"/>
    <s v="Stationery"/>
    <s v="Notebook Set"/>
    <n v="3"/>
    <n v="199"/>
    <n v="597"/>
    <n v="15"/>
    <n v="89.55"/>
    <n v="507.45"/>
    <s v="UPI"/>
    <x v="1"/>
  </r>
  <r>
    <s v="ORD-2025547"/>
    <s v="30 Sun"/>
    <s v="Mar"/>
    <s v="2025"/>
    <s v="CUST-1054"/>
    <s v="Kunal Patel"/>
    <x v="1"/>
    <s v="Sports"/>
    <s v="Cricket Bat"/>
    <n v="1"/>
    <n v="1499"/>
    <n v="1499"/>
    <n v="10"/>
    <n v="149.9"/>
    <n v="1349.1"/>
    <s v="Debit Card"/>
    <x v="0"/>
  </r>
  <r>
    <s v="ORD-2025548"/>
    <s v="30 Sun"/>
    <s v="Mar"/>
    <s v="2025"/>
    <s v="CUST-1118"/>
    <s v="Sakshi Malhotra"/>
    <x v="4"/>
    <s v="Apparel"/>
    <s v="Denim Jacket"/>
    <n v="1"/>
    <n v="1999"/>
    <n v="1999"/>
    <n v="0"/>
    <n v="0"/>
    <n v="1999"/>
    <s v="Credit Card"/>
    <x v="1"/>
  </r>
  <r>
    <s v="ORD-2025549"/>
    <s v="30 Sun"/>
    <s v="Mar"/>
    <s v="2025"/>
    <s v="CUST-1052"/>
    <s v="Meera Verma"/>
    <x v="3"/>
    <s v="Electronics"/>
    <s v="Wireless Mouse"/>
    <n v="2"/>
    <n v="599"/>
    <n v="1198"/>
    <n v="5"/>
    <n v="59.9"/>
    <n v="1138.0999999999999"/>
    <s v="UPI"/>
    <x v="1"/>
  </r>
  <r>
    <s v="ORD-2025550"/>
    <s v="30 Sun"/>
    <s v="Mar"/>
    <s v="2025"/>
    <s v="CUST-1127"/>
    <s v="Muskan Joshi"/>
    <x v="1"/>
    <s v="Electronics"/>
    <s v="Smartwatch"/>
    <n v="3"/>
    <n v="2999"/>
    <n v="8997"/>
    <n v="10"/>
    <n v="899.7"/>
    <n v="8097.3"/>
    <s v="Debit Card"/>
    <x v="0"/>
  </r>
  <r>
    <s v="ORD-2025551"/>
    <s v="31 Mon"/>
    <s v="Mar"/>
    <s v="2025"/>
    <s v="CUST-1076"/>
    <s v="Tanya Saxena"/>
    <x v="2"/>
    <s v="Beauty"/>
    <s v="Herbal Shampoo"/>
    <n v="1"/>
    <n v="249"/>
    <n v="249"/>
    <n v="0"/>
    <n v="0"/>
    <n v="249"/>
    <s v="UPI"/>
    <x v="1"/>
  </r>
  <r>
    <s v="ORD-2025552"/>
    <s v="31 Mon"/>
    <s v="Mar"/>
    <s v="2025"/>
    <s v="CUST-1036"/>
    <s v="Nandini Mehta"/>
    <x v="0"/>
    <s v="Sports"/>
    <s v="Yoga Mat"/>
    <n v="4"/>
    <n v="699"/>
    <n v="2796"/>
    <n v="0"/>
    <n v="0"/>
    <n v="2796"/>
    <s v="UPI"/>
    <x v="0"/>
  </r>
  <r>
    <s v="ORD-2025553"/>
    <s v="31 Mon"/>
    <s v="Mar"/>
    <s v="2025"/>
    <s v="CUST-1056"/>
    <s v="Aarav Kapoor"/>
    <x v="2"/>
    <s v="Stationery"/>
    <s v="Gel Pen Pack"/>
    <n v="5"/>
    <n v="99"/>
    <n v="495"/>
    <n v="0"/>
    <n v="0"/>
    <n v="495"/>
    <s v="Net Banking"/>
    <x v="0"/>
  </r>
  <r>
    <s v="ORD-2025554"/>
    <s v="31 Mon"/>
    <s v="Mar"/>
    <s v="2025"/>
    <s v="CUST-1208"/>
    <s v="Arjun Singh"/>
    <x v="0"/>
    <s v="Home &amp; Kitchen"/>
    <s v="LED Desk Lamp"/>
    <n v="1"/>
    <n v="799"/>
    <n v="799"/>
    <n v="0"/>
    <n v="0"/>
    <n v="799"/>
    <s v="Credit Card"/>
    <x v="0"/>
  </r>
  <r>
    <s v="ORD-2025555"/>
    <s v="31 Mon"/>
    <s v="Mar"/>
    <s v="2025"/>
    <s v="CUST-1396"/>
    <s v="Shreya Patel"/>
    <x v="4"/>
    <s v="Beauty"/>
    <s v="Herbal Shampoo"/>
    <n v="1"/>
    <n v="249"/>
    <n v="249"/>
    <n v="0"/>
    <n v="0"/>
    <n v="249"/>
    <s v="Credit Card"/>
    <x v="0"/>
  </r>
  <r>
    <s v="ORD-2025556"/>
    <s v="31 Mon"/>
    <s v="Mar"/>
    <s v="2025"/>
    <s v="CUST-1312"/>
    <s v="Sakshi Saxena"/>
    <x v="1"/>
    <s v="Sports"/>
    <s v="Yoga Mat"/>
    <n v="1"/>
    <n v="699"/>
    <n v="699"/>
    <n v="10"/>
    <n v="69.900000000000006"/>
    <n v="629.1"/>
    <s v="Credit Card"/>
    <x v="0"/>
  </r>
  <r>
    <s v="ORD-2025557"/>
    <s v="31 Mon"/>
    <s v="Mar"/>
    <s v="2025"/>
    <s v="CUST-1306"/>
    <s v="Sakshi Malhotra"/>
    <x v="4"/>
    <s v="Electronics"/>
    <s v="Bluetooth Headphones"/>
    <n v="5"/>
    <n v="1799"/>
    <n v="8995"/>
    <n v="20"/>
    <n v="1799"/>
    <n v="7196"/>
    <s v="Cash"/>
    <x v="0"/>
  </r>
  <r>
    <s v="ORD-2025558"/>
    <s v="31 Mon"/>
    <s v="Mar"/>
    <s v="2025"/>
    <s v="CUST-1257"/>
    <s v="Shreya Saxena"/>
    <x v="1"/>
    <s v="Apparel"/>
    <s v="Cotton T-Shirt"/>
    <n v="1"/>
    <n v="499"/>
    <n v="499"/>
    <n v="0"/>
    <n v="0"/>
    <n v="499"/>
    <s v="UPI"/>
    <x v="0"/>
  </r>
  <r>
    <s v="ORD-2025559"/>
    <s v="31 Mon"/>
    <s v="Mar"/>
    <s v="2025"/>
    <s v="CUST-1041"/>
    <s v="Divya Malhotra"/>
    <x v="3"/>
    <s v="Stationery"/>
    <s v="Notebook Set"/>
    <n v="3"/>
    <n v="199"/>
    <n v="597"/>
    <n v="5"/>
    <n v="29.85"/>
    <n v="567.15"/>
    <s v="Cash"/>
    <x v="1"/>
  </r>
  <r>
    <s v="ORD-2025560"/>
    <s v="1 Tue"/>
    <s v="Apr"/>
    <s v="2025"/>
    <s v="CUST-1249"/>
    <s v="Kabir Sharma"/>
    <x v="1"/>
    <s v="Beauty"/>
    <s v="Face Wash 100ml"/>
    <n v="1"/>
    <n v="299"/>
    <n v="299"/>
    <n v="20"/>
    <n v="59.8"/>
    <n v="239.2"/>
    <s v="Net Banking"/>
    <x v="1"/>
  </r>
  <r>
    <s v="ORD-2025561"/>
    <s v="1 Tue"/>
    <s v="Apr"/>
    <s v="2025"/>
    <s v="CUST-1108"/>
    <s v="Kunal Patel"/>
    <x v="0"/>
    <s v="Home &amp; Kitchen"/>
    <s v="Non-stick Pan Set"/>
    <n v="3"/>
    <n v="1299"/>
    <n v="3897"/>
    <n v="20"/>
    <n v="779.4"/>
    <n v="3117.6"/>
    <s v="Cash"/>
    <x v="0"/>
  </r>
  <r>
    <s v="ORD-2025562"/>
    <s v="1 Tue"/>
    <s v="Apr"/>
    <s v="2025"/>
    <s v="CUST-1361"/>
    <s v="Vivaan Kapoor"/>
    <x v="4"/>
    <s v="Electronics"/>
    <s v="Wireless Mouse"/>
    <n v="1"/>
    <n v="599"/>
    <n v="599"/>
    <n v="0"/>
    <n v="0"/>
    <n v="599"/>
    <s v="Debit Card"/>
    <x v="0"/>
  </r>
  <r>
    <s v="ORD-2025563"/>
    <s v="1 Tue"/>
    <s v="Apr"/>
    <s v="2025"/>
    <s v="CUST-1230"/>
    <s v="Divya Malhotra"/>
    <x v="2"/>
    <s v="Beauty"/>
    <s v="Herbal Shampoo"/>
    <n v="1"/>
    <n v="249"/>
    <n v="249"/>
    <n v="10"/>
    <n v="24.9"/>
    <n v="224.1"/>
    <s v="Credit Card"/>
    <x v="0"/>
  </r>
  <r>
    <s v="ORD-2025564"/>
    <s v="1 Tue"/>
    <s v="Apr"/>
    <s v="2025"/>
    <s v="CUST-1087"/>
    <s v="Kabir Verma"/>
    <x v="3"/>
    <s v="Electronics"/>
    <s v="Bluetooth Headphones"/>
    <n v="2"/>
    <n v="1799"/>
    <n v="3598"/>
    <n v="0"/>
    <n v="0"/>
    <n v="3598"/>
    <s v="UPI"/>
    <x v="0"/>
  </r>
  <r>
    <s v="ORD-2025565"/>
    <s v="2 Wed"/>
    <s v="Apr"/>
    <s v="2025"/>
    <s v="CUST-1064"/>
    <s v="Ankit Mehta"/>
    <x v="2"/>
    <s v="Home &amp; Kitchen"/>
    <s v="LED Desk Lamp"/>
    <n v="1"/>
    <n v="799"/>
    <n v="799"/>
    <n v="0"/>
    <n v="0"/>
    <n v="799"/>
    <s v="Debit Card"/>
    <x v="0"/>
  </r>
  <r>
    <s v="ORD-2025566"/>
    <s v="2 Wed"/>
    <s v="Apr"/>
    <s v="2025"/>
    <s v="CUST-1354"/>
    <s v="Aman Saxena"/>
    <x v="3"/>
    <s v="Stationery"/>
    <s v="Notebook Set"/>
    <n v="2"/>
    <n v="199"/>
    <n v="398"/>
    <n v="20"/>
    <n v="79.599999999999994"/>
    <n v="318.39999999999998"/>
    <s v="Credit Card"/>
    <x v="0"/>
  </r>
  <r>
    <s v="ORD-2025567"/>
    <s v="2 Wed"/>
    <s v="Apr"/>
    <s v="2025"/>
    <s v="CUST-1268"/>
    <s v="Aman Verma"/>
    <x v="1"/>
    <s v="Electronics"/>
    <s v="Wireless Mouse"/>
    <n v="1"/>
    <n v="599"/>
    <n v="599"/>
    <n v="15"/>
    <n v="89.85"/>
    <n v="509.15"/>
    <s v="UPI"/>
    <x v="0"/>
  </r>
  <r>
    <s v="ORD-2025568"/>
    <s v="2 Wed"/>
    <s v="Apr"/>
    <s v="2025"/>
    <s v="CUST-1118"/>
    <s v="Sakshi Malhotra"/>
    <x v="0"/>
    <s v="Home &amp; Kitchen"/>
    <s v="LED Desk Lamp"/>
    <n v="1"/>
    <n v="799"/>
    <n v="799"/>
    <n v="10"/>
    <n v="79.900000000000006"/>
    <n v="719.1"/>
    <s v="Debit Card"/>
    <x v="0"/>
  </r>
  <r>
    <s v="ORD-2025569"/>
    <s v="2 Wed"/>
    <s v="Apr"/>
    <s v="2025"/>
    <s v="CUST-1309"/>
    <s v="Meera Verma"/>
    <x v="1"/>
    <s v="Electronics"/>
    <s v="Wireless Mouse"/>
    <n v="3"/>
    <n v="599"/>
    <n v="1797"/>
    <n v="15"/>
    <n v="269.55"/>
    <n v="1527.45"/>
    <s v="Cash"/>
    <x v="0"/>
  </r>
  <r>
    <s v="ORD-2025570"/>
    <s v="2 Wed"/>
    <s v="Apr"/>
    <s v="2025"/>
    <s v="CUST-1053"/>
    <s v="Vivaan Malhotra"/>
    <x v="0"/>
    <s v="Apparel"/>
    <s v="Cotton T-Shirt"/>
    <n v="1"/>
    <n v="499"/>
    <n v="499"/>
    <n v="0"/>
    <n v="0"/>
    <n v="499"/>
    <s v="Cash"/>
    <x v="1"/>
  </r>
  <r>
    <s v="ORD-2025571"/>
    <s v="2 Wed"/>
    <s v="Apr"/>
    <s v="2025"/>
    <s v="CUST-1094"/>
    <s v="Swati Kapoor"/>
    <x v="2"/>
    <s v="Electronics"/>
    <s v="Bluetooth Headphones"/>
    <n v="1"/>
    <n v="1799"/>
    <n v="1799"/>
    <n v="15"/>
    <n v="269.85000000000002"/>
    <n v="1529.15"/>
    <s v="Debit Card"/>
    <x v="0"/>
  </r>
  <r>
    <s v="ORD-2025572"/>
    <s v="3 Thu"/>
    <s v="Apr"/>
    <s v="2025"/>
    <s v="CUST-1082"/>
    <s v="Aarav Mehta"/>
    <x v="0"/>
    <s v="Groceries"/>
    <s v="Basmati Rice 5kg"/>
    <n v="2"/>
    <n v="549"/>
    <n v="1098"/>
    <n v="0"/>
    <n v="0"/>
    <n v="1098"/>
    <s v="UPI"/>
    <x v="0"/>
  </r>
  <r>
    <s v="ORD-2025573"/>
    <s v="3 Thu"/>
    <s v="Apr"/>
    <s v="2025"/>
    <s v="CUST-1369"/>
    <s v="Rohan Sharma"/>
    <x v="4"/>
    <s v="Sports"/>
    <s v="Yoga Mat"/>
    <n v="1"/>
    <n v="699"/>
    <n v="699"/>
    <n v="0"/>
    <n v="0"/>
    <n v="699"/>
    <s v="Debit Card"/>
    <x v="0"/>
  </r>
  <r>
    <s v="ORD-2025574"/>
    <s v="3 Thu"/>
    <s v="Apr"/>
    <s v="2025"/>
    <s v="CUST-1141"/>
    <s v="Tanya Kapoor"/>
    <x v="0"/>
    <s v="Electronics"/>
    <s v="Smartwatch"/>
    <n v="1"/>
    <n v="2999"/>
    <n v="2999"/>
    <n v="15"/>
    <n v="449.85"/>
    <n v="2549.15"/>
    <s v="Debit Card"/>
    <x v="0"/>
  </r>
  <r>
    <s v="ORD-2025575"/>
    <s v="3 Thu"/>
    <s v="Apr"/>
    <s v="2025"/>
    <s v="CUST-1152"/>
    <s v="Kabir Gupta"/>
    <x v="1"/>
    <s v="Stationery"/>
    <s v="Notebook Set"/>
    <n v="1"/>
    <n v="199"/>
    <n v="199"/>
    <n v="0"/>
    <n v="0"/>
    <n v="199"/>
    <s v="Debit Card"/>
    <x v="1"/>
  </r>
  <r>
    <s v="ORD-2025576"/>
    <s v="3 Thu"/>
    <s v="Apr"/>
    <s v="2025"/>
    <s v="CUST-1335"/>
    <s v="Divya Saxena"/>
    <x v="0"/>
    <s v="Sports"/>
    <s v="Cricket Bat"/>
    <n v="1"/>
    <n v="1499"/>
    <n v="1499"/>
    <n v="0"/>
    <n v="0"/>
    <n v="1499"/>
    <s v="Debit Card"/>
    <x v="0"/>
  </r>
  <r>
    <s v="ORD-2025577"/>
    <s v="3 Thu"/>
    <s v="Apr"/>
    <s v="2025"/>
    <s v="CUST-1085"/>
    <s v="Shreya Mehta"/>
    <x v="2"/>
    <s v="Sports"/>
    <s v="Cricket Bat"/>
    <n v="1"/>
    <n v="1499"/>
    <n v="1499"/>
    <n v="20"/>
    <n v="299.8"/>
    <n v="1199.2"/>
    <s v="Debit Card"/>
    <x v="0"/>
  </r>
  <r>
    <s v="ORD-2025578"/>
    <s v="3 Thu"/>
    <s v="Apr"/>
    <s v="2025"/>
    <s v="CUST-1005"/>
    <s v="Rohan Malhotra"/>
    <x v="1"/>
    <s v="Apparel"/>
    <s v="Cotton T-Shirt"/>
    <n v="1"/>
    <n v="499"/>
    <n v="499"/>
    <n v="20"/>
    <n v="99.8"/>
    <n v="399.2"/>
    <s v="UPI"/>
    <x v="1"/>
  </r>
  <r>
    <s v="ORD-2025579"/>
    <s v="3 Thu"/>
    <s v="Apr"/>
    <s v="2025"/>
    <s v="CUST-1188"/>
    <s v="Shreya Malhotra"/>
    <x v="4"/>
    <s v="Electronics"/>
    <s v="Smartwatch"/>
    <n v="1"/>
    <n v="2999"/>
    <n v="2999"/>
    <n v="15"/>
    <n v="449.85"/>
    <n v="2549.15"/>
    <s v="Credit Card"/>
    <x v="0"/>
  </r>
  <r>
    <s v="ORD-2025580"/>
    <s v="3 Thu"/>
    <s v="Apr"/>
    <s v="2025"/>
    <s v="CUST-1025"/>
    <s v="Aditya Singh"/>
    <x v="0"/>
    <s v="Beauty"/>
    <s v="Face Wash 100ml"/>
    <n v="4"/>
    <n v="299"/>
    <n v="1196"/>
    <n v="0"/>
    <n v="0"/>
    <n v="1196"/>
    <s v="Net Banking"/>
    <x v="1"/>
  </r>
  <r>
    <s v="ORD-2025581"/>
    <s v="3 Thu"/>
    <s v="Apr"/>
    <s v="2025"/>
    <s v="CUST-1336"/>
    <s v="Arjun Singh"/>
    <x v="2"/>
    <s v="Home &amp; Kitchen"/>
    <s v="Non-stick Pan Set"/>
    <n v="2"/>
    <n v="1299"/>
    <n v="2598"/>
    <n v="20"/>
    <n v="519.6"/>
    <n v="2078.4"/>
    <s v="Debit Card"/>
    <x v="0"/>
  </r>
  <r>
    <s v="ORD-2025582"/>
    <s v="3 Thu"/>
    <s v="Apr"/>
    <s v="2025"/>
    <s v="CUST-1350"/>
    <s v="Isha Kapoor"/>
    <x v="2"/>
    <s v="Apparel"/>
    <s v="Cotton T-Shirt"/>
    <n v="1"/>
    <n v="499"/>
    <n v="499"/>
    <n v="15"/>
    <n v="74.849999999999994"/>
    <n v="424.15"/>
    <s v="Cash"/>
    <x v="0"/>
  </r>
  <r>
    <s v="ORD-2025583"/>
    <s v="4 Fri"/>
    <s v="Apr"/>
    <s v="2025"/>
    <s v="CUST-1167"/>
    <s v="Nandini Verma"/>
    <x v="1"/>
    <s v="Stationery"/>
    <s v="Gel Pen Pack"/>
    <n v="2"/>
    <n v="99"/>
    <n v="198"/>
    <n v="0"/>
    <n v="0"/>
    <n v="198"/>
    <s v="UPI"/>
    <x v="1"/>
  </r>
  <r>
    <s v="ORD-2025584"/>
    <s v="4 Fri"/>
    <s v="Apr"/>
    <s v="2025"/>
    <s v="CUST-1045"/>
    <s v="Arjun Verma"/>
    <x v="0"/>
    <s v="Electronics"/>
    <s v="Bluetooth Headphones"/>
    <n v="1"/>
    <n v="1799"/>
    <n v="1799"/>
    <n v="0"/>
    <n v="0"/>
    <n v="1799"/>
    <s v="Net Banking"/>
    <x v="1"/>
  </r>
  <r>
    <s v="ORD-2025585"/>
    <s v="4 Fri"/>
    <s v="Apr"/>
    <s v="2025"/>
    <s v="CUST-1027"/>
    <s v="Aditya Gupta"/>
    <x v="2"/>
    <s v="Groceries"/>
    <s v="Basmati Rice 5kg"/>
    <n v="2"/>
    <n v="549"/>
    <n v="1098"/>
    <n v="0"/>
    <n v="0"/>
    <n v="1098"/>
    <s v="Credit Card"/>
    <x v="0"/>
  </r>
  <r>
    <s v="ORD-2025586"/>
    <s v="4 Fri"/>
    <s v="Apr"/>
    <s v="2025"/>
    <s v="CUST-1052"/>
    <s v="Meera Verma"/>
    <x v="2"/>
    <s v="Beauty"/>
    <s v="Face Wash 100ml"/>
    <n v="1"/>
    <n v="299"/>
    <n v="299"/>
    <n v="0"/>
    <n v="0"/>
    <n v="299"/>
    <s v="Credit Card"/>
    <x v="1"/>
  </r>
  <r>
    <s v="ORD-2025587"/>
    <s v="4 Fri"/>
    <s v="Apr"/>
    <s v="2025"/>
    <s v="CUST-1116"/>
    <s v="Sakshi Mehta"/>
    <x v="4"/>
    <s v="Electronics"/>
    <s v="Wireless Mouse"/>
    <n v="4"/>
    <n v="599"/>
    <n v="2396"/>
    <n v="0"/>
    <n v="0"/>
    <n v="2396"/>
    <s v="Net Banking"/>
    <x v="0"/>
  </r>
  <r>
    <s v="ORD-2025588"/>
    <s v="4 Fri"/>
    <s v="Apr"/>
    <s v="2025"/>
    <s v="CUST-1146"/>
    <s v="Tanya Patel"/>
    <x v="1"/>
    <s v="Electronics"/>
    <s v="Wireless Mouse"/>
    <n v="1"/>
    <n v="599"/>
    <n v="599"/>
    <n v="0"/>
    <n v="0"/>
    <n v="599"/>
    <s v="Cash"/>
    <x v="0"/>
  </r>
  <r>
    <s v="ORD-2025589"/>
    <s v="4 Fri"/>
    <s v="Apr"/>
    <s v="2025"/>
    <s v="CUST-1150"/>
    <s v="Isha Singh"/>
    <x v="1"/>
    <s v="Groceries"/>
    <s v="Basmati Rice 5kg"/>
    <n v="1"/>
    <n v="549"/>
    <n v="549"/>
    <n v="20"/>
    <n v="109.8"/>
    <n v="439.2"/>
    <s v="Cash"/>
    <x v="0"/>
  </r>
  <r>
    <s v="ORD-2025590"/>
    <s v="5 Sat"/>
    <s v="Apr"/>
    <s v="2025"/>
    <s v="CUST-1342"/>
    <s v="Vivaan Saxena"/>
    <x v="2"/>
    <s v="Home &amp; Kitchen"/>
    <s v="Non-stick Pan Set"/>
    <n v="4"/>
    <n v="1299"/>
    <n v="5196"/>
    <n v="0"/>
    <n v="0"/>
    <n v="5196"/>
    <s v="Cash"/>
    <x v="0"/>
  </r>
  <r>
    <s v="ORD-2025591"/>
    <s v="5 Sat"/>
    <s v="Apr"/>
    <s v="2025"/>
    <s v="CUST-1347"/>
    <s v="Ankit Joshi"/>
    <x v="0"/>
    <s v="Apparel"/>
    <s v="Formal Shirt"/>
    <n v="1"/>
    <n v="899"/>
    <n v="899"/>
    <n v="15"/>
    <n v="134.85"/>
    <n v="764.15"/>
    <s v="Credit Card"/>
    <x v="0"/>
  </r>
  <r>
    <s v="ORD-2025592"/>
    <s v="5 Sat"/>
    <s v="Apr"/>
    <s v="2025"/>
    <s v="CUST-1131"/>
    <s v="Aarav Sharma"/>
    <x v="0"/>
    <s v="Electronics"/>
    <s v="Bluetooth Headphones"/>
    <n v="1"/>
    <n v="1799"/>
    <n v="1799"/>
    <n v="15"/>
    <n v="269.85000000000002"/>
    <n v="1529.15"/>
    <s v="UPI"/>
    <x v="0"/>
  </r>
  <r>
    <s v="ORD-2025593"/>
    <s v="5 Sat"/>
    <s v="Apr"/>
    <s v="2025"/>
    <s v="CUST-1114"/>
    <s v="Vivaan Malhotra"/>
    <x v="3"/>
    <s v="Apparel"/>
    <s v="Cotton T-Shirt"/>
    <n v="4"/>
    <n v="499"/>
    <n v="1996"/>
    <n v="0"/>
    <n v="0"/>
    <n v="1996"/>
    <s v="Credit Card"/>
    <x v="1"/>
  </r>
  <r>
    <s v="ORD-2025594"/>
    <s v="5 Sat"/>
    <s v="Apr"/>
    <s v="2025"/>
    <s v="CUST-1034"/>
    <s v="Sakshi Patel"/>
    <x v="4"/>
    <s v="Home &amp; Kitchen"/>
    <s v="Non-stick Pan Set"/>
    <n v="5"/>
    <n v="1299"/>
    <n v="6495"/>
    <n v="5"/>
    <n v="324.75"/>
    <n v="6170.25"/>
    <s v="UPI"/>
    <x v="0"/>
  </r>
  <r>
    <s v="ORD-2025595"/>
    <s v="5 Sat"/>
    <s v="Apr"/>
    <s v="2025"/>
    <s v="CUST-1256"/>
    <s v="Rohan Singh"/>
    <x v="3"/>
    <s v="Stationery"/>
    <s v="Notebook Set"/>
    <n v="1"/>
    <n v="199"/>
    <n v="199"/>
    <n v="10"/>
    <n v="19.899999999999999"/>
    <n v="179.1"/>
    <s v="Credit Card"/>
    <x v="0"/>
  </r>
  <r>
    <s v="ORD-2025596"/>
    <s v="5 Sat"/>
    <s v="Apr"/>
    <s v="2025"/>
    <s v="CUST-1097"/>
    <s v="Rohan Verma"/>
    <x v="0"/>
    <s v="Electronics"/>
    <s v="Smartwatch"/>
    <n v="1"/>
    <n v="2999"/>
    <n v="2999"/>
    <n v="0"/>
    <n v="0"/>
    <n v="2999"/>
    <s v="Debit Card"/>
    <x v="0"/>
  </r>
  <r>
    <s v="ORD-2025597"/>
    <s v="5 Sat"/>
    <s v="Apr"/>
    <s v="2025"/>
    <s v="CUST-1136"/>
    <s v="Kunal Patel"/>
    <x v="3"/>
    <s v="Stationery"/>
    <s v="Notebook Set"/>
    <n v="1"/>
    <n v="199"/>
    <n v="199"/>
    <n v="5"/>
    <n v="9.9499999999999993"/>
    <n v="189.05"/>
    <s v="Credit Card"/>
    <x v="0"/>
  </r>
  <r>
    <s v="ORD-2025598"/>
    <s v="5 Sat"/>
    <s v="Apr"/>
    <s v="2025"/>
    <s v="CUST-1284"/>
    <s v="Arjun Kapoor"/>
    <x v="0"/>
    <s v="Electronics"/>
    <s v="Smartwatch"/>
    <n v="1"/>
    <n v="2999"/>
    <n v="2999"/>
    <n v="5"/>
    <n v="149.94999999999999"/>
    <n v="2849.05"/>
    <s v="Debit Card"/>
    <x v="0"/>
  </r>
  <r>
    <s v="ORD-2025599"/>
    <s v="5 Sat"/>
    <s v="Apr"/>
    <s v="2025"/>
    <s v="CUST-1040"/>
    <s v="Aditya Malhotra"/>
    <x v="3"/>
    <s v="Apparel"/>
    <s v="Formal Shirt"/>
    <n v="2"/>
    <n v="899"/>
    <n v="1798"/>
    <n v="15"/>
    <n v="269.7"/>
    <n v="1528.3"/>
    <s v="UPI"/>
    <x v="0"/>
  </r>
  <r>
    <s v="ORD-2025600"/>
    <s v="6 Sun"/>
    <s v="Apr"/>
    <s v="2025"/>
    <s v="CUST-1150"/>
    <s v="Isha Singh"/>
    <x v="4"/>
    <s v="Electronics"/>
    <s v="Bluetooth Headphones"/>
    <n v="5"/>
    <n v="1799"/>
    <n v="8995"/>
    <n v="20"/>
    <n v="1799"/>
    <n v="7196"/>
    <s v="Debit Card"/>
    <x v="0"/>
  </r>
  <r>
    <s v="ORD-2025601"/>
    <s v="6 Sun"/>
    <s v="Apr"/>
    <s v="2025"/>
    <s v="CUST-1255"/>
    <s v="Aman Gupta"/>
    <x v="3"/>
    <s v="Sports"/>
    <s v="Cricket Bat"/>
    <n v="3"/>
    <n v="1499"/>
    <n v="4497"/>
    <n v="0"/>
    <n v="0"/>
    <n v="4497"/>
    <s v="Credit Card"/>
    <x v="0"/>
  </r>
  <r>
    <s v="ORD-2025602"/>
    <s v="7 Mon"/>
    <s v="Apr"/>
    <s v="2025"/>
    <s v="CUST-1270"/>
    <s v="Nandini Verma"/>
    <x v="0"/>
    <s v="Sports"/>
    <s v="Yoga Mat"/>
    <n v="1"/>
    <n v="699"/>
    <n v="699"/>
    <n v="20"/>
    <n v="139.80000000000001"/>
    <n v="559.20000000000005"/>
    <s v="UPI"/>
    <x v="1"/>
  </r>
  <r>
    <s v="ORD-2025603"/>
    <s v="7 Mon"/>
    <s v="Apr"/>
    <s v="2025"/>
    <s v="CUST-1292"/>
    <s v="Aman Singh"/>
    <x v="3"/>
    <s v="Apparel"/>
    <s v="Cotton T-Shirt"/>
    <n v="1"/>
    <n v="499"/>
    <n v="499"/>
    <n v="0"/>
    <n v="0"/>
    <n v="499"/>
    <s v="Net Banking"/>
    <x v="0"/>
  </r>
  <r>
    <s v="ORD-2025604"/>
    <s v="7 Mon"/>
    <s v="Apr"/>
    <s v="2025"/>
    <s v="CUST-1140"/>
    <s v="Tanya Verma"/>
    <x v="1"/>
    <s v="Home &amp; Kitchen"/>
    <s v="Non-stick Pan Set"/>
    <n v="1"/>
    <n v="1299"/>
    <n v="1299"/>
    <n v="0"/>
    <n v="0"/>
    <n v="1299"/>
    <s v="Debit Card"/>
    <x v="1"/>
  </r>
  <r>
    <s v="ORD-2025605"/>
    <s v="8 Tue"/>
    <s v="Apr"/>
    <s v="2025"/>
    <s v="CUST-1217"/>
    <s v="Ankit Patel"/>
    <x v="3"/>
    <s v="Apparel"/>
    <s v="Cotton T-Shirt"/>
    <n v="1"/>
    <n v="499"/>
    <n v="499"/>
    <n v="5"/>
    <n v="24.95"/>
    <n v="474.05"/>
    <s v="Debit Card"/>
    <x v="0"/>
  </r>
  <r>
    <s v="ORD-2025606"/>
    <s v="8 Tue"/>
    <s v="Apr"/>
    <s v="2025"/>
    <s v="CUST-1173"/>
    <s v="Ankit Gupta"/>
    <x v="2"/>
    <s v="Sports"/>
    <s v="Yoga Mat"/>
    <n v="1"/>
    <n v="699"/>
    <n v="699"/>
    <n v="10"/>
    <n v="69.900000000000006"/>
    <n v="629.1"/>
    <s v="UPI"/>
    <x v="0"/>
  </r>
  <r>
    <s v="ORD-2025607"/>
    <s v="8 Tue"/>
    <s v="Apr"/>
    <s v="2025"/>
    <s v="CUST-1240"/>
    <s v="Sakshi Patel"/>
    <x v="4"/>
    <s v="Electronics"/>
    <s v="Bluetooth Headphones"/>
    <n v="2"/>
    <n v="1799"/>
    <n v="3598"/>
    <n v="0"/>
    <n v="0"/>
    <n v="3598"/>
    <s v="Cash"/>
    <x v="1"/>
  </r>
  <r>
    <s v="ORD-2025608"/>
    <s v="8 Tue"/>
    <s v="Apr"/>
    <s v="2025"/>
    <s v="CUST-1066"/>
    <s v="Kunal Verma"/>
    <x v="1"/>
    <s v="Beauty"/>
    <s v="Face Wash 100ml"/>
    <n v="2"/>
    <n v="299"/>
    <n v="598"/>
    <n v="20"/>
    <n v="119.6"/>
    <n v="478.4"/>
    <s v="Debit Card"/>
    <x v="1"/>
  </r>
  <r>
    <s v="ORD-2025609"/>
    <s v="8 Tue"/>
    <s v="Apr"/>
    <s v="2025"/>
    <s v="CUST-1358"/>
    <s v="Aman Patel"/>
    <x v="4"/>
    <s v="Electronics"/>
    <s v="Smartwatch"/>
    <n v="1"/>
    <n v="2999"/>
    <n v="2999"/>
    <n v="0"/>
    <n v="0"/>
    <n v="2999"/>
    <s v="UPI"/>
    <x v="0"/>
  </r>
  <r>
    <s v="ORD-2025610"/>
    <s v="8 Tue"/>
    <s v="Apr"/>
    <s v="2025"/>
    <s v="CUST-1263"/>
    <s v="Tanya Mehta"/>
    <x v="2"/>
    <s v="Beauty"/>
    <s v="Face Wash 100ml"/>
    <n v="1"/>
    <n v="299"/>
    <n v="299"/>
    <n v="10"/>
    <n v="29.9"/>
    <n v="269.10000000000002"/>
    <s v="Debit Card"/>
    <x v="0"/>
  </r>
  <r>
    <s v="ORD-2025611"/>
    <s v="8 Tue"/>
    <s v="Apr"/>
    <s v="2025"/>
    <s v="CUST-1305"/>
    <s v="Muskan Joshi"/>
    <x v="1"/>
    <s v="Beauty"/>
    <s v="Face Wash 100ml"/>
    <n v="1"/>
    <n v="299"/>
    <n v="299"/>
    <n v="20"/>
    <n v="59.8"/>
    <n v="239.2"/>
    <s v="Credit Card"/>
    <x v="1"/>
  </r>
  <r>
    <s v="ORD-2025612"/>
    <s v="9 Wed"/>
    <s v="Apr"/>
    <s v="2025"/>
    <s v="CUST-1256"/>
    <s v="Rohan Singh"/>
    <x v="0"/>
    <s v="Groceries"/>
    <s v="Organic Honey 500g"/>
    <n v="1"/>
    <n v="349"/>
    <n v="349"/>
    <n v="10"/>
    <n v="34.9"/>
    <n v="314.10000000000002"/>
    <s v="UPI"/>
    <x v="1"/>
  </r>
  <r>
    <s v="ORD-2025613"/>
    <s v="9 Wed"/>
    <s v="Apr"/>
    <s v="2025"/>
    <s v="CUST-1063"/>
    <s v="Aman Sharma"/>
    <x v="0"/>
    <s v="Groceries"/>
    <s v="Organic Honey 500g"/>
    <n v="2"/>
    <n v="349"/>
    <n v="698"/>
    <n v="15"/>
    <n v="104.7"/>
    <n v="593.29999999999995"/>
    <s v="Debit Card"/>
    <x v="0"/>
  </r>
  <r>
    <s v="ORD-2025614"/>
    <s v="9 Wed"/>
    <s v="Apr"/>
    <s v="2025"/>
    <s v="CUST-1108"/>
    <s v="Kunal Patel"/>
    <x v="2"/>
    <s v="Apparel"/>
    <s v="Formal Shirt"/>
    <n v="3"/>
    <n v="899"/>
    <n v="2697"/>
    <n v="0"/>
    <n v="0"/>
    <n v="2697"/>
    <s v="UPI"/>
    <x v="0"/>
  </r>
  <r>
    <s v="ORD-2025615"/>
    <s v="9 Wed"/>
    <s v="Apr"/>
    <s v="2025"/>
    <s v="CUST-1159"/>
    <s v="Isha Kapoor"/>
    <x v="2"/>
    <s v="Sports"/>
    <s v="Yoga Mat"/>
    <n v="1"/>
    <n v="699"/>
    <n v="699"/>
    <n v="0"/>
    <n v="0"/>
    <n v="699"/>
    <s v="Credit Card"/>
    <x v="0"/>
  </r>
  <r>
    <s v="ORD-2025616"/>
    <s v="9 Wed"/>
    <s v="Apr"/>
    <s v="2025"/>
    <s v="CUST-1231"/>
    <s v="Divya Gupta"/>
    <x v="0"/>
    <s v="Apparel"/>
    <s v="Formal Shirt"/>
    <n v="2"/>
    <n v="899"/>
    <n v="1798"/>
    <n v="0"/>
    <n v="0"/>
    <n v="1798"/>
    <s v="Credit Card"/>
    <x v="0"/>
  </r>
  <r>
    <s v="ORD-2025617"/>
    <s v="9 Wed"/>
    <s v="Apr"/>
    <s v="2025"/>
    <s v="CUST-1082"/>
    <s v="Aarav Mehta"/>
    <x v="1"/>
    <s v="Home &amp; Kitchen"/>
    <s v="LED Desk Lamp"/>
    <n v="1"/>
    <n v="799"/>
    <n v="799"/>
    <n v="20"/>
    <n v="159.80000000000001"/>
    <n v="639.20000000000005"/>
    <s v="UPI"/>
    <x v="0"/>
  </r>
  <r>
    <s v="ORD-2025618"/>
    <s v="9 Wed"/>
    <s v="Apr"/>
    <s v="2025"/>
    <s v="CUST-1074"/>
    <s v="Kabir Kapoor"/>
    <x v="3"/>
    <s v="Groceries"/>
    <s v="Basmati Rice 5kg"/>
    <n v="2"/>
    <n v="549"/>
    <n v="1098"/>
    <n v="0"/>
    <n v="0"/>
    <n v="1098"/>
    <s v="Debit Card"/>
    <x v="0"/>
  </r>
  <r>
    <s v="ORD-2025619"/>
    <s v="9 Wed"/>
    <s v="Apr"/>
    <s v="2025"/>
    <s v="CUST-1169"/>
    <s v="Nandini Patel"/>
    <x v="1"/>
    <s v="Apparel"/>
    <s v="Cotton T-Shirt"/>
    <n v="1"/>
    <n v="499"/>
    <n v="499"/>
    <n v="0"/>
    <n v="0"/>
    <n v="499"/>
    <s v="Credit Card"/>
    <x v="1"/>
  </r>
  <r>
    <s v="ORD-2025620"/>
    <s v="9 Wed"/>
    <s v="Apr"/>
    <s v="2025"/>
    <s v="CUST-1360"/>
    <s v="Muskan Singh"/>
    <x v="3"/>
    <s v="Groceries"/>
    <s v="Basmati Rice 5kg"/>
    <n v="4"/>
    <n v="549"/>
    <n v="2196"/>
    <n v="10"/>
    <n v="219.6"/>
    <n v="1976.4"/>
    <s v="UPI"/>
    <x v="0"/>
  </r>
  <r>
    <s v="ORD-2025621"/>
    <s v="9 Wed"/>
    <s v="Apr"/>
    <s v="2025"/>
    <s v="CUST-1400"/>
    <s v="Aarav Gupta"/>
    <x v="3"/>
    <s v="Apparel"/>
    <s v="Cotton T-Shirt"/>
    <n v="1"/>
    <n v="499"/>
    <n v="499"/>
    <n v="10"/>
    <n v="49.9"/>
    <n v="449.1"/>
    <s v="Cash"/>
    <x v="0"/>
  </r>
  <r>
    <s v="ORD-2025622"/>
    <s v="10 Thu"/>
    <s v="Apr"/>
    <s v="2025"/>
    <s v="CUST-1398"/>
    <s v="Sakshi Patel"/>
    <x v="0"/>
    <s v="Beauty"/>
    <s v="Face Wash 100ml"/>
    <n v="1"/>
    <n v="299"/>
    <n v="299"/>
    <n v="10"/>
    <n v="29.9"/>
    <n v="269.10000000000002"/>
    <s v="Net Banking"/>
    <x v="0"/>
  </r>
  <r>
    <s v="ORD-2025623"/>
    <s v="10 Thu"/>
    <s v="Apr"/>
    <s v="2025"/>
    <s v="CUST-1048"/>
    <s v="Divya Mehta"/>
    <x v="2"/>
    <s v="Electronics"/>
    <s v="Wireless Mouse"/>
    <n v="1"/>
    <n v="599"/>
    <n v="599"/>
    <n v="20"/>
    <n v="119.8"/>
    <n v="479.2"/>
    <s v="UPI"/>
    <x v="1"/>
  </r>
  <r>
    <s v="ORD-2025624"/>
    <s v="10 Thu"/>
    <s v="Apr"/>
    <s v="2025"/>
    <s v="CUST-1184"/>
    <s v="Rahul Joshi"/>
    <x v="4"/>
    <s v="Apparel"/>
    <s v="Formal Shirt"/>
    <n v="2"/>
    <n v="899"/>
    <n v="1798"/>
    <n v="5"/>
    <n v="89.9"/>
    <n v="1708.1"/>
    <s v="Debit Card"/>
    <x v="0"/>
  </r>
  <r>
    <s v="ORD-2025625"/>
    <s v="10 Thu"/>
    <s v="Apr"/>
    <s v="2025"/>
    <s v="CUST-1301"/>
    <s v="Shreya Sharma"/>
    <x v="4"/>
    <s v="Apparel"/>
    <s v="Formal Shirt"/>
    <n v="2"/>
    <n v="899"/>
    <n v="1798"/>
    <n v="10"/>
    <n v="179.8"/>
    <n v="1618.2"/>
    <s v="Debit Card"/>
    <x v="0"/>
  </r>
  <r>
    <s v="ORD-2025626"/>
    <s v="10 Thu"/>
    <s v="Apr"/>
    <s v="2025"/>
    <s v="CUST-1238"/>
    <s v="Nandini Verma"/>
    <x v="3"/>
    <s v="Electronics"/>
    <s v="Bluetooth Headphones"/>
    <n v="2"/>
    <n v="1799"/>
    <n v="3598"/>
    <n v="0"/>
    <n v="0"/>
    <n v="3598"/>
    <s v="UPI"/>
    <x v="1"/>
  </r>
  <r>
    <s v="ORD-2025627"/>
    <s v="10 Thu"/>
    <s v="Apr"/>
    <s v="2025"/>
    <s v="CUST-1206"/>
    <s v="Aditya Gupta"/>
    <x v="0"/>
    <s v="Electronics"/>
    <s v="Wireless Mouse"/>
    <n v="2"/>
    <n v="599"/>
    <n v="1198"/>
    <n v="0"/>
    <n v="0"/>
    <n v="1198"/>
    <s v="Debit Card"/>
    <x v="1"/>
  </r>
  <r>
    <s v="ORD-2025628"/>
    <s v="10 Thu"/>
    <s v="Apr"/>
    <s v="2025"/>
    <s v="CUST-1180"/>
    <s v="Muskan Joshi"/>
    <x v="3"/>
    <s v="Apparel"/>
    <s v="Cotton T-Shirt"/>
    <n v="3"/>
    <n v="499"/>
    <n v="1497"/>
    <n v="20"/>
    <n v="299.39999999999998"/>
    <n v="1197.5999999999999"/>
    <s v="UPI"/>
    <x v="0"/>
  </r>
  <r>
    <s v="ORD-2025629"/>
    <s v="10 Thu"/>
    <s v="Apr"/>
    <s v="2025"/>
    <s v="CUST-1260"/>
    <s v="Ankit Verma"/>
    <x v="0"/>
    <s v="Stationery"/>
    <s v="Notebook Set"/>
    <n v="1"/>
    <n v="199"/>
    <n v="199"/>
    <n v="0"/>
    <n v="0"/>
    <n v="199"/>
    <s v="Net Banking"/>
    <x v="1"/>
  </r>
  <r>
    <s v="ORD-2025630"/>
    <s v="11 Fri"/>
    <s v="Apr"/>
    <s v="2025"/>
    <s v="CUST-1230"/>
    <s v="Divya Malhotra"/>
    <x v="3"/>
    <s v="Apparel"/>
    <s v="Formal Shirt"/>
    <n v="2"/>
    <n v="899"/>
    <n v="1798"/>
    <n v="20"/>
    <n v="359.6"/>
    <n v="1438.4"/>
    <s v="Credit Card"/>
    <x v="1"/>
  </r>
  <r>
    <s v="ORD-2025631"/>
    <s v="11 Fri"/>
    <s v="Apr"/>
    <s v="2025"/>
    <s v="CUST-1114"/>
    <s v="Vivaan Malhotra"/>
    <x v="4"/>
    <s v="Electronics"/>
    <s v="Wireless Mouse"/>
    <n v="1"/>
    <n v="599"/>
    <n v="599"/>
    <n v="10"/>
    <n v="59.9"/>
    <n v="539.1"/>
    <s v="UPI"/>
    <x v="1"/>
  </r>
  <r>
    <s v="ORD-2025632"/>
    <s v="11 Fri"/>
    <s v="Apr"/>
    <s v="2025"/>
    <s v="CUST-1033"/>
    <s v="Meera Joshi"/>
    <x v="2"/>
    <s v="Groceries"/>
    <s v="Organic Honey 500g"/>
    <n v="3"/>
    <n v="349"/>
    <n v="1047"/>
    <n v="0"/>
    <n v="0"/>
    <n v="1047"/>
    <s v="UPI"/>
    <x v="0"/>
  </r>
  <r>
    <s v="ORD-2025633"/>
    <s v="11 Fri"/>
    <s v="Apr"/>
    <s v="2025"/>
    <s v="CUST-1301"/>
    <s v="Shreya Sharma"/>
    <x v="3"/>
    <s v="Beauty"/>
    <s v="Herbal Shampoo"/>
    <n v="1"/>
    <n v="249"/>
    <n v="249"/>
    <n v="5"/>
    <n v="12.45"/>
    <n v="236.55"/>
    <s v="Cash"/>
    <x v="1"/>
  </r>
  <r>
    <s v="ORD-2025634"/>
    <s v="11 Fri"/>
    <s v="Apr"/>
    <s v="2025"/>
    <s v="CUST-1192"/>
    <s v="Kunal Singh"/>
    <x v="3"/>
    <s v="Beauty"/>
    <s v="Face Wash 100ml"/>
    <n v="3"/>
    <n v="299"/>
    <n v="897"/>
    <n v="10"/>
    <n v="89.7"/>
    <n v="807.3"/>
    <s v="Debit Card"/>
    <x v="0"/>
  </r>
  <r>
    <s v="ORD-2025635"/>
    <s v="12 Sat"/>
    <s v="Apr"/>
    <s v="2025"/>
    <s v="CUST-1168"/>
    <s v="Nandini Joshi"/>
    <x v="1"/>
    <s v="Home &amp; Kitchen"/>
    <s v="Non-stick Pan Set"/>
    <n v="4"/>
    <n v="1299"/>
    <n v="5196"/>
    <n v="5"/>
    <n v="259.8"/>
    <n v="4936.2"/>
    <s v="Net Banking"/>
    <x v="0"/>
  </r>
  <r>
    <s v="ORD-2025636"/>
    <s v="12 Sat"/>
    <s v="Apr"/>
    <s v="2025"/>
    <s v="CUST-1400"/>
    <s v="Aarav Gupta"/>
    <x v="4"/>
    <s v="Apparel"/>
    <s v="Cotton T-Shirt"/>
    <n v="3"/>
    <n v="499"/>
    <n v="1497"/>
    <n v="5"/>
    <n v="74.849999999999994"/>
    <n v="1422.15"/>
    <s v="Net Banking"/>
    <x v="1"/>
  </r>
  <r>
    <s v="ORD-2025637"/>
    <s v="12 Sat"/>
    <s v="Apr"/>
    <s v="2025"/>
    <s v="CUST-1212"/>
    <s v="Komal Joshi"/>
    <x v="3"/>
    <s v="Stationery"/>
    <s v="Notebook Set"/>
    <n v="1"/>
    <n v="199"/>
    <n v="199"/>
    <n v="0"/>
    <n v="0"/>
    <n v="199"/>
    <s v="Cash"/>
    <x v="1"/>
  </r>
  <r>
    <s v="ORD-2025638"/>
    <s v="12 Sat"/>
    <s v="Apr"/>
    <s v="2025"/>
    <s v="CUST-1347"/>
    <s v="Ankit Joshi"/>
    <x v="0"/>
    <s v="Electronics"/>
    <s v="Bluetooth Headphones"/>
    <n v="1"/>
    <n v="1799"/>
    <n v="1799"/>
    <n v="20"/>
    <n v="359.8"/>
    <n v="1439.2"/>
    <s v="Credit Card"/>
    <x v="0"/>
  </r>
  <r>
    <s v="ORD-2025639"/>
    <s v="12 Sat"/>
    <s v="Apr"/>
    <s v="2025"/>
    <s v="CUST-1383"/>
    <s v="Aman Gupta"/>
    <x v="2"/>
    <s v="Home &amp; Kitchen"/>
    <s v="Non-stick Pan Set"/>
    <n v="3"/>
    <n v="1299"/>
    <n v="3897"/>
    <n v="5"/>
    <n v="194.85"/>
    <n v="3702.15"/>
    <s v="Net Banking"/>
    <x v="1"/>
  </r>
  <r>
    <s v="ORD-2025640"/>
    <s v="12 Sat"/>
    <s v="Apr"/>
    <s v="2025"/>
    <s v="CUST-1038"/>
    <s v="Rohan Joshi"/>
    <x v="3"/>
    <s v="Electronics"/>
    <s v="Bluetooth Headphones"/>
    <n v="1"/>
    <n v="1799"/>
    <n v="1799"/>
    <n v="0"/>
    <n v="0"/>
    <n v="1799"/>
    <s v="Debit Card"/>
    <x v="0"/>
  </r>
  <r>
    <s v="ORD-2025641"/>
    <s v="12 Sat"/>
    <s v="Apr"/>
    <s v="2025"/>
    <s v="CUST-1390"/>
    <s v="Rahul Saxena"/>
    <x v="3"/>
    <s v="Stationery"/>
    <s v="Notebook Set"/>
    <n v="1"/>
    <n v="199"/>
    <n v="199"/>
    <n v="20"/>
    <n v="39.799999999999997"/>
    <n v="159.19999999999999"/>
    <s v="Debit Card"/>
    <x v="1"/>
  </r>
  <r>
    <s v="ORD-2025642"/>
    <s v="12 Sat"/>
    <s v="Apr"/>
    <s v="2025"/>
    <s v="CUST-1286"/>
    <s v="Arjun Singh"/>
    <x v="3"/>
    <s v="Apparel"/>
    <s v="Cotton T-Shirt"/>
    <n v="2"/>
    <n v="499"/>
    <n v="998"/>
    <n v="20"/>
    <n v="199.6"/>
    <n v="798.4"/>
    <s v="UPI"/>
    <x v="1"/>
  </r>
  <r>
    <s v="ORD-2025643"/>
    <s v="12 Sat"/>
    <s v="Apr"/>
    <s v="2025"/>
    <s v="CUST-1376"/>
    <s v="Kunal Kapoor"/>
    <x v="0"/>
    <s v="Home &amp; Kitchen"/>
    <s v="Non-stick Pan Set"/>
    <n v="1"/>
    <n v="1299"/>
    <n v="1299"/>
    <n v="0"/>
    <n v="0"/>
    <n v="1299"/>
    <s v="Cash"/>
    <x v="0"/>
  </r>
  <r>
    <s v="ORD-2025644"/>
    <s v="13 Sun"/>
    <s v="Apr"/>
    <s v="2025"/>
    <s v="CUST-1330"/>
    <s v="Nandini Gupta"/>
    <x v="1"/>
    <s v="Sports"/>
    <s v="Yoga Mat"/>
    <n v="4"/>
    <n v="699"/>
    <n v="2796"/>
    <n v="0"/>
    <n v="0"/>
    <n v="2796"/>
    <s v="Net Banking"/>
    <x v="0"/>
  </r>
  <r>
    <s v="ORD-2025645"/>
    <s v="13 Sun"/>
    <s v="Apr"/>
    <s v="2025"/>
    <s v="CUST-1266"/>
    <s v="Vivaan Kapoor"/>
    <x v="1"/>
    <s v="Apparel"/>
    <s v="Formal Shirt"/>
    <n v="2"/>
    <n v="899"/>
    <n v="1798"/>
    <n v="0"/>
    <n v="0"/>
    <n v="1798"/>
    <s v="UPI"/>
    <x v="1"/>
  </r>
  <r>
    <s v="ORD-2025646"/>
    <s v="13 Sun"/>
    <s v="Apr"/>
    <s v="2025"/>
    <s v="CUST-1300"/>
    <s v="Vivaan Mehta"/>
    <x v="1"/>
    <s v="Sports"/>
    <s v="Yoga Mat"/>
    <n v="2"/>
    <n v="699"/>
    <n v="1398"/>
    <n v="15"/>
    <n v="209.7"/>
    <n v="1188.3"/>
    <s v="Cash"/>
    <x v="1"/>
  </r>
  <r>
    <s v="ORD-2025647"/>
    <s v="13 Sun"/>
    <s v="Apr"/>
    <s v="2025"/>
    <s v="CUST-1180"/>
    <s v="Muskan Joshi"/>
    <x v="4"/>
    <s v="Apparel"/>
    <s v="Formal Shirt"/>
    <n v="2"/>
    <n v="899"/>
    <n v="1798"/>
    <n v="5"/>
    <n v="89.9"/>
    <n v="1708.1"/>
    <s v="Credit Card"/>
    <x v="0"/>
  </r>
  <r>
    <s v="ORD-2025648"/>
    <s v="14 Mon"/>
    <s v="Apr"/>
    <s v="2025"/>
    <s v="CUST-1083"/>
    <s v="Komal Kapoor"/>
    <x v="3"/>
    <s v="Home &amp; Kitchen"/>
    <s v="LED Desk Lamp"/>
    <n v="1"/>
    <n v="799"/>
    <n v="799"/>
    <n v="5"/>
    <n v="39.950000000000003"/>
    <n v="759.05"/>
    <s v="Debit Card"/>
    <x v="0"/>
  </r>
  <r>
    <s v="ORD-2025649"/>
    <s v="14 Mon"/>
    <s v="Apr"/>
    <s v="2025"/>
    <s v="CUST-1109"/>
    <s v="Kabir Mehta"/>
    <x v="1"/>
    <s v="Groceries"/>
    <s v="Basmati Rice 5kg"/>
    <n v="2"/>
    <n v="549"/>
    <n v="1098"/>
    <n v="10"/>
    <n v="109.8"/>
    <n v="988.2"/>
    <s v="UPI"/>
    <x v="1"/>
  </r>
  <r>
    <s v="ORD-2025650"/>
    <s v="14 Mon"/>
    <s v="Apr"/>
    <s v="2025"/>
    <s v="CUST-1314"/>
    <s v="Kunal Sharma"/>
    <x v="4"/>
    <s v="Apparel"/>
    <s v="Formal Shirt"/>
    <n v="1"/>
    <n v="899"/>
    <n v="899"/>
    <n v="10"/>
    <n v="89.9"/>
    <n v="809.1"/>
    <s v="Credit Card"/>
    <x v="0"/>
  </r>
  <r>
    <s v="ORD-2025651"/>
    <s v="14 Mon"/>
    <s v="Apr"/>
    <s v="2025"/>
    <s v="CUST-1007"/>
    <s v="Aarav Sharma"/>
    <x v="0"/>
    <s v="Beauty"/>
    <s v="Herbal Shampoo"/>
    <n v="2"/>
    <n v="249"/>
    <n v="498"/>
    <n v="5"/>
    <n v="24.9"/>
    <n v="473.1"/>
    <s v="UPI"/>
    <x v="0"/>
  </r>
  <r>
    <s v="ORD-2025652"/>
    <s v="15 Tue"/>
    <s v="Apr"/>
    <s v="2025"/>
    <s v="CUST-1221"/>
    <s v="Kunal Singh"/>
    <x v="0"/>
    <s v="Groceries"/>
    <s v="Basmati Rice 5kg"/>
    <n v="1"/>
    <n v="549"/>
    <n v="549"/>
    <n v="15"/>
    <n v="82.35"/>
    <n v="466.65"/>
    <s v="Debit Card"/>
    <x v="0"/>
  </r>
  <r>
    <s v="ORD-2025653"/>
    <s v="15 Tue"/>
    <s v="Apr"/>
    <s v="2025"/>
    <s v="CUST-1311"/>
    <s v="Muskan Joshi"/>
    <x v="0"/>
    <s v="Groceries"/>
    <s v="Basmati Rice 5kg"/>
    <n v="4"/>
    <n v="549"/>
    <n v="2196"/>
    <n v="15"/>
    <n v="329.4"/>
    <n v="1866.6"/>
    <s v="Credit Card"/>
    <x v="1"/>
  </r>
  <r>
    <s v="ORD-2025654"/>
    <s v="16 Wed"/>
    <s v="Apr"/>
    <s v="2025"/>
    <s v="CUST-1276"/>
    <s v="Swati Joshi"/>
    <x v="1"/>
    <s v="Apparel"/>
    <s v="Formal Shirt"/>
    <n v="4"/>
    <n v="899"/>
    <n v="3596"/>
    <n v="0"/>
    <n v="0"/>
    <n v="3596"/>
    <s v="Debit Card"/>
    <x v="0"/>
  </r>
  <r>
    <s v="ORD-2025655"/>
    <s v="16 Wed"/>
    <s v="Apr"/>
    <s v="2025"/>
    <s v="CUST-1080"/>
    <s v="Kabir Sharma"/>
    <x v="2"/>
    <s v="Apparel"/>
    <s v="Cotton T-Shirt"/>
    <n v="2"/>
    <n v="499"/>
    <n v="998"/>
    <n v="5"/>
    <n v="49.9"/>
    <n v="948.1"/>
    <s v="Credit Card"/>
    <x v="1"/>
  </r>
  <r>
    <s v="ORD-2025656"/>
    <s v="16 Wed"/>
    <s v="Apr"/>
    <s v="2025"/>
    <s v="CUST-1239"/>
    <s v="Rohan Malhotra"/>
    <x v="1"/>
    <s v="Sports"/>
    <s v="Yoga Mat"/>
    <n v="3"/>
    <n v="699"/>
    <n v="2097"/>
    <n v="5"/>
    <n v="104.85"/>
    <n v="1992.15"/>
    <s v="Net Banking"/>
    <x v="0"/>
  </r>
  <r>
    <s v="ORD-2025657"/>
    <s v="16 Wed"/>
    <s v="Apr"/>
    <s v="2025"/>
    <s v="CUST-1157"/>
    <s v="Arjun Verma"/>
    <x v="2"/>
    <s v="Groceries"/>
    <s v="Basmati Rice 5kg"/>
    <n v="1"/>
    <n v="549"/>
    <n v="549"/>
    <n v="20"/>
    <n v="109.8"/>
    <n v="439.2"/>
    <s v="UPI"/>
    <x v="0"/>
  </r>
  <r>
    <s v="ORD-2025658"/>
    <s v="16 Wed"/>
    <s v="Apr"/>
    <s v="2025"/>
    <s v="CUST-1192"/>
    <s v="Kunal Singh"/>
    <x v="2"/>
    <s v="Sports"/>
    <s v="Cricket Bat"/>
    <n v="1"/>
    <n v="1499"/>
    <n v="1499"/>
    <n v="0"/>
    <n v="0"/>
    <n v="1499"/>
    <s v="Debit Card"/>
    <x v="1"/>
  </r>
  <r>
    <s v="ORD-2025659"/>
    <s v="16 Wed"/>
    <s v="Apr"/>
    <s v="2025"/>
    <s v="CUST-1254"/>
    <s v="Meera Malhotra"/>
    <x v="0"/>
    <s v="Groceries"/>
    <s v="Organic Honey 500g"/>
    <n v="2"/>
    <n v="349"/>
    <n v="698"/>
    <n v="0"/>
    <n v="0"/>
    <n v="698"/>
    <s v="Debit Card"/>
    <x v="0"/>
  </r>
  <r>
    <s v="ORD-2025660"/>
    <s v="17 Thu"/>
    <s v="Apr"/>
    <s v="2025"/>
    <s v="CUST-1110"/>
    <s v="Aman Malhotra"/>
    <x v="3"/>
    <s v="Home &amp; Kitchen"/>
    <s v="LED Desk Lamp"/>
    <n v="2"/>
    <n v="799"/>
    <n v="1598"/>
    <n v="0"/>
    <n v="0"/>
    <n v="1598"/>
    <s v="UPI"/>
    <x v="0"/>
  </r>
  <r>
    <s v="ORD-2025661"/>
    <s v="17 Thu"/>
    <s v="Apr"/>
    <s v="2025"/>
    <s v="CUST-1147"/>
    <s v="Aman Saxena"/>
    <x v="2"/>
    <s v="Electronics"/>
    <s v="Bluetooth Headphones"/>
    <n v="1"/>
    <n v="1799"/>
    <n v="1799"/>
    <n v="0"/>
    <n v="0"/>
    <n v="1799"/>
    <s v="Debit Card"/>
    <x v="0"/>
  </r>
  <r>
    <s v="ORD-2025662"/>
    <s v="17 Thu"/>
    <s v="Apr"/>
    <s v="2025"/>
    <s v="CUST-1245"/>
    <s v="Kunal Patel"/>
    <x v="0"/>
    <s v="Groceries"/>
    <s v="Organic Honey 500g"/>
    <n v="2"/>
    <n v="349"/>
    <n v="698"/>
    <n v="10"/>
    <n v="69.8"/>
    <n v="628.20000000000005"/>
    <s v="Debit Card"/>
    <x v="1"/>
  </r>
  <r>
    <s v="ORD-2025663"/>
    <s v="17 Thu"/>
    <s v="Apr"/>
    <s v="2025"/>
    <s v="CUST-1251"/>
    <s v="Aarav Singh"/>
    <x v="0"/>
    <s v="Groceries"/>
    <s v="Basmati Rice 5kg"/>
    <n v="2"/>
    <n v="549"/>
    <n v="1098"/>
    <n v="0"/>
    <n v="0"/>
    <n v="1098"/>
    <s v="Credit Card"/>
    <x v="1"/>
  </r>
  <r>
    <s v="ORD-2025664"/>
    <s v="17 Thu"/>
    <s v="Apr"/>
    <s v="2025"/>
    <s v="CUST-1369"/>
    <s v="Rohan Sharma"/>
    <x v="0"/>
    <s v="Groceries"/>
    <s v="Basmati Rice 5kg"/>
    <n v="1"/>
    <n v="549"/>
    <n v="549"/>
    <n v="20"/>
    <n v="109.8"/>
    <n v="439.2"/>
    <s v="Cash"/>
    <x v="0"/>
  </r>
  <r>
    <s v="ORD-2025665"/>
    <s v="17 Thu"/>
    <s v="Apr"/>
    <s v="2025"/>
    <s v="CUST-1077"/>
    <s v="Tanya Mehta"/>
    <x v="2"/>
    <s v="Groceries"/>
    <s v="Basmati Rice 5kg"/>
    <n v="4"/>
    <n v="549"/>
    <n v="2196"/>
    <n v="10"/>
    <n v="219.6"/>
    <n v="1976.4"/>
    <s v="Debit Card"/>
    <x v="0"/>
  </r>
  <r>
    <s v="ORD-2025666"/>
    <s v="17 Thu"/>
    <s v="Apr"/>
    <s v="2025"/>
    <s v="CUST-1062"/>
    <s v="Tanya Sharma"/>
    <x v="3"/>
    <s v="Groceries"/>
    <s v="Organic Honey 500g"/>
    <n v="1"/>
    <n v="349"/>
    <n v="349"/>
    <n v="5"/>
    <n v="17.45"/>
    <n v="331.55"/>
    <s v="Debit Card"/>
    <x v="0"/>
  </r>
  <r>
    <s v="ORD-2025667"/>
    <s v="17 Thu"/>
    <s v="Apr"/>
    <s v="2025"/>
    <s v="CUST-1276"/>
    <s v="Swati Joshi"/>
    <x v="3"/>
    <s v="Home &amp; Kitchen"/>
    <s v="Non-stick Pan Set"/>
    <n v="1"/>
    <n v="1299"/>
    <n v="1299"/>
    <n v="20"/>
    <n v="259.8"/>
    <n v="1039.2"/>
    <s v="Credit Card"/>
    <x v="1"/>
  </r>
  <r>
    <s v="ORD-2025668"/>
    <s v="17 Thu"/>
    <s v="Apr"/>
    <s v="2025"/>
    <s v="CUST-1275"/>
    <s v="Tanya Singh"/>
    <x v="2"/>
    <s v="Groceries"/>
    <s v="Basmati Rice 5kg"/>
    <n v="1"/>
    <n v="549"/>
    <n v="549"/>
    <n v="0"/>
    <n v="0"/>
    <n v="549"/>
    <s v="UPI"/>
    <x v="0"/>
  </r>
  <r>
    <s v="ORD-2025669"/>
    <s v="18 Fri"/>
    <s v="Apr"/>
    <s v="2025"/>
    <s v="CUST-1082"/>
    <s v="Aarav Mehta"/>
    <x v="3"/>
    <s v="Apparel"/>
    <s v="Formal Shirt"/>
    <n v="2"/>
    <n v="899"/>
    <n v="1798"/>
    <n v="20"/>
    <n v="359.6"/>
    <n v="1438.4"/>
    <s v="Cash"/>
    <x v="0"/>
  </r>
  <r>
    <s v="ORD-2025670"/>
    <s v="18 Fri"/>
    <s v="Apr"/>
    <s v="2025"/>
    <s v="CUST-1342"/>
    <s v="Vivaan Saxena"/>
    <x v="1"/>
    <s v="Beauty"/>
    <s v="Face Wash 100ml"/>
    <n v="2"/>
    <n v="299"/>
    <n v="598"/>
    <n v="5"/>
    <n v="29.9"/>
    <n v="568.1"/>
    <s v="UPI"/>
    <x v="0"/>
  </r>
  <r>
    <s v="ORD-2025671"/>
    <s v="18 Fri"/>
    <s v="Apr"/>
    <s v="2025"/>
    <s v="CUST-1400"/>
    <s v="Aarav Gupta"/>
    <x v="2"/>
    <s v="Electronics"/>
    <s v="Smartwatch"/>
    <n v="2"/>
    <n v="2999"/>
    <n v="5998"/>
    <n v="0"/>
    <n v="0"/>
    <n v="5998"/>
    <s v="Debit Card"/>
    <x v="0"/>
  </r>
  <r>
    <s v="ORD-2025672"/>
    <s v="18 Fri"/>
    <s v="Apr"/>
    <s v="2025"/>
    <s v="CUST-1093"/>
    <s v="Kabir Mehta"/>
    <x v="4"/>
    <s v="Apparel"/>
    <s v="Formal Shirt"/>
    <n v="2"/>
    <n v="899"/>
    <n v="1798"/>
    <n v="0"/>
    <n v="0"/>
    <n v="1798"/>
    <s v="Credit Card"/>
    <x v="0"/>
  </r>
  <r>
    <s v="ORD-2025673"/>
    <s v="19 Sat"/>
    <s v="Apr"/>
    <s v="2025"/>
    <s v="CUST-1210"/>
    <s v="Meera Sharma"/>
    <x v="0"/>
    <s v="Sports"/>
    <s v="Cricket Bat"/>
    <n v="1"/>
    <n v="1499"/>
    <n v="1499"/>
    <n v="0"/>
    <n v="0"/>
    <n v="1499"/>
    <s v="Net Banking"/>
    <x v="1"/>
  </r>
  <r>
    <s v="ORD-2025674"/>
    <s v="19 Sat"/>
    <s v="Apr"/>
    <s v="2025"/>
    <s v="CUST-1300"/>
    <s v="Vivaan Mehta"/>
    <x v="4"/>
    <s v="Home &amp; Kitchen"/>
    <s v="Non-stick Pan Set"/>
    <n v="3"/>
    <n v="1299"/>
    <n v="3897"/>
    <n v="20"/>
    <n v="779.4"/>
    <n v="3117.6"/>
    <s v="Debit Card"/>
    <x v="1"/>
  </r>
  <r>
    <s v="ORD-2025675"/>
    <s v="19 Sat"/>
    <s v="Apr"/>
    <s v="2025"/>
    <s v="CUST-1359"/>
    <s v="Arjun Mehta"/>
    <x v="3"/>
    <s v="Apparel"/>
    <s v="Formal Shirt"/>
    <n v="3"/>
    <n v="899"/>
    <n v="2697"/>
    <n v="20"/>
    <n v="539.4"/>
    <n v="2157.6"/>
    <s v="Credit Card"/>
    <x v="0"/>
  </r>
  <r>
    <s v="ORD-2025676"/>
    <s v="19 Sat"/>
    <s v="Apr"/>
    <s v="2025"/>
    <s v="CUST-1299"/>
    <s v="Kabir Mehta"/>
    <x v="2"/>
    <s v="Groceries"/>
    <s v="Basmati Rice 5kg"/>
    <n v="1"/>
    <n v="549"/>
    <n v="549"/>
    <n v="15"/>
    <n v="82.35"/>
    <n v="466.65"/>
    <s v="UPI"/>
    <x v="0"/>
  </r>
  <r>
    <s v="ORD-2025677"/>
    <s v="19 Sat"/>
    <s v="Apr"/>
    <s v="2025"/>
    <s v="CUST-1053"/>
    <s v="Vivaan Malhotra"/>
    <x v="1"/>
    <s v="Stationery"/>
    <s v="Gel Pen Pack"/>
    <n v="2"/>
    <n v="99"/>
    <n v="198"/>
    <n v="20"/>
    <n v="39.6"/>
    <n v="158.4"/>
    <s v="Credit Card"/>
    <x v="0"/>
  </r>
  <r>
    <s v="ORD-2025678"/>
    <s v="19 Sat"/>
    <s v="Apr"/>
    <s v="2025"/>
    <s v="CUST-1150"/>
    <s v="Isha Singh"/>
    <x v="1"/>
    <s v="Sports"/>
    <s v="Cricket Bat"/>
    <n v="3"/>
    <n v="1499"/>
    <n v="4497"/>
    <n v="0"/>
    <n v="0"/>
    <n v="4497"/>
    <s v="UPI"/>
    <x v="0"/>
  </r>
  <r>
    <s v="ORD-2025679"/>
    <s v="19 Sat"/>
    <s v="Apr"/>
    <s v="2025"/>
    <s v="CUST-1372"/>
    <s v="Vivaan Singh"/>
    <x v="0"/>
    <s v="Apparel"/>
    <s v="Cotton T-Shirt"/>
    <n v="1"/>
    <n v="499"/>
    <n v="499"/>
    <n v="15"/>
    <n v="74.849999999999994"/>
    <n v="424.15"/>
    <s v="Debit Card"/>
    <x v="0"/>
  </r>
  <r>
    <s v="ORD-2025680"/>
    <s v="20 Sun"/>
    <s v="Apr"/>
    <s v="2025"/>
    <s v="CUST-1202"/>
    <s v="Isha Verma"/>
    <x v="1"/>
    <s v="Groceries"/>
    <s v="Organic Honey 500g"/>
    <n v="1"/>
    <n v="349"/>
    <n v="349"/>
    <n v="20"/>
    <n v="69.8"/>
    <n v="279.2"/>
    <s v="Debit Card"/>
    <x v="1"/>
  </r>
  <r>
    <s v="ORD-2025681"/>
    <s v="20 Sun"/>
    <s v="Apr"/>
    <s v="2025"/>
    <s v="CUST-1290"/>
    <s v="Kabir Mehta"/>
    <x v="2"/>
    <s v="Apparel"/>
    <s v="Formal Shirt"/>
    <n v="2"/>
    <n v="899"/>
    <n v="1798"/>
    <n v="0"/>
    <n v="0"/>
    <n v="1798"/>
    <s v="Credit Card"/>
    <x v="1"/>
  </r>
  <r>
    <s v="ORD-2025682"/>
    <s v="20 Sun"/>
    <s v="Apr"/>
    <s v="2025"/>
    <s v="CUST-1304"/>
    <s v="Kunal Saxena"/>
    <x v="3"/>
    <s v="Electronics"/>
    <s v="Smartwatch"/>
    <n v="1"/>
    <n v="2999"/>
    <n v="2999"/>
    <n v="0"/>
    <n v="0"/>
    <n v="2999"/>
    <s v="Cash"/>
    <x v="0"/>
  </r>
  <r>
    <s v="ORD-2025683"/>
    <s v="20 Sun"/>
    <s v="Apr"/>
    <s v="2025"/>
    <s v="CUST-1099"/>
    <s v="Rahul Malhotra"/>
    <x v="4"/>
    <s v="Stationery"/>
    <s v="Gel Pen Pack"/>
    <n v="3"/>
    <n v="99"/>
    <n v="297"/>
    <n v="0"/>
    <n v="0"/>
    <n v="297"/>
    <s v="Credit Card"/>
    <x v="1"/>
  </r>
  <r>
    <s v="ORD-2025684"/>
    <s v="20 Sun"/>
    <s v="Apr"/>
    <s v="2025"/>
    <s v="CUST-1136"/>
    <s v="Kunal Patel"/>
    <x v="3"/>
    <s v="Electronics"/>
    <s v="Bluetooth Headphones"/>
    <n v="1"/>
    <n v="1799"/>
    <n v="1799"/>
    <n v="0"/>
    <n v="0"/>
    <n v="1799"/>
    <s v="Debit Card"/>
    <x v="0"/>
  </r>
  <r>
    <s v="ORD-2025685"/>
    <s v="21 Mon"/>
    <s v="Apr"/>
    <s v="2025"/>
    <s v="CUST-1020"/>
    <s v="Rohan Malhotra"/>
    <x v="0"/>
    <s v="Groceries"/>
    <s v="Organic Honey 500g"/>
    <n v="1"/>
    <n v="349"/>
    <n v="349"/>
    <n v="5"/>
    <n v="17.45"/>
    <n v="331.55"/>
    <s v="UPI"/>
    <x v="1"/>
  </r>
  <r>
    <s v="ORD-2025686"/>
    <s v="21 Mon"/>
    <s v="Apr"/>
    <s v="2025"/>
    <s v="CUST-1257"/>
    <s v="Shreya Saxena"/>
    <x v="2"/>
    <s v="Groceries"/>
    <s v="Organic Honey 500g"/>
    <n v="1"/>
    <n v="349"/>
    <n v="349"/>
    <n v="0"/>
    <n v="0"/>
    <n v="349"/>
    <s v="Credit Card"/>
    <x v="0"/>
  </r>
  <r>
    <s v="ORD-2025687"/>
    <s v="21 Mon"/>
    <s v="Apr"/>
    <s v="2025"/>
    <s v="CUST-1126"/>
    <s v="Divya Sharma"/>
    <x v="3"/>
    <s v="Beauty"/>
    <s v="Herbal Shampoo"/>
    <n v="1"/>
    <n v="249"/>
    <n v="249"/>
    <n v="5"/>
    <n v="12.45"/>
    <n v="236.55"/>
    <s v="Net Banking"/>
    <x v="1"/>
  </r>
  <r>
    <s v="ORD-2025688"/>
    <s v="21 Mon"/>
    <s v="Apr"/>
    <s v="2025"/>
    <s v="CUST-1014"/>
    <s v="Vivaan Kapoor"/>
    <x v="4"/>
    <s v="Beauty"/>
    <s v="Face Wash 100ml"/>
    <n v="3"/>
    <n v="299"/>
    <n v="897"/>
    <n v="0"/>
    <n v="0"/>
    <n v="897"/>
    <s v="Credit Card"/>
    <x v="0"/>
  </r>
  <r>
    <s v="ORD-2025689"/>
    <s v="21 Mon"/>
    <s v="Apr"/>
    <s v="2025"/>
    <s v="CUST-1173"/>
    <s v="Ankit Gupta"/>
    <x v="3"/>
    <s v="Electronics"/>
    <s v="Bluetooth Headphones"/>
    <n v="1"/>
    <n v="1799"/>
    <n v="1799"/>
    <n v="5"/>
    <n v="89.95"/>
    <n v="1709.05"/>
    <s v="UPI"/>
    <x v="1"/>
  </r>
  <r>
    <s v="ORD-2025690"/>
    <s v="22 Tue"/>
    <s v="Apr"/>
    <s v="2025"/>
    <s v="CUST-1237"/>
    <s v="Divya Sharma"/>
    <x v="0"/>
    <s v="Stationery"/>
    <s v="Gel Pen Pack"/>
    <n v="1"/>
    <n v="99"/>
    <n v="99"/>
    <n v="20"/>
    <n v="19.8"/>
    <n v="79.2"/>
    <s v="Credit Card"/>
    <x v="1"/>
  </r>
  <r>
    <s v="ORD-2025691"/>
    <s v="22 Tue"/>
    <s v="Apr"/>
    <s v="2025"/>
    <s v="CUST-1259"/>
    <s v="Rahul Singh"/>
    <x v="4"/>
    <s v="Electronics"/>
    <s v="Smartwatch"/>
    <n v="1"/>
    <n v="2999"/>
    <n v="2999"/>
    <n v="0"/>
    <n v="0"/>
    <n v="2999"/>
    <s v="Credit Card"/>
    <x v="1"/>
  </r>
  <r>
    <s v="ORD-2025692"/>
    <s v="22 Tue"/>
    <s v="Apr"/>
    <s v="2025"/>
    <s v="CUST-1046"/>
    <s v="Rohan Kapoor"/>
    <x v="0"/>
    <s v="Apparel"/>
    <s v="Denim Jacket"/>
    <n v="4"/>
    <n v="1999"/>
    <n v="7996"/>
    <n v="5"/>
    <n v="399.8"/>
    <n v="7596.2"/>
    <s v="UPI"/>
    <x v="0"/>
  </r>
  <r>
    <s v="ORD-2025693"/>
    <s v="23 Wed"/>
    <s v="Apr"/>
    <s v="2025"/>
    <s v="CUST-1214"/>
    <s v="Rohan Sharma"/>
    <x v="3"/>
    <s v="Stationery"/>
    <s v="Gel Pen Pack"/>
    <n v="2"/>
    <n v="99"/>
    <n v="198"/>
    <n v="15"/>
    <n v="29.7"/>
    <n v="168.3"/>
    <s v="Cash"/>
    <x v="0"/>
  </r>
  <r>
    <s v="ORD-2025694"/>
    <s v="23 Wed"/>
    <s v="Apr"/>
    <s v="2025"/>
    <s v="CUST-1164"/>
    <s v="Kabir Malhotra"/>
    <x v="2"/>
    <s v="Groceries"/>
    <s v="Basmati Rice 5kg"/>
    <n v="3"/>
    <n v="549"/>
    <n v="1647"/>
    <n v="10"/>
    <n v="164.7"/>
    <n v="1482.3"/>
    <s v="UPI"/>
    <x v="0"/>
  </r>
  <r>
    <s v="ORD-2025695"/>
    <s v="23 Wed"/>
    <s v="Apr"/>
    <s v="2025"/>
    <s v="CUST-1119"/>
    <s v="Rahul Gupta"/>
    <x v="2"/>
    <s v="Beauty"/>
    <s v="Herbal Shampoo"/>
    <n v="2"/>
    <n v="249"/>
    <n v="498"/>
    <n v="15"/>
    <n v="74.7"/>
    <n v="423.3"/>
    <s v="Debit Card"/>
    <x v="1"/>
  </r>
  <r>
    <s v="ORD-2025696"/>
    <s v="23 Wed"/>
    <s v="Apr"/>
    <s v="2025"/>
    <s v="CUST-1144"/>
    <s v="Divya Mehta"/>
    <x v="2"/>
    <s v="Groceries"/>
    <s v="Organic Honey 500g"/>
    <n v="1"/>
    <n v="349"/>
    <n v="349"/>
    <n v="0"/>
    <n v="0"/>
    <n v="349"/>
    <s v="Debit Card"/>
    <x v="0"/>
  </r>
  <r>
    <s v="ORD-2025697"/>
    <s v="24 Thu"/>
    <s v="Apr"/>
    <s v="2025"/>
    <s v="CUST-1293"/>
    <s v="Sakshi Singh"/>
    <x v="1"/>
    <s v="Electronics"/>
    <s v="Wireless Mouse"/>
    <n v="2"/>
    <n v="599"/>
    <n v="1198"/>
    <n v="5"/>
    <n v="59.9"/>
    <n v="1138.0999999999999"/>
    <s v="Cash"/>
    <x v="1"/>
  </r>
  <r>
    <s v="ORD-2025698"/>
    <s v="24 Thu"/>
    <s v="Apr"/>
    <s v="2025"/>
    <s v="CUST-1034"/>
    <s v="Sakshi Patel"/>
    <x v="4"/>
    <s v="Stationery"/>
    <s v="Gel Pen Pack"/>
    <n v="3"/>
    <n v="99"/>
    <n v="297"/>
    <n v="10"/>
    <n v="29.7"/>
    <n v="267.3"/>
    <s v="UPI"/>
    <x v="1"/>
  </r>
  <r>
    <s v="ORD-2025699"/>
    <s v="25 Fri"/>
    <s v="Apr"/>
    <s v="2025"/>
    <s v="CUST-1077"/>
    <s v="Tanya Mehta"/>
    <x v="4"/>
    <s v="Apparel"/>
    <s v="Cotton T-Shirt"/>
    <n v="1"/>
    <n v="499"/>
    <n v="499"/>
    <n v="15"/>
    <n v="74.849999999999994"/>
    <n v="424.15"/>
    <s v="UPI"/>
    <x v="0"/>
  </r>
  <r>
    <s v="ORD-2025700"/>
    <s v="25 Fri"/>
    <s v="Apr"/>
    <s v="2025"/>
    <s v="CUST-1178"/>
    <s v="Komal Sharma"/>
    <x v="2"/>
    <s v="Groceries"/>
    <s v="Organic Honey 500g"/>
    <n v="1"/>
    <n v="349"/>
    <n v="349"/>
    <n v="15"/>
    <n v="52.35"/>
    <n v="296.64999999999998"/>
    <s v="Cash"/>
    <x v="1"/>
  </r>
  <r>
    <s v="ORD-2025701"/>
    <s v="25 Fri"/>
    <s v="Apr"/>
    <s v="2025"/>
    <s v="CUST-1165"/>
    <s v="Rahul Singh"/>
    <x v="1"/>
    <s v="Electronics"/>
    <s v="Smartwatch"/>
    <n v="4"/>
    <n v="2999"/>
    <n v="11996"/>
    <n v="0"/>
    <n v="0"/>
    <n v="11996"/>
    <s v="Net Banking"/>
    <x v="1"/>
  </r>
  <r>
    <s v="ORD-2025702"/>
    <s v="25 Fri"/>
    <s v="Apr"/>
    <s v="2025"/>
    <s v="CUST-1281"/>
    <s v="Nandini Saxena"/>
    <x v="1"/>
    <s v="Groceries"/>
    <s v="Organic Honey 500g"/>
    <n v="3"/>
    <n v="349"/>
    <n v="1047"/>
    <n v="10"/>
    <n v="104.7"/>
    <n v="942.3"/>
    <s v="Debit Card"/>
    <x v="1"/>
  </r>
  <r>
    <s v="ORD-2025703"/>
    <s v="25 Fri"/>
    <s v="Apr"/>
    <s v="2025"/>
    <s v="CUST-1373"/>
    <s v="Rahul Verma"/>
    <x v="0"/>
    <s v="Stationery"/>
    <s v="Gel Pen Pack"/>
    <n v="1"/>
    <n v="99"/>
    <n v="99"/>
    <n v="5"/>
    <n v="4.95"/>
    <n v="94.05"/>
    <s v="Debit Card"/>
    <x v="0"/>
  </r>
  <r>
    <s v="ORD-2025704"/>
    <s v="25 Fri"/>
    <s v="Apr"/>
    <s v="2025"/>
    <s v="CUST-1394"/>
    <s v="Tanya Malhotra"/>
    <x v="3"/>
    <s v="Home &amp; Kitchen"/>
    <s v="Non-stick Pan Set"/>
    <n v="3"/>
    <n v="1299"/>
    <n v="3897"/>
    <n v="0"/>
    <n v="0"/>
    <n v="3897"/>
    <s v="UPI"/>
    <x v="0"/>
  </r>
  <r>
    <s v="ORD-2025705"/>
    <s v="25 Fri"/>
    <s v="Apr"/>
    <s v="2025"/>
    <s v="CUST-1046"/>
    <s v="Rohan Kapoor"/>
    <x v="0"/>
    <s v="Home &amp; Kitchen"/>
    <s v="LED Desk Lamp"/>
    <n v="1"/>
    <n v="799"/>
    <n v="799"/>
    <n v="0"/>
    <n v="0"/>
    <n v="799"/>
    <s v="Credit Card"/>
    <x v="1"/>
  </r>
  <r>
    <s v="ORD-2025706"/>
    <s v="25 Fri"/>
    <s v="Apr"/>
    <s v="2025"/>
    <s v="CUST-1100"/>
    <s v="Vivaan Saxena"/>
    <x v="4"/>
    <s v="Apparel"/>
    <s v="Formal Shirt"/>
    <n v="4"/>
    <n v="899"/>
    <n v="3596"/>
    <n v="20"/>
    <n v="719.2"/>
    <n v="2876.8"/>
    <s v="Credit Card"/>
    <x v="0"/>
  </r>
  <r>
    <s v="ORD-2025707"/>
    <s v="26 Sat"/>
    <s v="Apr"/>
    <s v="2025"/>
    <s v="CUST-1243"/>
    <s v="Aman Joshi"/>
    <x v="1"/>
    <s v="Apparel"/>
    <s v="Formal Shirt"/>
    <n v="1"/>
    <n v="899"/>
    <n v="899"/>
    <n v="0"/>
    <n v="0"/>
    <n v="899"/>
    <s v="Debit Card"/>
    <x v="0"/>
  </r>
  <r>
    <s v="ORD-2025708"/>
    <s v="26 Sat"/>
    <s v="Apr"/>
    <s v="2025"/>
    <s v="CUST-1006"/>
    <s v="Sakshi Singh"/>
    <x v="1"/>
    <s v="Apparel"/>
    <s v="Denim Jacket"/>
    <n v="1"/>
    <n v="1999"/>
    <n v="1999"/>
    <n v="0"/>
    <n v="0"/>
    <n v="1999"/>
    <s v="Credit Card"/>
    <x v="0"/>
  </r>
  <r>
    <s v="ORD-2025709"/>
    <s v="26 Sat"/>
    <s v="Apr"/>
    <s v="2025"/>
    <s v="CUST-1043"/>
    <s v="Divya Kapoor"/>
    <x v="0"/>
    <s v="Electronics"/>
    <s v="Bluetooth Headphones"/>
    <n v="3"/>
    <n v="1799"/>
    <n v="5397"/>
    <n v="0"/>
    <n v="0"/>
    <n v="5397"/>
    <s v="Cash"/>
    <x v="0"/>
  </r>
  <r>
    <s v="ORD-2025710"/>
    <s v="26 Sat"/>
    <s v="Apr"/>
    <s v="2025"/>
    <s v="CUST-1126"/>
    <s v="Divya Sharma"/>
    <x v="0"/>
    <s v="Beauty"/>
    <s v="Face Wash 100ml"/>
    <n v="1"/>
    <n v="299"/>
    <n v="299"/>
    <n v="10"/>
    <n v="29.9"/>
    <n v="269.10000000000002"/>
    <s v="Debit Card"/>
    <x v="1"/>
  </r>
  <r>
    <s v="ORD-2025711"/>
    <s v="26 Sat"/>
    <s v="Apr"/>
    <s v="2025"/>
    <s v="CUST-1181"/>
    <s v="Kunal Sharma"/>
    <x v="4"/>
    <s v="Stationery"/>
    <s v="Gel Pen Pack"/>
    <n v="5"/>
    <n v="99"/>
    <n v="495"/>
    <n v="0"/>
    <n v="0"/>
    <n v="495"/>
    <s v="Cash"/>
    <x v="0"/>
  </r>
  <r>
    <s v="ORD-2025712"/>
    <s v="26 Sat"/>
    <s v="Apr"/>
    <s v="2025"/>
    <s v="CUST-1305"/>
    <s v="Muskan Joshi"/>
    <x v="1"/>
    <s v="Electronics"/>
    <s v="Wireless Mouse"/>
    <n v="5"/>
    <n v="599"/>
    <n v="2995"/>
    <n v="0"/>
    <n v="0"/>
    <n v="2995"/>
    <s v="UPI"/>
    <x v="0"/>
  </r>
  <r>
    <s v="ORD-2025713"/>
    <s v="27 Sun"/>
    <s v="Apr"/>
    <s v="2025"/>
    <s v="CUST-1227"/>
    <s v="Rohan Joshi"/>
    <x v="1"/>
    <s v="Apparel"/>
    <s v="Denim Jacket"/>
    <n v="3"/>
    <n v="1999"/>
    <n v="5997"/>
    <n v="10"/>
    <n v="599.70000000000005"/>
    <n v="5397.3"/>
    <s v="UPI"/>
    <x v="0"/>
  </r>
  <r>
    <s v="ORD-2025714"/>
    <s v="27 Sun"/>
    <s v="Apr"/>
    <s v="2025"/>
    <s v="CUST-1018"/>
    <s v="Aditya Gupta"/>
    <x v="1"/>
    <s v="Electronics"/>
    <s v="Wireless Mouse"/>
    <n v="4"/>
    <n v="599"/>
    <n v="2396"/>
    <n v="20"/>
    <n v="479.2"/>
    <n v="1916.8"/>
    <s v="Credit Card"/>
    <x v="1"/>
  </r>
  <r>
    <s v="ORD-2025715"/>
    <s v="27 Sun"/>
    <s v="Apr"/>
    <s v="2025"/>
    <s v="CUST-1274"/>
    <s v="Muskan Singh"/>
    <x v="2"/>
    <s v="Sports"/>
    <s v="Cricket Bat"/>
    <n v="1"/>
    <n v="1499"/>
    <n v="1499"/>
    <n v="0"/>
    <n v="0"/>
    <n v="1499"/>
    <s v="Credit Card"/>
    <x v="0"/>
  </r>
  <r>
    <s v="ORD-2025716"/>
    <s v="27 Sun"/>
    <s v="Apr"/>
    <s v="2025"/>
    <s v="CUST-1364"/>
    <s v="Rahul Malhotra"/>
    <x v="0"/>
    <s v="Stationery"/>
    <s v="Gel Pen Pack"/>
    <n v="2"/>
    <n v="99"/>
    <n v="198"/>
    <n v="15"/>
    <n v="29.7"/>
    <n v="168.3"/>
    <s v="UPI"/>
    <x v="0"/>
  </r>
  <r>
    <s v="ORD-2025717"/>
    <s v="27 Sun"/>
    <s v="Apr"/>
    <s v="2025"/>
    <s v="CUST-1369"/>
    <s v="Rohan Sharma"/>
    <x v="1"/>
    <s v="Home &amp; Kitchen"/>
    <s v="LED Desk Lamp"/>
    <n v="4"/>
    <n v="799"/>
    <n v="3196"/>
    <n v="0"/>
    <n v="0"/>
    <n v="3196"/>
    <s v="UPI"/>
    <x v="0"/>
  </r>
  <r>
    <s v="ORD-2025718"/>
    <s v="27 Sun"/>
    <s v="Apr"/>
    <s v="2025"/>
    <s v="CUST-1182"/>
    <s v="Swati Verma"/>
    <x v="2"/>
    <s v="Groceries"/>
    <s v="Organic Honey 500g"/>
    <n v="4"/>
    <n v="349"/>
    <n v="1396"/>
    <n v="0"/>
    <n v="0"/>
    <n v="1396"/>
    <s v="Debit Card"/>
    <x v="1"/>
  </r>
  <r>
    <s v="ORD-2025719"/>
    <s v="27 Sun"/>
    <s v="Apr"/>
    <s v="2025"/>
    <s v="CUST-1030"/>
    <s v="Rahul Kapoor"/>
    <x v="3"/>
    <s v="Electronics"/>
    <s v="Bluetooth Headphones"/>
    <n v="3"/>
    <n v="1799"/>
    <n v="5397"/>
    <n v="5"/>
    <n v="269.85000000000002"/>
    <n v="5127.1499999999996"/>
    <s v="Debit Card"/>
    <x v="1"/>
  </r>
  <r>
    <s v="ORD-2025720"/>
    <s v="28 Mon"/>
    <s v="Apr"/>
    <s v="2025"/>
    <s v="CUST-1007"/>
    <s v="Aarav Sharma"/>
    <x v="0"/>
    <s v="Sports"/>
    <s v="Cricket Bat"/>
    <n v="3"/>
    <n v="1499"/>
    <n v="4497"/>
    <n v="5"/>
    <n v="224.85"/>
    <n v="4272.1499999999996"/>
    <s v="UPI"/>
    <x v="1"/>
  </r>
  <r>
    <s v="ORD-2025721"/>
    <s v="28 Mon"/>
    <s v="Apr"/>
    <s v="2025"/>
    <s v="CUST-1214"/>
    <s v="Rohan Sharma"/>
    <x v="2"/>
    <s v="Home &amp; Kitchen"/>
    <s v="Non-stick Pan Set"/>
    <n v="1"/>
    <n v="1299"/>
    <n v="1299"/>
    <n v="5"/>
    <n v="64.95"/>
    <n v="1234.05"/>
    <s v="Net Banking"/>
    <x v="0"/>
  </r>
  <r>
    <s v="ORD-2025722"/>
    <s v="28 Mon"/>
    <s v="Apr"/>
    <s v="2025"/>
    <s v="CUST-1021"/>
    <s v="Isha Patel"/>
    <x v="1"/>
    <s v="Apparel"/>
    <s v="Formal Shirt"/>
    <n v="1"/>
    <n v="899"/>
    <n v="899"/>
    <n v="5"/>
    <n v="44.95"/>
    <n v="854.05"/>
    <s v="Net Banking"/>
    <x v="1"/>
  </r>
  <r>
    <s v="ORD-2025723"/>
    <s v="28 Mon"/>
    <s v="Apr"/>
    <s v="2025"/>
    <s v="CUST-1180"/>
    <s v="Muskan Joshi"/>
    <x v="1"/>
    <s v="Stationery"/>
    <s v="Gel Pen Pack"/>
    <n v="4"/>
    <n v="99"/>
    <n v="396"/>
    <n v="0"/>
    <n v="0"/>
    <n v="396"/>
    <s v="Cash"/>
    <x v="0"/>
  </r>
  <r>
    <s v="ORD-2025724"/>
    <s v="28 Mon"/>
    <s v="Apr"/>
    <s v="2025"/>
    <s v="CUST-1366"/>
    <s v="Vivaan Joshi"/>
    <x v="0"/>
    <s v="Groceries"/>
    <s v="Organic Honey 500g"/>
    <n v="2"/>
    <n v="349"/>
    <n v="698"/>
    <n v="15"/>
    <n v="104.7"/>
    <n v="593.29999999999995"/>
    <s v="UPI"/>
    <x v="0"/>
  </r>
  <r>
    <s v="ORD-2025725"/>
    <s v="28 Mon"/>
    <s v="Apr"/>
    <s v="2025"/>
    <s v="CUST-1141"/>
    <s v="Tanya Kapoor"/>
    <x v="0"/>
    <s v="Stationery"/>
    <s v="Gel Pen Pack"/>
    <n v="5"/>
    <n v="99"/>
    <n v="495"/>
    <n v="20"/>
    <n v="99"/>
    <n v="396"/>
    <s v="UPI"/>
    <x v="1"/>
  </r>
  <r>
    <s v="ORD-2025726"/>
    <s v="28 Mon"/>
    <s v="Apr"/>
    <s v="2025"/>
    <s v="CUST-1191"/>
    <s v="Nandini Malhotra"/>
    <x v="2"/>
    <s v="Stationery"/>
    <s v="Gel Pen Pack"/>
    <n v="4"/>
    <n v="99"/>
    <n v="396"/>
    <n v="10"/>
    <n v="39.6"/>
    <n v="356.4"/>
    <s v="UPI"/>
    <x v="1"/>
  </r>
  <r>
    <s v="ORD-2025727"/>
    <s v="28 Mon"/>
    <s v="Apr"/>
    <s v="2025"/>
    <s v="CUST-1129"/>
    <s v="Nandini Patel"/>
    <x v="0"/>
    <s v="Beauty"/>
    <s v="Herbal Shampoo"/>
    <n v="2"/>
    <n v="249"/>
    <n v="498"/>
    <n v="5"/>
    <n v="24.9"/>
    <n v="473.1"/>
    <s v="Cash"/>
    <x v="0"/>
  </r>
  <r>
    <s v="ORD-2025728"/>
    <s v="28 Mon"/>
    <s v="Apr"/>
    <s v="2025"/>
    <s v="CUST-1235"/>
    <s v="Meera Verma"/>
    <x v="1"/>
    <s v="Groceries"/>
    <s v="Basmati Rice 5kg"/>
    <n v="3"/>
    <n v="549"/>
    <n v="1647"/>
    <n v="5"/>
    <n v="82.35"/>
    <n v="1564.65"/>
    <s v="Debit Card"/>
    <x v="1"/>
  </r>
  <r>
    <s v="ORD-2025729"/>
    <s v="28 Mon"/>
    <s v="Apr"/>
    <s v="2025"/>
    <s v="CUST-1227"/>
    <s v="Rohan Joshi"/>
    <x v="1"/>
    <s v="Sports"/>
    <s v="Cricket Bat"/>
    <n v="2"/>
    <n v="1499"/>
    <n v="2998"/>
    <n v="15"/>
    <n v="449.7"/>
    <n v="2548.3000000000002"/>
    <s v="UPI"/>
    <x v="0"/>
  </r>
  <r>
    <s v="ORD-2025730"/>
    <s v="28 Mon"/>
    <s v="Apr"/>
    <s v="2025"/>
    <s v="CUST-1157"/>
    <s v="Arjun Verma"/>
    <x v="4"/>
    <s v="Electronics"/>
    <s v="Smartwatch"/>
    <n v="2"/>
    <n v="2999"/>
    <n v="5998"/>
    <n v="10"/>
    <n v="599.79999999999995"/>
    <n v="5398.2"/>
    <s v="Cash"/>
    <x v="0"/>
  </r>
  <r>
    <s v="ORD-2025731"/>
    <s v="29 Tue"/>
    <s v="Apr"/>
    <s v="2025"/>
    <s v="CUST-1087"/>
    <s v="Kabir Verma"/>
    <x v="2"/>
    <s v="Home &amp; Kitchen"/>
    <s v="Non-stick Pan Set"/>
    <n v="2"/>
    <n v="1299"/>
    <n v="2598"/>
    <n v="10"/>
    <n v="259.8"/>
    <n v="2338.1999999999998"/>
    <s v="Debit Card"/>
    <x v="0"/>
  </r>
  <r>
    <s v="ORD-2025732"/>
    <s v="29 Tue"/>
    <s v="Apr"/>
    <s v="2025"/>
    <s v="CUST-1116"/>
    <s v="Sakshi Mehta"/>
    <x v="0"/>
    <s v="Sports"/>
    <s v="Cricket Bat"/>
    <n v="4"/>
    <n v="1499"/>
    <n v="5996"/>
    <n v="10"/>
    <n v="599.6"/>
    <n v="5396.4"/>
    <s v="Net Banking"/>
    <x v="0"/>
  </r>
  <r>
    <s v="ORD-2025733"/>
    <s v="29 Tue"/>
    <s v="Apr"/>
    <s v="2025"/>
    <s v="CUST-1086"/>
    <s v="Nandini Verma"/>
    <x v="1"/>
    <s v="Electronics"/>
    <s v="Wireless Mouse"/>
    <n v="1"/>
    <n v="599"/>
    <n v="599"/>
    <n v="20"/>
    <n v="119.8"/>
    <n v="479.2"/>
    <s v="Credit Card"/>
    <x v="0"/>
  </r>
  <r>
    <s v="ORD-2025734"/>
    <s v="29 Tue"/>
    <s v="Apr"/>
    <s v="2025"/>
    <s v="CUST-1072"/>
    <s v="Tanya Sharma"/>
    <x v="4"/>
    <s v="Stationery"/>
    <s v="Gel Pen Pack"/>
    <n v="1"/>
    <n v="99"/>
    <n v="99"/>
    <n v="5"/>
    <n v="4.95"/>
    <n v="94.05"/>
    <s v="Credit Card"/>
    <x v="0"/>
  </r>
  <r>
    <s v="ORD-2025735"/>
    <s v="29 Tue"/>
    <s v="Apr"/>
    <s v="2025"/>
    <s v="CUST-1124"/>
    <s v="Aditya Gupta"/>
    <x v="3"/>
    <s v="Groceries"/>
    <s v="Basmati Rice 5kg"/>
    <n v="4"/>
    <n v="549"/>
    <n v="2196"/>
    <n v="10"/>
    <n v="219.6"/>
    <n v="1976.4"/>
    <s v="Credit Card"/>
    <x v="1"/>
  </r>
  <r>
    <s v="ORD-2025736"/>
    <s v="29 Tue"/>
    <s v="Apr"/>
    <s v="2025"/>
    <s v="CUST-1011"/>
    <s v="Kunal Sharma"/>
    <x v="3"/>
    <s v="Stationery"/>
    <s v="Notebook Set"/>
    <n v="1"/>
    <n v="199"/>
    <n v="199"/>
    <n v="15"/>
    <n v="29.85"/>
    <n v="169.15"/>
    <s v="UPI"/>
    <x v="0"/>
  </r>
  <r>
    <s v="ORD-2025737"/>
    <s v="29 Tue"/>
    <s v="Apr"/>
    <s v="2025"/>
    <s v="CUST-1080"/>
    <s v="Kabir Sharma"/>
    <x v="3"/>
    <s v="Beauty"/>
    <s v="Herbal Shampoo"/>
    <n v="3"/>
    <n v="249"/>
    <n v="747"/>
    <n v="20"/>
    <n v="149.4"/>
    <n v="597.6"/>
    <s v="Cash"/>
    <x v="1"/>
  </r>
  <r>
    <s v="ORD-2025738"/>
    <s v="29 Tue"/>
    <s v="Apr"/>
    <s v="2025"/>
    <s v="CUST-1181"/>
    <s v="Kunal Sharma"/>
    <x v="4"/>
    <s v="Home &amp; Kitchen"/>
    <s v="Non-stick Pan Set"/>
    <n v="1"/>
    <n v="1299"/>
    <n v="1299"/>
    <n v="0"/>
    <n v="0"/>
    <n v="1299"/>
    <s v="Credit Card"/>
    <x v="0"/>
  </r>
  <r>
    <s v="ORD-2025739"/>
    <s v="29 Tue"/>
    <s v="Apr"/>
    <s v="2025"/>
    <s v="CUST-1235"/>
    <s v="Meera Verma"/>
    <x v="1"/>
    <s v="Apparel"/>
    <s v="Formal Shirt"/>
    <n v="2"/>
    <n v="899"/>
    <n v="1798"/>
    <n v="0"/>
    <n v="0"/>
    <n v="1798"/>
    <s v="Debit Card"/>
    <x v="1"/>
  </r>
  <r>
    <s v="ORD-2025740"/>
    <s v="30 Wed"/>
    <s v="Apr"/>
    <s v="2025"/>
    <s v="CUST-1265"/>
    <s v="Muskan Singh"/>
    <x v="3"/>
    <s v="Apparel"/>
    <s v="Formal Shirt"/>
    <n v="2"/>
    <n v="899"/>
    <n v="1798"/>
    <n v="0"/>
    <n v="0"/>
    <n v="1798"/>
    <s v="Net Banking"/>
    <x v="0"/>
  </r>
  <r>
    <s v="ORD-2025741"/>
    <s v="30 Wed"/>
    <s v="Apr"/>
    <s v="2025"/>
    <s v="CUST-1108"/>
    <s v="Kunal Patel"/>
    <x v="1"/>
    <s v="Stationery"/>
    <s v="Notebook Set"/>
    <n v="1"/>
    <n v="199"/>
    <n v="199"/>
    <n v="20"/>
    <n v="39.799999999999997"/>
    <n v="159.19999999999999"/>
    <s v="Credit Card"/>
    <x v="0"/>
  </r>
  <r>
    <s v="ORD-2025742"/>
    <s v="30 Wed"/>
    <s v="Apr"/>
    <s v="2025"/>
    <s v="CUST-1393"/>
    <s v="Nandini Singh"/>
    <x v="0"/>
    <s v="Electronics"/>
    <s v="Wireless Mouse"/>
    <n v="2"/>
    <n v="599"/>
    <n v="1198"/>
    <n v="0"/>
    <n v="0"/>
    <n v="1198"/>
    <s v="Credit Card"/>
    <x v="0"/>
  </r>
  <r>
    <s v="ORD-2025743"/>
    <s v="30 Wed"/>
    <s v="Apr"/>
    <s v="2025"/>
    <s v="CUST-1257"/>
    <s v="Shreya Saxena"/>
    <x v="2"/>
    <s v="Stationery"/>
    <s v="Gel Pen Pack"/>
    <n v="1"/>
    <n v="99"/>
    <n v="99"/>
    <n v="0"/>
    <n v="0"/>
    <n v="99"/>
    <s v="Net Banking"/>
    <x v="0"/>
  </r>
  <r>
    <s v="ORD-2025744"/>
    <s v="30 Wed"/>
    <s v="Apr"/>
    <s v="2025"/>
    <s v="CUST-1060"/>
    <s v="Swati Gupta"/>
    <x v="3"/>
    <s v="Apparel"/>
    <s v="Cotton T-Shirt"/>
    <n v="2"/>
    <n v="499"/>
    <n v="998"/>
    <n v="10"/>
    <n v="99.8"/>
    <n v="898.2"/>
    <s v="Net Banking"/>
    <x v="0"/>
  </r>
  <r>
    <s v="ORD-2025745"/>
    <s v="30 Wed"/>
    <s v="Apr"/>
    <s v="2025"/>
    <s v="CUST-1073"/>
    <s v="Rahul Kapoor"/>
    <x v="4"/>
    <s v="Groceries"/>
    <s v="Basmati Rice 5kg"/>
    <n v="1"/>
    <n v="549"/>
    <n v="549"/>
    <n v="0"/>
    <n v="0"/>
    <n v="549"/>
    <s v="Debit Card"/>
    <x v="0"/>
  </r>
  <r>
    <s v="ORD-2025746"/>
    <s v="30 Wed"/>
    <s v="Apr"/>
    <s v="2025"/>
    <s v="CUST-1380"/>
    <s v="Meera Joshi"/>
    <x v="4"/>
    <s v="Apparel"/>
    <s v="Formal Shirt"/>
    <n v="2"/>
    <n v="899"/>
    <n v="1798"/>
    <n v="15"/>
    <n v="269.7"/>
    <n v="1528.3"/>
    <s v="UPI"/>
    <x v="0"/>
  </r>
  <r>
    <s v="ORD-2025747"/>
    <s v="30 Wed"/>
    <s v="Apr"/>
    <s v="2025"/>
    <s v="CUST-1063"/>
    <s v="Aman Sharma"/>
    <x v="2"/>
    <s v="Home &amp; Kitchen"/>
    <s v="LED Desk Lamp"/>
    <n v="1"/>
    <n v="799"/>
    <n v="799"/>
    <n v="0"/>
    <n v="0"/>
    <n v="799"/>
    <s v="Net Banking"/>
    <x v="1"/>
  </r>
  <r>
    <s v="ORD-2025748"/>
    <s v="1 Thu"/>
    <s v="May"/>
    <s v="2025"/>
    <s v="CUST-1356"/>
    <s v="Isha Verma"/>
    <x v="2"/>
    <s v="Groceries"/>
    <s v="Organic Honey 500g"/>
    <n v="3"/>
    <n v="349"/>
    <n v="1047"/>
    <n v="0"/>
    <n v="0"/>
    <n v="1047"/>
    <s v="Cash"/>
    <x v="1"/>
  </r>
  <r>
    <s v="ORD-2025749"/>
    <s v="1 Thu"/>
    <s v="May"/>
    <s v="2025"/>
    <s v="CUST-1156"/>
    <s v="Nandini Joshi"/>
    <x v="2"/>
    <s v="Sports"/>
    <s v="Yoga Mat"/>
    <n v="2"/>
    <n v="699"/>
    <n v="1398"/>
    <n v="10"/>
    <n v="139.80000000000001"/>
    <n v="1258.2"/>
    <s v="Credit Card"/>
    <x v="0"/>
  </r>
  <r>
    <s v="ORD-2025750"/>
    <s v="1 Thu"/>
    <s v="May"/>
    <s v="2025"/>
    <s v="CUST-1347"/>
    <s v="Ankit Joshi"/>
    <x v="0"/>
    <s v="Groceries"/>
    <s v="Basmati Rice 5kg"/>
    <n v="3"/>
    <n v="549"/>
    <n v="1647"/>
    <n v="10"/>
    <n v="164.7"/>
    <n v="1482.3"/>
    <s v="UPI"/>
    <x v="1"/>
  </r>
  <r>
    <s v="ORD-2025751"/>
    <s v="1 Thu"/>
    <s v="May"/>
    <s v="2025"/>
    <s v="CUST-1350"/>
    <s v="Isha Kapoor"/>
    <x v="1"/>
    <s v="Apparel"/>
    <s v="Denim Jacket"/>
    <n v="3"/>
    <n v="1999"/>
    <n v="5997"/>
    <n v="5"/>
    <n v="299.85000000000002"/>
    <n v="5697.15"/>
    <s v="Debit Card"/>
    <x v="1"/>
  </r>
  <r>
    <s v="ORD-2025752"/>
    <s v="1 Thu"/>
    <s v="May"/>
    <s v="2025"/>
    <s v="CUST-1047"/>
    <s v="Isha Kapoor"/>
    <x v="2"/>
    <s v="Sports"/>
    <s v="Yoga Mat"/>
    <n v="1"/>
    <n v="699"/>
    <n v="699"/>
    <n v="0"/>
    <n v="0"/>
    <n v="699"/>
    <s v="Cash"/>
    <x v="0"/>
  </r>
  <r>
    <s v="ORD-2025753"/>
    <s v="1 Thu"/>
    <s v="May"/>
    <s v="2025"/>
    <s v="CUST-1184"/>
    <s v="Rahul Joshi"/>
    <x v="2"/>
    <s v="Home &amp; Kitchen"/>
    <s v="Non-stick Pan Set"/>
    <n v="1"/>
    <n v="1299"/>
    <n v="1299"/>
    <n v="0"/>
    <n v="0"/>
    <n v="1299"/>
    <s v="UPI"/>
    <x v="0"/>
  </r>
  <r>
    <s v="ORD-2025754"/>
    <s v="2 Fri"/>
    <s v="May"/>
    <s v="2025"/>
    <s v="CUST-1106"/>
    <s v="Ankit Saxena"/>
    <x v="2"/>
    <s v="Beauty"/>
    <s v="Herbal Shampoo"/>
    <n v="1"/>
    <n v="249"/>
    <n v="249"/>
    <n v="0"/>
    <n v="0"/>
    <n v="249"/>
    <s v="Net Banking"/>
    <x v="0"/>
  </r>
  <r>
    <s v="ORD-2025755"/>
    <s v="2 Fri"/>
    <s v="May"/>
    <s v="2025"/>
    <s v="CUST-1232"/>
    <s v="Aman Patel"/>
    <x v="2"/>
    <s v="Home &amp; Kitchen"/>
    <s v="LED Desk Lamp"/>
    <n v="5"/>
    <n v="799"/>
    <n v="3995"/>
    <n v="15"/>
    <n v="599.25"/>
    <n v="3395.75"/>
    <s v="Credit Card"/>
    <x v="0"/>
  </r>
  <r>
    <s v="ORD-2025756"/>
    <s v="2 Fri"/>
    <s v="May"/>
    <s v="2025"/>
    <s v="CUST-1059"/>
    <s v="Kunal Verma"/>
    <x v="2"/>
    <s v="Stationery"/>
    <s v="Gel Pen Pack"/>
    <n v="1"/>
    <n v="99"/>
    <n v="99"/>
    <n v="10"/>
    <n v="9.9"/>
    <n v="89.1"/>
    <s v="UPI"/>
    <x v="1"/>
  </r>
  <r>
    <s v="ORD-2025757"/>
    <s v="2 Fri"/>
    <s v="May"/>
    <s v="2025"/>
    <s v="CUST-1025"/>
    <s v="Aditya Singh"/>
    <x v="4"/>
    <s v="Home &amp; Kitchen"/>
    <s v="Non-stick Pan Set"/>
    <n v="1"/>
    <n v="1299"/>
    <n v="1299"/>
    <n v="20"/>
    <n v="259.8"/>
    <n v="1039.2"/>
    <s v="Debit Card"/>
    <x v="0"/>
  </r>
  <r>
    <s v="ORD-2025758"/>
    <s v="2 Fri"/>
    <s v="May"/>
    <s v="2025"/>
    <s v="CUST-1365"/>
    <s v="Meera Singh"/>
    <x v="4"/>
    <s v="Sports"/>
    <s v="Yoga Mat"/>
    <n v="1"/>
    <n v="699"/>
    <n v="699"/>
    <n v="5"/>
    <n v="34.950000000000003"/>
    <n v="664.05"/>
    <s v="Debit Card"/>
    <x v="0"/>
  </r>
  <r>
    <s v="ORD-2025759"/>
    <s v="2 Fri"/>
    <s v="May"/>
    <s v="2025"/>
    <s v="CUST-1156"/>
    <s v="Nandini Joshi"/>
    <x v="4"/>
    <s v="Beauty"/>
    <s v="Herbal Shampoo"/>
    <n v="3"/>
    <n v="249"/>
    <n v="747"/>
    <n v="10"/>
    <n v="74.7"/>
    <n v="672.3"/>
    <s v="Debit Card"/>
    <x v="0"/>
  </r>
  <r>
    <s v="ORD-2025760"/>
    <s v="2 Fri"/>
    <s v="May"/>
    <s v="2025"/>
    <s v="CUST-1058"/>
    <s v="Nandini Singh"/>
    <x v="2"/>
    <s v="Electronics"/>
    <s v="Bluetooth Headphones"/>
    <n v="1"/>
    <n v="1799"/>
    <n v="1799"/>
    <n v="0"/>
    <n v="0"/>
    <n v="1799"/>
    <s v="Debit Card"/>
    <x v="1"/>
  </r>
  <r>
    <s v="ORD-2025761"/>
    <s v="2 Fri"/>
    <s v="May"/>
    <s v="2025"/>
    <s v="CUST-1216"/>
    <s v="Meera Malhotra"/>
    <x v="4"/>
    <s v="Apparel"/>
    <s v="Formal Shirt"/>
    <n v="1"/>
    <n v="899"/>
    <n v="899"/>
    <n v="5"/>
    <n v="44.95"/>
    <n v="854.05"/>
    <s v="Debit Card"/>
    <x v="1"/>
  </r>
  <r>
    <s v="ORD-2025762"/>
    <s v="3 Sat"/>
    <s v="May"/>
    <s v="2025"/>
    <s v="CUST-1110"/>
    <s v="Aman Malhotra"/>
    <x v="4"/>
    <s v="Sports"/>
    <s v="Yoga Mat"/>
    <n v="1"/>
    <n v="699"/>
    <n v="699"/>
    <n v="20"/>
    <n v="139.80000000000001"/>
    <n v="559.20000000000005"/>
    <s v="UPI"/>
    <x v="1"/>
  </r>
  <r>
    <s v="ORD-2025763"/>
    <s v="3 Sat"/>
    <s v="May"/>
    <s v="2025"/>
    <s v="CUST-1374"/>
    <s v="Isha Sharma"/>
    <x v="4"/>
    <s v="Sports"/>
    <s v="Cricket Bat"/>
    <n v="1"/>
    <n v="1499"/>
    <n v="1499"/>
    <n v="5"/>
    <n v="74.95"/>
    <n v="1424.05"/>
    <s v="Credit Card"/>
    <x v="0"/>
  </r>
  <r>
    <s v="ORD-2025764"/>
    <s v="3 Sat"/>
    <s v="May"/>
    <s v="2025"/>
    <s v="CUST-1293"/>
    <s v="Sakshi Singh"/>
    <x v="0"/>
    <s v="Home &amp; Kitchen"/>
    <s v="LED Desk Lamp"/>
    <n v="2"/>
    <n v="799"/>
    <n v="1598"/>
    <n v="0"/>
    <n v="0"/>
    <n v="1598"/>
    <s v="Debit Card"/>
    <x v="0"/>
  </r>
  <r>
    <s v="ORD-2025765"/>
    <s v="3 Sat"/>
    <s v="May"/>
    <s v="2025"/>
    <s v="CUST-1161"/>
    <s v="Ankit Gupta"/>
    <x v="0"/>
    <s v="Groceries"/>
    <s v="Organic Honey 500g"/>
    <n v="1"/>
    <n v="349"/>
    <n v="349"/>
    <n v="5"/>
    <n v="17.45"/>
    <n v="331.55"/>
    <s v="Credit Card"/>
    <x v="0"/>
  </r>
  <r>
    <s v="ORD-2025766"/>
    <s v="3 Sat"/>
    <s v="May"/>
    <s v="2025"/>
    <s v="CUST-1247"/>
    <s v="Meera Malhotra"/>
    <x v="4"/>
    <s v="Electronics"/>
    <s v="Wireless Mouse"/>
    <n v="1"/>
    <n v="599"/>
    <n v="599"/>
    <n v="0"/>
    <n v="0"/>
    <n v="599"/>
    <s v="UPI"/>
    <x v="1"/>
  </r>
  <r>
    <s v="ORD-2025767"/>
    <s v="3 Sat"/>
    <s v="May"/>
    <s v="2025"/>
    <s v="CUST-1268"/>
    <s v="Aman Verma"/>
    <x v="0"/>
    <s v="Electronics"/>
    <s v="Smartwatch"/>
    <n v="1"/>
    <n v="2999"/>
    <n v="2999"/>
    <n v="5"/>
    <n v="149.94999999999999"/>
    <n v="2849.05"/>
    <s v="Debit Card"/>
    <x v="0"/>
  </r>
  <r>
    <s v="ORD-2025768"/>
    <s v="3 Sat"/>
    <s v="May"/>
    <s v="2025"/>
    <s v="CUST-1168"/>
    <s v="Nandini Joshi"/>
    <x v="4"/>
    <s v="Home &amp; Kitchen"/>
    <s v="LED Desk Lamp"/>
    <n v="5"/>
    <n v="799"/>
    <n v="3995"/>
    <n v="10"/>
    <n v="399.5"/>
    <n v="3595.5"/>
    <s v="Net Banking"/>
    <x v="0"/>
  </r>
  <r>
    <s v="ORD-2025769"/>
    <s v="3 Sat"/>
    <s v="May"/>
    <s v="2025"/>
    <s v="CUST-1376"/>
    <s v="Kunal Kapoor"/>
    <x v="3"/>
    <s v="Apparel"/>
    <s v="Formal Shirt"/>
    <n v="1"/>
    <n v="899"/>
    <n v="899"/>
    <n v="20"/>
    <n v="179.8"/>
    <n v="719.2"/>
    <s v="Cash"/>
    <x v="1"/>
  </r>
  <r>
    <s v="ORD-2025770"/>
    <s v="3 Sat"/>
    <s v="May"/>
    <s v="2025"/>
    <s v="CUST-1153"/>
    <s v="Swati Verma"/>
    <x v="0"/>
    <s v="Electronics"/>
    <s v="Bluetooth Headphones"/>
    <n v="1"/>
    <n v="1799"/>
    <n v="1799"/>
    <n v="0"/>
    <n v="0"/>
    <n v="1799"/>
    <s v="Credit Card"/>
    <x v="0"/>
  </r>
  <r>
    <s v="ORD-2025771"/>
    <s v="4 Sun"/>
    <s v="May"/>
    <s v="2025"/>
    <s v="CUST-1098"/>
    <s v="Rohan Patel"/>
    <x v="0"/>
    <s v="Home &amp; Kitchen"/>
    <s v="Non-stick Pan Set"/>
    <n v="5"/>
    <n v="1299"/>
    <n v="6495"/>
    <n v="15"/>
    <n v="974.25"/>
    <n v="5520.75"/>
    <s v="Cash"/>
    <x v="0"/>
  </r>
  <r>
    <s v="ORD-2025772"/>
    <s v="4 Sun"/>
    <s v="May"/>
    <s v="2025"/>
    <s v="CUST-1332"/>
    <s v="Rahul Malhotra"/>
    <x v="3"/>
    <s v="Stationery"/>
    <s v="Gel Pen Pack"/>
    <n v="1"/>
    <n v="99"/>
    <n v="99"/>
    <n v="5"/>
    <n v="4.95"/>
    <n v="94.05"/>
    <s v="UPI"/>
    <x v="0"/>
  </r>
  <r>
    <s v="ORD-2025773"/>
    <s v="4 Sun"/>
    <s v="May"/>
    <s v="2025"/>
    <s v="CUST-1370"/>
    <s v="Shreya Malhotra"/>
    <x v="1"/>
    <s v="Groceries"/>
    <s v="Organic Honey 500g"/>
    <n v="5"/>
    <n v="349"/>
    <n v="1745"/>
    <n v="0"/>
    <n v="0"/>
    <n v="1745"/>
    <s v="Net Banking"/>
    <x v="1"/>
  </r>
  <r>
    <s v="ORD-2025774"/>
    <s v="4 Sun"/>
    <s v="May"/>
    <s v="2025"/>
    <s v="CUST-1113"/>
    <s v="Swati Saxena"/>
    <x v="3"/>
    <s v="Groceries"/>
    <s v="Basmati Rice 5kg"/>
    <n v="1"/>
    <n v="549"/>
    <n v="549"/>
    <n v="0"/>
    <n v="0"/>
    <n v="549"/>
    <s v="Debit Card"/>
    <x v="0"/>
  </r>
  <r>
    <s v="ORD-2025775"/>
    <s v="4 Sun"/>
    <s v="May"/>
    <s v="2025"/>
    <s v="CUST-1299"/>
    <s v="Kabir Mehta"/>
    <x v="4"/>
    <s v="Electronics"/>
    <s v="Wireless Mouse"/>
    <n v="1"/>
    <n v="599"/>
    <n v="599"/>
    <n v="15"/>
    <n v="89.85"/>
    <n v="509.15"/>
    <s v="Credit Card"/>
    <x v="0"/>
  </r>
  <r>
    <s v="ORD-2025776"/>
    <s v="4 Sun"/>
    <s v="May"/>
    <s v="2025"/>
    <s v="CUST-1082"/>
    <s v="Aarav Mehta"/>
    <x v="1"/>
    <s v="Home &amp; Kitchen"/>
    <s v="Non-stick Pan Set"/>
    <n v="1"/>
    <n v="1299"/>
    <n v="1299"/>
    <n v="0"/>
    <n v="0"/>
    <n v="1299"/>
    <s v="Credit Card"/>
    <x v="1"/>
  </r>
  <r>
    <s v="ORD-2025777"/>
    <s v="4 Sun"/>
    <s v="May"/>
    <s v="2025"/>
    <s v="CUST-1332"/>
    <s v="Rahul Malhotra"/>
    <x v="0"/>
    <s v="Electronics"/>
    <s v="Bluetooth Headphones"/>
    <n v="2"/>
    <n v="1799"/>
    <n v="3598"/>
    <n v="10"/>
    <n v="359.8"/>
    <n v="3238.2"/>
    <s v="UPI"/>
    <x v="1"/>
  </r>
  <r>
    <s v="ORD-2025778"/>
    <s v="5 Mon"/>
    <s v="May"/>
    <s v="2025"/>
    <s v="CUST-1167"/>
    <s v="Nandini Verma"/>
    <x v="1"/>
    <s v="Groceries"/>
    <s v="Organic Honey 500g"/>
    <n v="1"/>
    <n v="349"/>
    <n v="349"/>
    <n v="0"/>
    <n v="0"/>
    <n v="349"/>
    <s v="UPI"/>
    <x v="1"/>
  </r>
  <r>
    <s v="ORD-2025779"/>
    <s v="5 Mon"/>
    <s v="May"/>
    <s v="2025"/>
    <s v="CUST-1013"/>
    <s v="Divya Joshi"/>
    <x v="0"/>
    <s v="Apparel"/>
    <s v="Denim Jacket"/>
    <n v="1"/>
    <n v="1999"/>
    <n v="1999"/>
    <n v="0"/>
    <n v="0"/>
    <n v="1999"/>
    <s v="Credit Card"/>
    <x v="0"/>
  </r>
  <r>
    <s v="ORD-2025780"/>
    <s v="5 Mon"/>
    <s v="May"/>
    <s v="2025"/>
    <s v="CUST-1208"/>
    <s v="Arjun Singh"/>
    <x v="2"/>
    <s v="Apparel"/>
    <s v="Denim Jacket"/>
    <n v="3"/>
    <n v="1999"/>
    <n v="5997"/>
    <n v="10"/>
    <n v="599.70000000000005"/>
    <n v="5397.3"/>
    <s v="Cash"/>
    <x v="0"/>
  </r>
  <r>
    <s v="ORD-2025781"/>
    <s v="5 Mon"/>
    <s v="May"/>
    <s v="2025"/>
    <s v="CUST-1240"/>
    <s v="Sakshi Patel"/>
    <x v="0"/>
    <s v="Apparel"/>
    <s v="Formal Shirt"/>
    <n v="2"/>
    <n v="899"/>
    <n v="1798"/>
    <n v="15"/>
    <n v="269.7"/>
    <n v="1528.3"/>
    <s v="UPI"/>
    <x v="0"/>
  </r>
  <r>
    <s v="ORD-2025782"/>
    <s v="6 Tue"/>
    <s v="May"/>
    <s v="2025"/>
    <s v="CUST-1015"/>
    <s v="Swati Joshi"/>
    <x v="3"/>
    <s v="Beauty"/>
    <s v="Herbal Shampoo"/>
    <n v="3"/>
    <n v="249"/>
    <n v="747"/>
    <n v="15"/>
    <n v="112.05"/>
    <n v="634.95000000000005"/>
    <s v="UPI"/>
    <x v="0"/>
  </r>
  <r>
    <s v="ORD-2025783"/>
    <s v="6 Tue"/>
    <s v="May"/>
    <s v="2025"/>
    <s v="CUST-1266"/>
    <s v="Vivaan Kapoor"/>
    <x v="1"/>
    <s v="Electronics"/>
    <s v="Wireless Mouse"/>
    <n v="1"/>
    <n v="599"/>
    <n v="599"/>
    <n v="20"/>
    <n v="119.8"/>
    <n v="479.2"/>
    <s v="Debit Card"/>
    <x v="0"/>
  </r>
  <r>
    <s v="ORD-2025784"/>
    <s v="6 Tue"/>
    <s v="May"/>
    <s v="2025"/>
    <s v="CUST-1144"/>
    <s v="Divya Mehta"/>
    <x v="1"/>
    <s v="Electronics"/>
    <s v="Smartwatch"/>
    <n v="2"/>
    <n v="2999"/>
    <n v="5998"/>
    <n v="5"/>
    <n v="299.89999999999998"/>
    <n v="5698.1"/>
    <s v="Debit Card"/>
    <x v="0"/>
  </r>
  <r>
    <s v="ORD-2025785"/>
    <s v="6 Tue"/>
    <s v="May"/>
    <s v="2025"/>
    <s v="CUST-1061"/>
    <s v="Muskan Patel"/>
    <x v="1"/>
    <s v="Electronics"/>
    <s v="Bluetooth Headphones"/>
    <n v="2"/>
    <n v="1799"/>
    <n v="3598"/>
    <n v="0"/>
    <n v="0"/>
    <n v="3598"/>
    <s v="Debit Card"/>
    <x v="1"/>
  </r>
  <r>
    <s v="ORD-2025786"/>
    <s v="7 Wed"/>
    <s v="May"/>
    <s v="2025"/>
    <s v="CUST-1121"/>
    <s v="Rahul Kapoor"/>
    <x v="4"/>
    <s v="Electronics"/>
    <s v="Bluetooth Headphones"/>
    <n v="1"/>
    <n v="1799"/>
    <n v="1799"/>
    <n v="0"/>
    <n v="0"/>
    <n v="1799"/>
    <s v="Net Banking"/>
    <x v="1"/>
  </r>
  <r>
    <s v="ORD-2025787"/>
    <s v="7 Wed"/>
    <s v="May"/>
    <s v="2025"/>
    <s v="CUST-1305"/>
    <s v="Muskan Joshi"/>
    <x v="3"/>
    <s v="Home &amp; Kitchen"/>
    <s v="LED Desk Lamp"/>
    <n v="3"/>
    <n v="799"/>
    <n v="2397"/>
    <n v="5"/>
    <n v="119.85"/>
    <n v="2277.15"/>
    <s v="Debit Card"/>
    <x v="0"/>
  </r>
  <r>
    <s v="ORD-2025788"/>
    <s v="7 Wed"/>
    <s v="May"/>
    <s v="2025"/>
    <s v="CUST-1011"/>
    <s v="Kunal Sharma"/>
    <x v="4"/>
    <s v="Groceries"/>
    <s v="Organic Honey 500g"/>
    <n v="1"/>
    <n v="349"/>
    <n v="349"/>
    <n v="0"/>
    <n v="0"/>
    <n v="349"/>
    <s v="Credit Card"/>
    <x v="1"/>
  </r>
  <r>
    <s v="ORD-2025789"/>
    <s v="7 Wed"/>
    <s v="May"/>
    <s v="2025"/>
    <s v="CUST-1206"/>
    <s v="Aditya Gupta"/>
    <x v="4"/>
    <s v="Home &amp; Kitchen"/>
    <s v="LED Desk Lamp"/>
    <n v="4"/>
    <n v="799"/>
    <n v="3196"/>
    <n v="5"/>
    <n v="159.80000000000001"/>
    <n v="3036.2"/>
    <s v="Debit Card"/>
    <x v="0"/>
  </r>
  <r>
    <s v="ORD-2025790"/>
    <s v="8 Thu"/>
    <s v="May"/>
    <s v="2025"/>
    <s v="CUST-1063"/>
    <s v="Aman Sharma"/>
    <x v="1"/>
    <s v="Stationery"/>
    <s v="Notebook Set"/>
    <n v="1"/>
    <n v="199"/>
    <n v="199"/>
    <n v="20"/>
    <n v="39.799999999999997"/>
    <n v="159.19999999999999"/>
    <s v="Credit Card"/>
    <x v="0"/>
  </r>
  <r>
    <s v="ORD-2025791"/>
    <s v="8 Thu"/>
    <s v="May"/>
    <s v="2025"/>
    <s v="CUST-1310"/>
    <s v="Meera Patel"/>
    <x v="2"/>
    <s v="Beauty"/>
    <s v="Face Wash 100ml"/>
    <n v="1"/>
    <n v="299"/>
    <n v="299"/>
    <n v="0"/>
    <n v="0"/>
    <n v="299"/>
    <s v="Credit Card"/>
    <x v="0"/>
  </r>
  <r>
    <s v="ORD-2025792"/>
    <s v="8 Thu"/>
    <s v="May"/>
    <s v="2025"/>
    <s v="CUST-1322"/>
    <s v="Rahul Sharma"/>
    <x v="3"/>
    <s v="Electronics"/>
    <s v="Smartwatch"/>
    <n v="1"/>
    <n v="2999"/>
    <n v="2999"/>
    <n v="0"/>
    <n v="0"/>
    <n v="2999"/>
    <s v="Net Banking"/>
    <x v="1"/>
  </r>
  <r>
    <s v="ORD-2025793"/>
    <s v="8 Thu"/>
    <s v="May"/>
    <s v="2025"/>
    <s v="CUST-1198"/>
    <s v="Vivaan Joshi"/>
    <x v="3"/>
    <s v="Stationery"/>
    <s v="Gel Pen Pack"/>
    <n v="1"/>
    <n v="99"/>
    <n v="99"/>
    <n v="0"/>
    <n v="0"/>
    <n v="99"/>
    <s v="UPI"/>
    <x v="1"/>
  </r>
  <r>
    <s v="ORD-2025794"/>
    <s v="8 Thu"/>
    <s v="May"/>
    <s v="2025"/>
    <s v="CUST-1288"/>
    <s v="Aditya Mehta"/>
    <x v="4"/>
    <s v="Stationery"/>
    <s v="Notebook Set"/>
    <n v="3"/>
    <n v="199"/>
    <n v="597"/>
    <n v="10"/>
    <n v="59.7"/>
    <n v="537.29999999999995"/>
    <s v="Net Banking"/>
    <x v="0"/>
  </r>
  <r>
    <s v="ORD-2025795"/>
    <s v="9 Fri"/>
    <s v="May"/>
    <s v="2025"/>
    <s v="CUST-1044"/>
    <s v="Swati Saxena"/>
    <x v="3"/>
    <s v="Beauty"/>
    <s v="Face Wash 100ml"/>
    <n v="1"/>
    <n v="299"/>
    <n v="299"/>
    <n v="0"/>
    <n v="0"/>
    <n v="299"/>
    <s v="UPI"/>
    <x v="1"/>
  </r>
  <r>
    <s v="ORD-2025796"/>
    <s v="9 Fri"/>
    <s v="May"/>
    <s v="2025"/>
    <s v="CUST-1080"/>
    <s v="Kabir Sharma"/>
    <x v="4"/>
    <s v="Beauty"/>
    <s v="Herbal Shampoo"/>
    <n v="2"/>
    <n v="249"/>
    <n v="498"/>
    <n v="0"/>
    <n v="0"/>
    <n v="498"/>
    <s v="Debit Card"/>
    <x v="0"/>
  </r>
  <r>
    <s v="ORD-2025797"/>
    <s v="9 Fri"/>
    <s v="May"/>
    <s v="2025"/>
    <s v="CUST-1334"/>
    <s v="Kunal Singh"/>
    <x v="4"/>
    <s v="Electronics"/>
    <s v="Smartwatch"/>
    <n v="1"/>
    <n v="2999"/>
    <n v="2999"/>
    <n v="10"/>
    <n v="299.89999999999998"/>
    <n v="2699.1"/>
    <s v="UPI"/>
    <x v="0"/>
  </r>
  <r>
    <s v="ORD-2025798"/>
    <s v="10 Sat"/>
    <s v="May"/>
    <s v="2025"/>
    <s v="CUST-1150"/>
    <s v="Isha Singh"/>
    <x v="1"/>
    <s v="Stationery"/>
    <s v="Notebook Set"/>
    <n v="1"/>
    <n v="199"/>
    <n v="199"/>
    <n v="0"/>
    <n v="0"/>
    <n v="199"/>
    <s v="Cash"/>
    <x v="0"/>
  </r>
  <r>
    <s v="ORD-2025799"/>
    <s v="10 Sat"/>
    <s v="May"/>
    <s v="2025"/>
    <s v="CUST-1151"/>
    <s v="Aman Patel"/>
    <x v="0"/>
    <s v="Beauty"/>
    <s v="Herbal Shampoo"/>
    <n v="4"/>
    <n v="249"/>
    <n v="996"/>
    <n v="5"/>
    <n v="49.8"/>
    <n v="946.2"/>
    <s v="Cash"/>
    <x v="0"/>
  </r>
  <r>
    <s v="ORD-2025800"/>
    <s v="10 Sat"/>
    <s v="May"/>
    <s v="2025"/>
    <s v="CUST-1058"/>
    <s v="Nandini Singh"/>
    <x v="3"/>
    <s v="Electronics"/>
    <s v="Bluetooth Headphones"/>
    <n v="1"/>
    <n v="1799"/>
    <n v="1799"/>
    <n v="15"/>
    <n v="269.85000000000002"/>
    <n v="1529.15"/>
    <s v="Credit Card"/>
    <x v="0"/>
  </r>
  <r>
    <s v="ORD-2025801"/>
    <s v="10 Sat"/>
    <s v="May"/>
    <s v="2025"/>
    <s v="CUST-1316"/>
    <s v="Komal Saxena"/>
    <x v="0"/>
    <s v="Home &amp; Kitchen"/>
    <s v="Non-stick Pan Set"/>
    <n v="1"/>
    <n v="1299"/>
    <n v="1299"/>
    <n v="0"/>
    <n v="0"/>
    <n v="1299"/>
    <s v="Debit Card"/>
    <x v="0"/>
  </r>
  <r>
    <s v="ORD-2025802"/>
    <s v="10 Sat"/>
    <s v="May"/>
    <s v="2025"/>
    <s v="CUST-1399"/>
    <s v="Vivaan Verma"/>
    <x v="3"/>
    <s v="Groceries"/>
    <s v="Basmati Rice 5kg"/>
    <n v="1"/>
    <n v="549"/>
    <n v="549"/>
    <n v="10"/>
    <n v="54.9"/>
    <n v="494.1"/>
    <s v="Credit Card"/>
    <x v="0"/>
  </r>
  <r>
    <s v="ORD-2025803"/>
    <s v="10 Sat"/>
    <s v="May"/>
    <s v="2025"/>
    <s v="CUST-1057"/>
    <s v="Tanya Malhotra"/>
    <x v="0"/>
    <s v="Beauty"/>
    <s v="Face Wash 100ml"/>
    <n v="4"/>
    <n v="299"/>
    <n v="1196"/>
    <n v="5"/>
    <n v="59.8"/>
    <n v="1136.2"/>
    <s v="Cash"/>
    <x v="0"/>
  </r>
  <r>
    <s v="ORD-2025804"/>
    <s v="10 Sat"/>
    <s v="May"/>
    <s v="2025"/>
    <s v="CUST-1321"/>
    <s v="Isha Mehta"/>
    <x v="2"/>
    <s v="Electronics"/>
    <s v="Smartwatch"/>
    <n v="2"/>
    <n v="2999"/>
    <n v="5998"/>
    <n v="15"/>
    <n v="899.7"/>
    <n v="5098.3"/>
    <s v="UPI"/>
    <x v="0"/>
  </r>
  <r>
    <s v="ORD-2025805"/>
    <s v="11 Sun"/>
    <s v="May"/>
    <s v="2025"/>
    <s v="CUST-1025"/>
    <s v="Aditya Singh"/>
    <x v="2"/>
    <s v="Beauty"/>
    <s v="Herbal Shampoo"/>
    <n v="2"/>
    <n v="249"/>
    <n v="498"/>
    <n v="15"/>
    <n v="74.7"/>
    <n v="423.3"/>
    <s v="Debit Card"/>
    <x v="0"/>
  </r>
  <r>
    <s v="ORD-2025806"/>
    <s v="11 Sun"/>
    <s v="May"/>
    <s v="2025"/>
    <s v="CUST-1026"/>
    <s v="Rahul Saxena"/>
    <x v="2"/>
    <s v="Home &amp; Kitchen"/>
    <s v="LED Desk Lamp"/>
    <n v="1"/>
    <n v="799"/>
    <n v="799"/>
    <n v="15"/>
    <n v="119.85"/>
    <n v="679.15"/>
    <s v="Credit Card"/>
    <x v="0"/>
  </r>
  <r>
    <s v="ORD-2025807"/>
    <s v="11 Sun"/>
    <s v="May"/>
    <s v="2025"/>
    <s v="CUST-1281"/>
    <s v="Nandini Saxena"/>
    <x v="0"/>
    <s v="Electronics"/>
    <s v="Wireless Mouse"/>
    <n v="1"/>
    <n v="599"/>
    <n v="599"/>
    <n v="0"/>
    <n v="0"/>
    <n v="599"/>
    <s v="Cash"/>
    <x v="1"/>
  </r>
  <r>
    <s v="ORD-2025808"/>
    <s v="11 Sun"/>
    <s v="May"/>
    <s v="2025"/>
    <s v="CUST-1025"/>
    <s v="Aditya Singh"/>
    <x v="1"/>
    <s v="Home &amp; Kitchen"/>
    <s v="LED Desk Lamp"/>
    <n v="1"/>
    <n v="799"/>
    <n v="799"/>
    <n v="5"/>
    <n v="39.950000000000003"/>
    <n v="759.05"/>
    <s v="Debit Card"/>
    <x v="0"/>
  </r>
  <r>
    <s v="ORD-2025809"/>
    <s v="11 Sun"/>
    <s v="May"/>
    <s v="2025"/>
    <s v="CUST-1301"/>
    <s v="Shreya Sharma"/>
    <x v="4"/>
    <s v="Groceries"/>
    <s v="Organic Honey 500g"/>
    <n v="3"/>
    <n v="349"/>
    <n v="1047"/>
    <n v="15"/>
    <n v="157.05000000000001"/>
    <n v="889.95"/>
    <s v="Net Banking"/>
    <x v="0"/>
  </r>
  <r>
    <s v="ORD-2025810"/>
    <s v="11 Sun"/>
    <s v="May"/>
    <s v="2025"/>
    <s v="CUST-1363"/>
    <s v="Arjun Joshi"/>
    <x v="1"/>
    <s v="Groceries"/>
    <s v="Organic Honey 500g"/>
    <n v="1"/>
    <n v="349"/>
    <n v="349"/>
    <n v="10"/>
    <n v="34.9"/>
    <n v="314.10000000000002"/>
    <s v="Debit Card"/>
    <x v="0"/>
  </r>
  <r>
    <s v="ORD-2025811"/>
    <s v="11 Sun"/>
    <s v="May"/>
    <s v="2025"/>
    <s v="CUST-1033"/>
    <s v="Meera Joshi"/>
    <x v="0"/>
    <s v="Beauty"/>
    <s v="Face Wash 100ml"/>
    <n v="1"/>
    <n v="299"/>
    <n v="299"/>
    <n v="0"/>
    <n v="0"/>
    <n v="299"/>
    <s v="Cash"/>
    <x v="0"/>
  </r>
  <r>
    <s v="ORD-2025812"/>
    <s v="11 Sun"/>
    <s v="May"/>
    <s v="2025"/>
    <s v="CUST-1045"/>
    <s v="Arjun Verma"/>
    <x v="1"/>
    <s v="Stationery"/>
    <s v="Notebook Set"/>
    <n v="4"/>
    <n v="199"/>
    <n v="796"/>
    <n v="20"/>
    <n v="159.19999999999999"/>
    <n v="636.79999999999995"/>
    <s v="Credit Card"/>
    <x v="0"/>
  </r>
  <r>
    <s v="ORD-2025813"/>
    <s v="11 Sun"/>
    <s v="May"/>
    <s v="2025"/>
    <s v="CUST-1237"/>
    <s v="Divya Sharma"/>
    <x v="0"/>
    <s v="Apparel"/>
    <s v="Cotton T-Shirt"/>
    <n v="1"/>
    <n v="499"/>
    <n v="499"/>
    <n v="10"/>
    <n v="49.9"/>
    <n v="449.1"/>
    <s v="Cash"/>
    <x v="0"/>
  </r>
  <r>
    <s v="ORD-2025814"/>
    <s v="11 Sun"/>
    <s v="May"/>
    <s v="2025"/>
    <s v="CUST-1234"/>
    <s v="Meera Sharma"/>
    <x v="3"/>
    <s v="Beauty"/>
    <s v="Herbal Shampoo"/>
    <n v="1"/>
    <n v="249"/>
    <n v="249"/>
    <n v="0"/>
    <n v="0"/>
    <n v="249"/>
    <s v="Credit Card"/>
    <x v="0"/>
  </r>
  <r>
    <s v="ORD-2025815"/>
    <s v="11 Sun"/>
    <s v="May"/>
    <s v="2025"/>
    <s v="CUST-1243"/>
    <s v="Aman Joshi"/>
    <x v="2"/>
    <s v="Beauty"/>
    <s v="Herbal Shampoo"/>
    <n v="1"/>
    <n v="249"/>
    <n v="249"/>
    <n v="0"/>
    <n v="0"/>
    <n v="249"/>
    <s v="Cash"/>
    <x v="0"/>
  </r>
  <r>
    <s v="ORD-2025816"/>
    <s v="11 Sun"/>
    <s v="May"/>
    <s v="2025"/>
    <s v="CUST-1387"/>
    <s v="Rohan Patel"/>
    <x v="2"/>
    <s v="Stationery"/>
    <s v="Gel Pen Pack"/>
    <n v="1"/>
    <n v="99"/>
    <n v="99"/>
    <n v="10"/>
    <n v="9.9"/>
    <n v="89.1"/>
    <s v="Debit Card"/>
    <x v="0"/>
  </r>
  <r>
    <s v="ORD-2025817"/>
    <s v="11 Sun"/>
    <s v="May"/>
    <s v="2025"/>
    <s v="CUST-1149"/>
    <s v="Aarav Verma"/>
    <x v="3"/>
    <s v="Electronics"/>
    <s v="Bluetooth Headphones"/>
    <n v="1"/>
    <n v="1799"/>
    <n v="1799"/>
    <n v="5"/>
    <n v="89.95"/>
    <n v="1709.05"/>
    <s v="Credit Card"/>
    <x v="1"/>
  </r>
  <r>
    <s v="ORD-2025818"/>
    <s v="12 Mon"/>
    <s v="May"/>
    <s v="2025"/>
    <s v="CUST-1226"/>
    <s v="Tanya Joshi"/>
    <x v="4"/>
    <s v="Groceries"/>
    <s v="Organic Honey 500g"/>
    <n v="5"/>
    <n v="349"/>
    <n v="1745"/>
    <n v="0"/>
    <n v="0"/>
    <n v="1745"/>
    <s v="Credit Card"/>
    <x v="0"/>
  </r>
  <r>
    <s v="ORD-2025819"/>
    <s v="12 Mon"/>
    <s v="May"/>
    <s v="2025"/>
    <s v="CUST-1167"/>
    <s v="Nandini Verma"/>
    <x v="2"/>
    <s v="Beauty"/>
    <s v="Herbal Shampoo"/>
    <n v="1"/>
    <n v="249"/>
    <n v="249"/>
    <n v="20"/>
    <n v="49.8"/>
    <n v="199.2"/>
    <s v="UPI"/>
    <x v="0"/>
  </r>
  <r>
    <s v="ORD-2025820"/>
    <s v="12 Mon"/>
    <s v="May"/>
    <s v="2025"/>
    <s v="CUST-1001"/>
    <s v="Rohan Patel"/>
    <x v="0"/>
    <s v="Apparel"/>
    <s v="Denim Jacket"/>
    <n v="1"/>
    <n v="1999"/>
    <n v="1999"/>
    <n v="10"/>
    <n v="199.9"/>
    <n v="1799.1"/>
    <s v="Debit Card"/>
    <x v="0"/>
  </r>
  <r>
    <s v="ORD-2025821"/>
    <s v="12 Mon"/>
    <s v="May"/>
    <s v="2025"/>
    <s v="CUST-1363"/>
    <s v="Arjun Joshi"/>
    <x v="2"/>
    <s v="Apparel"/>
    <s v="Formal Shirt"/>
    <n v="1"/>
    <n v="899"/>
    <n v="899"/>
    <n v="5"/>
    <n v="44.95"/>
    <n v="854.05"/>
    <s v="Credit Card"/>
    <x v="0"/>
  </r>
  <r>
    <s v="ORD-2025822"/>
    <s v="12 Mon"/>
    <s v="May"/>
    <s v="2025"/>
    <s v="CUST-1073"/>
    <s v="Rahul Kapoor"/>
    <x v="1"/>
    <s v="Groceries"/>
    <s v="Organic Honey 500g"/>
    <n v="2"/>
    <n v="349"/>
    <n v="698"/>
    <n v="5"/>
    <n v="34.9"/>
    <n v="663.1"/>
    <s v="UPI"/>
    <x v="0"/>
  </r>
  <r>
    <s v="ORD-2025823"/>
    <s v="12 Mon"/>
    <s v="May"/>
    <s v="2025"/>
    <s v="CUST-1254"/>
    <s v="Meera Malhotra"/>
    <x v="1"/>
    <s v="Apparel"/>
    <s v="Denim Jacket"/>
    <n v="2"/>
    <n v="1999"/>
    <n v="3998"/>
    <n v="15"/>
    <n v="599.70000000000005"/>
    <n v="3398.3"/>
    <s v="Credit Card"/>
    <x v="0"/>
  </r>
  <r>
    <s v="ORD-2025824"/>
    <s v="12 Mon"/>
    <s v="May"/>
    <s v="2025"/>
    <s v="CUST-1030"/>
    <s v="Rahul Kapoor"/>
    <x v="2"/>
    <s v="Sports"/>
    <s v="Yoga Mat"/>
    <n v="3"/>
    <n v="699"/>
    <n v="2097"/>
    <n v="0"/>
    <n v="0"/>
    <n v="2097"/>
    <s v="UPI"/>
    <x v="0"/>
  </r>
  <r>
    <s v="ORD-2025825"/>
    <s v="12 Mon"/>
    <s v="May"/>
    <s v="2025"/>
    <s v="CUST-1066"/>
    <s v="Kunal Verma"/>
    <x v="1"/>
    <s v="Stationery"/>
    <s v="Gel Pen Pack"/>
    <n v="1"/>
    <n v="99"/>
    <n v="99"/>
    <n v="5"/>
    <n v="4.95"/>
    <n v="94.05"/>
    <s v="Net Banking"/>
    <x v="1"/>
  </r>
  <r>
    <s v="ORD-2025826"/>
    <s v="13 Tue"/>
    <s v="May"/>
    <s v="2025"/>
    <s v="CUST-1030"/>
    <s v="Rahul Kapoor"/>
    <x v="1"/>
    <s v="Stationery"/>
    <s v="Gel Pen Pack"/>
    <n v="4"/>
    <n v="99"/>
    <n v="396"/>
    <n v="0"/>
    <n v="0"/>
    <n v="396"/>
    <s v="UPI"/>
    <x v="1"/>
  </r>
  <r>
    <s v="ORD-2025827"/>
    <s v="13 Tue"/>
    <s v="May"/>
    <s v="2025"/>
    <s v="CUST-1020"/>
    <s v="Rohan Malhotra"/>
    <x v="4"/>
    <s v="Beauty"/>
    <s v="Face Wash 100ml"/>
    <n v="1"/>
    <n v="299"/>
    <n v="299"/>
    <n v="15"/>
    <n v="44.85"/>
    <n v="254.15"/>
    <s v="Credit Card"/>
    <x v="1"/>
  </r>
  <r>
    <s v="ORD-2025828"/>
    <s v="13 Tue"/>
    <s v="May"/>
    <s v="2025"/>
    <s v="CUST-1053"/>
    <s v="Vivaan Malhotra"/>
    <x v="0"/>
    <s v="Home &amp; Kitchen"/>
    <s v="LED Desk Lamp"/>
    <n v="1"/>
    <n v="799"/>
    <n v="799"/>
    <n v="0"/>
    <n v="0"/>
    <n v="799"/>
    <s v="Cash"/>
    <x v="0"/>
  </r>
  <r>
    <s v="ORD-2025829"/>
    <s v="13 Tue"/>
    <s v="May"/>
    <s v="2025"/>
    <s v="CUST-1223"/>
    <s v="Meera Saxena"/>
    <x v="1"/>
    <s v="Electronics"/>
    <s v="Bluetooth Headphones"/>
    <n v="1"/>
    <n v="1799"/>
    <n v="1799"/>
    <n v="10"/>
    <n v="179.9"/>
    <n v="1619.1"/>
    <s v="Credit Card"/>
    <x v="0"/>
  </r>
  <r>
    <s v="ORD-2025830"/>
    <s v="13 Tue"/>
    <s v="May"/>
    <s v="2025"/>
    <s v="CUST-1324"/>
    <s v="Rahul Verma"/>
    <x v="2"/>
    <s v="Electronics"/>
    <s v="Smartwatch"/>
    <n v="1"/>
    <n v="2999"/>
    <n v="2999"/>
    <n v="0"/>
    <n v="0"/>
    <n v="2999"/>
    <s v="Debit Card"/>
    <x v="0"/>
  </r>
  <r>
    <s v="ORD-2025831"/>
    <s v="13 Tue"/>
    <s v="May"/>
    <s v="2025"/>
    <s v="CUST-1146"/>
    <s v="Tanya Patel"/>
    <x v="3"/>
    <s v="Sports"/>
    <s v="Cricket Bat"/>
    <n v="4"/>
    <n v="1499"/>
    <n v="5996"/>
    <n v="20"/>
    <n v="1199.2"/>
    <n v="4796.8"/>
    <s v="UPI"/>
    <x v="0"/>
  </r>
  <r>
    <s v="ORD-2025832"/>
    <s v="14 Wed"/>
    <s v="May"/>
    <s v="2025"/>
    <s v="CUST-1132"/>
    <s v="Shreya Sharma"/>
    <x v="4"/>
    <s v="Electronics"/>
    <s v="Wireless Mouse"/>
    <n v="1"/>
    <n v="599"/>
    <n v="599"/>
    <n v="0"/>
    <n v="0"/>
    <n v="599"/>
    <s v="Net Banking"/>
    <x v="1"/>
  </r>
  <r>
    <s v="ORD-2025833"/>
    <s v="14 Wed"/>
    <s v="May"/>
    <s v="2025"/>
    <s v="CUST-1044"/>
    <s v="Swati Saxena"/>
    <x v="1"/>
    <s v="Electronics"/>
    <s v="Bluetooth Headphones"/>
    <n v="1"/>
    <n v="1799"/>
    <n v="1799"/>
    <n v="0"/>
    <n v="0"/>
    <n v="1799"/>
    <s v="Debit Card"/>
    <x v="0"/>
  </r>
  <r>
    <s v="ORD-2025834"/>
    <s v="14 Wed"/>
    <s v="May"/>
    <s v="2025"/>
    <s v="CUST-1071"/>
    <s v="Kabir Malhotra"/>
    <x v="4"/>
    <s v="Home &amp; Kitchen"/>
    <s v="Non-stick Pan Set"/>
    <n v="2"/>
    <n v="1299"/>
    <n v="2598"/>
    <n v="5"/>
    <n v="129.9"/>
    <n v="2468.1"/>
    <s v="Credit Card"/>
    <x v="0"/>
  </r>
  <r>
    <s v="ORD-2025835"/>
    <s v="14 Wed"/>
    <s v="May"/>
    <s v="2025"/>
    <s v="CUST-1161"/>
    <s v="Ankit Gupta"/>
    <x v="2"/>
    <s v="Sports"/>
    <s v="Yoga Mat"/>
    <n v="2"/>
    <n v="699"/>
    <n v="1398"/>
    <n v="0"/>
    <n v="0"/>
    <n v="1398"/>
    <s v="Cash"/>
    <x v="0"/>
  </r>
  <r>
    <s v="ORD-2025836"/>
    <s v="15 Thu"/>
    <s v="May"/>
    <s v="2025"/>
    <s v="CUST-1285"/>
    <s v="Ankit Joshi"/>
    <x v="0"/>
    <s v="Groceries"/>
    <s v="Organic Honey 500g"/>
    <n v="4"/>
    <n v="349"/>
    <n v="1396"/>
    <n v="15"/>
    <n v="209.4"/>
    <n v="1186.5999999999999"/>
    <s v="Cash"/>
    <x v="0"/>
  </r>
  <r>
    <s v="ORD-2025837"/>
    <s v="15 Thu"/>
    <s v="May"/>
    <s v="2025"/>
    <s v="CUST-1182"/>
    <s v="Swati Verma"/>
    <x v="3"/>
    <s v="Apparel"/>
    <s v="Formal Shirt"/>
    <n v="2"/>
    <n v="899"/>
    <n v="1798"/>
    <n v="5"/>
    <n v="89.9"/>
    <n v="1708.1"/>
    <s v="Credit Card"/>
    <x v="0"/>
  </r>
  <r>
    <s v="ORD-2025838"/>
    <s v="15 Thu"/>
    <s v="May"/>
    <s v="2025"/>
    <s v="CUST-1001"/>
    <s v="Rohan Patel"/>
    <x v="1"/>
    <s v="Apparel"/>
    <s v="Cotton T-Shirt"/>
    <n v="4"/>
    <n v="499"/>
    <n v="1996"/>
    <n v="10"/>
    <n v="199.6"/>
    <n v="1796.4"/>
    <s v="Credit Card"/>
    <x v="1"/>
  </r>
  <r>
    <s v="ORD-2025839"/>
    <s v="15 Thu"/>
    <s v="May"/>
    <s v="2025"/>
    <s v="CUST-1201"/>
    <s v="Tanya Joshi"/>
    <x v="0"/>
    <s v="Apparel"/>
    <s v="Formal Shirt"/>
    <n v="2"/>
    <n v="899"/>
    <n v="1798"/>
    <n v="20"/>
    <n v="359.6"/>
    <n v="1438.4"/>
    <s v="Cash"/>
    <x v="1"/>
  </r>
  <r>
    <s v="ORD-2025840"/>
    <s v="15 Thu"/>
    <s v="May"/>
    <s v="2025"/>
    <s v="CUST-1291"/>
    <s v="Arjun Saxena"/>
    <x v="2"/>
    <s v="Apparel"/>
    <s v="Cotton T-Shirt"/>
    <n v="1"/>
    <n v="499"/>
    <n v="499"/>
    <n v="15"/>
    <n v="74.849999999999994"/>
    <n v="424.15"/>
    <s v="UPI"/>
    <x v="1"/>
  </r>
  <r>
    <s v="ORD-2025841"/>
    <s v="15 Thu"/>
    <s v="May"/>
    <s v="2025"/>
    <s v="CUST-1292"/>
    <s v="Aman Singh"/>
    <x v="4"/>
    <s v="Electronics"/>
    <s v="Wireless Mouse"/>
    <n v="3"/>
    <n v="599"/>
    <n v="1797"/>
    <n v="20"/>
    <n v="359.4"/>
    <n v="1437.6"/>
    <s v="Debit Card"/>
    <x v="1"/>
  </r>
  <r>
    <s v="ORD-2025842"/>
    <s v="15 Thu"/>
    <s v="May"/>
    <s v="2025"/>
    <s v="CUST-1338"/>
    <s v="Komal Malhotra"/>
    <x v="1"/>
    <s v="Apparel"/>
    <s v="Cotton T-Shirt"/>
    <n v="2"/>
    <n v="499"/>
    <n v="998"/>
    <n v="15"/>
    <n v="149.69999999999999"/>
    <n v="848.3"/>
    <s v="UPI"/>
    <x v="0"/>
  </r>
  <r>
    <s v="ORD-2025843"/>
    <s v="15 Thu"/>
    <s v="May"/>
    <s v="2025"/>
    <s v="CUST-1269"/>
    <s v="Kunal Verma"/>
    <x v="0"/>
    <s v="Electronics"/>
    <s v="Wireless Mouse"/>
    <n v="1"/>
    <n v="599"/>
    <n v="599"/>
    <n v="10"/>
    <n v="59.9"/>
    <n v="539.1"/>
    <s v="Cash"/>
    <x v="0"/>
  </r>
  <r>
    <s v="ORD-2025844"/>
    <s v="15 Thu"/>
    <s v="May"/>
    <s v="2025"/>
    <s v="CUST-1047"/>
    <s v="Isha Kapoor"/>
    <x v="4"/>
    <s v="Apparel"/>
    <s v="Formal Shirt"/>
    <n v="1"/>
    <n v="899"/>
    <n v="899"/>
    <n v="5"/>
    <n v="44.95"/>
    <n v="854.05"/>
    <s v="Cash"/>
    <x v="1"/>
  </r>
  <r>
    <s v="ORD-2025845"/>
    <s v="15 Thu"/>
    <s v="May"/>
    <s v="2025"/>
    <s v="CUST-1153"/>
    <s v="Swati Verma"/>
    <x v="4"/>
    <s v="Apparel"/>
    <s v="Denim Jacket"/>
    <n v="1"/>
    <n v="1999"/>
    <n v="1999"/>
    <n v="0"/>
    <n v="0"/>
    <n v="1999"/>
    <s v="Net Banking"/>
    <x v="1"/>
  </r>
  <r>
    <s v="ORD-2025846"/>
    <s v="15 Thu"/>
    <s v="May"/>
    <s v="2025"/>
    <s v="CUST-1141"/>
    <s v="Tanya Kapoor"/>
    <x v="4"/>
    <s v="Electronics"/>
    <s v="Smartwatch"/>
    <n v="1"/>
    <n v="2999"/>
    <n v="2999"/>
    <n v="0"/>
    <n v="0"/>
    <n v="2999"/>
    <s v="UPI"/>
    <x v="0"/>
  </r>
  <r>
    <s v="ORD-2025847"/>
    <s v="16 Fri"/>
    <s v="May"/>
    <s v="2025"/>
    <s v="CUST-1227"/>
    <s v="Rohan Joshi"/>
    <x v="1"/>
    <s v="Beauty"/>
    <s v="Herbal Shampoo"/>
    <n v="4"/>
    <n v="249"/>
    <n v="996"/>
    <n v="0"/>
    <n v="0"/>
    <n v="996"/>
    <s v="Credit Card"/>
    <x v="0"/>
  </r>
  <r>
    <s v="ORD-2025848"/>
    <s v="16 Fri"/>
    <s v="May"/>
    <s v="2025"/>
    <s v="CUST-1119"/>
    <s v="Rahul Gupta"/>
    <x v="4"/>
    <s v="Stationery"/>
    <s v="Gel Pen Pack"/>
    <n v="3"/>
    <n v="99"/>
    <n v="297"/>
    <n v="15"/>
    <n v="44.55"/>
    <n v="252.45"/>
    <s v="Debit Card"/>
    <x v="0"/>
  </r>
  <r>
    <s v="ORD-2025849"/>
    <s v="16 Fri"/>
    <s v="May"/>
    <s v="2025"/>
    <s v="CUST-1112"/>
    <s v="Komal Gupta"/>
    <x v="4"/>
    <s v="Stationery"/>
    <s v="Gel Pen Pack"/>
    <n v="1"/>
    <n v="99"/>
    <n v="99"/>
    <n v="5"/>
    <n v="4.95"/>
    <n v="94.05"/>
    <s v="UPI"/>
    <x v="0"/>
  </r>
  <r>
    <s v="ORD-2025850"/>
    <s v="16 Fri"/>
    <s v="May"/>
    <s v="2025"/>
    <s v="CUST-1126"/>
    <s v="Divya Sharma"/>
    <x v="2"/>
    <s v="Apparel"/>
    <s v="Denim Jacket"/>
    <n v="1"/>
    <n v="1999"/>
    <n v="1999"/>
    <n v="0"/>
    <n v="0"/>
    <n v="1999"/>
    <s v="UPI"/>
    <x v="0"/>
  </r>
  <r>
    <s v="ORD-2025851"/>
    <s v="17 Sat"/>
    <s v="May"/>
    <s v="2025"/>
    <s v="CUST-1033"/>
    <s v="Meera Joshi"/>
    <x v="3"/>
    <s v="Stationery"/>
    <s v="Notebook Set"/>
    <n v="1"/>
    <n v="199"/>
    <n v="199"/>
    <n v="20"/>
    <n v="39.799999999999997"/>
    <n v="159.19999999999999"/>
    <s v="Net Banking"/>
    <x v="0"/>
  </r>
  <r>
    <s v="ORD-2025852"/>
    <s v="17 Sat"/>
    <s v="May"/>
    <s v="2025"/>
    <s v="CUST-1031"/>
    <s v="Kabir Malhotra"/>
    <x v="3"/>
    <s v="Apparel"/>
    <s v="Denim Jacket"/>
    <n v="3"/>
    <n v="1999"/>
    <n v="5997"/>
    <n v="15"/>
    <n v="899.55"/>
    <n v="5097.45"/>
    <s v="Credit Card"/>
    <x v="0"/>
  </r>
  <r>
    <s v="ORD-2025853"/>
    <s v="17 Sat"/>
    <s v="May"/>
    <s v="2025"/>
    <s v="CUST-1152"/>
    <s v="Kabir Gupta"/>
    <x v="0"/>
    <s v="Home &amp; Kitchen"/>
    <s v="Non-stick Pan Set"/>
    <n v="1"/>
    <n v="1299"/>
    <n v="1299"/>
    <n v="15"/>
    <n v="194.85"/>
    <n v="1104.1500000000001"/>
    <s v="Cash"/>
    <x v="0"/>
  </r>
  <r>
    <s v="ORD-2025854"/>
    <s v="18 Sun"/>
    <s v="May"/>
    <s v="2025"/>
    <s v="CUST-1146"/>
    <s v="Tanya Patel"/>
    <x v="3"/>
    <s v="Stationery"/>
    <s v="Gel Pen Pack"/>
    <n v="3"/>
    <n v="99"/>
    <n v="297"/>
    <n v="0"/>
    <n v="0"/>
    <n v="297"/>
    <s v="Cash"/>
    <x v="0"/>
  </r>
  <r>
    <s v="ORD-2025855"/>
    <s v="18 Sun"/>
    <s v="May"/>
    <s v="2025"/>
    <s v="CUST-1289"/>
    <s v="Kunal Verma"/>
    <x v="4"/>
    <s v="Sports"/>
    <s v="Cricket Bat"/>
    <n v="3"/>
    <n v="1499"/>
    <n v="4497"/>
    <n v="20"/>
    <n v="899.4"/>
    <n v="3597.6"/>
    <s v="Credit Card"/>
    <x v="0"/>
  </r>
  <r>
    <s v="ORD-2025856"/>
    <s v="18 Sun"/>
    <s v="May"/>
    <s v="2025"/>
    <s v="CUST-1092"/>
    <s v="Arjun Mehta"/>
    <x v="3"/>
    <s v="Stationery"/>
    <s v="Gel Pen Pack"/>
    <n v="3"/>
    <n v="99"/>
    <n v="297"/>
    <n v="0"/>
    <n v="0"/>
    <n v="297"/>
    <s v="Credit Card"/>
    <x v="0"/>
  </r>
  <r>
    <s v="ORD-2025857"/>
    <s v="18 Sun"/>
    <s v="May"/>
    <s v="2025"/>
    <s v="CUST-1128"/>
    <s v="Sakshi Malhotra"/>
    <x v="4"/>
    <s v="Sports"/>
    <s v="Cricket Bat"/>
    <n v="1"/>
    <n v="1499"/>
    <n v="1499"/>
    <n v="15"/>
    <n v="224.85"/>
    <n v="1274.1500000000001"/>
    <s v="Credit Card"/>
    <x v="0"/>
  </r>
  <r>
    <s v="ORD-2025858"/>
    <s v="18 Sun"/>
    <s v="May"/>
    <s v="2025"/>
    <s v="CUST-1022"/>
    <s v="Tanya Verma"/>
    <x v="0"/>
    <s v="Stationery"/>
    <s v="Notebook Set"/>
    <n v="1"/>
    <n v="199"/>
    <n v="199"/>
    <n v="0"/>
    <n v="0"/>
    <n v="199"/>
    <s v="Debit Card"/>
    <x v="0"/>
  </r>
  <r>
    <s v="ORD-2025859"/>
    <s v="18 Sun"/>
    <s v="May"/>
    <s v="2025"/>
    <s v="CUST-1203"/>
    <s v="Ankit Verma"/>
    <x v="1"/>
    <s v="Apparel"/>
    <s v="Denim Jacket"/>
    <n v="3"/>
    <n v="1999"/>
    <n v="5997"/>
    <n v="15"/>
    <n v="899.55"/>
    <n v="5097.45"/>
    <s v="UPI"/>
    <x v="1"/>
  </r>
  <r>
    <s v="ORD-2025860"/>
    <s v="18 Sun"/>
    <s v="May"/>
    <s v="2025"/>
    <s v="CUST-1016"/>
    <s v="Arjun Kapoor"/>
    <x v="1"/>
    <s v="Groceries"/>
    <s v="Basmati Rice 5kg"/>
    <n v="1"/>
    <n v="549"/>
    <n v="549"/>
    <n v="15"/>
    <n v="82.35"/>
    <n v="466.65"/>
    <s v="Credit Card"/>
    <x v="0"/>
  </r>
  <r>
    <s v="ORD-2025861"/>
    <s v="18 Sun"/>
    <s v="May"/>
    <s v="2025"/>
    <s v="CUST-1002"/>
    <s v="Shreya Mehta"/>
    <x v="3"/>
    <s v="Apparel"/>
    <s v="Denim Jacket"/>
    <n v="2"/>
    <n v="1999"/>
    <n v="3998"/>
    <n v="15"/>
    <n v="599.70000000000005"/>
    <n v="3398.3"/>
    <s v="Credit Card"/>
    <x v="1"/>
  </r>
  <r>
    <s v="ORD-2025862"/>
    <s v="19 Mon"/>
    <s v="May"/>
    <s v="2025"/>
    <s v="CUST-1382"/>
    <s v="Meera Verma"/>
    <x v="1"/>
    <s v="Electronics"/>
    <s v="Smartwatch"/>
    <n v="3"/>
    <n v="2999"/>
    <n v="8997"/>
    <n v="0"/>
    <n v="0"/>
    <n v="8997"/>
    <s v="UPI"/>
    <x v="1"/>
  </r>
  <r>
    <s v="ORD-2025863"/>
    <s v="19 Mon"/>
    <s v="May"/>
    <s v="2025"/>
    <s v="CUST-1333"/>
    <s v="Aarav Gupta"/>
    <x v="1"/>
    <s v="Home &amp; Kitchen"/>
    <s v="LED Desk Lamp"/>
    <n v="1"/>
    <n v="799"/>
    <n v="799"/>
    <n v="0"/>
    <n v="0"/>
    <n v="799"/>
    <s v="Credit Card"/>
    <x v="0"/>
  </r>
  <r>
    <s v="ORD-2025864"/>
    <s v="19 Mon"/>
    <s v="May"/>
    <s v="2025"/>
    <s v="CUST-1258"/>
    <s v="Muskan Joshi"/>
    <x v="3"/>
    <s v="Home &amp; Kitchen"/>
    <s v="Non-stick Pan Set"/>
    <n v="3"/>
    <n v="1299"/>
    <n v="3897"/>
    <n v="0"/>
    <n v="0"/>
    <n v="3897"/>
    <s v="Credit Card"/>
    <x v="1"/>
  </r>
  <r>
    <s v="ORD-2025865"/>
    <s v="19 Mon"/>
    <s v="May"/>
    <s v="2025"/>
    <s v="CUST-1327"/>
    <s v="Kunal Malhotra"/>
    <x v="1"/>
    <s v="Groceries"/>
    <s v="Organic Honey 500g"/>
    <n v="2"/>
    <n v="349"/>
    <n v="698"/>
    <n v="0"/>
    <n v="0"/>
    <n v="698"/>
    <s v="Credit Card"/>
    <x v="0"/>
  </r>
  <r>
    <s v="ORD-2025866"/>
    <s v="19 Mon"/>
    <s v="May"/>
    <s v="2025"/>
    <s v="CUST-1149"/>
    <s v="Aarav Verma"/>
    <x v="1"/>
    <s v="Apparel"/>
    <s v="Denim Jacket"/>
    <n v="3"/>
    <n v="1999"/>
    <n v="5997"/>
    <n v="20"/>
    <n v="1199.4000000000001"/>
    <n v="4797.6000000000004"/>
    <s v="UPI"/>
    <x v="0"/>
  </r>
  <r>
    <s v="ORD-2025867"/>
    <s v="19 Mon"/>
    <s v="May"/>
    <s v="2025"/>
    <s v="CUST-1071"/>
    <s v="Kabir Malhotra"/>
    <x v="1"/>
    <s v="Groceries"/>
    <s v="Organic Honey 500g"/>
    <n v="1"/>
    <n v="349"/>
    <n v="349"/>
    <n v="0"/>
    <n v="0"/>
    <n v="349"/>
    <s v="Debit Card"/>
    <x v="0"/>
  </r>
  <r>
    <s v="ORD-2025868"/>
    <s v="19 Mon"/>
    <s v="May"/>
    <s v="2025"/>
    <s v="CUST-1202"/>
    <s v="Isha Verma"/>
    <x v="3"/>
    <s v="Apparel"/>
    <s v="Cotton T-Shirt"/>
    <n v="1"/>
    <n v="499"/>
    <n v="499"/>
    <n v="15"/>
    <n v="74.849999999999994"/>
    <n v="424.15"/>
    <s v="UPI"/>
    <x v="0"/>
  </r>
  <r>
    <s v="ORD-2025869"/>
    <s v="19 Mon"/>
    <s v="May"/>
    <s v="2025"/>
    <s v="CUST-1106"/>
    <s v="Ankit Saxena"/>
    <x v="1"/>
    <s v="Home &amp; Kitchen"/>
    <s v="LED Desk Lamp"/>
    <n v="1"/>
    <n v="799"/>
    <n v="799"/>
    <n v="0"/>
    <n v="0"/>
    <n v="799"/>
    <s v="UPI"/>
    <x v="0"/>
  </r>
  <r>
    <s v="ORD-2025870"/>
    <s v="19 Mon"/>
    <s v="May"/>
    <s v="2025"/>
    <s v="CUST-1303"/>
    <s v="Sakshi Sharma"/>
    <x v="4"/>
    <s v="Beauty"/>
    <s v="Herbal Shampoo"/>
    <n v="2"/>
    <n v="249"/>
    <n v="498"/>
    <n v="5"/>
    <n v="24.9"/>
    <n v="473.1"/>
    <s v="Debit Card"/>
    <x v="0"/>
  </r>
  <r>
    <s v="ORD-2025871"/>
    <s v="20 Tue"/>
    <s v="May"/>
    <s v="2025"/>
    <s v="CUST-1354"/>
    <s v="Aman Saxena"/>
    <x v="3"/>
    <s v="Stationery"/>
    <s v="Notebook Set"/>
    <n v="1"/>
    <n v="199"/>
    <n v="199"/>
    <n v="0"/>
    <n v="0"/>
    <n v="199"/>
    <s v="Credit Card"/>
    <x v="0"/>
  </r>
  <r>
    <s v="ORD-2025872"/>
    <s v="20 Tue"/>
    <s v="May"/>
    <s v="2025"/>
    <s v="CUST-1188"/>
    <s v="Shreya Malhotra"/>
    <x v="2"/>
    <s v="Apparel"/>
    <s v="Denim Jacket"/>
    <n v="2"/>
    <n v="1999"/>
    <n v="3998"/>
    <n v="15"/>
    <n v="599.70000000000005"/>
    <n v="3398.3"/>
    <s v="Debit Card"/>
    <x v="0"/>
  </r>
  <r>
    <s v="ORD-2025873"/>
    <s v="20 Tue"/>
    <s v="May"/>
    <s v="2025"/>
    <s v="CUST-1074"/>
    <s v="Kabir Kapoor"/>
    <x v="1"/>
    <s v="Apparel"/>
    <s v="Cotton T-Shirt"/>
    <n v="2"/>
    <n v="499"/>
    <n v="998"/>
    <n v="0"/>
    <n v="0"/>
    <n v="998"/>
    <s v="Debit Card"/>
    <x v="1"/>
  </r>
  <r>
    <s v="ORD-2025874"/>
    <s v="20 Tue"/>
    <s v="May"/>
    <s v="2025"/>
    <s v="CUST-1345"/>
    <s v="Tanya Verma"/>
    <x v="4"/>
    <s v="Apparel"/>
    <s v="Cotton T-Shirt"/>
    <n v="1"/>
    <n v="499"/>
    <n v="499"/>
    <n v="15"/>
    <n v="74.849999999999994"/>
    <n v="424.15"/>
    <s v="Net Banking"/>
    <x v="0"/>
  </r>
  <r>
    <s v="ORD-2025875"/>
    <s v="20 Tue"/>
    <s v="May"/>
    <s v="2025"/>
    <s v="CUST-1084"/>
    <s v="Kunal Saxena"/>
    <x v="2"/>
    <s v="Apparel"/>
    <s v="Formal Shirt"/>
    <n v="1"/>
    <n v="899"/>
    <n v="899"/>
    <n v="10"/>
    <n v="89.9"/>
    <n v="809.1"/>
    <s v="Cash"/>
    <x v="0"/>
  </r>
  <r>
    <s v="ORD-2025876"/>
    <s v="21 Wed"/>
    <s v="May"/>
    <s v="2025"/>
    <s v="CUST-1324"/>
    <s v="Rahul Verma"/>
    <x v="4"/>
    <s v="Beauty"/>
    <s v="Herbal Shampoo"/>
    <n v="1"/>
    <n v="249"/>
    <n v="249"/>
    <n v="0"/>
    <n v="0"/>
    <n v="249"/>
    <s v="UPI"/>
    <x v="0"/>
  </r>
  <r>
    <s v="ORD-2025877"/>
    <s v="21 Wed"/>
    <s v="May"/>
    <s v="2025"/>
    <s v="CUST-1110"/>
    <s v="Aman Malhotra"/>
    <x v="2"/>
    <s v="Apparel"/>
    <s v="Formal Shirt"/>
    <n v="2"/>
    <n v="899"/>
    <n v="1798"/>
    <n v="0"/>
    <n v="0"/>
    <n v="1798"/>
    <s v="Credit Card"/>
    <x v="0"/>
  </r>
  <r>
    <s v="ORD-2025878"/>
    <s v="21 Wed"/>
    <s v="May"/>
    <s v="2025"/>
    <s v="CUST-1186"/>
    <s v="Meera Verma"/>
    <x v="2"/>
    <s v="Stationery"/>
    <s v="Gel Pen Pack"/>
    <n v="1"/>
    <n v="99"/>
    <n v="99"/>
    <n v="20"/>
    <n v="19.8"/>
    <n v="79.2"/>
    <s v="Cash"/>
    <x v="0"/>
  </r>
  <r>
    <s v="ORD-2025879"/>
    <s v="21 Wed"/>
    <s v="May"/>
    <s v="2025"/>
    <s v="CUST-1293"/>
    <s v="Sakshi Singh"/>
    <x v="2"/>
    <s v="Home &amp; Kitchen"/>
    <s v="LED Desk Lamp"/>
    <n v="5"/>
    <n v="799"/>
    <n v="3995"/>
    <n v="20"/>
    <n v="799"/>
    <n v="3196"/>
    <s v="UPI"/>
    <x v="0"/>
  </r>
  <r>
    <s v="ORD-2025880"/>
    <s v="21 Wed"/>
    <s v="May"/>
    <s v="2025"/>
    <s v="CUST-1193"/>
    <s v="Komal Saxena"/>
    <x v="0"/>
    <s v="Stationery"/>
    <s v="Gel Pen Pack"/>
    <n v="1"/>
    <n v="99"/>
    <n v="99"/>
    <n v="20"/>
    <n v="19.8"/>
    <n v="79.2"/>
    <s v="UPI"/>
    <x v="0"/>
  </r>
  <r>
    <s v="ORD-2025881"/>
    <s v="21 Wed"/>
    <s v="May"/>
    <s v="2025"/>
    <s v="CUST-1099"/>
    <s v="Rahul Malhotra"/>
    <x v="2"/>
    <s v="Stationery"/>
    <s v="Notebook Set"/>
    <n v="1"/>
    <n v="199"/>
    <n v="199"/>
    <n v="0"/>
    <n v="0"/>
    <n v="199"/>
    <s v="Cash"/>
    <x v="0"/>
  </r>
  <r>
    <s v="ORD-2025882"/>
    <s v="21 Wed"/>
    <s v="May"/>
    <s v="2025"/>
    <s v="CUST-1388"/>
    <s v="Aarav Saxena"/>
    <x v="1"/>
    <s v="Home &amp; Kitchen"/>
    <s v="Non-stick Pan Set"/>
    <n v="1"/>
    <n v="1299"/>
    <n v="1299"/>
    <n v="0"/>
    <n v="0"/>
    <n v="1299"/>
    <s v="Credit Card"/>
    <x v="1"/>
  </r>
  <r>
    <s v="ORD-2025883"/>
    <s v="21 Wed"/>
    <s v="May"/>
    <s v="2025"/>
    <s v="CUST-1076"/>
    <s v="Tanya Saxena"/>
    <x v="4"/>
    <s v="Electronics"/>
    <s v="Smartwatch"/>
    <n v="1"/>
    <n v="2999"/>
    <n v="2999"/>
    <n v="0"/>
    <n v="0"/>
    <n v="2999"/>
    <s v="UPI"/>
    <x v="1"/>
  </r>
  <r>
    <s v="ORD-2025884"/>
    <s v="21 Wed"/>
    <s v="May"/>
    <s v="2025"/>
    <s v="CUST-1188"/>
    <s v="Shreya Malhotra"/>
    <x v="4"/>
    <s v="Electronics"/>
    <s v="Wireless Mouse"/>
    <n v="1"/>
    <n v="599"/>
    <n v="599"/>
    <n v="20"/>
    <n v="119.8"/>
    <n v="479.2"/>
    <s v="Debit Card"/>
    <x v="0"/>
  </r>
  <r>
    <s v="ORD-2025885"/>
    <s v="21 Wed"/>
    <s v="May"/>
    <s v="2025"/>
    <s v="CUST-1156"/>
    <s v="Nandini Joshi"/>
    <x v="2"/>
    <s v="Apparel"/>
    <s v="Denim Jacket"/>
    <n v="1"/>
    <n v="1999"/>
    <n v="1999"/>
    <n v="0"/>
    <n v="0"/>
    <n v="1999"/>
    <s v="Debit Card"/>
    <x v="0"/>
  </r>
  <r>
    <s v="ORD-2025886"/>
    <s v="21 Wed"/>
    <s v="May"/>
    <s v="2025"/>
    <s v="CUST-1268"/>
    <s v="Aman Verma"/>
    <x v="1"/>
    <s v="Beauty"/>
    <s v="Face Wash 100ml"/>
    <n v="1"/>
    <n v="299"/>
    <n v="299"/>
    <n v="15"/>
    <n v="44.85"/>
    <n v="254.15"/>
    <s v="Cash"/>
    <x v="0"/>
  </r>
  <r>
    <s v="ORD-2025887"/>
    <s v="21 Wed"/>
    <s v="May"/>
    <s v="2025"/>
    <s v="CUST-1122"/>
    <s v="Aditya Kapoor"/>
    <x v="0"/>
    <s v="Home &amp; Kitchen"/>
    <s v="LED Desk Lamp"/>
    <n v="1"/>
    <n v="799"/>
    <n v="799"/>
    <n v="5"/>
    <n v="39.950000000000003"/>
    <n v="759.05"/>
    <s v="Cash"/>
    <x v="0"/>
  </r>
  <r>
    <s v="ORD-2025888"/>
    <s v="21 Wed"/>
    <s v="May"/>
    <s v="2025"/>
    <s v="CUST-1008"/>
    <s v="Meera Saxena"/>
    <x v="1"/>
    <s v="Apparel"/>
    <s v="Cotton T-Shirt"/>
    <n v="1"/>
    <n v="499"/>
    <n v="499"/>
    <n v="5"/>
    <n v="24.95"/>
    <n v="474.05"/>
    <s v="UPI"/>
    <x v="0"/>
  </r>
  <r>
    <s v="ORD-2025889"/>
    <s v="22 Thu"/>
    <s v="May"/>
    <s v="2025"/>
    <s v="CUST-1154"/>
    <s v="Aditya Malhotra"/>
    <x v="1"/>
    <s v="Apparel"/>
    <s v="Formal Shirt"/>
    <n v="2"/>
    <n v="899"/>
    <n v="1798"/>
    <n v="0"/>
    <n v="0"/>
    <n v="1798"/>
    <s v="Cash"/>
    <x v="0"/>
  </r>
  <r>
    <s v="ORD-2025890"/>
    <s v="22 Thu"/>
    <s v="May"/>
    <s v="2025"/>
    <s v="CUST-1371"/>
    <s v="Rahul Verma"/>
    <x v="1"/>
    <s v="Electronics"/>
    <s v="Smartwatch"/>
    <n v="3"/>
    <n v="2999"/>
    <n v="8997"/>
    <n v="10"/>
    <n v="899.7"/>
    <n v="8097.3"/>
    <s v="Net Banking"/>
    <x v="1"/>
  </r>
  <r>
    <s v="ORD-2025891"/>
    <s v="22 Thu"/>
    <s v="May"/>
    <s v="2025"/>
    <s v="CUST-1110"/>
    <s v="Aman Malhotra"/>
    <x v="3"/>
    <s v="Beauty"/>
    <s v="Herbal Shampoo"/>
    <n v="3"/>
    <n v="249"/>
    <n v="747"/>
    <n v="10"/>
    <n v="74.7"/>
    <n v="672.3"/>
    <s v="Net Banking"/>
    <x v="1"/>
  </r>
  <r>
    <s v="ORD-2025892"/>
    <s v="22 Thu"/>
    <s v="May"/>
    <s v="2025"/>
    <s v="CUST-1331"/>
    <s v="Arjun Singh"/>
    <x v="3"/>
    <s v="Electronics"/>
    <s v="Bluetooth Headphones"/>
    <n v="1"/>
    <n v="1799"/>
    <n v="1799"/>
    <n v="0"/>
    <n v="0"/>
    <n v="1799"/>
    <s v="UPI"/>
    <x v="1"/>
  </r>
  <r>
    <s v="ORD-2025893"/>
    <s v="22 Thu"/>
    <s v="May"/>
    <s v="2025"/>
    <s v="CUST-1381"/>
    <s v="Kabir Kapoor"/>
    <x v="4"/>
    <s v="Sports"/>
    <s v="Yoga Mat"/>
    <n v="1"/>
    <n v="699"/>
    <n v="699"/>
    <n v="0"/>
    <n v="0"/>
    <n v="699"/>
    <s v="UPI"/>
    <x v="1"/>
  </r>
  <r>
    <s v="ORD-2025894"/>
    <s v="22 Thu"/>
    <s v="May"/>
    <s v="2025"/>
    <s v="CUST-1306"/>
    <s v="Sakshi Malhotra"/>
    <x v="2"/>
    <s v="Beauty"/>
    <s v="Face Wash 100ml"/>
    <n v="2"/>
    <n v="299"/>
    <n v="598"/>
    <n v="5"/>
    <n v="29.9"/>
    <n v="568.1"/>
    <s v="UPI"/>
    <x v="1"/>
  </r>
  <r>
    <s v="ORD-2025895"/>
    <s v="22 Thu"/>
    <s v="May"/>
    <s v="2025"/>
    <s v="CUST-1210"/>
    <s v="Meera Sharma"/>
    <x v="3"/>
    <s v="Electronics"/>
    <s v="Smartwatch"/>
    <n v="1"/>
    <n v="2999"/>
    <n v="2999"/>
    <n v="10"/>
    <n v="299.89999999999998"/>
    <n v="2699.1"/>
    <s v="UPI"/>
    <x v="1"/>
  </r>
  <r>
    <s v="ORD-2025896"/>
    <s v="22 Thu"/>
    <s v="May"/>
    <s v="2025"/>
    <s v="CUST-1047"/>
    <s v="Isha Kapoor"/>
    <x v="0"/>
    <s v="Electronics"/>
    <s v="Wireless Mouse"/>
    <n v="2"/>
    <n v="599"/>
    <n v="1198"/>
    <n v="0"/>
    <n v="0"/>
    <n v="1198"/>
    <s v="Net Banking"/>
    <x v="1"/>
  </r>
  <r>
    <s v="ORD-2025897"/>
    <s v="23 Fri"/>
    <s v="May"/>
    <s v="2025"/>
    <s v="CUST-1062"/>
    <s v="Tanya Sharma"/>
    <x v="2"/>
    <s v="Beauty"/>
    <s v="Herbal Shampoo"/>
    <n v="1"/>
    <n v="249"/>
    <n v="249"/>
    <n v="20"/>
    <n v="49.8"/>
    <n v="199.2"/>
    <s v="UPI"/>
    <x v="0"/>
  </r>
  <r>
    <s v="ORD-2025898"/>
    <s v="23 Fri"/>
    <s v="May"/>
    <s v="2025"/>
    <s v="CUST-1376"/>
    <s v="Kunal Kapoor"/>
    <x v="3"/>
    <s v="Home &amp; Kitchen"/>
    <s v="Non-stick Pan Set"/>
    <n v="1"/>
    <n v="1299"/>
    <n v="1299"/>
    <n v="0"/>
    <n v="0"/>
    <n v="1299"/>
    <s v="Debit Card"/>
    <x v="1"/>
  </r>
  <r>
    <s v="ORD-2025899"/>
    <s v="23 Fri"/>
    <s v="May"/>
    <s v="2025"/>
    <s v="CUST-1002"/>
    <s v="Shreya Mehta"/>
    <x v="3"/>
    <s v="Stationery"/>
    <s v="Notebook Set"/>
    <n v="4"/>
    <n v="199"/>
    <n v="796"/>
    <n v="0"/>
    <n v="0"/>
    <n v="796"/>
    <s v="Debit Card"/>
    <x v="1"/>
  </r>
  <r>
    <s v="ORD-2025900"/>
    <s v="23 Fri"/>
    <s v="May"/>
    <s v="2025"/>
    <s v="CUST-1161"/>
    <s v="Ankit Gupta"/>
    <x v="4"/>
    <s v="Stationery"/>
    <s v="Gel Pen Pack"/>
    <n v="2"/>
    <n v="99"/>
    <n v="198"/>
    <n v="20"/>
    <n v="39.6"/>
    <n v="158.4"/>
    <s v="Debit Card"/>
    <x v="0"/>
  </r>
  <r>
    <s v="ORD-2025901"/>
    <s v="23 Fri"/>
    <s v="May"/>
    <s v="2025"/>
    <s v="CUST-1143"/>
    <s v="Muskan Saxena"/>
    <x v="2"/>
    <s v="Stationery"/>
    <s v="Gel Pen Pack"/>
    <n v="1"/>
    <n v="99"/>
    <n v="99"/>
    <n v="0"/>
    <n v="0"/>
    <n v="99"/>
    <s v="Cash"/>
    <x v="1"/>
  </r>
  <r>
    <s v="ORD-2025902"/>
    <s v="23 Fri"/>
    <s v="May"/>
    <s v="2025"/>
    <s v="CUST-1217"/>
    <s v="Ankit Patel"/>
    <x v="4"/>
    <s v="Electronics"/>
    <s v="Smartwatch"/>
    <n v="1"/>
    <n v="2999"/>
    <n v="2999"/>
    <n v="0"/>
    <n v="0"/>
    <n v="2999"/>
    <s v="Cash"/>
    <x v="1"/>
  </r>
  <r>
    <s v="ORD-2025903"/>
    <s v="23 Fri"/>
    <s v="May"/>
    <s v="2025"/>
    <s v="CUST-1350"/>
    <s v="Isha Kapoor"/>
    <x v="3"/>
    <s v="Stationery"/>
    <s v="Notebook Set"/>
    <n v="1"/>
    <n v="199"/>
    <n v="199"/>
    <n v="0"/>
    <n v="0"/>
    <n v="199"/>
    <s v="Credit Card"/>
    <x v="0"/>
  </r>
  <r>
    <s v="ORD-2025904"/>
    <s v="24 Sat"/>
    <s v="May"/>
    <s v="2025"/>
    <s v="CUST-1106"/>
    <s v="Ankit Saxena"/>
    <x v="0"/>
    <s v="Electronics"/>
    <s v="Smartwatch"/>
    <n v="1"/>
    <n v="2999"/>
    <n v="2999"/>
    <n v="0"/>
    <n v="0"/>
    <n v="2999"/>
    <s v="Cash"/>
    <x v="0"/>
  </r>
  <r>
    <s v="ORD-2025905"/>
    <s v="24 Sat"/>
    <s v="May"/>
    <s v="2025"/>
    <s v="CUST-1072"/>
    <s v="Tanya Sharma"/>
    <x v="3"/>
    <s v="Sports"/>
    <s v="Cricket Bat"/>
    <n v="3"/>
    <n v="1499"/>
    <n v="4497"/>
    <n v="10"/>
    <n v="449.7"/>
    <n v="4047.3"/>
    <s v="Credit Card"/>
    <x v="1"/>
  </r>
  <r>
    <s v="ORD-2025906"/>
    <s v="24 Sat"/>
    <s v="May"/>
    <s v="2025"/>
    <s v="CUST-1333"/>
    <s v="Aarav Gupta"/>
    <x v="4"/>
    <s v="Electronics"/>
    <s v="Wireless Mouse"/>
    <n v="1"/>
    <n v="599"/>
    <n v="599"/>
    <n v="0"/>
    <n v="0"/>
    <n v="599"/>
    <s v="Credit Card"/>
    <x v="1"/>
  </r>
  <r>
    <s v="ORD-2025907"/>
    <s v="24 Sat"/>
    <s v="May"/>
    <s v="2025"/>
    <s v="CUST-1212"/>
    <s v="Komal Joshi"/>
    <x v="0"/>
    <s v="Electronics"/>
    <s v="Smartwatch"/>
    <n v="2"/>
    <n v="2999"/>
    <n v="5998"/>
    <n v="10"/>
    <n v="599.79999999999995"/>
    <n v="5398.2"/>
    <s v="Cash"/>
    <x v="1"/>
  </r>
  <r>
    <s v="ORD-2025908"/>
    <s v="24 Sat"/>
    <s v="May"/>
    <s v="2025"/>
    <s v="CUST-1200"/>
    <s v="Swati Saxena"/>
    <x v="4"/>
    <s v="Home &amp; Kitchen"/>
    <s v="LED Desk Lamp"/>
    <n v="2"/>
    <n v="799"/>
    <n v="1598"/>
    <n v="0"/>
    <n v="0"/>
    <n v="1598"/>
    <s v="Credit Card"/>
    <x v="1"/>
  </r>
  <r>
    <s v="ORD-2025909"/>
    <s v="24 Sat"/>
    <s v="May"/>
    <s v="2025"/>
    <s v="CUST-1251"/>
    <s v="Aarav Singh"/>
    <x v="0"/>
    <s v="Electronics"/>
    <s v="Bluetooth Headphones"/>
    <n v="3"/>
    <n v="1799"/>
    <n v="5397"/>
    <n v="0"/>
    <n v="0"/>
    <n v="5397"/>
    <s v="Debit Card"/>
    <x v="0"/>
  </r>
  <r>
    <s v="ORD-2025910"/>
    <s v="24 Sat"/>
    <s v="May"/>
    <s v="2025"/>
    <s v="CUST-1063"/>
    <s v="Aman Sharma"/>
    <x v="1"/>
    <s v="Sports"/>
    <s v="Yoga Mat"/>
    <n v="1"/>
    <n v="699"/>
    <n v="699"/>
    <n v="0"/>
    <n v="0"/>
    <n v="699"/>
    <s v="Credit Card"/>
    <x v="1"/>
  </r>
  <r>
    <s v="ORD-2025911"/>
    <s v="24 Sat"/>
    <s v="May"/>
    <s v="2025"/>
    <s v="CUST-1007"/>
    <s v="Aarav Sharma"/>
    <x v="4"/>
    <s v="Sports"/>
    <s v="Cricket Bat"/>
    <n v="4"/>
    <n v="1499"/>
    <n v="5996"/>
    <n v="0"/>
    <n v="0"/>
    <n v="5996"/>
    <s v="Credit Card"/>
    <x v="0"/>
  </r>
  <r>
    <s v="ORD-2025912"/>
    <s v="25 Sun"/>
    <s v="May"/>
    <s v="2025"/>
    <s v="CUST-1344"/>
    <s v="Nandini Saxena"/>
    <x v="0"/>
    <s v="Electronics"/>
    <s v="Bluetooth Headphones"/>
    <n v="2"/>
    <n v="1799"/>
    <n v="3598"/>
    <n v="0"/>
    <n v="0"/>
    <n v="3598"/>
    <s v="Debit Card"/>
    <x v="0"/>
  </r>
  <r>
    <s v="ORD-2025913"/>
    <s v="25 Sun"/>
    <s v="May"/>
    <s v="2025"/>
    <s v="CUST-1152"/>
    <s v="Kabir Gupta"/>
    <x v="4"/>
    <s v="Stationery"/>
    <s v="Gel Pen Pack"/>
    <n v="1"/>
    <n v="99"/>
    <n v="99"/>
    <n v="15"/>
    <n v="14.85"/>
    <n v="84.15"/>
    <s v="Credit Card"/>
    <x v="1"/>
  </r>
  <r>
    <s v="ORD-2025914"/>
    <s v="25 Sun"/>
    <s v="May"/>
    <s v="2025"/>
    <s v="CUST-1181"/>
    <s v="Kunal Sharma"/>
    <x v="4"/>
    <s v="Sports"/>
    <s v="Cricket Bat"/>
    <n v="2"/>
    <n v="1499"/>
    <n v="2998"/>
    <n v="15"/>
    <n v="449.7"/>
    <n v="2548.3000000000002"/>
    <s v="UPI"/>
    <x v="0"/>
  </r>
  <r>
    <s v="ORD-2025915"/>
    <s v="25 Sun"/>
    <s v="May"/>
    <s v="2025"/>
    <s v="CUST-1173"/>
    <s v="Ankit Gupta"/>
    <x v="4"/>
    <s v="Groceries"/>
    <s v="Basmati Rice 5kg"/>
    <n v="2"/>
    <n v="549"/>
    <n v="1098"/>
    <n v="0"/>
    <n v="0"/>
    <n v="1098"/>
    <s v="Cash"/>
    <x v="0"/>
  </r>
  <r>
    <s v="ORD-2025916"/>
    <s v="25 Sun"/>
    <s v="May"/>
    <s v="2025"/>
    <s v="CUST-1159"/>
    <s v="Isha Kapoor"/>
    <x v="4"/>
    <s v="Sports"/>
    <s v="Cricket Bat"/>
    <n v="3"/>
    <n v="1499"/>
    <n v="4497"/>
    <n v="0"/>
    <n v="0"/>
    <n v="4497"/>
    <s v="Cash"/>
    <x v="0"/>
  </r>
  <r>
    <s v="ORD-2025917"/>
    <s v="25 Sun"/>
    <s v="May"/>
    <s v="2025"/>
    <s v="CUST-1130"/>
    <s v="Aditya Singh"/>
    <x v="1"/>
    <s v="Beauty"/>
    <s v="Face Wash 100ml"/>
    <n v="3"/>
    <n v="299"/>
    <n v="897"/>
    <n v="0"/>
    <n v="0"/>
    <n v="897"/>
    <s v="UPI"/>
    <x v="0"/>
  </r>
  <r>
    <s v="ORD-2025918"/>
    <s v="25 Sun"/>
    <s v="May"/>
    <s v="2025"/>
    <s v="CUST-1380"/>
    <s v="Meera Joshi"/>
    <x v="0"/>
    <s v="Apparel"/>
    <s v="Cotton T-Shirt"/>
    <n v="1"/>
    <n v="499"/>
    <n v="499"/>
    <n v="10"/>
    <n v="49.9"/>
    <n v="449.1"/>
    <s v="Cash"/>
    <x v="0"/>
  </r>
  <r>
    <s v="ORD-2025919"/>
    <s v="25 Sun"/>
    <s v="May"/>
    <s v="2025"/>
    <s v="CUST-1088"/>
    <s v="Arjun Patel"/>
    <x v="3"/>
    <s v="Groceries"/>
    <s v="Basmati Rice 5kg"/>
    <n v="2"/>
    <n v="549"/>
    <n v="1098"/>
    <n v="0"/>
    <n v="0"/>
    <n v="1098"/>
    <s v="Net Banking"/>
    <x v="1"/>
  </r>
  <r>
    <s v="ORD-2025920"/>
    <s v="26 Mon"/>
    <s v="May"/>
    <s v="2025"/>
    <s v="CUST-1065"/>
    <s v="Vivaan Patel"/>
    <x v="0"/>
    <s v="Groceries"/>
    <s v="Organic Honey 500g"/>
    <n v="1"/>
    <n v="349"/>
    <n v="349"/>
    <n v="0"/>
    <n v="0"/>
    <n v="349"/>
    <s v="UPI"/>
    <x v="1"/>
  </r>
  <r>
    <s v="ORD-2025921"/>
    <s v="26 Mon"/>
    <s v="May"/>
    <s v="2025"/>
    <s v="CUST-1158"/>
    <s v="Shreya Singh"/>
    <x v="2"/>
    <s v="Stationery"/>
    <s v="Notebook Set"/>
    <n v="4"/>
    <n v="199"/>
    <n v="796"/>
    <n v="15"/>
    <n v="119.4"/>
    <n v="676.6"/>
    <s v="Credit Card"/>
    <x v="1"/>
  </r>
  <r>
    <s v="ORD-2025922"/>
    <s v="26 Mon"/>
    <s v="May"/>
    <s v="2025"/>
    <s v="CUST-1233"/>
    <s v="Rahul Joshi"/>
    <x v="0"/>
    <s v="Groceries"/>
    <s v="Organic Honey 500g"/>
    <n v="1"/>
    <n v="349"/>
    <n v="349"/>
    <n v="20"/>
    <n v="69.8"/>
    <n v="279.2"/>
    <s v="Debit Card"/>
    <x v="0"/>
  </r>
  <r>
    <s v="ORD-2025923"/>
    <s v="26 Mon"/>
    <s v="May"/>
    <s v="2025"/>
    <s v="CUST-1183"/>
    <s v="Arjun Mehta"/>
    <x v="3"/>
    <s v="Sports"/>
    <s v="Cricket Bat"/>
    <n v="2"/>
    <n v="1499"/>
    <n v="2998"/>
    <n v="10"/>
    <n v="299.8"/>
    <n v="2698.2"/>
    <s v="Debit Card"/>
    <x v="0"/>
  </r>
  <r>
    <s v="ORD-2025924"/>
    <s v="26 Mon"/>
    <s v="May"/>
    <s v="2025"/>
    <s v="CUST-1250"/>
    <s v="Shreya Saxena"/>
    <x v="1"/>
    <s v="Sports"/>
    <s v="Cricket Bat"/>
    <n v="4"/>
    <n v="1499"/>
    <n v="5996"/>
    <n v="0"/>
    <n v="0"/>
    <n v="5996"/>
    <s v="Credit Card"/>
    <x v="0"/>
  </r>
  <r>
    <s v="ORD-2025925"/>
    <s v="26 Mon"/>
    <s v="May"/>
    <s v="2025"/>
    <s v="CUST-1002"/>
    <s v="Shreya Mehta"/>
    <x v="0"/>
    <s v="Stationery"/>
    <s v="Gel Pen Pack"/>
    <n v="1"/>
    <n v="99"/>
    <n v="99"/>
    <n v="15"/>
    <n v="14.85"/>
    <n v="84.15"/>
    <s v="UPI"/>
    <x v="0"/>
  </r>
  <r>
    <s v="ORD-2025926"/>
    <s v="27 Tue"/>
    <s v="May"/>
    <s v="2025"/>
    <s v="CUST-1001"/>
    <s v="Rohan Patel"/>
    <x v="3"/>
    <s v="Sports"/>
    <s v="Cricket Bat"/>
    <n v="3"/>
    <n v="1499"/>
    <n v="4497"/>
    <n v="0"/>
    <n v="0"/>
    <n v="4497"/>
    <s v="UPI"/>
    <x v="0"/>
  </r>
  <r>
    <s v="ORD-2025927"/>
    <s v="27 Tue"/>
    <s v="May"/>
    <s v="2025"/>
    <s v="CUST-1307"/>
    <s v="Swati Kapoor"/>
    <x v="0"/>
    <s v="Home &amp; Kitchen"/>
    <s v="Non-stick Pan Set"/>
    <n v="2"/>
    <n v="1299"/>
    <n v="2598"/>
    <n v="15"/>
    <n v="389.7"/>
    <n v="2208.3000000000002"/>
    <s v="UPI"/>
    <x v="0"/>
  </r>
  <r>
    <s v="ORD-2025928"/>
    <s v="27 Tue"/>
    <s v="May"/>
    <s v="2025"/>
    <s v="CUST-1201"/>
    <s v="Tanya Joshi"/>
    <x v="0"/>
    <s v="Stationery"/>
    <s v="Gel Pen Pack"/>
    <n v="5"/>
    <n v="99"/>
    <n v="495"/>
    <n v="10"/>
    <n v="49.5"/>
    <n v="445.5"/>
    <s v="Net Banking"/>
    <x v="0"/>
  </r>
  <r>
    <s v="ORD-2025929"/>
    <s v="27 Tue"/>
    <s v="May"/>
    <s v="2025"/>
    <s v="CUST-1117"/>
    <s v="Aman Saxena"/>
    <x v="1"/>
    <s v="Beauty"/>
    <s v="Herbal Shampoo"/>
    <n v="3"/>
    <n v="249"/>
    <n v="747"/>
    <n v="0"/>
    <n v="0"/>
    <n v="747"/>
    <s v="Debit Card"/>
    <x v="0"/>
  </r>
  <r>
    <s v="ORD-2025930"/>
    <s v="27 Tue"/>
    <s v="May"/>
    <s v="2025"/>
    <s v="CUST-1029"/>
    <s v="Swati Patel"/>
    <x v="0"/>
    <s v="Apparel"/>
    <s v="Cotton T-Shirt"/>
    <n v="2"/>
    <n v="499"/>
    <n v="998"/>
    <n v="5"/>
    <n v="49.9"/>
    <n v="948.1"/>
    <s v="Debit Card"/>
    <x v="1"/>
  </r>
  <r>
    <s v="ORD-2025931"/>
    <s v="27 Tue"/>
    <s v="May"/>
    <s v="2025"/>
    <s v="CUST-1308"/>
    <s v="Shreya Sharma"/>
    <x v="2"/>
    <s v="Stationery"/>
    <s v="Notebook Set"/>
    <n v="1"/>
    <n v="199"/>
    <n v="199"/>
    <n v="0"/>
    <n v="0"/>
    <n v="199"/>
    <s v="UPI"/>
    <x v="0"/>
  </r>
  <r>
    <s v="ORD-2025932"/>
    <s v="27 Tue"/>
    <s v="May"/>
    <s v="2025"/>
    <s v="CUST-1348"/>
    <s v="Ankit Malhotra"/>
    <x v="2"/>
    <s v="Beauty"/>
    <s v="Face Wash 100ml"/>
    <n v="1"/>
    <n v="299"/>
    <n v="299"/>
    <n v="0"/>
    <n v="0"/>
    <n v="299"/>
    <s v="UPI"/>
    <x v="0"/>
  </r>
  <r>
    <s v="ORD-2025933"/>
    <s v="27 Tue"/>
    <s v="May"/>
    <s v="2025"/>
    <s v="CUST-1326"/>
    <s v="Rohan Verma"/>
    <x v="1"/>
    <s v="Stationery"/>
    <s v="Notebook Set"/>
    <n v="4"/>
    <n v="199"/>
    <n v="796"/>
    <n v="0"/>
    <n v="0"/>
    <n v="796"/>
    <s v="Debit Card"/>
    <x v="0"/>
  </r>
  <r>
    <s v="ORD-2025934"/>
    <s v="27 Tue"/>
    <s v="May"/>
    <s v="2025"/>
    <s v="CUST-1395"/>
    <s v="Rahul Verma"/>
    <x v="3"/>
    <s v="Electronics"/>
    <s v="Bluetooth Headphones"/>
    <n v="1"/>
    <n v="1799"/>
    <n v="1799"/>
    <n v="10"/>
    <n v="179.9"/>
    <n v="1619.1"/>
    <s v="UPI"/>
    <x v="0"/>
  </r>
  <r>
    <s v="ORD-2025935"/>
    <s v="27 Tue"/>
    <s v="May"/>
    <s v="2025"/>
    <s v="CUST-1108"/>
    <s v="Kunal Patel"/>
    <x v="0"/>
    <s v="Home &amp; Kitchen"/>
    <s v="LED Desk Lamp"/>
    <n v="1"/>
    <n v="799"/>
    <n v="799"/>
    <n v="0"/>
    <n v="0"/>
    <n v="799"/>
    <s v="UPI"/>
    <x v="0"/>
  </r>
  <r>
    <s v="ORD-2025936"/>
    <s v="27 Tue"/>
    <s v="May"/>
    <s v="2025"/>
    <s v="CUST-1374"/>
    <s v="Isha Sharma"/>
    <x v="4"/>
    <s v="Home &amp; Kitchen"/>
    <s v="Non-stick Pan Set"/>
    <n v="1"/>
    <n v="1299"/>
    <n v="1299"/>
    <n v="10"/>
    <n v="129.9"/>
    <n v="1169.0999999999999"/>
    <s v="Debit Card"/>
    <x v="0"/>
  </r>
  <r>
    <s v="ORD-2025937"/>
    <s v="27 Tue"/>
    <s v="May"/>
    <s v="2025"/>
    <s v="CUST-1226"/>
    <s v="Tanya Joshi"/>
    <x v="0"/>
    <s v="Sports"/>
    <s v="Yoga Mat"/>
    <n v="1"/>
    <n v="699"/>
    <n v="699"/>
    <n v="15"/>
    <n v="104.85"/>
    <n v="594.15"/>
    <s v="Debit Card"/>
    <x v="0"/>
  </r>
  <r>
    <s v="ORD-2025938"/>
    <s v="28 Wed"/>
    <s v="May"/>
    <s v="2025"/>
    <s v="CUST-1208"/>
    <s v="Arjun Singh"/>
    <x v="0"/>
    <s v="Beauty"/>
    <s v="Herbal Shampoo"/>
    <n v="1"/>
    <n v="249"/>
    <n v="249"/>
    <n v="0"/>
    <n v="0"/>
    <n v="249"/>
    <s v="Cash"/>
    <x v="0"/>
  </r>
  <r>
    <s v="ORD-2025939"/>
    <s v="28 Wed"/>
    <s v="May"/>
    <s v="2025"/>
    <s v="CUST-1183"/>
    <s v="Arjun Mehta"/>
    <x v="1"/>
    <s v="Stationery"/>
    <s v="Notebook Set"/>
    <n v="2"/>
    <n v="199"/>
    <n v="398"/>
    <n v="0"/>
    <n v="0"/>
    <n v="398"/>
    <s v="UPI"/>
    <x v="0"/>
  </r>
  <r>
    <s v="ORD-2025940"/>
    <s v="28 Wed"/>
    <s v="May"/>
    <s v="2025"/>
    <s v="CUST-1292"/>
    <s v="Aman Singh"/>
    <x v="4"/>
    <s v="Sports"/>
    <s v="Cricket Bat"/>
    <n v="2"/>
    <n v="1499"/>
    <n v="2998"/>
    <n v="0"/>
    <n v="0"/>
    <n v="2998"/>
    <s v="UPI"/>
    <x v="1"/>
  </r>
  <r>
    <s v="ORD-2025941"/>
    <s v="28 Wed"/>
    <s v="May"/>
    <s v="2025"/>
    <s v="CUST-1018"/>
    <s v="Aditya Gupta"/>
    <x v="0"/>
    <s v="Beauty"/>
    <s v="Herbal Shampoo"/>
    <n v="1"/>
    <n v="249"/>
    <n v="249"/>
    <n v="15"/>
    <n v="37.35"/>
    <n v="211.65"/>
    <s v="UPI"/>
    <x v="1"/>
  </r>
  <r>
    <s v="ORD-2025942"/>
    <s v="28 Wed"/>
    <s v="May"/>
    <s v="2025"/>
    <s v="CUST-1386"/>
    <s v="Swati Patel"/>
    <x v="3"/>
    <s v="Groceries"/>
    <s v="Organic Honey 500g"/>
    <n v="3"/>
    <n v="349"/>
    <n v="1047"/>
    <n v="15"/>
    <n v="157.05000000000001"/>
    <n v="889.95"/>
    <s v="UPI"/>
    <x v="0"/>
  </r>
  <r>
    <s v="ORD-2025943"/>
    <s v="28 Wed"/>
    <s v="May"/>
    <s v="2025"/>
    <s v="CUST-1065"/>
    <s v="Vivaan Patel"/>
    <x v="4"/>
    <s v="Sports"/>
    <s v="Cricket Bat"/>
    <n v="4"/>
    <n v="1499"/>
    <n v="5996"/>
    <n v="0"/>
    <n v="0"/>
    <n v="5996"/>
    <s v="UPI"/>
    <x v="0"/>
  </r>
  <r>
    <s v="ORD-2025944"/>
    <s v="28 Wed"/>
    <s v="May"/>
    <s v="2025"/>
    <s v="CUST-1295"/>
    <s v="Tanya Singh"/>
    <x v="2"/>
    <s v="Groceries"/>
    <s v="Organic Honey 500g"/>
    <n v="1"/>
    <n v="349"/>
    <n v="349"/>
    <n v="0"/>
    <n v="0"/>
    <n v="349"/>
    <s v="Cash"/>
    <x v="0"/>
  </r>
  <r>
    <s v="ORD-2025945"/>
    <s v="28 Wed"/>
    <s v="May"/>
    <s v="2025"/>
    <s v="CUST-1023"/>
    <s v="Rohan Sharma"/>
    <x v="3"/>
    <s v="Home &amp; Kitchen"/>
    <s v="Non-stick Pan Set"/>
    <n v="1"/>
    <n v="1299"/>
    <n v="1299"/>
    <n v="10"/>
    <n v="129.9"/>
    <n v="1169.0999999999999"/>
    <s v="UPI"/>
    <x v="0"/>
  </r>
  <r>
    <s v="ORD-2025946"/>
    <s v="28 Wed"/>
    <s v="May"/>
    <s v="2025"/>
    <s v="CUST-1236"/>
    <s v="Divya Mehta"/>
    <x v="2"/>
    <s v="Groceries"/>
    <s v="Organic Honey 500g"/>
    <n v="2"/>
    <n v="349"/>
    <n v="698"/>
    <n v="15"/>
    <n v="104.7"/>
    <n v="593.29999999999995"/>
    <s v="UPI"/>
    <x v="1"/>
  </r>
  <r>
    <s v="ORD-2025947"/>
    <s v="28 Wed"/>
    <s v="May"/>
    <s v="2025"/>
    <s v="CUST-1249"/>
    <s v="Kabir Sharma"/>
    <x v="2"/>
    <s v="Electronics"/>
    <s v="Smartwatch"/>
    <n v="3"/>
    <n v="2999"/>
    <n v="8997"/>
    <n v="10"/>
    <n v="899.7"/>
    <n v="8097.3"/>
    <s v="Net Banking"/>
    <x v="0"/>
  </r>
  <r>
    <s v="ORD-2025948"/>
    <s v="28 Wed"/>
    <s v="May"/>
    <s v="2025"/>
    <s v="CUST-1363"/>
    <s v="Arjun Joshi"/>
    <x v="3"/>
    <s v="Electronics"/>
    <s v="Wireless Mouse"/>
    <n v="1"/>
    <n v="599"/>
    <n v="599"/>
    <n v="10"/>
    <n v="59.9"/>
    <n v="539.1"/>
    <s v="Cash"/>
    <x v="0"/>
  </r>
  <r>
    <s v="ORD-2025949"/>
    <s v="28 Wed"/>
    <s v="May"/>
    <s v="2025"/>
    <s v="CUST-1108"/>
    <s v="Kunal Patel"/>
    <x v="0"/>
    <s v="Groceries"/>
    <s v="Organic Honey 500g"/>
    <n v="1"/>
    <n v="349"/>
    <n v="349"/>
    <n v="20"/>
    <n v="69.8"/>
    <n v="279.2"/>
    <s v="Cash"/>
    <x v="0"/>
  </r>
  <r>
    <s v="ORD-2025950"/>
    <s v="29 Thu"/>
    <s v="May"/>
    <s v="2025"/>
    <s v="CUST-1364"/>
    <s v="Rahul Malhotra"/>
    <x v="3"/>
    <s v="Home &amp; Kitchen"/>
    <s v="Non-stick Pan Set"/>
    <n v="2"/>
    <n v="1299"/>
    <n v="2598"/>
    <n v="10"/>
    <n v="259.8"/>
    <n v="2338.1999999999998"/>
    <s v="Cash"/>
    <x v="0"/>
  </r>
  <r>
    <s v="ORD-2025951"/>
    <s v="29 Thu"/>
    <s v="May"/>
    <s v="2025"/>
    <s v="CUST-1152"/>
    <s v="Kabir Gupta"/>
    <x v="1"/>
    <s v="Electronics"/>
    <s v="Wireless Mouse"/>
    <n v="1"/>
    <n v="599"/>
    <n v="599"/>
    <n v="5"/>
    <n v="29.95"/>
    <n v="569.04999999999995"/>
    <s v="UPI"/>
    <x v="1"/>
  </r>
  <r>
    <s v="ORD-2025952"/>
    <s v="29 Thu"/>
    <s v="May"/>
    <s v="2025"/>
    <s v="CUST-1007"/>
    <s v="Aarav Sharma"/>
    <x v="1"/>
    <s v="Stationery"/>
    <s v="Gel Pen Pack"/>
    <n v="2"/>
    <n v="99"/>
    <n v="198"/>
    <n v="0"/>
    <n v="0"/>
    <n v="198"/>
    <s v="Credit Card"/>
    <x v="0"/>
  </r>
  <r>
    <s v="ORD-2025953"/>
    <s v="29 Thu"/>
    <s v="May"/>
    <s v="2025"/>
    <s v="CUST-1021"/>
    <s v="Isha Patel"/>
    <x v="4"/>
    <s v="Groceries"/>
    <s v="Organic Honey 500g"/>
    <n v="3"/>
    <n v="349"/>
    <n v="1047"/>
    <n v="0"/>
    <n v="0"/>
    <n v="1047"/>
    <s v="UPI"/>
    <x v="1"/>
  </r>
  <r>
    <s v="ORD-2025954"/>
    <s v="29 Thu"/>
    <s v="May"/>
    <s v="2025"/>
    <s v="CUST-1291"/>
    <s v="Arjun Saxena"/>
    <x v="3"/>
    <s v="Beauty"/>
    <s v="Herbal Shampoo"/>
    <n v="1"/>
    <n v="249"/>
    <n v="249"/>
    <n v="15"/>
    <n v="37.35"/>
    <n v="211.65"/>
    <s v="UPI"/>
    <x v="0"/>
  </r>
  <r>
    <s v="ORD-2025955"/>
    <s v="29 Thu"/>
    <s v="May"/>
    <s v="2025"/>
    <s v="CUST-1031"/>
    <s v="Kabir Malhotra"/>
    <x v="1"/>
    <s v="Groceries"/>
    <s v="Basmati Rice 5kg"/>
    <n v="1"/>
    <n v="549"/>
    <n v="549"/>
    <n v="5"/>
    <n v="27.45"/>
    <n v="521.54999999999995"/>
    <s v="Cash"/>
    <x v="0"/>
  </r>
  <r>
    <s v="ORD-2025956"/>
    <s v="30 Fri"/>
    <s v="May"/>
    <s v="2025"/>
    <s v="CUST-1347"/>
    <s v="Ankit Joshi"/>
    <x v="1"/>
    <s v="Sports"/>
    <s v="Yoga Mat"/>
    <n v="2"/>
    <n v="699"/>
    <n v="1398"/>
    <n v="0"/>
    <n v="0"/>
    <n v="1398"/>
    <s v="Credit Card"/>
    <x v="1"/>
  </r>
  <r>
    <s v="ORD-2025957"/>
    <s v="30 Fri"/>
    <s v="May"/>
    <s v="2025"/>
    <s v="CUST-1397"/>
    <s v="Aman Verma"/>
    <x v="4"/>
    <s v="Sports"/>
    <s v="Yoga Mat"/>
    <n v="3"/>
    <n v="699"/>
    <n v="2097"/>
    <n v="0"/>
    <n v="0"/>
    <n v="2097"/>
    <s v="Cash"/>
    <x v="0"/>
  </r>
  <r>
    <s v="ORD-2025958"/>
    <s v="30 Fri"/>
    <s v="May"/>
    <s v="2025"/>
    <s v="CUST-1185"/>
    <s v="Meera Sharma"/>
    <x v="4"/>
    <s v="Apparel"/>
    <s v="Formal Shirt"/>
    <n v="1"/>
    <n v="899"/>
    <n v="899"/>
    <n v="15"/>
    <n v="134.85"/>
    <n v="764.15"/>
    <s v="UPI"/>
    <x v="0"/>
  </r>
  <r>
    <s v="ORD-2025959"/>
    <s v="30 Fri"/>
    <s v="May"/>
    <s v="2025"/>
    <s v="CUST-1148"/>
    <s v="Nandini Malhotra"/>
    <x v="1"/>
    <s v="Electronics"/>
    <s v="Wireless Mouse"/>
    <n v="2"/>
    <n v="599"/>
    <n v="1198"/>
    <n v="0"/>
    <n v="0"/>
    <n v="1198"/>
    <s v="Cash"/>
    <x v="0"/>
  </r>
  <r>
    <s v="ORD-2025960"/>
    <s v="30 Fri"/>
    <s v="May"/>
    <s v="2025"/>
    <s v="CUST-1171"/>
    <s v="Ankit Verma"/>
    <x v="1"/>
    <s v="Sports"/>
    <s v="Cricket Bat"/>
    <n v="1"/>
    <n v="1499"/>
    <n v="1499"/>
    <n v="0"/>
    <n v="0"/>
    <n v="1499"/>
    <s v="Credit Card"/>
    <x v="0"/>
  </r>
  <r>
    <s v="ORD-2025961"/>
    <s v="30 Fri"/>
    <s v="May"/>
    <s v="2025"/>
    <s v="CUST-1336"/>
    <s v="Arjun Singh"/>
    <x v="4"/>
    <s v="Apparel"/>
    <s v="Formal Shirt"/>
    <n v="1"/>
    <n v="899"/>
    <n v="899"/>
    <n v="0"/>
    <n v="0"/>
    <n v="899"/>
    <s v="UPI"/>
    <x v="0"/>
  </r>
  <r>
    <s v="ORD-2025962"/>
    <s v="30 Fri"/>
    <s v="May"/>
    <s v="2025"/>
    <s v="CUST-1076"/>
    <s v="Tanya Saxena"/>
    <x v="1"/>
    <s v="Beauty"/>
    <s v="Herbal Shampoo"/>
    <n v="3"/>
    <n v="249"/>
    <n v="747"/>
    <n v="0"/>
    <n v="0"/>
    <n v="747"/>
    <s v="Cash"/>
    <x v="0"/>
  </r>
  <r>
    <s v="ORD-2025963"/>
    <s v="31 Sat"/>
    <s v="May"/>
    <s v="2025"/>
    <s v="CUST-1031"/>
    <s v="Kabir Malhotra"/>
    <x v="1"/>
    <s v="Apparel"/>
    <s v="Cotton T-Shirt"/>
    <n v="1"/>
    <n v="499"/>
    <n v="499"/>
    <n v="5"/>
    <n v="24.95"/>
    <n v="474.05"/>
    <s v="UPI"/>
    <x v="0"/>
  </r>
  <r>
    <s v="ORD-2025964"/>
    <s v="31 Sat"/>
    <s v="May"/>
    <s v="2025"/>
    <s v="CUST-1366"/>
    <s v="Vivaan Joshi"/>
    <x v="0"/>
    <s v="Home &amp; Kitchen"/>
    <s v="LED Desk Lamp"/>
    <n v="3"/>
    <n v="799"/>
    <n v="2397"/>
    <n v="0"/>
    <n v="0"/>
    <n v="2397"/>
    <s v="Credit Card"/>
    <x v="1"/>
  </r>
  <r>
    <s v="ORD-2025965"/>
    <s v="31 Sat"/>
    <s v="May"/>
    <s v="2025"/>
    <s v="CUST-1017"/>
    <s v="Aarav Verma"/>
    <x v="3"/>
    <s v="Electronics"/>
    <s v="Bluetooth Headphones"/>
    <n v="1"/>
    <n v="1799"/>
    <n v="1799"/>
    <n v="15"/>
    <n v="269.85000000000002"/>
    <n v="1529.15"/>
    <s v="Net Banking"/>
    <x v="0"/>
  </r>
  <r>
    <s v="ORD-2025966"/>
    <s v="31 Sat"/>
    <s v="May"/>
    <s v="2025"/>
    <s v="CUST-1129"/>
    <s v="Nandini Patel"/>
    <x v="2"/>
    <s v="Home &amp; Kitchen"/>
    <s v="LED Desk Lamp"/>
    <n v="2"/>
    <n v="799"/>
    <n v="1598"/>
    <n v="0"/>
    <n v="0"/>
    <n v="1598"/>
    <s v="Credit Card"/>
    <x v="0"/>
  </r>
  <r>
    <s v="ORD-2025967"/>
    <s v="31 Sat"/>
    <s v="May"/>
    <s v="2025"/>
    <s v="CUST-1026"/>
    <s v="Rahul Saxena"/>
    <x v="1"/>
    <s v="Electronics"/>
    <s v="Wireless Mouse"/>
    <n v="1"/>
    <n v="599"/>
    <n v="599"/>
    <n v="0"/>
    <n v="0"/>
    <n v="599"/>
    <s v="Debit Card"/>
    <x v="0"/>
  </r>
  <r>
    <s v="ORD-2025968"/>
    <s v="31 Sat"/>
    <s v="May"/>
    <s v="2025"/>
    <s v="CUST-1012"/>
    <s v="Shreya Patel"/>
    <x v="4"/>
    <s v="Apparel"/>
    <s v="Formal Shirt"/>
    <n v="2"/>
    <n v="899"/>
    <n v="1798"/>
    <n v="10"/>
    <n v="179.8"/>
    <n v="1618.2"/>
    <s v="Credit Card"/>
    <x v="0"/>
  </r>
  <r>
    <s v="ORD-2025969"/>
    <s v="31 Sat"/>
    <s v="May"/>
    <s v="2025"/>
    <s v="CUST-1252"/>
    <s v="Arjun Singh"/>
    <x v="3"/>
    <s v="Electronics"/>
    <s v="Smartwatch"/>
    <n v="2"/>
    <n v="2999"/>
    <n v="5998"/>
    <n v="10"/>
    <n v="599.79999999999995"/>
    <n v="5398.2"/>
    <s v="Credit Card"/>
    <x v="0"/>
  </r>
  <r>
    <s v="ORD-2025970"/>
    <s v="31 Sat"/>
    <s v="May"/>
    <s v="2025"/>
    <s v="CUST-1394"/>
    <s v="Tanya Malhotra"/>
    <x v="0"/>
    <s v="Stationery"/>
    <s v="Gel Pen Pack"/>
    <n v="3"/>
    <n v="99"/>
    <n v="297"/>
    <n v="15"/>
    <n v="44.55"/>
    <n v="252.45"/>
    <s v="Debit Card"/>
    <x v="0"/>
  </r>
  <r>
    <s v="ORD-2025971"/>
    <s v="31 Sat"/>
    <s v="May"/>
    <s v="2025"/>
    <s v="CUST-1209"/>
    <s v="Meera Mehta"/>
    <x v="0"/>
    <s v="Groceries"/>
    <s v="Organic Honey 500g"/>
    <n v="2"/>
    <n v="349"/>
    <n v="698"/>
    <n v="5"/>
    <n v="34.9"/>
    <n v="663.1"/>
    <s v="Credit Card"/>
    <x v="1"/>
  </r>
  <r>
    <s v="ORD-2025972"/>
    <s v="31 Sat"/>
    <s v="May"/>
    <s v="2025"/>
    <s v="CUST-1333"/>
    <s v="Aarav Gupta"/>
    <x v="1"/>
    <s v="Apparel"/>
    <s v="Cotton T-Shirt"/>
    <n v="1"/>
    <n v="499"/>
    <n v="499"/>
    <n v="0"/>
    <n v="0"/>
    <n v="499"/>
    <s v="Cash"/>
    <x v="1"/>
  </r>
  <r>
    <s v="ORD-2025973"/>
    <s v="31 Sat"/>
    <s v="May"/>
    <s v="2025"/>
    <s v="CUST-1093"/>
    <s v="Kabir Mehta"/>
    <x v="1"/>
    <s v="Sports"/>
    <s v="Cricket Bat"/>
    <n v="1"/>
    <n v="1499"/>
    <n v="1499"/>
    <n v="0"/>
    <n v="0"/>
    <n v="1499"/>
    <s v="Credit Card"/>
    <x v="0"/>
  </r>
  <r>
    <s v="ORD-2025974"/>
    <s v="1 Sun"/>
    <s v="Jun"/>
    <s v="2025"/>
    <s v="CUST-1393"/>
    <s v="Nandini Singh"/>
    <x v="0"/>
    <s v="Groceries"/>
    <s v="Organic Honey 500g"/>
    <n v="1"/>
    <n v="349"/>
    <n v="349"/>
    <n v="10"/>
    <n v="34.9"/>
    <n v="314.10000000000002"/>
    <s v="Cash"/>
    <x v="1"/>
  </r>
  <r>
    <s v="ORD-2025975"/>
    <s v="1 Sun"/>
    <s v="Jun"/>
    <s v="2025"/>
    <s v="CUST-1059"/>
    <s v="Kunal Verma"/>
    <x v="2"/>
    <s v="Beauty"/>
    <s v="Herbal Shampoo"/>
    <n v="2"/>
    <n v="249"/>
    <n v="498"/>
    <n v="0"/>
    <n v="0"/>
    <n v="498"/>
    <s v="UPI"/>
    <x v="0"/>
  </r>
  <r>
    <s v="ORD-2025976"/>
    <s v="1 Sun"/>
    <s v="Jun"/>
    <s v="2025"/>
    <s v="CUST-1271"/>
    <s v="Nandini Sharma"/>
    <x v="0"/>
    <s v="Stationery"/>
    <s v="Notebook Set"/>
    <n v="3"/>
    <n v="199"/>
    <n v="597"/>
    <n v="25"/>
    <n v="149.25"/>
    <n v="447.75"/>
    <s v="Debit Card"/>
    <x v="0"/>
  </r>
  <r>
    <s v="ORD-2025977"/>
    <s v="1 Sun"/>
    <s v="Jun"/>
    <s v="2025"/>
    <s v="CUST-1294"/>
    <s v="Kabir Joshi"/>
    <x v="3"/>
    <s v="Sports"/>
    <s v="Cricket Bat"/>
    <n v="1"/>
    <n v="1499"/>
    <n v="1499"/>
    <n v="25"/>
    <n v="374.75"/>
    <n v="1124.25"/>
    <s v="UPI"/>
    <x v="0"/>
  </r>
  <r>
    <s v="ORD-2025978"/>
    <s v="1 Sun"/>
    <s v="Jun"/>
    <s v="2025"/>
    <s v="CUST-1354"/>
    <s v="Aman Saxena"/>
    <x v="1"/>
    <s v="Electronics"/>
    <s v="Bluetooth Headphones"/>
    <n v="1"/>
    <n v="1799"/>
    <n v="1799"/>
    <n v="30"/>
    <n v="539.70000000000005"/>
    <n v="1259.3"/>
    <s v="Debit Card"/>
    <x v="0"/>
  </r>
  <r>
    <s v="ORD-2025979"/>
    <s v="1 Sun"/>
    <s v="Jun"/>
    <s v="2025"/>
    <s v="CUST-1384"/>
    <s v="Vivaan Singh"/>
    <x v="3"/>
    <s v="Groceries"/>
    <s v="Organic Honey 500g"/>
    <n v="1"/>
    <n v="349"/>
    <n v="349"/>
    <n v="20"/>
    <n v="69.8"/>
    <n v="279.2"/>
    <s v="UPI"/>
    <x v="1"/>
  </r>
  <r>
    <s v="ORD-2025980"/>
    <s v="1 Sun"/>
    <s v="Jun"/>
    <s v="2025"/>
    <s v="CUST-1334"/>
    <s v="Kunal Singh"/>
    <x v="1"/>
    <s v="Beauty"/>
    <s v="Face Wash 100ml"/>
    <n v="1"/>
    <n v="299"/>
    <n v="299"/>
    <n v="30"/>
    <n v="89.7"/>
    <n v="209.3"/>
    <s v="Credit Card"/>
    <x v="0"/>
  </r>
  <r>
    <s v="ORD-2025981"/>
    <s v="1 Sun"/>
    <s v="Jun"/>
    <s v="2025"/>
    <s v="CUST-1279"/>
    <s v="Tanya Kapoor"/>
    <x v="3"/>
    <s v="Beauty"/>
    <s v="Face Wash 100ml"/>
    <n v="1"/>
    <n v="299"/>
    <n v="299"/>
    <n v="0"/>
    <n v="0"/>
    <n v="299"/>
    <s v="Credit Card"/>
    <x v="1"/>
  </r>
  <r>
    <s v="ORD-2025982"/>
    <s v="1 Sun"/>
    <s v="Jun"/>
    <s v="2025"/>
    <s v="CUST-1183"/>
    <s v="Arjun Mehta"/>
    <x v="4"/>
    <s v="Beauty"/>
    <s v="Face Wash 100ml"/>
    <n v="3"/>
    <n v="299"/>
    <n v="897"/>
    <n v="15"/>
    <n v="134.55000000000001"/>
    <n v="762.45"/>
    <s v="Debit Card"/>
    <x v="0"/>
  </r>
  <r>
    <s v="ORD-2025983"/>
    <s v="1 Sun"/>
    <s v="Jun"/>
    <s v="2025"/>
    <s v="CUST-1201"/>
    <s v="Tanya Joshi"/>
    <x v="4"/>
    <s v="Apparel"/>
    <s v="Denim Jacket"/>
    <n v="1"/>
    <n v="1999"/>
    <n v="1999"/>
    <n v="5"/>
    <n v="99.95"/>
    <n v="1899.05"/>
    <s v="Debit Card"/>
    <x v="0"/>
  </r>
  <r>
    <s v="ORD-2025984"/>
    <s v="1 Sun"/>
    <s v="Jun"/>
    <s v="2025"/>
    <s v="CUST-1192"/>
    <s v="Kunal Singh"/>
    <x v="0"/>
    <s v="Apparel"/>
    <s v="Denim Jacket"/>
    <n v="4"/>
    <n v="1999"/>
    <n v="7996"/>
    <n v="20"/>
    <n v="1599.2"/>
    <n v="6396.8"/>
    <s v="Net Banking"/>
    <x v="0"/>
  </r>
  <r>
    <s v="ORD-2025985"/>
    <s v="1 Sun"/>
    <s v="Jun"/>
    <s v="2025"/>
    <s v="CUST-1330"/>
    <s v="Nandini Gupta"/>
    <x v="4"/>
    <s v="Stationery"/>
    <s v="Notebook Set"/>
    <n v="2"/>
    <n v="199"/>
    <n v="398"/>
    <n v="5"/>
    <n v="19.899999999999999"/>
    <n v="378.1"/>
    <s v="Credit Card"/>
    <x v="0"/>
  </r>
  <r>
    <s v="ORD-2025986"/>
    <s v="1 Sun"/>
    <s v="Jun"/>
    <s v="2025"/>
    <s v="CUST-1024"/>
    <s v="Tanya Singh"/>
    <x v="0"/>
    <s v="Electronics"/>
    <s v="Wireless Mouse"/>
    <n v="1"/>
    <n v="599"/>
    <n v="599"/>
    <n v="30"/>
    <n v="179.7"/>
    <n v="419.3"/>
    <s v="Credit Card"/>
    <x v="1"/>
  </r>
  <r>
    <s v="ORD-2025987"/>
    <s v="1 Sun"/>
    <s v="Jun"/>
    <s v="2025"/>
    <s v="CUST-1010"/>
    <s v="Kabir Singh"/>
    <x v="0"/>
    <s v="Electronics"/>
    <s v="Bluetooth Headphones"/>
    <n v="4"/>
    <n v="1799"/>
    <n v="7196"/>
    <n v="30"/>
    <n v="2158.8000000000002"/>
    <n v="5037.2"/>
    <s v="UPI"/>
    <x v="1"/>
  </r>
  <r>
    <s v="ORD-2025988"/>
    <s v="2 Mon"/>
    <s v="Jun"/>
    <s v="2025"/>
    <s v="CUST-1222"/>
    <s v="Sakshi Sharma"/>
    <x v="4"/>
    <s v="Home &amp; Kitchen"/>
    <s v="Non-stick Pan Set"/>
    <n v="2"/>
    <n v="1299"/>
    <n v="2598"/>
    <n v="5"/>
    <n v="129.9"/>
    <n v="2468.1"/>
    <s v="Debit Card"/>
    <x v="0"/>
  </r>
  <r>
    <s v="ORD-2025989"/>
    <s v="2 Mon"/>
    <s v="Jun"/>
    <s v="2025"/>
    <s v="CUST-1253"/>
    <s v="Swati Malhotra"/>
    <x v="1"/>
    <s v="Electronics"/>
    <s v="Smartwatch"/>
    <n v="1"/>
    <n v="2999"/>
    <n v="2999"/>
    <n v="20"/>
    <n v="599.79999999999995"/>
    <n v="2399.1999999999998"/>
    <s v="Cash"/>
    <x v="0"/>
  </r>
  <r>
    <s v="ORD-2025990"/>
    <s v="2 Mon"/>
    <s v="Jun"/>
    <s v="2025"/>
    <s v="CUST-1160"/>
    <s v="Komal Singh"/>
    <x v="1"/>
    <s v="Electronics"/>
    <s v="Bluetooth Headphones"/>
    <n v="1"/>
    <n v="1799"/>
    <n v="1799"/>
    <n v="0"/>
    <n v="0"/>
    <n v="1799"/>
    <s v="UPI"/>
    <x v="1"/>
  </r>
  <r>
    <s v="ORD-2025991"/>
    <s v="2 Mon"/>
    <s v="Jun"/>
    <s v="2025"/>
    <s v="CUST-1010"/>
    <s v="Kabir Singh"/>
    <x v="2"/>
    <s v="Stationery"/>
    <s v="Gel Pen Pack"/>
    <n v="5"/>
    <n v="99"/>
    <n v="495"/>
    <n v="30"/>
    <n v="148.5"/>
    <n v="346.5"/>
    <s v="Cash"/>
    <x v="1"/>
  </r>
  <r>
    <s v="ORD-2025992"/>
    <s v="2 Mon"/>
    <s v="Jun"/>
    <s v="2025"/>
    <s v="CUST-1290"/>
    <s v="Kabir Mehta"/>
    <x v="3"/>
    <s v="Stationery"/>
    <s v="Gel Pen Pack"/>
    <n v="1"/>
    <n v="99"/>
    <n v="99"/>
    <n v="5"/>
    <n v="4.95"/>
    <n v="94.05"/>
    <s v="Debit Card"/>
    <x v="0"/>
  </r>
  <r>
    <s v="ORD-2025993"/>
    <s v="3 Tue"/>
    <s v="Jun"/>
    <s v="2025"/>
    <s v="CUST-1088"/>
    <s v="Arjun Patel"/>
    <x v="3"/>
    <s v="Home &amp; Kitchen"/>
    <s v="Non-stick Pan Set"/>
    <n v="2"/>
    <n v="1299"/>
    <n v="2598"/>
    <n v="10"/>
    <n v="259.8"/>
    <n v="2338.1999999999998"/>
    <s v="Debit Card"/>
    <x v="1"/>
  </r>
  <r>
    <s v="ORD-2025994"/>
    <s v="3 Tue"/>
    <s v="Jun"/>
    <s v="2025"/>
    <s v="CUST-1054"/>
    <s v="Kunal Patel"/>
    <x v="3"/>
    <s v="Sports"/>
    <s v="Cricket Bat"/>
    <n v="2"/>
    <n v="1499"/>
    <n v="2998"/>
    <n v="25"/>
    <n v="749.5"/>
    <n v="2248.5"/>
    <s v="Debit Card"/>
    <x v="1"/>
  </r>
  <r>
    <s v="ORD-2025995"/>
    <s v="3 Tue"/>
    <s v="Jun"/>
    <s v="2025"/>
    <s v="CUST-1256"/>
    <s v="Rohan Singh"/>
    <x v="2"/>
    <s v="Home &amp; Kitchen"/>
    <s v="LED Desk Lamp"/>
    <n v="1"/>
    <n v="799"/>
    <n v="799"/>
    <n v="20"/>
    <n v="159.80000000000001"/>
    <n v="639.20000000000005"/>
    <s v="Debit Card"/>
    <x v="0"/>
  </r>
  <r>
    <s v="ORD-2025996"/>
    <s v="3 Tue"/>
    <s v="Jun"/>
    <s v="2025"/>
    <s v="CUST-1296"/>
    <s v="Vivaan Kapoor"/>
    <x v="1"/>
    <s v="Electronics"/>
    <s v="Smartwatch"/>
    <n v="4"/>
    <n v="2999"/>
    <n v="11996"/>
    <n v="30"/>
    <n v="3598.8"/>
    <n v="8397.2000000000007"/>
    <s v="Debit Card"/>
    <x v="0"/>
  </r>
  <r>
    <s v="ORD-2025997"/>
    <s v="3 Tue"/>
    <s v="Jun"/>
    <s v="2025"/>
    <s v="CUST-1022"/>
    <s v="Tanya Verma"/>
    <x v="3"/>
    <s v="Groceries"/>
    <s v="Basmati Rice 5kg"/>
    <n v="2"/>
    <n v="549"/>
    <n v="1098"/>
    <n v="15"/>
    <n v="164.7"/>
    <n v="933.3"/>
    <s v="Cash"/>
    <x v="1"/>
  </r>
  <r>
    <s v="ORD-2025998"/>
    <s v="3 Tue"/>
    <s v="Jun"/>
    <s v="2025"/>
    <s v="CUST-1255"/>
    <s v="Aman Gupta"/>
    <x v="4"/>
    <s v="Groceries"/>
    <s v="Organic Honey 500g"/>
    <n v="3"/>
    <n v="349"/>
    <n v="1047"/>
    <n v="0"/>
    <n v="0"/>
    <n v="1047"/>
    <s v="Debit Card"/>
    <x v="0"/>
  </r>
  <r>
    <s v="ORD-2025999"/>
    <s v="4 Wed"/>
    <s v="Jun"/>
    <s v="2025"/>
    <s v="CUST-1021"/>
    <s v="Isha Patel"/>
    <x v="0"/>
    <s v="Stationery"/>
    <s v="Gel Pen Pack"/>
    <n v="1"/>
    <n v="99"/>
    <n v="99"/>
    <n v="10"/>
    <n v="9.9"/>
    <n v="89.1"/>
    <s v="Credit Card"/>
    <x v="1"/>
  </r>
  <r>
    <s v="ORD-2026000"/>
    <s v="4 Wed"/>
    <s v="Jun"/>
    <s v="2025"/>
    <s v="CUST-1253"/>
    <s v="Swati Malhotra"/>
    <x v="4"/>
    <s v="Apparel"/>
    <s v="Formal Shirt"/>
    <n v="1"/>
    <n v="899"/>
    <n v="899"/>
    <n v="0"/>
    <n v="0"/>
    <n v="899"/>
    <s v="Credit Card"/>
    <x v="1"/>
  </r>
  <r>
    <s v="ORD-2026001"/>
    <s v="4 Wed"/>
    <s v="Jun"/>
    <s v="2025"/>
    <s v="CUST-1038"/>
    <s v="Rohan Joshi"/>
    <x v="1"/>
    <s v="Stationery"/>
    <s v="Notebook Set"/>
    <n v="1"/>
    <n v="199"/>
    <n v="199"/>
    <n v="10"/>
    <n v="19.899999999999999"/>
    <n v="179.1"/>
    <s v="Debit Card"/>
    <x v="0"/>
  </r>
  <r>
    <s v="ORD-2026002"/>
    <s v="4 Wed"/>
    <s v="Jun"/>
    <s v="2025"/>
    <s v="CUST-1235"/>
    <s v="Meera Verma"/>
    <x v="2"/>
    <s v="Electronics"/>
    <s v="Smartwatch"/>
    <n v="3"/>
    <n v="2999"/>
    <n v="8997"/>
    <n v="25"/>
    <n v="2249.25"/>
    <n v="6747.75"/>
    <s v="Credit Card"/>
    <x v="0"/>
  </r>
  <r>
    <s v="ORD-2026003"/>
    <s v="4 Wed"/>
    <s v="Jun"/>
    <s v="2025"/>
    <s v="CUST-1227"/>
    <s v="Rohan Joshi"/>
    <x v="3"/>
    <s v="Groceries"/>
    <s v="Organic Honey 500g"/>
    <n v="2"/>
    <n v="349"/>
    <n v="698"/>
    <n v="15"/>
    <n v="104.7"/>
    <n v="593.29999999999995"/>
    <s v="Debit Card"/>
    <x v="0"/>
  </r>
  <r>
    <s v="ORD-2026004"/>
    <s v="4 Wed"/>
    <s v="Jun"/>
    <s v="2025"/>
    <s v="CUST-1046"/>
    <s v="Rohan Kapoor"/>
    <x v="4"/>
    <s v="Home &amp; Kitchen"/>
    <s v="Non-stick Pan Set"/>
    <n v="2"/>
    <n v="1299"/>
    <n v="2598"/>
    <n v="5"/>
    <n v="129.9"/>
    <n v="2468.1"/>
    <s v="Cash"/>
    <x v="0"/>
  </r>
  <r>
    <s v="ORD-2026005"/>
    <s v="4 Wed"/>
    <s v="Jun"/>
    <s v="2025"/>
    <s v="CUST-1329"/>
    <s v="Swati Gupta"/>
    <x v="1"/>
    <s v="Beauty"/>
    <s v="Herbal Shampoo"/>
    <n v="3"/>
    <n v="249"/>
    <n v="747"/>
    <n v="25"/>
    <n v="186.75"/>
    <n v="560.25"/>
    <s v="Credit Card"/>
    <x v="0"/>
  </r>
  <r>
    <s v="ORD-2026006"/>
    <s v="4 Wed"/>
    <s v="Jun"/>
    <s v="2025"/>
    <s v="CUST-1006"/>
    <s v="Sakshi Singh"/>
    <x v="2"/>
    <s v="Apparel"/>
    <s v="Formal Shirt"/>
    <n v="2"/>
    <n v="899"/>
    <n v="1798"/>
    <n v="10"/>
    <n v="179.8"/>
    <n v="1618.2"/>
    <s v="Net Banking"/>
    <x v="0"/>
  </r>
  <r>
    <s v="ORD-2026007"/>
    <s v="4 Wed"/>
    <s v="Jun"/>
    <s v="2025"/>
    <s v="CUST-1190"/>
    <s v="Rahul Patel"/>
    <x v="0"/>
    <s v="Stationery"/>
    <s v="Notebook Set"/>
    <n v="1"/>
    <n v="199"/>
    <n v="199"/>
    <n v="0"/>
    <n v="0"/>
    <n v="199"/>
    <s v="Cash"/>
    <x v="1"/>
  </r>
  <r>
    <s v="ORD-2026008"/>
    <s v="4 Wed"/>
    <s v="Jun"/>
    <s v="2025"/>
    <s v="CUST-1139"/>
    <s v="Aditya Sharma"/>
    <x v="3"/>
    <s v="Electronics"/>
    <s v="Smartwatch"/>
    <n v="2"/>
    <n v="2999"/>
    <n v="5998"/>
    <n v="15"/>
    <n v="899.7"/>
    <n v="5098.3"/>
    <s v="UPI"/>
    <x v="1"/>
  </r>
  <r>
    <s v="ORD-2026009"/>
    <s v="4 Wed"/>
    <s v="Jun"/>
    <s v="2025"/>
    <s v="CUST-1354"/>
    <s v="Aman Saxena"/>
    <x v="2"/>
    <s v="Beauty"/>
    <s v="Herbal Shampoo"/>
    <n v="1"/>
    <n v="249"/>
    <n v="249"/>
    <n v="25"/>
    <n v="62.25"/>
    <n v="186.75"/>
    <s v="Net Banking"/>
    <x v="1"/>
  </r>
  <r>
    <s v="ORD-2026010"/>
    <s v="5 Thu"/>
    <s v="Jun"/>
    <s v="2025"/>
    <s v="CUST-1011"/>
    <s v="Kunal Sharma"/>
    <x v="0"/>
    <s v="Apparel"/>
    <s v="Cotton T-Shirt"/>
    <n v="2"/>
    <n v="499"/>
    <n v="998"/>
    <n v="15"/>
    <n v="149.69999999999999"/>
    <n v="848.3"/>
    <s v="Cash"/>
    <x v="0"/>
  </r>
  <r>
    <s v="ORD-2026011"/>
    <s v="5 Thu"/>
    <s v="Jun"/>
    <s v="2025"/>
    <s v="CUST-1111"/>
    <s v="Swati Joshi"/>
    <x v="1"/>
    <s v="Apparel"/>
    <s v="Cotton T-Shirt"/>
    <n v="1"/>
    <n v="499"/>
    <n v="499"/>
    <n v="15"/>
    <n v="74.849999999999994"/>
    <n v="424.15"/>
    <s v="UPI"/>
    <x v="1"/>
  </r>
  <r>
    <s v="ORD-2026012"/>
    <s v="5 Thu"/>
    <s v="Jun"/>
    <s v="2025"/>
    <s v="CUST-1389"/>
    <s v="Ankit Mehta"/>
    <x v="4"/>
    <s v="Groceries"/>
    <s v="Organic Honey 500g"/>
    <n v="3"/>
    <n v="349"/>
    <n v="1047"/>
    <n v="5"/>
    <n v="52.35"/>
    <n v="994.65"/>
    <s v="Debit Card"/>
    <x v="0"/>
  </r>
  <r>
    <s v="ORD-2026013"/>
    <s v="5 Thu"/>
    <s v="Jun"/>
    <s v="2025"/>
    <s v="CUST-1184"/>
    <s v="Rahul Joshi"/>
    <x v="0"/>
    <s v="Beauty"/>
    <s v="Herbal Shampoo"/>
    <n v="1"/>
    <n v="249"/>
    <n v="249"/>
    <n v="10"/>
    <n v="24.9"/>
    <n v="224.1"/>
    <s v="Debit Card"/>
    <x v="0"/>
  </r>
  <r>
    <s v="ORD-2026014"/>
    <s v="5 Thu"/>
    <s v="Jun"/>
    <s v="2025"/>
    <s v="CUST-1070"/>
    <s v="Vivaan Mehta"/>
    <x v="0"/>
    <s v="Apparel"/>
    <s v="Denim Jacket"/>
    <n v="1"/>
    <n v="1999"/>
    <n v="1999"/>
    <n v="15"/>
    <n v="299.85000000000002"/>
    <n v="1699.15"/>
    <s v="Credit Card"/>
    <x v="1"/>
  </r>
  <r>
    <s v="ORD-2026015"/>
    <s v="5 Thu"/>
    <s v="Jun"/>
    <s v="2025"/>
    <s v="CUST-1360"/>
    <s v="Muskan Singh"/>
    <x v="4"/>
    <s v="Home &amp; Kitchen"/>
    <s v="Non-stick Pan Set"/>
    <n v="2"/>
    <n v="1299"/>
    <n v="2598"/>
    <n v="30"/>
    <n v="779.4"/>
    <n v="1818.6"/>
    <s v="Credit Card"/>
    <x v="0"/>
  </r>
  <r>
    <s v="ORD-2026016"/>
    <s v="5 Thu"/>
    <s v="Jun"/>
    <s v="2025"/>
    <s v="CUST-1282"/>
    <s v="Muskan Saxena"/>
    <x v="1"/>
    <s v="Electronics"/>
    <s v="Bluetooth Headphones"/>
    <n v="1"/>
    <n v="1799"/>
    <n v="1799"/>
    <n v="20"/>
    <n v="359.8"/>
    <n v="1439.2"/>
    <s v="UPI"/>
    <x v="0"/>
  </r>
  <r>
    <s v="ORD-2026017"/>
    <s v="6 Fri"/>
    <s v="Jun"/>
    <s v="2025"/>
    <s v="CUST-1309"/>
    <s v="Meera Verma"/>
    <x v="1"/>
    <s v="Electronics"/>
    <s v="Bluetooth Headphones"/>
    <n v="1"/>
    <n v="1799"/>
    <n v="1799"/>
    <n v="25"/>
    <n v="449.75"/>
    <n v="1349.25"/>
    <s v="Cash"/>
    <x v="0"/>
  </r>
  <r>
    <s v="ORD-2026018"/>
    <s v="6 Fri"/>
    <s v="Jun"/>
    <s v="2025"/>
    <s v="CUST-1040"/>
    <s v="Aditya Malhotra"/>
    <x v="4"/>
    <s v="Apparel"/>
    <s v="Formal Shirt"/>
    <n v="1"/>
    <n v="899"/>
    <n v="899"/>
    <n v="10"/>
    <n v="89.9"/>
    <n v="809.1"/>
    <s v="UPI"/>
    <x v="1"/>
  </r>
  <r>
    <s v="ORD-2026019"/>
    <s v="6 Fri"/>
    <s v="Jun"/>
    <s v="2025"/>
    <s v="CUST-1041"/>
    <s v="Divya Malhotra"/>
    <x v="2"/>
    <s v="Apparel"/>
    <s v="Cotton T-Shirt"/>
    <n v="2"/>
    <n v="499"/>
    <n v="998"/>
    <n v="15"/>
    <n v="149.69999999999999"/>
    <n v="848.3"/>
    <s v="Net Banking"/>
    <x v="0"/>
  </r>
  <r>
    <s v="ORD-2026020"/>
    <s v="6 Fri"/>
    <s v="Jun"/>
    <s v="2025"/>
    <s v="CUST-1286"/>
    <s v="Arjun Singh"/>
    <x v="1"/>
    <s v="Sports"/>
    <s v="Cricket Bat"/>
    <n v="3"/>
    <n v="1499"/>
    <n v="4497"/>
    <n v="30"/>
    <n v="1349.1"/>
    <n v="3147.9"/>
    <s v="UPI"/>
    <x v="1"/>
  </r>
  <r>
    <s v="ORD-2026021"/>
    <s v="6 Fri"/>
    <s v="Jun"/>
    <s v="2025"/>
    <s v="CUST-1213"/>
    <s v="Ankit Patel"/>
    <x v="1"/>
    <s v="Apparel"/>
    <s v="Denim Jacket"/>
    <n v="5"/>
    <n v="1999"/>
    <n v="9995"/>
    <n v="0"/>
    <n v="0"/>
    <n v="9995"/>
    <s v="Debit Card"/>
    <x v="0"/>
  </r>
  <r>
    <s v="ORD-2026022"/>
    <s v="6 Fri"/>
    <s v="Jun"/>
    <s v="2025"/>
    <s v="CUST-1301"/>
    <s v="Shreya Sharma"/>
    <x v="0"/>
    <s v="Home &amp; Kitchen"/>
    <s v="LED Desk Lamp"/>
    <n v="3"/>
    <n v="799"/>
    <n v="2397"/>
    <n v="15"/>
    <n v="359.55"/>
    <n v="2037.45"/>
    <s v="Debit Card"/>
    <x v="0"/>
  </r>
  <r>
    <s v="ORD-2026023"/>
    <s v="6 Fri"/>
    <s v="Jun"/>
    <s v="2025"/>
    <s v="CUST-1010"/>
    <s v="Kabir Singh"/>
    <x v="1"/>
    <s v="Sports"/>
    <s v="Yoga Mat"/>
    <n v="2"/>
    <n v="699"/>
    <n v="1398"/>
    <n v="25"/>
    <n v="349.5"/>
    <n v="1048.5"/>
    <s v="Credit Card"/>
    <x v="0"/>
  </r>
  <r>
    <s v="ORD-2026024"/>
    <s v="7 Sat"/>
    <s v="Jun"/>
    <s v="2025"/>
    <s v="CUST-1203"/>
    <s v="Ankit Verma"/>
    <x v="4"/>
    <s v="Sports"/>
    <s v="Yoga Mat"/>
    <n v="1"/>
    <n v="699"/>
    <n v="699"/>
    <n v="20"/>
    <n v="139.80000000000001"/>
    <n v="559.20000000000005"/>
    <s v="Cash"/>
    <x v="1"/>
  </r>
  <r>
    <s v="ORD-2026025"/>
    <s v="7 Sat"/>
    <s v="Jun"/>
    <s v="2025"/>
    <s v="CUST-1157"/>
    <s v="Arjun Verma"/>
    <x v="0"/>
    <s v="Apparel"/>
    <s v="Formal Shirt"/>
    <n v="2"/>
    <n v="899"/>
    <n v="1798"/>
    <n v="10"/>
    <n v="179.8"/>
    <n v="1618.2"/>
    <s v="Debit Card"/>
    <x v="1"/>
  </r>
  <r>
    <s v="ORD-2026026"/>
    <s v="7 Sat"/>
    <s v="Jun"/>
    <s v="2025"/>
    <s v="CUST-1290"/>
    <s v="Kabir Mehta"/>
    <x v="1"/>
    <s v="Sports"/>
    <s v="Cricket Bat"/>
    <n v="2"/>
    <n v="1499"/>
    <n v="2998"/>
    <n v="30"/>
    <n v="899.4"/>
    <n v="2098.6"/>
    <s v="UPI"/>
    <x v="0"/>
  </r>
  <r>
    <s v="ORD-2026027"/>
    <s v="7 Sat"/>
    <s v="Jun"/>
    <s v="2025"/>
    <s v="CUST-1151"/>
    <s v="Aman Patel"/>
    <x v="0"/>
    <s v="Sports"/>
    <s v="Yoga Mat"/>
    <n v="2"/>
    <n v="699"/>
    <n v="1398"/>
    <n v="20"/>
    <n v="279.60000000000002"/>
    <n v="1118.4000000000001"/>
    <s v="Net Banking"/>
    <x v="1"/>
  </r>
  <r>
    <s v="ORD-2026028"/>
    <s v="7 Sat"/>
    <s v="Jun"/>
    <s v="2025"/>
    <s v="CUST-1177"/>
    <s v="Aditya Malhotra"/>
    <x v="0"/>
    <s v="Sports"/>
    <s v="Yoga Mat"/>
    <n v="2"/>
    <n v="699"/>
    <n v="1398"/>
    <n v="30"/>
    <n v="419.4"/>
    <n v="978.6"/>
    <s v="UPI"/>
    <x v="1"/>
  </r>
  <r>
    <s v="ORD-2026029"/>
    <s v="7 Sat"/>
    <s v="Jun"/>
    <s v="2025"/>
    <s v="CUST-1275"/>
    <s v="Tanya Singh"/>
    <x v="1"/>
    <s v="Sports"/>
    <s v="Yoga Mat"/>
    <n v="2"/>
    <n v="699"/>
    <n v="1398"/>
    <n v="25"/>
    <n v="349.5"/>
    <n v="1048.5"/>
    <s v="Net Banking"/>
    <x v="0"/>
  </r>
  <r>
    <s v="ORD-2026030"/>
    <s v="7 Sat"/>
    <s v="Jun"/>
    <s v="2025"/>
    <s v="CUST-1221"/>
    <s v="Kunal Singh"/>
    <x v="3"/>
    <s v="Apparel"/>
    <s v="Formal Shirt"/>
    <n v="1"/>
    <n v="899"/>
    <n v="899"/>
    <n v="0"/>
    <n v="0"/>
    <n v="899"/>
    <s v="Credit Card"/>
    <x v="0"/>
  </r>
  <r>
    <s v="ORD-2026031"/>
    <s v="8 Sun"/>
    <s v="Jun"/>
    <s v="2025"/>
    <s v="CUST-1184"/>
    <s v="Rahul Joshi"/>
    <x v="4"/>
    <s v="Stationery"/>
    <s v="Notebook Set"/>
    <n v="1"/>
    <n v="199"/>
    <n v="199"/>
    <n v="25"/>
    <n v="49.75"/>
    <n v="149.25"/>
    <s v="UPI"/>
    <x v="0"/>
  </r>
  <r>
    <s v="ORD-2026032"/>
    <s v="8 Sun"/>
    <s v="Jun"/>
    <s v="2025"/>
    <s v="CUST-1351"/>
    <s v="Tanya Mehta"/>
    <x v="3"/>
    <s v="Electronics"/>
    <s v="Smartwatch"/>
    <n v="3"/>
    <n v="2999"/>
    <n v="8997"/>
    <n v="10"/>
    <n v="899.7"/>
    <n v="8097.3"/>
    <s v="Debit Card"/>
    <x v="0"/>
  </r>
  <r>
    <s v="ORD-2026033"/>
    <s v="8 Sun"/>
    <s v="Jun"/>
    <s v="2025"/>
    <s v="CUST-1160"/>
    <s v="Komal Singh"/>
    <x v="2"/>
    <s v="Beauty"/>
    <s v="Herbal Shampoo"/>
    <n v="2"/>
    <n v="249"/>
    <n v="498"/>
    <n v="30"/>
    <n v="149.4"/>
    <n v="348.6"/>
    <s v="Credit Card"/>
    <x v="0"/>
  </r>
  <r>
    <s v="ORD-2026034"/>
    <s v="8 Sun"/>
    <s v="Jun"/>
    <s v="2025"/>
    <s v="CUST-1274"/>
    <s v="Muskan Singh"/>
    <x v="0"/>
    <s v="Home &amp; Kitchen"/>
    <s v="LED Desk Lamp"/>
    <n v="1"/>
    <n v="799"/>
    <n v="799"/>
    <n v="10"/>
    <n v="79.900000000000006"/>
    <n v="719.1"/>
    <s v="Net Banking"/>
    <x v="0"/>
  </r>
  <r>
    <s v="ORD-2026035"/>
    <s v="8 Sun"/>
    <s v="Jun"/>
    <s v="2025"/>
    <s v="CUST-1006"/>
    <s v="Sakshi Singh"/>
    <x v="1"/>
    <s v="Beauty"/>
    <s v="Face Wash 100ml"/>
    <n v="3"/>
    <n v="299"/>
    <n v="897"/>
    <n v="15"/>
    <n v="134.55000000000001"/>
    <n v="762.45"/>
    <s v="Cash"/>
    <x v="1"/>
  </r>
  <r>
    <s v="ORD-2026036"/>
    <s v="8 Sun"/>
    <s v="Jun"/>
    <s v="2025"/>
    <s v="CUST-1276"/>
    <s v="Swati Joshi"/>
    <x v="3"/>
    <s v="Electronics"/>
    <s v="Wireless Mouse"/>
    <n v="5"/>
    <n v="599"/>
    <n v="2995"/>
    <n v="15"/>
    <n v="449.25"/>
    <n v="2545.75"/>
    <s v="Debit Card"/>
    <x v="0"/>
  </r>
  <r>
    <s v="ORD-2026037"/>
    <s v="8 Sun"/>
    <s v="Jun"/>
    <s v="2025"/>
    <s v="CUST-1392"/>
    <s v="Aarav Singh"/>
    <x v="4"/>
    <s v="Electronics"/>
    <s v="Bluetooth Headphones"/>
    <n v="4"/>
    <n v="1799"/>
    <n v="7196"/>
    <n v="20"/>
    <n v="1439.2"/>
    <n v="5756.8"/>
    <s v="UPI"/>
    <x v="0"/>
  </r>
  <r>
    <s v="ORD-2026038"/>
    <s v="8 Sun"/>
    <s v="Jun"/>
    <s v="2025"/>
    <s v="CUST-1072"/>
    <s v="Tanya Sharma"/>
    <x v="2"/>
    <s v="Sports"/>
    <s v="Cricket Bat"/>
    <n v="3"/>
    <n v="1499"/>
    <n v="4497"/>
    <n v="10"/>
    <n v="449.7"/>
    <n v="4047.3"/>
    <s v="Credit Card"/>
    <x v="0"/>
  </r>
  <r>
    <s v="ORD-2026039"/>
    <s v="8 Sun"/>
    <s v="Jun"/>
    <s v="2025"/>
    <s v="CUST-1356"/>
    <s v="Isha Verma"/>
    <x v="1"/>
    <s v="Sports"/>
    <s v="Cricket Bat"/>
    <n v="1"/>
    <n v="1499"/>
    <n v="1499"/>
    <n v="20"/>
    <n v="299.8"/>
    <n v="1199.2"/>
    <s v="Debit Card"/>
    <x v="1"/>
  </r>
  <r>
    <s v="ORD-2026040"/>
    <s v="8 Sun"/>
    <s v="Jun"/>
    <s v="2025"/>
    <s v="CUST-1054"/>
    <s v="Kunal Patel"/>
    <x v="1"/>
    <s v="Apparel"/>
    <s v="Formal Shirt"/>
    <n v="3"/>
    <n v="899"/>
    <n v="2697"/>
    <n v="10"/>
    <n v="269.7"/>
    <n v="2427.3000000000002"/>
    <s v="Net Banking"/>
    <x v="1"/>
  </r>
  <r>
    <s v="ORD-2026041"/>
    <s v="8 Sun"/>
    <s v="Jun"/>
    <s v="2025"/>
    <s v="CUST-1205"/>
    <s v="Aman Sharma"/>
    <x v="2"/>
    <s v="Beauty"/>
    <s v="Face Wash 100ml"/>
    <n v="1"/>
    <n v="299"/>
    <n v="299"/>
    <n v="5"/>
    <n v="14.95"/>
    <n v="284.05"/>
    <s v="Cash"/>
    <x v="0"/>
  </r>
  <r>
    <s v="ORD-2026042"/>
    <s v="8 Sun"/>
    <s v="Jun"/>
    <s v="2025"/>
    <s v="CUST-1200"/>
    <s v="Swati Saxena"/>
    <x v="0"/>
    <s v="Groceries"/>
    <s v="Basmati Rice 5kg"/>
    <n v="1"/>
    <n v="549"/>
    <n v="549"/>
    <n v="30"/>
    <n v="164.7"/>
    <n v="384.3"/>
    <s v="UPI"/>
    <x v="1"/>
  </r>
  <r>
    <s v="ORD-2026043"/>
    <s v="9 Mon"/>
    <s v="Jun"/>
    <s v="2025"/>
    <s v="CUST-1399"/>
    <s v="Vivaan Verma"/>
    <x v="0"/>
    <s v="Stationery"/>
    <s v="Gel Pen Pack"/>
    <n v="4"/>
    <n v="99"/>
    <n v="396"/>
    <n v="5"/>
    <n v="19.8"/>
    <n v="376.2"/>
    <s v="UPI"/>
    <x v="0"/>
  </r>
  <r>
    <s v="ORD-2026044"/>
    <s v="9 Mon"/>
    <s v="Jun"/>
    <s v="2025"/>
    <s v="CUST-1248"/>
    <s v="Meera Saxena"/>
    <x v="1"/>
    <s v="Home &amp; Kitchen"/>
    <s v="Non-stick Pan Set"/>
    <n v="2"/>
    <n v="1299"/>
    <n v="2598"/>
    <n v="10"/>
    <n v="259.8"/>
    <n v="2338.1999999999998"/>
    <s v="Debit Card"/>
    <x v="0"/>
  </r>
  <r>
    <s v="ORD-2026045"/>
    <s v="9 Mon"/>
    <s v="Jun"/>
    <s v="2025"/>
    <s v="CUST-1212"/>
    <s v="Komal Joshi"/>
    <x v="1"/>
    <s v="Electronics"/>
    <s v="Smartwatch"/>
    <n v="2"/>
    <n v="2999"/>
    <n v="5998"/>
    <n v="0"/>
    <n v="0"/>
    <n v="5998"/>
    <s v="Debit Card"/>
    <x v="0"/>
  </r>
  <r>
    <s v="ORD-2026046"/>
    <s v="9 Mon"/>
    <s v="Jun"/>
    <s v="2025"/>
    <s v="CUST-1337"/>
    <s v="Rahul Patel"/>
    <x v="2"/>
    <s v="Stationery"/>
    <s v="Notebook Set"/>
    <n v="1"/>
    <n v="199"/>
    <n v="199"/>
    <n v="5"/>
    <n v="9.9499999999999993"/>
    <n v="189.05"/>
    <s v="Credit Card"/>
    <x v="0"/>
  </r>
  <r>
    <s v="ORD-2026047"/>
    <s v="9 Mon"/>
    <s v="Jun"/>
    <s v="2025"/>
    <s v="CUST-1192"/>
    <s v="Kunal Singh"/>
    <x v="4"/>
    <s v="Beauty"/>
    <s v="Face Wash 100ml"/>
    <n v="2"/>
    <n v="299"/>
    <n v="598"/>
    <n v="5"/>
    <n v="29.9"/>
    <n v="568.1"/>
    <s v="Cash"/>
    <x v="1"/>
  </r>
  <r>
    <s v="ORD-2026048"/>
    <s v="9 Mon"/>
    <s v="Jun"/>
    <s v="2025"/>
    <s v="CUST-1251"/>
    <s v="Aarav Singh"/>
    <x v="1"/>
    <s v="Electronics"/>
    <s v="Smartwatch"/>
    <n v="2"/>
    <n v="2999"/>
    <n v="5998"/>
    <n v="20"/>
    <n v="1199.5999999999999"/>
    <n v="4798.3999999999996"/>
    <s v="UPI"/>
    <x v="1"/>
  </r>
  <r>
    <s v="ORD-2026049"/>
    <s v="9 Mon"/>
    <s v="Jun"/>
    <s v="2025"/>
    <s v="CUST-1152"/>
    <s v="Kabir Gupta"/>
    <x v="4"/>
    <s v="Electronics"/>
    <s v="Smartwatch"/>
    <n v="2"/>
    <n v="2999"/>
    <n v="5998"/>
    <n v="30"/>
    <n v="1799.4"/>
    <n v="4198.6000000000004"/>
    <s v="UPI"/>
    <x v="1"/>
  </r>
  <r>
    <s v="ORD-2026050"/>
    <s v="9 Mon"/>
    <s v="Jun"/>
    <s v="2025"/>
    <s v="CUST-1249"/>
    <s v="Kabir Sharma"/>
    <x v="2"/>
    <s v="Apparel"/>
    <s v="Cotton T-Shirt"/>
    <n v="2"/>
    <n v="499"/>
    <n v="998"/>
    <n v="20"/>
    <n v="199.6"/>
    <n v="798.4"/>
    <s v="UPI"/>
    <x v="1"/>
  </r>
  <r>
    <s v="ORD-2026051"/>
    <s v="10 Tue"/>
    <s v="Jun"/>
    <s v="2025"/>
    <s v="CUST-1252"/>
    <s v="Arjun Singh"/>
    <x v="1"/>
    <s v="Beauty"/>
    <s v="Face Wash 100ml"/>
    <n v="1"/>
    <n v="299"/>
    <n v="299"/>
    <n v="25"/>
    <n v="74.75"/>
    <n v="224.25"/>
    <s v="Credit Card"/>
    <x v="0"/>
  </r>
  <r>
    <s v="ORD-2026052"/>
    <s v="10 Tue"/>
    <s v="Jun"/>
    <s v="2025"/>
    <s v="CUST-1131"/>
    <s v="Aarav Sharma"/>
    <x v="4"/>
    <s v="Sports"/>
    <s v="Yoga Mat"/>
    <n v="1"/>
    <n v="699"/>
    <n v="699"/>
    <n v="25"/>
    <n v="174.75"/>
    <n v="524.25"/>
    <s v="UPI"/>
    <x v="0"/>
  </r>
  <r>
    <s v="ORD-2026053"/>
    <s v="10 Tue"/>
    <s v="Jun"/>
    <s v="2025"/>
    <s v="CUST-1064"/>
    <s v="Ankit Mehta"/>
    <x v="4"/>
    <s v="Groceries"/>
    <s v="Organic Honey 500g"/>
    <n v="2"/>
    <n v="349"/>
    <n v="698"/>
    <n v="0"/>
    <n v="0"/>
    <n v="698"/>
    <s v="UPI"/>
    <x v="0"/>
  </r>
  <r>
    <s v="ORD-2026054"/>
    <s v="10 Tue"/>
    <s v="Jun"/>
    <s v="2025"/>
    <s v="CUST-1028"/>
    <s v="Swati Joshi"/>
    <x v="4"/>
    <s v="Sports"/>
    <s v="Cricket Bat"/>
    <n v="1"/>
    <n v="1499"/>
    <n v="1499"/>
    <n v="20"/>
    <n v="299.8"/>
    <n v="1199.2"/>
    <s v="Net Banking"/>
    <x v="0"/>
  </r>
  <r>
    <s v="ORD-2026055"/>
    <s v="10 Tue"/>
    <s v="Jun"/>
    <s v="2025"/>
    <s v="CUST-1016"/>
    <s v="Arjun Kapoor"/>
    <x v="2"/>
    <s v="Apparel"/>
    <s v="Denim Jacket"/>
    <n v="1"/>
    <n v="1999"/>
    <n v="1999"/>
    <n v="10"/>
    <n v="199.9"/>
    <n v="1799.1"/>
    <s v="UPI"/>
    <x v="1"/>
  </r>
  <r>
    <s v="ORD-2026056"/>
    <s v="10 Tue"/>
    <s v="Jun"/>
    <s v="2025"/>
    <s v="CUST-1307"/>
    <s v="Swati Kapoor"/>
    <x v="4"/>
    <s v="Home &amp; Kitchen"/>
    <s v="LED Desk Lamp"/>
    <n v="2"/>
    <n v="799"/>
    <n v="1598"/>
    <n v="20"/>
    <n v="319.60000000000002"/>
    <n v="1278.4000000000001"/>
    <s v="Net Banking"/>
    <x v="1"/>
  </r>
  <r>
    <s v="ORD-2026057"/>
    <s v="10 Tue"/>
    <s v="Jun"/>
    <s v="2025"/>
    <s v="CUST-1185"/>
    <s v="Meera Sharma"/>
    <x v="1"/>
    <s v="Home &amp; Kitchen"/>
    <s v="LED Desk Lamp"/>
    <n v="3"/>
    <n v="799"/>
    <n v="2397"/>
    <n v="20"/>
    <n v="479.4"/>
    <n v="1917.6"/>
    <s v="Credit Card"/>
    <x v="0"/>
  </r>
  <r>
    <s v="ORD-2026058"/>
    <s v="10 Tue"/>
    <s v="Jun"/>
    <s v="2025"/>
    <s v="CUST-1300"/>
    <s v="Vivaan Mehta"/>
    <x v="3"/>
    <s v="Apparel"/>
    <s v="Cotton T-Shirt"/>
    <n v="3"/>
    <n v="499"/>
    <n v="1497"/>
    <n v="30"/>
    <n v="449.1"/>
    <n v="1047.9000000000001"/>
    <s v="Cash"/>
    <x v="0"/>
  </r>
  <r>
    <s v="ORD-2026059"/>
    <s v="11 Wed"/>
    <s v="Jun"/>
    <s v="2025"/>
    <s v="CUST-1294"/>
    <s v="Kabir Joshi"/>
    <x v="1"/>
    <s v="Stationery"/>
    <s v="Gel Pen Pack"/>
    <n v="3"/>
    <n v="99"/>
    <n v="297"/>
    <n v="10"/>
    <n v="29.7"/>
    <n v="267.3"/>
    <s v="Credit Card"/>
    <x v="1"/>
  </r>
  <r>
    <s v="ORD-2026060"/>
    <s v="11 Wed"/>
    <s v="Jun"/>
    <s v="2025"/>
    <s v="CUST-1024"/>
    <s v="Tanya Singh"/>
    <x v="1"/>
    <s v="Stationery"/>
    <s v="Gel Pen Pack"/>
    <n v="1"/>
    <n v="99"/>
    <n v="99"/>
    <n v="0"/>
    <n v="0"/>
    <n v="99"/>
    <s v="Debit Card"/>
    <x v="0"/>
  </r>
  <r>
    <s v="ORD-2026061"/>
    <s v="11 Wed"/>
    <s v="Jun"/>
    <s v="2025"/>
    <s v="CUST-1040"/>
    <s v="Aditya Malhotra"/>
    <x v="4"/>
    <s v="Groceries"/>
    <s v="Organic Honey 500g"/>
    <n v="2"/>
    <n v="349"/>
    <n v="698"/>
    <n v="25"/>
    <n v="174.5"/>
    <n v="523.5"/>
    <s v="Credit Card"/>
    <x v="1"/>
  </r>
  <r>
    <s v="ORD-2026062"/>
    <s v="11 Wed"/>
    <s v="Jun"/>
    <s v="2025"/>
    <s v="CUST-1191"/>
    <s v="Nandini Malhotra"/>
    <x v="1"/>
    <s v="Groceries"/>
    <s v="Organic Honey 500g"/>
    <n v="1"/>
    <n v="349"/>
    <n v="349"/>
    <n v="20"/>
    <n v="69.8"/>
    <n v="279.2"/>
    <s v="UPI"/>
    <x v="0"/>
  </r>
  <r>
    <s v="ORD-2026063"/>
    <s v="11 Wed"/>
    <s v="Jun"/>
    <s v="2025"/>
    <s v="CUST-1341"/>
    <s v="Meera Patel"/>
    <x v="0"/>
    <s v="Stationery"/>
    <s v="Gel Pen Pack"/>
    <n v="5"/>
    <n v="99"/>
    <n v="495"/>
    <n v="20"/>
    <n v="99"/>
    <n v="396"/>
    <s v="Credit Card"/>
    <x v="1"/>
  </r>
  <r>
    <s v="ORD-2026064"/>
    <s v="11 Wed"/>
    <s v="Jun"/>
    <s v="2025"/>
    <s v="CUST-1002"/>
    <s v="Shreya Mehta"/>
    <x v="3"/>
    <s v="Apparel"/>
    <s v="Denim Jacket"/>
    <n v="1"/>
    <n v="1999"/>
    <n v="1999"/>
    <n v="15"/>
    <n v="299.85000000000002"/>
    <n v="1699.15"/>
    <s v="UPI"/>
    <x v="1"/>
  </r>
  <r>
    <s v="ORD-2026065"/>
    <s v="11 Wed"/>
    <s v="Jun"/>
    <s v="2025"/>
    <s v="CUST-1316"/>
    <s v="Komal Saxena"/>
    <x v="3"/>
    <s v="Electronics"/>
    <s v="Smartwatch"/>
    <n v="1"/>
    <n v="2999"/>
    <n v="2999"/>
    <n v="5"/>
    <n v="149.94999999999999"/>
    <n v="2849.05"/>
    <s v="Net Banking"/>
    <x v="1"/>
  </r>
  <r>
    <s v="ORD-2026066"/>
    <s v="11 Wed"/>
    <s v="Jun"/>
    <s v="2025"/>
    <s v="CUST-1040"/>
    <s v="Aditya Malhotra"/>
    <x v="1"/>
    <s v="Electronics"/>
    <s v="Smartwatch"/>
    <n v="1"/>
    <n v="2999"/>
    <n v="2999"/>
    <n v="15"/>
    <n v="449.85"/>
    <n v="2549.15"/>
    <s v="UPI"/>
    <x v="1"/>
  </r>
  <r>
    <s v="ORD-2026067"/>
    <s v="11 Wed"/>
    <s v="Jun"/>
    <s v="2025"/>
    <s v="CUST-1142"/>
    <s v="Divya Singh"/>
    <x v="4"/>
    <s v="Electronics"/>
    <s v="Wireless Mouse"/>
    <n v="1"/>
    <n v="599"/>
    <n v="599"/>
    <n v="10"/>
    <n v="59.9"/>
    <n v="539.1"/>
    <s v="Debit Card"/>
    <x v="1"/>
  </r>
  <r>
    <s v="ORD-2026068"/>
    <s v="11 Wed"/>
    <s v="Jun"/>
    <s v="2025"/>
    <s v="CUST-1284"/>
    <s v="Arjun Kapoor"/>
    <x v="3"/>
    <s v="Groceries"/>
    <s v="Organic Honey 500g"/>
    <n v="1"/>
    <n v="349"/>
    <n v="349"/>
    <n v="5"/>
    <n v="17.45"/>
    <n v="331.55"/>
    <s v="Debit Card"/>
    <x v="0"/>
  </r>
  <r>
    <s v="ORD-2026069"/>
    <s v="11 Wed"/>
    <s v="Jun"/>
    <s v="2025"/>
    <s v="CUST-1272"/>
    <s v="Aarav Saxena"/>
    <x v="4"/>
    <s v="Sports"/>
    <s v="Yoga Mat"/>
    <n v="3"/>
    <n v="699"/>
    <n v="2097"/>
    <n v="5"/>
    <n v="104.85"/>
    <n v="1992.15"/>
    <s v="Net Banking"/>
    <x v="0"/>
  </r>
  <r>
    <s v="ORD-2026070"/>
    <s v="11 Wed"/>
    <s v="Jun"/>
    <s v="2025"/>
    <s v="CUST-1349"/>
    <s v="Rohan Mehta"/>
    <x v="2"/>
    <s v="Electronics"/>
    <s v="Wireless Mouse"/>
    <n v="1"/>
    <n v="599"/>
    <n v="599"/>
    <n v="10"/>
    <n v="59.9"/>
    <n v="539.1"/>
    <s v="Credit Card"/>
    <x v="1"/>
  </r>
  <r>
    <s v="ORD-2026071"/>
    <s v="11 Wed"/>
    <s v="Jun"/>
    <s v="2025"/>
    <s v="CUST-1252"/>
    <s v="Arjun Singh"/>
    <x v="2"/>
    <s v="Beauty"/>
    <s v="Herbal Shampoo"/>
    <n v="2"/>
    <n v="249"/>
    <n v="498"/>
    <n v="25"/>
    <n v="124.5"/>
    <n v="373.5"/>
    <s v="Credit Card"/>
    <x v="0"/>
  </r>
  <r>
    <s v="ORD-2026072"/>
    <s v="12 Thu"/>
    <s v="Jun"/>
    <s v="2025"/>
    <s v="CUST-1166"/>
    <s v="Divya Mehta"/>
    <x v="1"/>
    <s v="Apparel"/>
    <s v="Cotton T-Shirt"/>
    <n v="1"/>
    <n v="499"/>
    <n v="499"/>
    <n v="25"/>
    <n v="124.75"/>
    <n v="374.25"/>
    <s v="Debit Card"/>
    <x v="0"/>
  </r>
  <r>
    <s v="ORD-2026073"/>
    <s v="12 Thu"/>
    <s v="Jun"/>
    <s v="2025"/>
    <s v="CUST-1169"/>
    <s v="Nandini Patel"/>
    <x v="4"/>
    <s v="Apparel"/>
    <s v="Denim Jacket"/>
    <n v="3"/>
    <n v="1999"/>
    <n v="5997"/>
    <n v="15"/>
    <n v="899.55"/>
    <n v="5097.45"/>
    <s v="Net Banking"/>
    <x v="0"/>
  </r>
  <r>
    <s v="ORD-2026074"/>
    <s v="12 Thu"/>
    <s v="Jun"/>
    <s v="2025"/>
    <s v="CUST-1352"/>
    <s v="Nandini Mehta"/>
    <x v="4"/>
    <s v="Sports"/>
    <s v="Cricket Bat"/>
    <n v="2"/>
    <n v="1499"/>
    <n v="2998"/>
    <n v="30"/>
    <n v="899.4"/>
    <n v="2098.6"/>
    <s v="Credit Card"/>
    <x v="0"/>
  </r>
  <r>
    <s v="ORD-2026075"/>
    <s v="12 Thu"/>
    <s v="Jun"/>
    <s v="2025"/>
    <s v="CUST-1068"/>
    <s v="Isha Verma"/>
    <x v="2"/>
    <s v="Beauty"/>
    <s v="Face Wash 100ml"/>
    <n v="1"/>
    <n v="299"/>
    <n v="299"/>
    <n v="10"/>
    <n v="29.9"/>
    <n v="269.10000000000002"/>
    <s v="UPI"/>
    <x v="0"/>
  </r>
  <r>
    <s v="ORD-2026076"/>
    <s v="12 Thu"/>
    <s v="Jun"/>
    <s v="2025"/>
    <s v="CUST-1228"/>
    <s v="Aarav Mehta"/>
    <x v="2"/>
    <s v="Groceries"/>
    <s v="Basmati Rice 5kg"/>
    <n v="3"/>
    <n v="549"/>
    <n v="1647"/>
    <n v="10"/>
    <n v="164.7"/>
    <n v="1482.3"/>
    <s v="Debit Card"/>
    <x v="0"/>
  </r>
  <r>
    <s v="ORD-2026077"/>
    <s v="12 Thu"/>
    <s v="Jun"/>
    <s v="2025"/>
    <s v="CUST-1196"/>
    <s v="Aditya Patel"/>
    <x v="2"/>
    <s v="Sports"/>
    <s v="Yoga Mat"/>
    <n v="1"/>
    <n v="699"/>
    <n v="699"/>
    <n v="15"/>
    <n v="104.85"/>
    <n v="594.15"/>
    <s v="UPI"/>
    <x v="1"/>
  </r>
  <r>
    <s v="ORD-2026078"/>
    <s v="12 Thu"/>
    <s v="Jun"/>
    <s v="2025"/>
    <s v="CUST-1141"/>
    <s v="Tanya Kapoor"/>
    <x v="0"/>
    <s v="Groceries"/>
    <s v="Basmati Rice 5kg"/>
    <n v="3"/>
    <n v="549"/>
    <n v="1647"/>
    <n v="15"/>
    <n v="247.05"/>
    <n v="1399.95"/>
    <s v="Net Banking"/>
    <x v="0"/>
  </r>
  <r>
    <s v="ORD-2026079"/>
    <s v="12 Thu"/>
    <s v="Jun"/>
    <s v="2025"/>
    <s v="CUST-1011"/>
    <s v="Kunal Sharma"/>
    <x v="1"/>
    <s v="Apparel"/>
    <s v="Cotton T-Shirt"/>
    <n v="1"/>
    <n v="499"/>
    <n v="499"/>
    <n v="20"/>
    <n v="99.8"/>
    <n v="399.2"/>
    <s v="Debit Card"/>
    <x v="0"/>
  </r>
  <r>
    <s v="ORD-2026080"/>
    <s v="12 Thu"/>
    <s v="Jun"/>
    <s v="2025"/>
    <s v="CUST-1173"/>
    <s v="Ankit Gupta"/>
    <x v="4"/>
    <s v="Groceries"/>
    <s v="Basmati Rice 5kg"/>
    <n v="2"/>
    <n v="549"/>
    <n v="1098"/>
    <n v="20"/>
    <n v="219.6"/>
    <n v="878.4"/>
    <s v="Cash"/>
    <x v="1"/>
  </r>
  <r>
    <s v="ORD-2026081"/>
    <s v="12 Thu"/>
    <s v="Jun"/>
    <s v="2025"/>
    <s v="CUST-1290"/>
    <s v="Kabir Mehta"/>
    <x v="2"/>
    <s v="Electronics"/>
    <s v="Wireless Mouse"/>
    <n v="1"/>
    <n v="599"/>
    <n v="599"/>
    <n v="0"/>
    <n v="0"/>
    <n v="599"/>
    <s v="Debit Card"/>
    <x v="0"/>
  </r>
  <r>
    <s v="ORD-2026082"/>
    <s v="13 Fri"/>
    <s v="Jun"/>
    <s v="2025"/>
    <s v="CUST-1351"/>
    <s v="Tanya Mehta"/>
    <x v="4"/>
    <s v="Stationery"/>
    <s v="Gel Pen Pack"/>
    <n v="1"/>
    <n v="99"/>
    <n v="99"/>
    <n v="25"/>
    <n v="24.75"/>
    <n v="74.25"/>
    <s v="Credit Card"/>
    <x v="0"/>
  </r>
  <r>
    <s v="ORD-2026083"/>
    <s v="13 Fri"/>
    <s v="Jun"/>
    <s v="2025"/>
    <s v="CUST-1142"/>
    <s v="Divya Singh"/>
    <x v="1"/>
    <s v="Home &amp; Kitchen"/>
    <s v="LED Desk Lamp"/>
    <n v="1"/>
    <n v="799"/>
    <n v="799"/>
    <n v="20"/>
    <n v="159.80000000000001"/>
    <n v="639.20000000000005"/>
    <s v="Debit Card"/>
    <x v="1"/>
  </r>
  <r>
    <s v="ORD-2026084"/>
    <s v="13 Fri"/>
    <s v="Jun"/>
    <s v="2025"/>
    <s v="CUST-1162"/>
    <s v="Aarav Kapoor"/>
    <x v="4"/>
    <s v="Home &amp; Kitchen"/>
    <s v="Non-stick Pan Set"/>
    <n v="2"/>
    <n v="1299"/>
    <n v="2598"/>
    <n v="25"/>
    <n v="649.5"/>
    <n v="1948.5"/>
    <s v="Credit Card"/>
    <x v="0"/>
  </r>
  <r>
    <s v="ORD-2026085"/>
    <s v="13 Fri"/>
    <s v="Jun"/>
    <s v="2025"/>
    <s v="CUST-1285"/>
    <s v="Ankit Joshi"/>
    <x v="4"/>
    <s v="Home &amp; Kitchen"/>
    <s v="Non-stick Pan Set"/>
    <n v="1"/>
    <n v="1299"/>
    <n v="1299"/>
    <n v="0"/>
    <n v="0"/>
    <n v="1299"/>
    <s v="Credit Card"/>
    <x v="0"/>
  </r>
  <r>
    <s v="ORD-2026086"/>
    <s v="13 Fri"/>
    <s v="Jun"/>
    <s v="2025"/>
    <s v="CUST-1117"/>
    <s v="Aman Saxena"/>
    <x v="4"/>
    <s v="Sports"/>
    <s v="Yoga Mat"/>
    <n v="4"/>
    <n v="699"/>
    <n v="2796"/>
    <n v="20"/>
    <n v="559.20000000000005"/>
    <n v="2236.8000000000002"/>
    <s v="Net Banking"/>
    <x v="0"/>
  </r>
  <r>
    <s v="ORD-2026087"/>
    <s v="13 Fri"/>
    <s v="Jun"/>
    <s v="2025"/>
    <s v="CUST-1023"/>
    <s v="Rohan Sharma"/>
    <x v="1"/>
    <s v="Home &amp; Kitchen"/>
    <s v="LED Desk Lamp"/>
    <n v="4"/>
    <n v="799"/>
    <n v="3196"/>
    <n v="0"/>
    <n v="0"/>
    <n v="3196"/>
    <s v="Net Banking"/>
    <x v="0"/>
  </r>
  <r>
    <s v="ORD-2026088"/>
    <s v="13 Fri"/>
    <s v="Jun"/>
    <s v="2025"/>
    <s v="CUST-1338"/>
    <s v="Komal Malhotra"/>
    <x v="4"/>
    <s v="Electronics"/>
    <s v="Wireless Mouse"/>
    <n v="1"/>
    <n v="599"/>
    <n v="599"/>
    <n v="20"/>
    <n v="119.8"/>
    <n v="479.2"/>
    <s v="Cash"/>
    <x v="0"/>
  </r>
  <r>
    <s v="ORD-2026089"/>
    <s v="14 Sat"/>
    <s v="Jun"/>
    <s v="2025"/>
    <s v="CUST-1026"/>
    <s v="Rahul Saxena"/>
    <x v="2"/>
    <s v="Home &amp; Kitchen"/>
    <s v="Non-stick Pan Set"/>
    <n v="2"/>
    <n v="1299"/>
    <n v="2598"/>
    <n v="20"/>
    <n v="519.6"/>
    <n v="2078.4"/>
    <s v="Debit Card"/>
    <x v="1"/>
  </r>
  <r>
    <s v="ORD-2026090"/>
    <s v="14 Sat"/>
    <s v="Jun"/>
    <s v="2025"/>
    <s v="CUST-1371"/>
    <s v="Rahul Verma"/>
    <x v="3"/>
    <s v="Apparel"/>
    <s v="Formal Shirt"/>
    <n v="1"/>
    <n v="899"/>
    <n v="899"/>
    <n v="0"/>
    <n v="0"/>
    <n v="899"/>
    <s v="Debit Card"/>
    <x v="0"/>
  </r>
  <r>
    <s v="ORD-2026091"/>
    <s v="14 Sat"/>
    <s v="Jun"/>
    <s v="2025"/>
    <s v="CUST-1136"/>
    <s v="Kunal Patel"/>
    <x v="4"/>
    <s v="Electronics"/>
    <s v="Wireless Mouse"/>
    <n v="1"/>
    <n v="599"/>
    <n v="599"/>
    <n v="5"/>
    <n v="29.95"/>
    <n v="569.04999999999995"/>
    <s v="Net Banking"/>
    <x v="1"/>
  </r>
  <r>
    <s v="ORD-2026092"/>
    <s v="14 Sat"/>
    <s v="Jun"/>
    <s v="2025"/>
    <s v="CUST-1028"/>
    <s v="Swati Joshi"/>
    <x v="0"/>
    <s v="Beauty"/>
    <s v="Herbal Shampoo"/>
    <n v="2"/>
    <n v="249"/>
    <n v="498"/>
    <n v="30"/>
    <n v="149.4"/>
    <n v="348.6"/>
    <s v="Credit Card"/>
    <x v="1"/>
  </r>
  <r>
    <s v="ORD-2026093"/>
    <s v="14 Sat"/>
    <s v="Jun"/>
    <s v="2025"/>
    <s v="CUST-1265"/>
    <s v="Muskan Singh"/>
    <x v="0"/>
    <s v="Beauty"/>
    <s v="Face Wash 100ml"/>
    <n v="2"/>
    <n v="299"/>
    <n v="598"/>
    <n v="15"/>
    <n v="89.7"/>
    <n v="508.3"/>
    <s v="Debit Card"/>
    <x v="1"/>
  </r>
  <r>
    <s v="ORD-2026094"/>
    <s v="14 Sat"/>
    <s v="Jun"/>
    <s v="2025"/>
    <s v="CUST-1118"/>
    <s v="Sakshi Malhotra"/>
    <x v="3"/>
    <s v="Groceries"/>
    <s v="Basmati Rice 5kg"/>
    <n v="4"/>
    <n v="549"/>
    <n v="2196"/>
    <n v="30"/>
    <n v="658.8"/>
    <n v="1537.2"/>
    <s v="Net Banking"/>
    <x v="0"/>
  </r>
  <r>
    <s v="ORD-2026095"/>
    <s v="14 Sat"/>
    <s v="Jun"/>
    <s v="2025"/>
    <s v="CUST-1263"/>
    <s v="Tanya Mehta"/>
    <x v="4"/>
    <s v="Groceries"/>
    <s v="Organic Honey 500g"/>
    <n v="1"/>
    <n v="349"/>
    <n v="349"/>
    <n v="10"/>
    <n v="34.9"/>
    <n v="314.10000000000002"/>
    <s v="Debit Card"/>
    <x v="1"/>
  </r>
  <r>
    <s v="ORD-2026096"/>
    <s v="14 Sat"/>
    <s v="Jun"/>
    <s v="2025"/>
    <s v="CUST-1384"/>
    <s v="Vivaan Singh"/>
    <x v="4"/>
    <s v="Groceries"/>
    <s v="Organic Honey 500g"/>
    <n v="2"/>
    <n v="349"/>
    <n v="698"/>
    <n v="20"/>
    <n v="139.6"/>
    <n v="558.4"/>
    <s v="Debit Card"/>
    <x v="1"/>
  </r>
  <r>
    <s v="ORD-2026097"/>
    <s v="14 Sat"/>
    <s v="Jun"/>
    <s v="2025"/>
    <s v="CUST-1164"/>
    <s v="Kabir Malhotra"/>
    <x v="2"/>
    <s v="Apparel"/>
    <s v="Denim Jacket"/>
    <n v="3"/>
    <n v="1999"/>
    <n v="5997"/>
    <n v="20"/>
    <n v="1199.4000000000001"/>
    <n v="4797.6000000000004"/>
    <s v="Credit Card"/>
    <x v="1"/>
  </r>
  <r>
    <s v="ORD-2026098"/>
    <s v="14 Sat"/>
    <s v="Jun"/>
    <s v="2025"/>
    <s v="CUST-1273"/>
    <s v="Aman Saxena"/>
    <x v="3"/>
    <s v="Home &amp; Kitchen"/>
    <s v="Non-stick Pan Set"/>
    <n v="2"/>
    <n v="1299"/>
    <n v="2598"/>
    <n v="5"/>
    <n v="129.9"/>
    <n v="2468.1"/>
    <s v="UPI"/>
    <x v="0"/>
  </r>
  <r>
    <s v="ORD-2026099"/>
    <s v="14 Sat"/>
    <s v="Jun"/>
    <s v="2025"/>
    <s v="CUST-1084"/>
    <s v="Kunal Saxena"/>
    <x v="1"/>
    <s v="Home &amp; Kitchen"/>
    <s v="Non-stick Pan Set"/>
    <n v="1"/>
    <n v="1299"/>
    <n v="1299"/>
    <n v="15"/>
    <n v="194.85"/>
    <n v="1104.1500000000001"/>
    <s v="UPI"/>
    <x v="0"/>
  </r>
  <r>
    <s v="ORD-2026100"/>
    <s v="14 Sat"/>
    <s v="Jun"/>
    <s v="2025"/>
    <s v="CUST-1033"/>
    <s v="Meera Joshi"/>
    <x v="2"/>
    <s v="Apparel"/>
    <s v="Denim Jacket"/>
    <n v="2"/>
    <n v="1999"/>
    <n v="3998"/>
    <n v="25"/>
    <n v="999.5"/>
    <n v="2998.5"/>
    <s v="Cash"/>
    <x v="1"/>
  </r>
  <r>
    <s v="ORD-2026101"/>
    <s v="14 Sat"/>
    <s v="Jun"/>
    <s v="2025"/>
    <s v="CUST-1325"/>
    <s v="Aarav Saxena"/>
    <x v="0"/>
    <s v="Groceries"/>
    <s v="Organic Honey 500g"/>
    <n v="3"/>
    <n v="349"/>
    <n v="1047"/>
    <n v="30"/>
    <n v="314.10000000000002"/>
    <n v="732.9"/>
    <s v="Credit Card"/>
    <x v="1"/>
  </r>
  <r>
    <s v="ORD-2026102"/>
    <s v="15 Sun"/>
    <s v="Jun"/>
    <s v="2025"/>
    <s v="CUST-1045"/>
    <s v="Arjun Verma"/>
    <x v="0"/>
    <s v="Electronics"/>
    <s v="Wireless Mouse"/>
    <n v="2"/>
    <n v="599"/>
    <n v="1198"/>
    <n v="20"/>
    <n v="239.6"/>
    <n v="958.4"/>
    <s v="Debit Card"/>
    <x v="0"/>
  </r>
  <r>
    <s v="ORD-2026103"/>
    <s v="15 Sun"/>
    <s v="Jun"/>
    <s v="2025"/>
    <s v="CUST-1006"/>
    <s v="Sakshi Singh"/>
    <x v="3"/>
    <s v="Sports"/>
    <s v="Cricket Bat"/>
    <n v="3"/>
    <n v="1499"/>
    <n v="4497"/>
    <n v="5"/>
    <n v="224.85"/>
    <n v="4272.1499999999996"/>
    <s v="Net Banking"/>
    <x v="0"/>
  </r>
  <r>
    <s v="ORD-2026104"/>
    <s v="15 Sun"/>
    <s v="Jun"/>
    <s v="2025"/>
    <s v="CUST-1365"/>
    <s v="Meera Singh"/>
    <x v="2"/>
    <s v="Stationery"/>
    <s v="Notebook Set"/>
    <n v="1"/>
    <n v="199"/>
    <n v="199"/>
    <n v="20"/>
    <n v="39.799999999999997"/>
    <n v="159.19999999999999"/>
    <s v="Net Banking"/>
    <x v="1"/>
  </r>
  <r>
    <s v="ORD-2026105"/>
    <s v="15 Sun"/>
    <s v="Jun"/>
    <s v="2025"/>
    <s v="CUST-1334"/>
    <s v="Kunal Singh"/>
    <x v="0"/>
    <s v="Apparel"/>
    <s v="Cotton T-Shirt"/>
    <n v="1"/>
    <n v="499"/>
    <n v="499"/>
    <n v="20"/>
    <n v="99.8"/>
    <n v="399.2"/>
    <s v="Net Banking"/>
    <x v="0"/>
  </r>
  <r>
    <s v="ORD-2026106"/>
    <s v="15 Sun"/>
    <s v="Jun"/>
    <s v="2025"/>
    <s v="CUST-1011"/>
    <s v="Kunal Sharma"/>
    <x v="2"/>
    <s v="Stationery"/>
    <s v="Gel Pen Pack"/>
    <n v="1"/>
    <n v="99"/>
    <n v="99"/>
    <n v="5"/>
    <n v="4.95"/>
    <n v="94.05"/>
    <s v="Debit Card"/>
    <x v="0"/>
  </r>
  <r>
    <s v="ORD-2026107"/>
    <s v="15 Sun"/>
    <s v="Jun"/>
    <s v="2025"/>
    <s v="CUST-1383"/>
    <s v="Aman Gupta"/>
    <x v="3"/>
    <s v="Sports"/>
    <s v="Yoga Mat"/>
    <n v="1"/>
    <n v="699"/>
    <n v="699"/>
    <n v="25"/>
    <n v="174.75"/>
    <n v="524.25"/>
    <s v="Credit Card"/>
    <x v="0"/>
  </r>
  <r>
    <s v="ORD-2026108"/>
    <s v="15 Sun"/>
    <s v="Jun"/>
    <s v="2025"/>
    <s v="CUST-1075"/>
    <s v="Divya Patel"/>
    <x v="2"/>
    <s v="Sports"/>
    <s v="Yoga Mat"/>
    <n v="3"/>
    <n v="699"/>
    <n v="2097"/>
    <n v="20"/>
    <n v="419.4"/>
    <n v="1677.6"/>
    <s v="UPI"/>
    <x v="1"/>
  </r>
  <r>
    <s v="ORD-2026109"/>
    <s v="15 Sun"/>
    <s v="Jun"/>
    <s v="2025"/>
    <s v="CUST-1386"/>
    <s v="Swati Patel"/>
    <x v="2"/>
    <s v="Home &amp; Kitchen"/>
    <s v="LED Desk Lamp"/>
    <n v="4"/>
    <n v="799"/>
    <n v="3196"/>
    <n v="15"/>
    <n v="479.4"/>
    <n v="2716.6"/>
    <s v="Debit Card"/>
    <x v="1"/>
  </r>
  <r>
    <s v="ORD-2026110"/>
    <s v="16 Mon"/>
    <s v="Jun"/>
    <s v="2025"/>
    <s v="CUST-1143"/>
    <s v="Muskan Saxena"/>
    <x v="1"/>
    <s v="Stationery"/>
    <s v="Notebook Set"/>
    <n v="1"/>
    <n v="199"/>
    <n v="199"/>
    <n v="5"/>
    <n v="9.9499999999999993"/>
    <n v="189.05"/>
    <s v="Credit Card"/>
    <x v="0"/>
  </r>
  <r>
    <s v="ORD-2026111"/>
    <s v="16 Mon"/>
    <s v="Jun"/>
    <s v="2025"/>
    <s v="CUST-1161"/>
    <s v="Ankit Gupta"/>
    <x v="2"/>
    <s v="Sports"/>
    <s v="Cricket Bat"/>
    <n v="2"/>
    <n v="1499"/>
    <n v="2998"/>
    <n v="10"/>
    <n v="299.8"/>
    <n v="2698.2"/>
    <s v="Credit Card"/>
    <x v="1"/>
  </r>
  <r>
    <s v="ORD-2026112"/>
    <s v="17 Tue"/>
    <s v="Jun"/>
    <s v="2025"/>
    <s v="CUST-1092"/>
    <s v="Arjun Mehta"/>
    <x v="3"/>
    <s v="Electronics"/>
    <s v="Wireless Mouse"/>
    <n v="2"/>
    <n v="599"/>
    <n v="1198"/>
    <n v="5"/>
    <n v="59.9"/>
    <n v="1138.0999999999999"/>
    <s v="UPI"/>
    <x v="1"/>
  </r>
  <r>
    <s v="ORD-2026113"/>
    <s v="17 Tue"/>
    <s v="Jun"/>
    <s v="2025"/>
    <s v="CUST-1061"/>
    <s v="Muskan Patel"/>
    <x v="1"/>
    <s v="Stationery"/>
    <s v="Gel Pen Pack"/>
    <n v="4"/>
    <n v="99"/>
    <n v="396"/>
    <n v="5"/>
    <n v="19.8"/>
    <n v="376.2"/>
    <s v="UPI"/>
    <x v="0"/>
  </r>
  <r>
    <s v="ORD-2026114"/>
    <s v="17 Tue"/>
    <s v="Jun"/>
    <s v="2025"/>
    <s v="CUST-1035"/>
    <s v="Isha Joshi"/>
    <x v="2"/>
    <s v="Apparel"/>
    <s v="Cotton T-Shirt"/>
    <n v="2"/>
    <n v="499"/>
    <n v="998"/>
    <n v="15"/>
    <n v="149.69999999999999"/>
    <n v="848.3"/>
    <s v="Credit Card"/>
    <x v="1"/>
  </r>
  <r>
    <s v="ORD-2026115"/>
    <s v="17 Tue"/>
    <s v="Jun"/>
    <s v="2025"/>
    <s v="CUST-1154"/>
    <s v="Aditya Malhotra"/>
    <x v="3"/>
    <s v="Sports"/>
    <s v="Cricket Bat"/>
    <n v="3"/>
    <n v="1499"/>
    <n v="4497"/>
    <n v="15"/>
    <n v="674.55"/>
    <n v="3822.45"/>
    <s v="UPI"/>
    <x v="0"/>
  </r>
  <r>
    <s v="ORD-2026116"/>
    <s v="17 Tue"/>
    <s v="Jun"/>
    <s v="2025"/>
    <s v="CUST-1260"/>
    <s v="Ankit Verma"/>
    <x v="2"/>
    <s v="Beauty"/>
    <s v="Herbal Shampoo"/>
    <n v="2"/>
    <n v="249"/>
    <n v="498"/>
    <n v="25"/>
    <n v="124.5"/>
    <n v="373.5"/>
    <s v="UPI"/>
    <x v="1"/>
  </r>
  <r>
    <s v="ORD-2026117"/>
    <s v="17 Tue"/>
    <s v="Jun"/>
    <s v="2025"/>
    <s v="CUST-1239"/>
    <s v="Rohan Malhotra"/>
    <x v="3"/>
    <s v="Home &amp; Kitchen"/>
    <s v="Non-stick Pan Set"/>
    <n v="1"/>
    <n v="1299"/>
    <n v="1299"/>
    <n v="30"/>
    <n v="389.7"/>
    <n v="909.3"/>
    <s v="Debit Card"/>
    <x v="0"/>
  </r>
  <r>
    <s v="ORD-2026118"/>
    <s v="17 Tue"/>
    <s v="Jun"/>
    <s v="2025"/>
    <s v="CUST-1238"/>
    <s v="Nandini Verma"/>
    <x v="0"/>
    <s v="Stationery"/>
    <s v="Notebook Set"/>
    <n v="3"/>
    <n v="199"/>
    <n v="597"/>
    <n v="5"/>
    <n v="29.85"/>
    <n v="567.15"/>
    <s v="Credit Card"/>
    <x v="1"/>
  </r>
  <r>
    <s v="ORD-2026119"/>
    <s v="17 Tue"/>
    <s v="Jun"/>
    <s v="2025"/>
    <s v="CUST-1308"/>
    <s v="Shreya Sharma"/>
    <x v="1"/>
    <s v="Beauty"/>
    <s v="Herbal Shampoo"/>
    <n v="1"/>
    <n v="249"/>
    <n v="249"/>
    <n v="20"/>
    <n v="49.8"/>
    <n v="199.2"/>
    <s v="Net Banking"/>
    <x v="1"/>
  </r>
  <r>
    <s v="ORD-2026120"/>
    <s v="17 Tue"/>
    <s v="Jun"/>
    <s v="2025"/>
    <s v="CUST-1017"/>
    <s v="Aarav Verma"/>
    <x v="4"/>
    <s v="Home &amp; Kitchen"/>
    <s v="Non-stick Pan Set"/>
    <n v="1"/>
    <n v="1299"/>
    <n v="1299"/>
    <n v="25"/>
    <n v="324.75"/>
    <n v="974.25"/>
    <s v="Credit Card"/>
    <x v="0"/>
  </r>
  <r>
    <s v="ORD-2026121"/>
    <s v="18 Wed"/>
    <s v="Jun"/>
    <s v="2025"/>
    <s v="CUST-1118"/>
    <s v="Sakshi Malhotra"/>
    <x v="4"/>
    <s v="Home &amp; Kitchen"/>
    <s v="LED Desk Lamp"/>
    <n v="3"/>
    <n v="799"/>
    <n v="2397"/>
    <n v="20"/>
    <n v="479.4"/>
    <n v="1917.6"/>
    <s v="UPI"/>
    <x v="0"/>
  </r>
  <r>
    <s v="ORD-2026122"/>
    <s v="18 Wed"/>
    <s v="Jun"/>
    <s v="2025"/>
    <s v="CUST-1152"/>
    <s v="Kabir Gupta"/>
    <x v="1"/>
    <s v="Electronics"/>
    <s v="Bluetooth Headphones"/>
    <n v="5"/>
    <n v="1799"/>
    <n v="8995"/>
    <n v="0"/>
    <n v="0"/>
    <n v="8995"/>
    <s v="Net Banking"/>
    <x v="1"/>
  </r>
  <r>
    <s v="ORD-2026123"/>
    <s v="18 Wed"/>
    <s v="Jun"/>
    <s v="2025"/>
    <s v="CUST-1241"/>
    <s v="Rahul Singh"/>
    <x v="0"/>
    <s v="Stationery"/>
    <s v="Gel Pen Pack"/>
    <n v="4"/>
    <n v="99"/>
    <n v="396"/>
    <n v="25"/>
    <n v="99"/>
    <n v="297"/>
    <s v="Credit Card"/>
    <x v="0"/>
  </r>
  <r>
    <s v="ORD-2026124"/>
    <s v="18 Wed"/>
    <s v="Jun"/>
    <s v="2025"/>
    <s v="CUST-1024"/>
    <s v="Tanya Singh"/>
    <x v="3"/>
    <s v="Stationery"/>
    <s v="Notebook Set"/>
    <n v="1"/>
    <n v="199"/>
    <n v="199"/>
    <n v="10"/>
    <n v="19.899999999999999"/>
    <n v="179.1"/>
    <s v="UPI"/>
    <x v="0"/>
  </r>
  <r>
    <s v="ORD-2026125"/>
    <s v="18 Wed"/>
    <s v="Jun"/>
    <s v="2025"/>
    <s v="CUST-1241"/>
    <s v="Rahul Singh"/>
    <x v="2"/>
    <s v="Apparel"/>
    <s v="Denim Jacket"/>
    <n v="2"/>
    <n v="1999"/>
    <n v="3998"/>
    <n v="30"/>
    <n v="1199.4000000000001"/>
    <n v="2798.6"/>
    <s v="UPI"/>
    <x v="0"/>
  </r>
  <r>
    <s v="ORD-2026126"/>
    <s v="18 Wed"/>
    <s v="Jun"/>
    <s v="2025"/>
    <s v="CUST-1323"/>
    <s v="Muskan Verma"/>
    <x v="4"/>
    <s v="Home &amp; Kitchen"/>
    <s v="LED Desk Lamp"/>
    <n v="2"/>
    <n v="799"/>
    <n v="1598"/>
    <n v="25"/>
    <n v="399.5"/>
    <n v="1198.5"/>
    <s v="Debit Card"/>
    <x v="0"/>
  </r>
  <r>
    <s v="ORD-2026127"/>
    <s v="18 Wed"/>
    <s v="Jun"/>
    <s v="2025"/>
    <s v="CUST-1271"/>
    <s v="Nandini Sharma"/>
    <x v="0"/>
    <s v="Apparel"/>
    <s v="Cotton T-Shirt"/>
    <n v="1"/>
    <n v="499"/>
    <n v="499"/>
    <n v="15"/>
    <n v="74.849999999999994"/>
    <n v="424.15"/>
    <s v="Debit Card"/>
    <x v="1"/>
  </r>
  <r>
    <s v="ORD-2026128"/>
    <s v="18 Wed"/>
    <s v="Jun"/>
    <s v="2025"/>
    <s v="CUST-1149"/>
    <s v="Aarav Verma"/>
    <x v="2"/>
    <s v="Beauty"/>
    <s v="Face Wash 100ml"/>
    <n v="3"/>
    <n v="299"/>
    <n v="897"/>
    <n v="30"/>
    <n v="269.10000000000002"/>
    <n v="627.9"/>
    <s v="Cash"/>
    <x v="0"/>
  </r>
  <r>
    <s v="ORD-2026129"/>
    <s v="18 Wed"/>
    <s v="Jun"/>
    <s v="2025"/>
    <s v="CUST-1110"/>
    <s v="Aman Malhotra"/>
    <x v="0"/>
    <s v="Stationery"/>
    <s v="Gel Pen Pack"/>
    <n v="1"/>
    <n v="99"/>
    <n v="99"/>
    <n v="0"/>
    <n v="0"/>
    <n v="99"/>
    <s v="Credit Card"/>
    <x v="0"/>
  </r>
  <r>
    <s v="ORD-2026130"/>
    <s v="18 Wed"/>
    <s v="Jun"/>
    <s v="2025"/>
    <s v="CUST-1098"/>
    <s v="Rohan Patel"/>
    <x v="1"/>
    <s v="Beauty"/>
    <s v="Herbal Shampoo"/>
    <n v="5"/>
    <n v="249"/>
    <n v="1245"/>
    <n v="30"/>
    <n v="373.5"/>
    <n v="871.5"/>
    <s v="Debit Card"/>
    <x v="1"/>
  </r>
  <r>
    <s v="ORD-2026131"/>
    <s v="19 Thu"/>
    <s v="Jun"/>
    <s v="2025"/>
    <s v="CUST-1319"/>
    <s v="Rohan Sharma"/>
    <x v="3"/>
    <s v="Beauty"/>
    <s v="Herbal Shampoo"/>
    <n v="3"/>
    <n v="249"/>
    <n v="747"/>
    <n v="0"/>
    <n v="0"/>
    <n v="747"/>
    <s v="Debit Card"/>
    <x v="1"/>
  </r>
  <r>
    <s v="ORD-2026132"/>
    <s v="19 Thu"/>
    <s v="Jun"/>
    <s v="2025"/>
    <s v="CUST-1236"/>
    <s v="Divya Mehta"/>
    <x v="0"/>
    <s v="Electronics"/>
    <s v="Smartwatch"/>
    <n v="3"/>
    <n v="2999"/>
    <n v="8997"/>
    <n v="5"/>
    <n v="449.85"/>
    <n v="8547.15"/>
    <s v="UPI"/>
    <x v="0"/>
  </r>
  <r>
    <s v="ORD-2026133"/>
    <s v="19 Thu"/>
    <s v="Jun"/>
    <s v="2025"/>
    <s v="CUST-1375"/>
    <s v="Kunal Joshi"/>
    <x v="1"/>
    <s v="Sports"/>
    <s v="Cricket Bat"/>
    <n v="4"/>
    <n v="1499"/>
    <n v="5996"/>
    <n v="15"/>
    <n v="899.4"/>
    <n v="5096.6000000000004"/>
    <s v="Debit Card"/>
    <x v="0"/>
  </r>
  <r>
    <s v="ORD-2026134"/>
    <s v="19 Thu"/>
    <s v="Jun"/>
    <s v="2025"/>
    <s v="CUST-1397"/>
    <s v="Aman Verma"/>
    <x v="3"/>
    <s v="Electronics"/>
    <s v="Bluetooth Headphones"/>
    <n v="3"/>
    <n v="1799"/>
    <n v="5397"/>
    <n v="25"/>
    <n v="1349.25"/>
    <n v="4047.75"/>
    <s v="Credit Card"/>
    <x v="0"/>
  </r>
  <r>
    <s v="ORD-2026135"/>
    <s v="19 Thu"/>
    <s v="Jun"/>
    <s v="2025"/>
    <s v="CUST-1182"/>
    <s v="Swati Verma"/>
    <x v="1"/>
    <s v="Apparel"/>
    <s v="Denim Jacket"/>
    <n v="1"/>
    <n v="1999"/>
    <n v="1999"/>
    <n v="15"/>
    <n v="299.85000000000002"/>
    <n v="1699.15"/>
    <s v="Net Banking"/>
    <x v="1"/>
  </r>
  <r>
    <s v="ORD-2026136"/>
    <s v="19 Thu"/>
    <s v="Jun"/>
    <s v="2025"/>
    <s v="CUST-1292"/>
    <s v="Aman Singh"/>
    <x v="3"/>
    <s v="Electronics"/>
    <s v="Bluetooth Headphones"/>
    <n v="1"/>
    <n v="1799"/>
    <n v="1799"/>
    <n v="20"/>
    <n v="359.8"/>
    <n v="1439.2"/>
    <s v="Cash"/>
    <x v="0"/>
  </r>
  <r>
    <s v="ORD-2026137"/>
    <s v="19 Thu"/>
    <s v="Jun"/>
    <s v="2025"/>
    <s v="CUST-1341"/>
    <s v="Meera Patel"/>
    <x v="4"/>
    <s v="Sports"/>
    <s v="Cricket Bat"/>
    <n v="1"/>
    <n v="1499"/>
    <n v="1499"/>
    <n v="30"/>
    <n v="449.7"/>
    <n v="1049.3"/>
    <s v="Debit Card"/>
    <x v="1"/>
  </r>
  <r>
    <s v="ORD-2026138"/>
    <s v="20 Fri"/>
    <s v="Jun"/>
    <s v="2025"/>
    <s v="CUST-1347"/>
    <s v="Ankit Joshi"/>
    <x v="2"/>
    <s v="Groceries"/>
    <s v="Organic Honey 500g"/>
    <n v="2"/>
    <n v="349"/>
    <n v="698"/>
    <n v="25"/>
    <n v="174.5"/>
    <n v="523.5"/>
    <s v="Debit Card"/>
    <x v="0"/>
  </r>
  <r>
    <s v="ORD-2026139"/>
    <s v="20 Fri"/>
    <s v="Jun"/>
    <s v="2025"/>
    <s v="CUST-1033"/>
    <s v="Meera Joshi"/>
    <x v="4"/>
    <s v="Home &amp; Kitchen"/>
    <s v="LED Desk Lamp"/>
    <n v="1"/>
    <n v="799"/>
    <n v="799"/>
    <n v="20"/>
    <n v="159.80000000000001"/>
    <n v="639.20000000000005"/>
    <s v="Net Banking"/>
    <x v="0"/>
  </r>
  <r>
    <s v="ORD-2026140"/>
    <s v="20 Fri"/>
    <s v="Jun"/>
    <s v="2025"/>
    <s v="CUST-1399"/>
    <s v="Vivaan Verma"/>
    <x v="3"/>
    <s v="Home &amp; Kitchen"/>
    <s v="LED Desk Lamp"/>
    <n v="1"/>
    <n v="799"/>
    <n v="799"/>
    <n v="15"/>
    <n v="119.85"/>
    <n v="679.15"/>
    <s v="Credit Card"/>
    <x v="0"/>
  </r>
  <r>
    <s v="ORD-2026141"/>
    <s v="20 Fri"/>
    <s v="Jun"/>
    <s v="2025"/>
    <s v="CUST-1390"/>
    <s v="Rahul Saxena"/>
    <x v="0"/>
    <s v="Groceries"/>
    <s v="Organic Honey 500g"/>
    <n v="1"/>
    <n v="349"/>
    <n v="349"/>
    <n v="0"/>
    <n v="0"/>
    <n v="349"/>
    <s v="Debit Card"/>
    <x v="1"/>
  </r>
  <r>
    <s v="ORD-2026142"/>
    <s v="20 Fri"/>
    <s v="Jun"/>
    <s v="2025"/>
    <s v="CUST-1005"/>
    <s v="Rohan Malhotra"/>
    <x v="1"/>
    <s v="Electronics"/>
    <s v="Bluetooth Headphones"/>
    <n v="3"/>
    <n v="1799"/>
    <n v="5397"/>
    <n v="10"/>
    <n v="539.70000000000005"/>
    <n v="4857.3"/>
    <s v="Net Banking"/>
    <x v="0"/>
  </r>
  <r>
    <s v="ORD-2026143"/>
    <s v="21 Sat"/>
    <s v="Jun"/>
    <s v="2025"/>
    <s v="CUST-1092"/>
    <s v="Arjun Mehta"/>
    <x v="4"/>
    <s v="Apparel"/>
    <s v="Denim Jacket"/>
    <n v="2"/>
    <n v="1999"/>
    <n v="3998"/>
    <n v="25"/>
    <n v="999.5"/>
    <n v="2998.5"/>
    <s v="Credit Card"/>
    <x v="1"/>
  </r>
  <r>
    <s v="ORD-2026144"/>
    <s v="21 Sat"/>
    <s v="Jun"/>
    <s v="2025"/>
    <s v="CUST-1317"/>
    <s v="Aditya Kapoor"/>
    <x v="3"/>
    <s v="Apparel"/>
    <s v="Denim Jacket"/>
    <n v="3"/>
    <n v="1999"/>
    <n v="5997"/>
    <n v="10"/>
    <n v="599.70000000000005"/>
    <n v="5397.3"/>
    <s v="Debit Card"/>
    <x v="1"/>
  </r>
  <r>
    <s v="ORD-2026145"/>
    <s v="21 Sat"/>
    <s v="Jun"/>
    <s v="2025"/>
    <s v="CUST-1011"/>
    <s v="Kunal Sharma"/>
    <x v="3"/>
    <s v="Sports"/>
    <s v="Yoga Mat"/>
    <n v="2"/>
    <n v="699"/>
    <n v="1398"/>
    <n v="0"/>
    <n v="0"/>
    <n v="1398"/>
    <s v="Cash"/>
    <x v="0"/>
  </r>
  <r>
    <s v="ORD-2026146"/>
    <s v="21 Sat"/>
    <s v="Jun"/>
    <s v="2025"/>
    <s v="CUST-1233"/>
    <s v="Rahul Joshi"/>
    <x v="3"/>
    <s v="Electronics"/>
    <s v="Bluetooth Headphones"/>
    <n v="1"/>
    <n v="1799"/>
    <n v="1799"/>
    <n v="30"/>
    <n v="539.70000000000005"/>
    <n v="1259.3"/>
    <s v="UPI"/>
    <x v="0"/>
  </r>
  <r>
    <s v="ORD-2026147"/>
    <s v="21 Sat"/>
    <s v="Jun"/>
    <s v="2025"/>
    <s v="CUST-1051"/>
    <s v="Rohan Patel"/>
    <x v="0"/>
    <s v="Beauty"/>
    <s v="Herbal Shampoo"/>
    <n v="2"/>
    <n v="249"/>
    <n v="498"/>
    <n v="0"/>
    <n v="0"/>
    <n v="498"/>
    <s v="Net Banking"/>
    <x v="1"/>
  </r>
  <r>
    <s v="ORD-2026148"/>
    <s v="21 Sat"/>
    <s v="Jun"/>
    <s v="2025"/>
    <s v="CUST-1190"/>
    <s v="Rahul Patel"/>
    <x v="2"/>
    <s v="Electronics"/>
    <s v="Bluetooth Headphones"/>
    <n v="2"/>
    <n v="1799"/>
    <n v="3598"/>
    <n v="5"/>
    <n v="179.9"/>
    <n v="3418.1"/>
    <s v="UPI"/>
    <x v="1"/>
  </r>
  <r>
    <s v="ORD-2026149"/>
    <s v="21 Sat"/>
    <s v="Jun"/>
    <s v="2025"/>
    <s v="CUST-1388"/>
    <s v="Aarav Saxena"/>
    <x v="4"/>
    <s v="Apparel"/>
    <s v="Cotton T-Shirt"/>
    <n v="1"/>
    <n v="499"/>
    <n v="499"/>
    <n v="30"/>
    <n v="149.69999999999999"/>
    <n v="349.3"/>
    <s v="UPI"/>
    <x v="1"/>
  </r>
  <r>
    <s v="ORD-2026150"/>
    <s v="21 Sat"/>
    <s v="Jun"/>
    <s v="2025"/>
    <s v="CUST-1187"/>
    <s v="Kabir Saxena"/>
    <x v="3"/>
    <s v="Stationery"/>
    <s v="Gel Pen Pack"/>
    <n v="1"/>
    <n v="99"/>
    <n v="99"/>
    <n v="10"/>
    <n v="9.9"/>
    <n v="89.1"/>
    <s v="Credit Card"/>
    <x v="0"/>
  </r>
  <r>
    <s v="ORD-2026151"/>
    <s v="21 Sat"/>
    <s v="Jun"/>
    <s v="2025"/>
    <s v="CUST-1028"/>
    <s v="Swati Joshi"/>
    <x v="1"/>
    <s v="Sports"/>
    <s v="Cricket Bat"/>
    <n v="1"/>
    <n v="1499"/>
    <n v="1499"/>
    <n v="30"/>
    <n v="449.7"/>
    <n v="1049.3"/>
    <s v="Net Banking"/>
    <x v="0"/>
  </r>
  <r>
    <s v="ORD-2026152"/>
    <s v="21 Sat"/>
    <s v="Jun"/>
    <s v="2025"/>
    <s v="CUST-1017"/>
    <s v="Aarav Verma"/>
    <x v="0"/>
    <s v="Electronics"/>
    <s v="Smartwatch"/>
    <n v="1"/>
    <n v="2999"/>
    <n v="2999"/>
    <n v="15"/>
    <n v="449.85"/>
    <n v="2549.15"/>
    <s v="Debit Card"/>
    <x v="0"/>
  </r>
  <r>
    <s v="ORD-2026153"/>
    <s v="21 Sat"/>
    <s v="Jun"/>
    <s v="2025"/>
    <s v="CUST-1296"/>
    <s v="Vivaan Kapoor"/>
    <x v="0"/>
    <s v="Beauty"/>
    <s v="Herbal Shampoo"/>
    <n v="1"/>
    <n v="249"/>
    <n v="249"/>
    <n v="10"/>
    <n v="24.9"/>
    <n v="224.1"/>
    <s v="Credit Card"/>
    <x v="1"/>
  </r>
  <r>
    <s v="ORD-2026154"/>
    <s v="22 Sun"/>
    <s v="Jun"/>
    <s v="2025"/>
    <s v="CUST-1074"/>
    <s v="Kabir Kapoor"/>
    <x v="4"/>
    <s v="Beauty"/>
    <s v="Face Wash 100ml"/>
    <n v="1"/>
    <n v="299"/>
    <n v="299"/>
    <n v="30"/>
    <n v="89.7"/>
    <n v="209.3"/>
    <s v="Credit Card"/>
    <x v="1"/>
  </r>
  <r>
    <s v="ORD-2026155"/>
    <s v="22 Sun"/>
    <s v="Jun"/>
    <s v="2025"/>
    <s v="CUST-1255"/>
    <s v="Aman Gupta"/>
    <x v="3"/>
    <s v="Electronics"/>
    <s v="Bluetooth Headphones"/>
    <n v="2"/>
    <n v="1799"/>
    <n v="3598"/>
    <n v="5"/>
    <n v="179.9"/>
    <n v="3418.1"/>
    <s v="Cash"/>
    <x v="0"/>
  </r>
  <r>
    <s v="ORD-2026156"/>
    <s v="22 Sun"/>
    <s v="Jun"/>
    <s v="2025"/>
    <s v="CUST-1263"/>
    <s v="Tanya Mehta"/>
    <x v="0"/>
    <s v="Electronics"/>
    <s v="Smartwatch"/>
    <n v="2"/>
    <n v="2999"/>
    <n v="5998"/>
    <n v="20"/>
    <n v="1199.5999999999999"/>
    <n v="4798.3999999999996"/>
    <s v="UPI"/>
    <x v="1"/>
  </r>
  <r>
    <s v="ORD-2026157"/>
    <s v="22 Sun"/>
    <s v="Jun"/>
    <s v="2025"/>
    <s v="CUST-1135"/>
    <s v="Shreya Joshi"/>
    <x v="4"/>
    <s v="Home &amp; Kitchen"/>
    <s v="Non-stick Pan Set"/>
    <n v="1"/>
    <n v="1299"/>
    <n v="1299"/>
    <n v="20"/>
    <n v="259.8"/>
    <n v="1039.2"/>
    <s v="Credit Card"/>
    <x v="0"/>
  </r>
  <r>
    <s v="ORD-2026158"/>
    <s v="22 Sun"/>
    <s v="Jun"/>
    <s v="2025"/>
    <s v="CUST-1175"/>
    <s v="Vivaan Kapoor"/>
    <x v="1"/>
    <s v="Electronics"/>
    <s v="Bluetooth Headphones"/>
    <n v="2"/>
    <n v="1799"/>
    <n v="3598"/>
    <n v="5"/>
    <n v="179.9"/>
    <n v="3418.1"/>
    <s v="Debit Card"/>
    <x v="0"/>
  </r>
  <r>
    <s v="ORD-2026159"/>
    <s v="22 Sun"/>
    <s v="Jun"/>
    <s v="2025"/>
    <s v="CUST-1162"/>
    <s v="Aarav Kapoor"/>
    <x v="4"/>
    <s v="Electronics"/>
    <s v="Bluetooth Headphones"/>
    <n v="1"/>
    <n v="1799"/>
    <n v="1799"/>
    <n v="5"/>
    <n v="89.95"/>
    <n v="1709.05"/>
    <s v="Net Banking"/>
    <x v="1"/>
  </r>
  <r>
    <s v="ORD-2026160"/>
    <s v="22 Sun"/>
    <s v="Jun"/>
    <s v="2025"/>
    <s v="CUST-1229"/>
    <s v="Vivaan Singh"/>
    <x v="1"/>
    <s v="Electronics"/>
    <s v="Smartwatch"/>
    <n v="1"/>
    <n v="2999"/>
    <n v="2999"/>
    <n v="20"/>
    <n v="599.79999999999995"/>
    <n v="2399.1999999999998"/>
    <s v="Net Banking"/>
    <x v="1"/>
  </r>
  <r>
    <s v="ORD-2026161"/>
    <s v="22 Sun"/>
    <s v="Jun"/>
    <s v="2025"/>
    <s v="CUST-1345"/>
    <s v="Tanya Verma"/>
    <x v="2"/>
    <s v="Sports"/>
    <s v="Cricket Bat"/>
    <n v="2"/>
    <n v="1499"/>
    <n v="2998"/>
    <n v="25"/>
    <n v="749.5"/>
    <n v="2248.5"/>
    <s v="UPI"/>
    <x v="1"/>
  </r>
  <r>
    <s v="ORD-2026162"/>
    <s v="22 Sun"/>
    <s v="Jun"/>
    <s v="2025"/>
    <s v="CUST-1242"/>
    <s v="Sakshi Malhotra"/>
    <x v="4"/>
    <s v="Beauty"/>
    <s v="Face Wash 100ml"/>
    <n v="1"/>
    <n v="299"/>
    <n v="299"/>
    <n v="30"/>
    <n v="89.7"/>
    <n v="209.3"/>
    <s v="UPI"/>
    <x v="0"/>
  </r>
  <r>
    <s v="ORD-2026163"/>
    <s v="22 Sun"/>
    <s v="Jun"/>
    <s v="2025"/>
    <s v="CUST-1147"/>
    <s v="Aman Saxena"/>
    <x v="0"/>
    <s v="Home &amp; Kitchen"/>
    <s v="LED Desk Lamp"/>
    <n v="1"/>
    <n v="799"/>
    <n v="799"/>
    <n v="5"/>
    <n v="39.950000000000003"/>
    <n v="759.05"/>
    <s v="Cash"/>
    <x v="1"/>
  </r>
  <r>
    <s v="ORD-2026164"/>
    <s v="22 Sun"/>
    <s v="Jun"/>
    <s v="2025"/>
    <s v="CUST-1017"/>
    <s v="Aarav Verma"/>
    <x v="2"/>
    <s v="Apparel"/>
    <s v="Formal Shirt"/>
    <n v="1"/>
    <n v="899"/>
    <n v="899"/>
    <n v="15"/>
    <n v="134.85"/>
    <n v="764.15"/>
    <s v="UPI"/>
    <x v="0"/>
  </r>
  <r>
    <s v="ORD-2026165"/>
    <s v="23 Mon"/>
    <s v="Jun"/>
    <s v="2025"/>
    <s v="CUST-1391"/>
    <s v="Kunal Gupta"/>
    <x v="3"/>
    <s v="Electronics"/>
    <s v="Bluetooth Headphones"/>
    <n v="3"/>
    <n v="1799"/>
    <n v="5397"/>
    <n v="30"/>
    <n v="1619.1"/>
    <n v="3777.9"/>
    <s v="Cash"/>
    <x v="1"/>
  </r>
  <r>
    <s v="ORD-2026166"/>
    <s v="23 Mon"/>
    <s v="Jun"/>
    <s v="2025"/>
    <s v="CUST-1160"/>
    <s v="Komal Singh"/>
    <x v="1"/>
    <s v="Sports"/>
    <s v="Cricket Bat"/>
    <n v="2"/>
    <n v="1499"/>
    <n v="2998"/>
    <n v="0"/>
    <n v="0"/>
    <n v="2998"/>
    <s v="UPI"/>
    <x v="1"/>
  </r>
  <r>
    <s v="ORD-2026167"/>
    <s v="23 Mon"/>
    <s v="Jun"/>
    <s v="2025"/>
    <s v="CUST-1214"/>
    <s v="Rohan Sharma"/>
    <x v="3"/>
    <s v="Apparel"/>
    <s v="Cotton T-Shirt"/>
    <n v="1"/>
    <n v="499"/>
    <n v="499"/>
    <n v="20"/>
    <n v="99.8"/>
    <n v="399.2"/>
    <s v="Debit Card"/>
    <x v="1"/>
  </r>
  <r>
    <s v="ORD-2026168"/>
    <s v="23 Mon"/>
    <s v="Jun"/>
    <s v="2025"/>
    <s v="CUST-1165"/>
    <s v="Rahul Singh"/>
    <x v="4"/>
    <s v="Electronics"/>
    <s v="Smartwatch"/>
    <n v="1"/>
    <n v="2999"/>
    <n v="2999"/>
    <n v="5"/>
    <n v="149.94999999999999"/>
    <n v="2849.05"/>
    <s v="Credit Card"/>
    <x v="0"/>
  </r>
  <r>
    <s v="ORD-2026169"/>
    <s v="23 Mon"/>
    <s v="Jun"/>
    <s v="2025"/>
    <s v="CUST-1344"/>
    <s v="Nandini Saxena"/>
    <x v="4"/>
    <s v="Electronics"/>
    <s v="Wireless Mouse"/>
    <n v="1"/>
    <n v="599"/>
    <n v="599"/>
    <n v="15"/>
    <n v="89.85"/>
    <n v="509.15"/>
    <s v="Debit Card"/>
    <x v="0"/>
  </r>
  <r>
    <s v="ORD-2026170"/>
    <s v="23 Mon"/>
    <s v="Jun"/>
    <s v="2025"/>
    <s v="CUST-1373"/>
    <s v="Rahul Verma"/>
    <x v="1"/>
    <s v="Groceries"/>
    <s v="Basmati Rice 5kg"/>
    <n v="2"/>
    <n v="549"/>
    <n v="1098"/>
    <n v="0"/>
    <n v="0"/>
    <n v="1098"/>
    <s v="Debit Card"/>
    <x v="0"/>
  </r>
  <r>
    <s v="ORD-2026171"/>
    <s v="23 Mon"/>
    <s v="Jun"/>
    <s v="2025"/>
    <s v="CUST-1380"/>
    <s v="Meera Joshi"/>
    <x v="2"/>
    <s v="Electronics"/>
    <s v="Smartwatch"/>
    <n v="3"/>
    <n v="2999"/>
    <n v="8997"/>
    <n v="20"/>
    <n v="1799.4"/>
    <n v="7197.6"/>
    <s v="Debit Card"/>
    <x v="0"/>
  </r>
  <r>
    <s v="ORD-2026172"/>
    <s v="23 Mon"/>
    <s v="Jun"/>
    <s v="2025"/>
    <s v="CUST-1020"/>
    <s v="Rohan Malhotra"/>
    <x v="1"/>
    <s v="Stationery"/>
    <s v="Gel Pen Pack"/>
    <n v="3"/>
    <n v="99"/>
    <n v="297"/>
    <n v="25"/>
    <n v="74.25"/>
    <n v="222.75"/>
    <s v="UPI"/>
    <x v="0"/>
  </r>
  <r>
    <s v="ORD-2026173"/>
    <s v="23 Mon"/>
    <s v="Jun"/>
    <s v="2025"/>
    <s v="CUST-1345"/>
    <s v="Tanya Verma"/>
    <x v="0"/>
    <s v="Apparel"/>
    <s v="Denim Jacket"/>
    <n v="1"/>
    <n v="1999"/>
    <n v="1999"/>
    <n v="10"/>
    <n v="199.9"/>
    <n v="1799.1"/>
    <s v="UPI"/>
    <x v="0"/>
  </r>
  <r>
    <s v="ORD-2026174"/>
    <s v="23 Mon"/>
    <s v="Jun"/>
    <s v="2025"/>
    <s v="CUST-1031"/>
    <s v="Kabir Malhotra"/>
    <x v="1"/>
    <s v="Beauty"/>
    <s v="Herbal Shampoo"/>
    <n v="2"/>
    <n v="249"/>
    <n v="498"/>
    <n v="30"/>
    <n v="149.4"/>
    <n v="348.6"/>
    <s v="UPI"/>
    <x v="0"/>
  </r>
  <r>
    <s v="ORD-2026175"/>
    <s v="23 Mon"/>
    <s v="Jun"/>
    <s v="2025"/>
    <s v="CUST-1364"/>
    <s v="Rahul Malhotra"/>
    <x v="4"/>
    <s v="Stationery"/>
    <s v="Notebook Set"/>
    <n v="1"/>
    <n v="199"/>
    <n v="199"/>
    <n v="15"/>
    <n v="29.85"/>
    <n v="169.15"/>
    <s v="Credit Card"/>
    <x v="0"/>
  </r>
  <r>
    <s v="ORD-2026176"/>
    <s v="23 Mon"/>
    <s v="Jun"/>
    <s v="2025"/>
    <s v="CUST-1225"/>
    <s v="Aarav Kapoor"/>
    <x v="0"/>
    <s v="Electronics"/>
    <s v="Smartwatch"/>
    <n v="1"/>
    <n v="2999"/>
    <n v="2999"/>
    <n v="20"/>
    <n v="599.79999999999995"/>
    <n v="2399.1999999999998"/>
    <s v="Net Banking"/>
    <x v="0"/>
  </r>
  <r>
    <s v="ORD-2026177"/>
    <s v="23 Mon"/>
    <s v="Jun"/>
    <s v="2025"/>
    <s v="CUST-1135"/>
    <s v="Shreya Joshi"/>
    <x v="0"/>
    <s v="Home &amp; Kitchen"/>
    <s v="LED Desk Lamp"/>
    <n v="2"/>
    <n v="799"/>
    <n v="1598"/>
    <n v="30"/>
    <n v="479.4"/>
    <n v="1118.5999999999999"/>
    <s v="Net Banking"/>
    <x v="1"/>
  </r>
  <r>
    <s v="ORD-2026178"/>
    <s v="24 Tue"/>
    <s v="Jun"/>
    <s v="2025"/>
    <s v="CUST-1095"/>
    <s v="Nandini Joshi"/>
    <x v="1"/>
    <s v="Groceries"/>
    <s v="Basmati Rice 5kg"/>
    <n v="3"/>
    <n v="549"/>
    <n v="1647"/>
    <n v="0"/>
    <n v="0"/>
    <n v="1647"/>
    <s v="Debit Card"/>
    <x v="1"/>
  </r>
  <r>
    <s v="ORD-2026179"/>
    <s v="24 Tue"/>
    <s v="Jun"/>
    <s v="2025"/>
    <s v="CUST-1219"/>
    <s v="Sakshi Patel"/>
    <x v="3"/>
    <s v="Apparel"/>
    <s v="Cotton T-Shirt"/>
    <n v="3"/>
    <n v="499"/>
    <n v="1497"/>
    <n v="20"/>
    <n v="299.39999999999998"/>
    <n v="1197.5999999999999"/>
    <s v="Net Banking"/>
    <x v="0"/>
  </r>
  <r>
    <s v="ORD-2026180"/>
    <s v="24 Tue"/>
    <s v="Jun"/>
    <s v="2025"/>
    <s v="CUST-1103"/>
    <s v="Muskan Gupta"/>
    <x v="1"/>
    <s v="Sports"/>
    <s v="Cricket Bat"/>
    <n v="2"/>
    <n v="1499"/>
    <n v="2998"/>
    <n v="15"/>
    <n v="449.7"/>
    <n v="2548.3000000000002"/>
    <s v="Debit Card"/>
    <x v="0"/>
  </r>
  <r>
    <s v="ORD-2026181"/>
    <s v="24 Tue"/>
    <s v="Jun"/>
    <s v="2025"/>
    <s v="CUST-1203"/>
    <s v="Ankit Verma"/>
    <x v="1"/>
    <s v="Stationery"/>
    <s v="Notebook Set"/>
    <n v="1"/>
    <n v="199"/>
    <n v="199"/>
    <n v="15"/>
    <n v="29.85"/>
    <n v="169.15"/>
    <s v="Debit Card"/>
    <x v="0"/>
  </r>
  <r>
    <s v="ORD-2026182"/>
    <s v="24 Tue"/>
    <s v="Jun"/>
    <s v="2025"/>
    <s v="CUST-1309"/>
    <s v="Meera Verma"/>
    <x v="0"/>
    <s v="Beauty"/>
    <s v="Herbal Shampoo"/>
    <n v="1"/>
    <n v="249"/>
    <n v="249"/>
    <n v="30"/>
    <n v="74.7"/>
    <n v="174.3"/>
    <s v="Debit Card"/>
    <x v="0"/>
  </r>
  <r>
    <s v="ORD-2026183"/>
    <s v="24 Tue"/>
    <s v="Jun"/>
    <s v="2025"/>
    <s v="CUST-1354"/>
    <s v="Aman Saxena"/>
    <x v="1"/>
    <s v="Home &amp; Kitchen"/>
    <s v="LED Desk Lamp"/>
    <n v="2"/>
    <n v="799"/>
    <n v="1598"/>
    <n v="30"/>
    <n v="479.4"/>
    <n v="1118.5999999999999"/>
    <s v="Debit Card"/>
    <x v="0"/>
  </r>
  <r>
    <s v="ORD-2026184"/>
    <s v="24 Tue"/>
    <s v="Jun"/>
    <s v="2025"/>
    <s v="CUST-1001"/>
    <s v="Rohan Patel"/>
    <x v="2"/>
    <s v="Electronics"/>
    <s v="Wireless Mouse"/>
    <n v="3"/>
    <n v="599"/>
    <n v="1797"/>
    <n v="25"/>
    <n v="449.25"/>
    <n v="1347.75"/>
    <s v="Net Banking"/>
    <x v="0"/>
  </r>
  <r>
    <s v="ORD-2026185"/>
    <s v="24 Tue"/>
    <s v="Jun"/>
    <s v="2025"/>
    <s v="CUST-1046"/>
    <s v="Rohan Kapoor"/>
    <x v="1"/>
    <s v="Apparel"/>
    <s v="Formal Shirt"/>
    <n v="1"/>
    <n v="899"/>
    <n v="899"/>
    <n v="15"/>
    <n v="134.85"/>
    <n v="764.15"/>
    <s v="Credit Card"/>
    <x v="0"/>
  </r>
  <r>
    <s v="ORD-2026186"/>
    <s v="24 Tue"/>
    <s v="Jun"/>
    <s v="2025"/>
    <s v="CUST-1176"/>
    <s v="Meera Sharma"/>
    <x v="4"/>
    <s v="Sports"/>
    <s v="Yoga Mat"/>
    <n v="1"/>
    <n v="699"/>
    <n v="699"/>
    <n v="5"/>
    <n v="34.950000000000003"/>
    <n v="664.05"/>
    <s v="Debit Card"/>
    <x v="0"/>
  </r>
  <r>
    <s v="ORD-2026187"/>
    <s v="24 Tue"/>
    <s v="Jun"/>
    <s v="2025"/>
    <s v="CUST-1234"/>
    <s v="Meera Sharma"/>
    <x v="3"/>
    <s v="Groceries"/>
    <s v="Basmati Rice 5kg"/>
    <n v="1"/>
    <n v="549"/>
    <n v="549"/>
    <n v="0"/>
    <n v="0"/>
    <n v="549"/>
    <s v="Credit Card"/>
    <x v="0"/>
  </r>
  <r>
    <s v="ORD-2026188"/>
    <s v="24 Tue"/>
    <s v="Jun"/>
    <s v="2025"/>
    <s v="CUST-1220"/>
    <s v="Aditya Kapoor"/>
    <x v="3"/>
    <s v="Beauty"/>
    <s v="Face Wash 100ml"/>
    <n v="2"/>
    <n v="299"/>
    <n v="598"/>
    <n v="0"/>
    <n v="0"/>
    <n v="598"/>
    <s v="Debit Card"/>
    <x v="1"/>
  </r>
  <r>
    <s v="ORD-2026189"/>
    <s v="24 Tue"/>
    <s v="Jun"/>
    <s v="2025"/>
    <s v="CUST-1057"/>
    <s v="Tanya Malhotra"/>
    <x v="4"/>
    <s v="Home &amp; Kitchen"/>
    <s v="LED Desk Lamp"/>
    <n v="5"/>
    <n v="799"/>
    <n v="3995"/>
    <n v="20"/>
    <n v="799"/>
    <n v="3196"/>
    <s v="Debit Card"/>
    <x v="0"/>
  </r>
  <r>
    <s v="ORD-2026190"/>
    <s v="24 Tue"/>
    <s v="Jun"/>
    <s v="2025"/>
    <s v="CUST-1367"/>
    <s v="Aman Saxena"/>
    <x v="2"/>
    <s v="Apparel"/>
    <s v="Cotton T-Shirt"/>
    <n v="2"/>
    <n v="499"/>
    <n v="998"/>
    <n v="25"/>
    <n v="249.5"/>
    <n v="748.5"/>
    <s v="Cash"/>
    <x v="0"/>
  </r>
  <r>
    <s v="ORD-2026191"/>
    <s v="25 Wed"/>
    <s v="Jun"/>
    <s v="2025"/>
    <s v="CUST-1015"/>
    <s v="Swati Joshi"/>
    <x v="2"/>
    <s v="Stationery"/>
    <s v="Gel Pen Pack"/>
    <n v="5"/>
    <n v="99"/>
    <n v="495"/>
    <n v="0"/>
    <n v="0"/>
    <n v="495"/>
    <s v="Debit Card"/>
    <x v="1"/>
  </r>
  <r>
    <s v="ORD-2026192"/>
    <s v="25 Wed"/>
    <s v="Jun"/>
    <s v="2025"/>
    <s v="CUST-1161"/>
    <s v="Ankit Gupta"/>
    <x v="1"/>
    <s v="Apparel"/>
    <s v="Denim Jacket"/>
    <n v="1"/>
    <n v="1999"/>
    <n v="1999"/>
    <n v="25"/>
    <n v="499.75"/>
    <n v="1499.25"/>
    <s v="UPI"/>
    <x v="0"/>
  </r>
  <r>
    <s v="ORD-2026193"/>
    <s v="25 Wed"/>
    <s v="Jun"/>
    <s v="2025"/>
    <s v="CUST-1311"/>
    <s v="Muskan Joshi"/>
    <x v="2"/>
    <s v="Beauty"/>
    <s v="Face Wash 100ml"/>
    <n v="1"/>
    <n v="299"/>
    <n v="299"/>
    <n v="5"/>
    <n v="14.95"/>
    <n v="284.05"/>
    <s v="Credit Card"/>
    <x v="0"/>
  </r>
  <r>
    <s v="ORD-2026194"/>
    <s v="25 Wed"/>
    <s v="Jun"/>
    <s v="2025"/>
    <s v="CUST-1073"/>
    <s v="Rahul Kapoor"/>
    <x v="0"/>
    <s v="Sports"/>
    <s v="Yoga Mat"/>
    <n v="1"/>
    <n v="699"/>
    <n v="699"/>
    <n v="10"/>
    <n v="69.900000000000006"/>
    <n v="629.1"/>
    <s v="Debit Card"/>
    <x v="1"/>
  </r>
  <r>
    <s v="ORD-2026195"/>
    <s v="25 Wed"/>
    <s v="Jun"/>
    <s v="2025"/>
    <s v="CUST-1032"/>
    <s v="Shreya Mehta"/>
    <x v="3"/>
    <s v="Beauty"/>
    <s v="Face Wash 100ml"/>
    <n v="2"/>
    <n v="299"/>
    <n v="598"/>
    <n v="25"/>
    <n v="149.5"/>
    <n v="448.5"/>
    <s v="Cash"/>
    <x v="0"/>
  </r>
  <r>
    <s v="ORD-2026196"/>
    <s v="25 Wed"/>
    <s v="Jun"/>
    <s v="2025"/>
    <s v="CUST-1175"/>
    <s v="Vivaan Kapoor"/>
    <x v="0"/>
    <s v="Apparel"/>
    <s v="Denim Jacket"/>
    <n v="1"/>
    <n v="1999"/>
    <n v="1999"/>
    <n v="30"/>
    <n v="599.70000000000005"/>
    <n v="1399.3"/>
    <s v="Credit Card"/>
    <x v="1"/>
  </r>
  <r>
    <s v="ORD-2026197"/>
    <s v="25 Wed"/>
    <s v="Jun"/>
    <s v="2025"/>
    <s v="CUST-1152"/>
    <s v="Kabir Gupta"/>
    <x v="0"/>
    <s v="Home &amp; Kitchen"/>
    <s v="Non-stick Pan Set"/>
    <n v="3"/>
    <n v="1299"/>
    <n v="3897"/>
    <n v="15"/>
    <n v="584.54999999999995"/>
    <n v="3312.45"/>
    <s v="Debit Card"/>
    <x v="0"/>
  </r>
  <r>
    <s v="ORD-2026198"/>
    <s v="25 Wed"/>
    <s v="Jun"/>
    <s v="2025"/>
    <s v="CUST-1141"/>
    <s v="Tanya Kapoor"/>
    <x v="4"/>
    <s v="Apparel"/>
    <s v="Formal Shirt"/>
    <n v="2"/>
    <n v="899"/>
    <n v="1798"/>
    <n v="25"/>
    <n v="449.5"/>
    <n v="1348.5"/>
    <s v="Credit Card"/>
    <x v="1"/>
  </r>
  <r>
    <s v="ORD-2026199"/>
    <s v="26 Thu"/>
    <s v="Jun"/>
    <s v="2025"/>
    <s v="CUST-1355"/>
    <s v="Aditya Joshi"/>
    <x v="4"/>
    <s v="Electronics"/>
    <s v="Smartwatch"/>
    <n v="4"/>
    <n v="2999"/>
    <n v="11996"/>
    <n v="0"/>
    <n v="0"/>
    <n v="11996"/>
    <s v="Cash"/>
    <x v="1"/>
  </r>
  <r>
    <s v="ORD-2026200"/>
    <s v="26 Thu"/>
    <s v="Jun"/>
    <s v="2025"/>
    <s v="CUST-1042"/>
    <s v="Kunal Saxena"/>
    <x v="4"/>
    <s v="Home &amp; Kitchen"/>
    <s v="LED Desk Lamp"/>
    <n v="1"/>
    <n v="799"/>
    <n v="799"/>
    <n v="0"/>
    <n v="0"/>
    <n v="799"/>
    <s v="UPI"/>
    <x v="1"/>
  </r>
  <r>
    <s v="ORD-2026201"/>
    <s v="26 Thu"/>
    <s v="Jun"/>
    <s v="2025"/>
    <s v="CUST-1098"/>
    <s v="Rohan Patel"/>
    <x v="4"/>
    <s v="Apparel"/>
    <s v="Denim Jacket"/>
    <n v="1"/>
    <n v="1999"/>
    <n v="1999"/>
    <n v="30"/>
    <n v="599.70000000000005"/>
    <n v="1399.3"/>
    <s v="UPI"/>
    <x v="1"/>
  </r>
  <r>
    <s v="ORD-2026202"/>
    <s v="26 Thu"/>
    <s v="Jun"/>
    <s v="2025"/>
    <s v="CUST-1298"/>
    <s v="Aarav Singh"/>
    <x v="3"/>
    <s v="Electronics"/>
    <s v="Wireless Mouse"/>
    <n v="1"/>
    <n v="599"/>
    <n v="599"/>
    <n v="5"/>
    <n v="29.95"/>
    <n v="569.04999999999995"/>
    <s v="Debit Card"/>
    <x v="0"/>
  </r>
  <r>
    <s v="ORD-2026203"/>
    <s v="26 Thu"/>
    <s v="Jun"/>
    <s v="2025"/>
    <s v="CUST-1368"/>
    <s v="Isha Patel"/>
    <x v="1"/>
    <s v="Apparel"/>
    <s v="Formal Shirt"/>
    <n v="2"/>
    <n v="899"/>
    <n v="1798"/>
    <n v="20"/>
    <n v="359.6"/>
    <n v="1438.4"/>
    <s v="Debit Card"/>
    <x v="0"/>
  </r>
  <r>
    <s v="ORD-2026204"/>
    <s v="26 Thu"/>
    <s v="Jun"/>
    <s v="2025"/>
    <s v="CUST-1038"/>
    <s v="Rohan Joshi"/>
    <x v="1"/>
    <s v="Stationery"/>
    <s v="Gel Pen Pack"/>
    <n v="1"/>
    <n v="99"/>
    <n v="99"/>
    <n v="0"/>
    <n v="0"/>
    <n v="99"/>
    <s v="Cash"/>
    <x v="1"/>
  </r>
  <r>
    <s v="ORD-2026205"/>
    <s v="27 Fri"/>
    <s v="Jun"/>
    <s v="2025"/>
    <s v="CUST-1340"/>
    <s v="Aman Kapoor"/>
    <x v="0"/>
    <s v="Electronics"/>
    <s v="Smartwatch"/>
    <n v="3"/>
    <n v="2999"/>
    <n v="8997"/>
    <n v="30"/>
    <n v="2699.1"/>
    <n v="6297.9"/>
    <s v="Cash"/>
    <x v="1"/>
  </r>
  <r>
    <s v="ORD-2026206"/>
    <s v="27 Fri"/>
    <s v="Jun"/>
    <s v="2025"/>
    <s v="CUST-1382"/>
    <s v="Meera Verma"/>
    <x v="2"/>
    <s v="Apparel"/>
    <s v="Cotton T-Shirt"/>
    <n v="1"/>
    <n v="499"/>
    <n v="499"/>
    <n v="20"/>
    <n v="99.8"/>
    <n v="399.2"/>
    <s v="Debit Card"/>
    <x v="1"/>
  </r>
  <r>
    <s v="ORD-2026207"/>
    <s v="27 Fri"/>
    <s v="Jun"/>
    <s v="2025"/>
    <s v="CUST-1367"/>
    <s v="Aman Saxena"/>
    <x v="0"/>
    <s v="Groceries"/>
    <s v="Basmati Rice 5kg"/>
    <n v="3"/>
    <n v="549"/>
    <n v="1647"/>
    <n v="25"/>
    <n v="411.75"/>
    <n v="1235.25"/>
    <s v="UPI"/>
    <x v="0"/>
  </r>
  <r>
    <s v="ORD-2026208"/>
    <s v="27 Fri"/>
    <s v="Jun"/>
    <s v="2025"/>
    <s v="CUST-1264"/>
    <s v="Vivaan Malhotra"/>
    <x v="2"/>
    <s v="Stationery"/>
    <s v="Notebook Set"/>
    <n v="2"/>
    <n v="199"/>
    <n v="398"/>
    <n v="15"/>
    <n v="59.7"/>
    <n v="338.3"/>
    <s v="UPI"/>
    <x v="0"/>
  </r>
  <r>
    <s v="ORD-2026209"/>
    <s v="27 Fri"/>
    <s v="Jun"/>
    <s v="2025"/>
    <s v="CUST-1108"/>
    <s v="Kunal Patel"/>
    <x v="2"/>
    <s v="Stationery"/>
    <s v="Notebook Set"/>
    <n v="1"/>
    <n v="199"/>
    <n v="199"/>
    <n v="15"/>
    <n v="29.85"/>
    <n v="169.15"/>
    <s v="Debit Card"/>
    <x v="0"/>
  </r>
  <r>
    <s v="ORD-2026210"/>
    <s v="27 Fri"/>
    <s v="Jun"/>
    <s v="2025"/>
    <s v="CUST-1077"/>
    <s v="Tanya Mehta"/>
    <x v="3"/>
    <s v="Sports"/>
    <s v="Cricket Bat"/>
    <n v="1"/>
    <n v="1499"/>
    <n v="1499"/>
    <n v="15"/>
    <n v="224.85"/>
    <n v="1274.1500000000001"/>
    <s v="Debit Card"/>
    <x v="0"/>
  </r>
  <r>
    <s v="ORD-2026211"/>
    <s v="27 Fri"/>
    <s v="Jun"/>
    <s v="2025"/>
    <s v="CUST-1084"/>
    <s v="Kunal Saxena"/>
    <x v="4"/>
    <s v="Beauty"/>
    <s v="Face Wash 100ml"/>
    <n v="1"/>
    <n v="299"/>
    <n v="299"/>
    <n v="30"/>
    <n v="89.7"/>
    <n v="209.3"/>
    <s v="Cash"/>
    <x v="0"/>
  </r>
  <r>
    <s v="ORD-2026212"/>
    <s v="27 Fri"/>
    <s v="Jun"/>
    <s v="2025"/>
    <s v="CUST-1083"/>
    <s v="Komal Kapoor"/>
    <x v="4"/>
    <s v="Home &amp; Kitchen"/>
    <s v="Non-stick Pan Set"/>
    <n v="1"/>
    <n v="1299"/>
    <n v="1299"/>
    <n v="30"/>
    <n v="389.7"/>
    <n v="909.3"/>
    <s v="Cash"/>
    <x v="0"/>
  </r>
  <r>
    <s v="ORD-2026213"/>
    <s v="28 Sat"/>
    <s v="Jun"/>
    <s v="2025"/>
    <s v="CUST-1190"/>
    <s v="Rahul Patel"/>
    <x v="4"/>
    <s v="Apparel"/>
    <s v="Denim Jacket"/>
    <n v="1"/>
    <n v="1999"/>
    <n v="1999"/>
    <n v="15"/>
    <n v="299.85000000000002"/>
    <n v="1699.15"/>
    <s v="Credit Card"/>
    <x v="0"/>
  </r>
  <r>
    <s v="ORD-2026214"/>
    <s v="28 Sat"/>
    <s v="Jun"/>
    <s v="2025"/>
    <s v="CUST-1291"/>
    <s v="Arjun Saxena"/>
    <x v="1"/>
    <s v="Beauty"/>
    <s v="Herbal Shampoo"/>
    <n v="2"/>
    <n v="249"/>
    <n v="498"/>
    <n v="15"/>
    <n v="74.7"/>
    <n v="423.3"/>
    <s v="Net Banking"/>
    <x v="0"/>
  </r>
  <r>
    <s v="ORD-2026215"/>
    <s v="28 Sat"/>
    <s v="Jun"/>
    <s v="2025"/>
    <s v="CUST-1069"/>
    <s v="Kabir Joshi"/>
    <x v="1"/>
    <s v="Electronics"/>
    <s v="Smartwatch"/>
    <n v="2"/>
    <n v="2999"/>
    <n v="5998"/>
    <n v="10"/>
    <n v="599.79999999999995"/>
    <n v="5398.2"/>
    <s v="Cash"/>
    <x v="0"/>
  </r>
  <r>
    <s v="ORD-2026216"/>
    <s v="28 Sat"/>
    <s v="Jun"/>
    <s v="2025"/>
    <s v="CUST-1281"/>
    <s v="Nandini Saxena"/>
    <x v="0"/>
    <s v="Groceries"/>
    <s v="Basmati Rice 5kg"/>
    <n v="1"/>
    <n v="549"/>
    <n v="549"/>
    <n v="0"/>
    <n v="0"/>
    <n v="549"/>
    <s v="Debit Card"/>
    <x v="1"/>
  </r>
  <r>
    <s v="ORD-2026217"/>
    <s v="28 Sat"/>
    <s v="Jun"/>
    <s v="2025"/>
    <s v="CUST-1355"/>
    <s v="Aditya Joshi"/>
    <x v="2"/>
    <s v="Groceries"/>
    <s v="Organic Honey 500g"/>
    <n v="4"/>
    <n v="349"/>
    <n v="1396"/>
    <n v="30"/>
    <n v="418.8"/>
    <n v="977.2"/>
    <s v="Credit Card"/>
    <x v="0"/>
  </r>
  <r>
    <s v="ORD-2026218"/>
    <s v="28 Sat"/>
    <s v="Jun"/>
    <s v="2025"/>
    <s v="CUST-1008"/>
    <s v="Meera Saxena"/>
    <x v="1"/>
    <s v="Apparel"/>
    <s v="Formal Shirt"/>
    <n v="1"/>
    <n v="899"/>
    <n v="899"/>
    <n v="25"/>
    <n v="224.75"/>
    <n v="674.25"/>
    <s v="Net Banking"/>
    <x v="0"/>
  </r>
  <r>
    <s v="ORD-2026219"/>
    <s v="28 Sat"/>
    <s v="Jun"/>
    <s v="2025"/>
    <s v="CUST-1169"/>
    <s v="Nandini Patel"/>
    <x v="4"/>
    <s v="Groceries"/>
    <s v="Organic Honey 500g"/>
    <n v="2"/>
    <n v="349"/>
    <n v="698"/>
    <n v="10"/>
    <n v="69.8"/>
    <n v="628.20000000000005"/>
    <s v="Net Banking"/>
    <x v="1"/>
  </r>
  <r>
    <s v="ORD-2026220"/>
    <s v="28 Sat"/>
    <s v="Jun"/>
    <s v="2025"/>
    <s v="CUST-1228"/>
    <s v="Aarav Mehta"/>
    <x v="0"/>
    <s v="Beauty"/>
    <s v="Face Wash 100ml"/>
    <n v="1"/>
    <n v="299"/>
    <n v="299"/>
    <n v="20"/>
    <n v="59.8"/>
    <n v="239.2"/>
    <s v="Debit Card"/>
    <x v="0"/>
  </r>
  <r>
    <s v="ORD-2026221"/>
    <s v="28 Sat"/>
    <s v="Jun"/>
    <s v="2025"/>
    <s v="CUST-1154"/>
    <s v="Aditya Malhotra"/>
    <x v="2"/>
    <s v="Sports"/>
    <s v="Cricket Bat"/>
    <n v="3"/>
    <n v="1499"/>
    <n v="4497"/>
    <n v="0"/>
    <n v="0"/>
    <n v="4497"/>
    <s v="Debit Card"/>
    <x v="1"/>
  </r>
  <r>
    <s v="ORD-2026222"/>
    <s v="28 Sat"/>
    <s v="Jun"/>
    <s v="2025"/>
    <s v="CUST-1182"/>
    <s v="Swati Verma"/>
    <x v="1"/>
    <s v="Groceries"/>
    <s v="Organic Honey 500g"/>
    <n v="2"/>
    <n v="349"/>
    <n v="698"/>
    <n v="20"/>
    <n v="139.6"/>
    <n v="558.4"/>
    <s v="Net Banking"/>
    <x v="0"/>
  </r>
  <r>
    <s v="ORD-2026223"/>
    <s v="28 Sat"/>
    <s v="Jun"/>
    <s v="2025"/>
    <s v="CUST-1145"/>
    <s v="Kunal Joshi"/>
    <x v="1"/>
    <s v="Beauty"/>
    <s v="Herbal Shampoo"/>
    <n v="1"/>
    <n v="249"/>
    <n v="249"/>
    <n v="20"/>
    <n v="49.8"/>
    <n v="199.2"/>
    <s v="UPI"/>
    <x v="1"/>
  </r>
  <r>
    <s v="ORD-2026224"/>
    <s v="28 Sat"/>
    <s v="Jun"/>
    <s v="2025"/>
    <s v="CUST-1345"/>
    <s v="Tanya Verma"/>
    <x v="2"/>
    <s v="Home &amp; Kitchen"/>
    <s v="Non-stick Pan Set"/>
    <n v="4"/>
    <n v="1299"/>
    <n v="5196"/>
    <n v="5"/>
    <n v="259.8"/>
    <n v="4936.2"/>
    <s v="Net Banking"/>
    <x v="0"/>
  </r>
  <r>
    <s v="ORD-2026225"/>
    <s v="29 Sun"/>
    <s v="Jun"/>
    <s v="2025"/>
    <s v="CUST-1386"/>
    <s v="Swati Patel"/>
    <x v="1"/>
    <s v="Electronics"/>
    <s v="Wireless Mouse"/>
    <n v="2"/>
    <n v="599"/>
    <n v="1198"/>
    <n v="25"/>
    <n v="299.5"/>
    <n v="898.5"/>
    <s v="UPI"/>
    <x v="1"/>
  </r>
  <r>
    <s v="ORD-2026226"/>
    <s v="29 Sun"/>
    <s v="Jun"/>
    <s v="2025"/>
    <s v="CUST-1201"/>
    <s v="Tanya Joshi"/>
    <x v="1"/>
    <s v="Home &amp; Kitchen"/>
    <s v="Non-stick Pan Set"/>
    <n v="3"/>
    <n v="1299"/>
    <n v="3897"/>
    <n v="0"/>
    <n v="0"/>
    <n v="3897"/>
    <s v="Debit Card"/>
    <x v="0"/>
  </r>
  <r>
    <s v="ORD-2026227"/>
    <s v="29 Sun"/>
    <s v="Jun"/>
    <s v="2025"/>
    <s v="CUST-1327"/>
    <s v="Kunal Malhotra"/>
    <x v="4"/>
    <s v="Stationery"/>
    <s v="Gel Pen Pack"/>
    <n v="3"/>
    <n v="99"/>
    <n v="297"/>
    <n v="20"/>
    <n v="59.4"/>
    <n v="237.6"/>
    <s v="Credit Card"/>
    <x v="1"/>
  </r>
  <r>
    <s v="ORD-2026228"/>
    <s v="29 Sun"/>
    <s v="Jun"/>
    <s v="2025"/>
    <s v="CUST-1095"/>
    <s v="Nandini Joshi"/>
    <x v="0"/>
    <s v="Electronics"/>
    <s v="Wireless Mouse"/>
    <n v="4"/>
    <n v="599"/>
    <n v="2396"/>
    <n v="10"/>
    <n v="239.6"/>
    <n v="2156.4"/>
    <s v="Net Banking"/>
    <x v="0"/>
  </r>
  <r>
    <s v="ORD-2026229"/>
    <s v="29 Sun"/>
    <s v="Jun"/>
    <s v="2025"/>
    <s v="CUST-1224"/>
    <s v="Swati Verma"/>
    <x v="0"/>
    <s v="Sports"/>
    <s v="Cricket Bat"/>
    <n v="1"/>
    <n v="1499"/>
    <n v="1499"/>
    <n v="0"/>
    <n v="0"/>
    <n v="1499"/>
    <s v="Cash"/>
    <x v="0"/>
  </r>
  <r>
    <s v="ORD-2026230"/>
    <s v="29 Sun"/>
    <s v="Jun"/>
    <s v="2025"/>
    <s v="CUST-1049"/>
    <s v="Kunal Gupta"/>
    <x v="4"/>
    <s v="Sports"/>
    <s v="Cricket Bat"/>
    <n v="2"/>
    <n v="1499"/>
    <n v="2998"/>
    <n v="15"/>
    <n v="449.7"/>
    <n v="2548.3000000000002"/>
    <s v="Net Banking"/>
    <x v="0"/>
  </r>
  <r>
    <s v="ORD-2026231"/>
    <s v="29 Sun"/>
    <s v="Jun"/>
    <s v="2025"/>
    <s v="CUST-1036"/>
    <s v="Nandini Mehta"/>
    <x v="4"/>
    <s v="Home &amp; Kitchen"/>
    <s v="Non-stick Pan Set"/>
    <n v="2"/>
    <n v="1299"/>
    <n v="2598"/>
    <n v="25"/>
    <n v="649.5"/>
    <n v="1948.5"/>
    <s v="Cash"/>
    <x v="0"/>
  </r>
  <r>
    <s v="ORD-2026232"/>
    <s v="29 Sun"/>
    <s v="Jun"/>
    <s v="2025"/>
    <s v="CUST-1254"/>
    <s v="Meera Malhotra"/>
    <x v="0"/>
    <s v="Beauty"/>
    <s v="Herbal Shampoo"/>
    <n v="1"/>
    <n v="249"/>
    <n v="249"/>
    <n v="5"/>
    <n v="12.45"/>
    <n v="236.55"/>
    <s v="Debit Card"/>
    <x v="1"/>
  </r>
  <r>
    <s v="ORD-2026233"/>
    <s v="29 Sun"/>
    <s v="Jun"/>
    <s v="2025"/>
    <s v="CUST-1269"/>
    <s v="Kunal Verma"/>
    <x v="3"/>
    <s v="Home &amp; Kitchen"/>
    <s v="LED Desk Lamp"/>
    <n v="2"/>
    <n v="799"/>
    <n v="1598"/>
    <n v="30"/>
    <n v="479.4"/>
    <n v="1118.5999999999999"/>
    <s v="UPI"/>
    <x v="1"/>
  </r>
  <r>
    <s v="ORD-2026234"/>
    <s v="29 Sun"/>
    <s v="Jun"/>
    <s v="2025"/>
    <s v="CUST-1098"/>
    <s v="Rohan Patel"/>
    <x v="4"/>
    <s v="Apparel"/>
    <s v="Formal Shirt"/>
    <n v="2"/>
    <n v="899"/>
    <n v="1798"/>
    <n v="5"/>
    <n v="89.9"/>
    <n v="1708.1"/>
    <s v="Credit Card"/>
    <x v="1"/>
  </r>
  <r>
    <s v="ORD-2026235"/>
    <s v="29 Sun"/>
    <s v="Jun"/>
    <s v="2025"/>
    <s v="CUST-1353"/>
    <s v="Vivaan Gupta"/>
    <x v="2"/>
    <s v="Home &amp; Kitchen"/>
    <s v="Non-stick Pan Set"/>
    <n v="1"/>
    <n v="1299"/>
    <n v="1299"/>
    <n v="5"/>
    <n v="64.95"/>
    <n v="1234.05"/>
    <s v="Credit Card"/>
    <x v="0"/>
  </r>
  <r>
    <s v="ORD-2026236"/>
    <s v="29 Sun"/>
    <s v="Jun"/>
    <s v="2025"/>
    <s v="CUST-1222"/>
    <s v="Sakshi Sharma"/>
    <x v="2"/>
    <s v="Electronics"/>
    <s v="Wireless Mouse"/>
    <n v="3"/>
    <n v="599"/>
    <n v="1797"/>
    <n v="10"/>
    <n v="179.7"/>
    <n v="1617.3"/>
    <s v="Credit Card"/>
    <x v="0"/>
  </r>
  <r>
    <s v="ORD-2026237"/>
    <s v="29 Sun"/>
    <s v="Jun"/>
    <s v="2025"/>
    <s v="CUST-1076"/>
    <s v="Tanya Saxena"/>
    <x v="3"/>
    <s v="Stationery"/>
    <s v="Gel Pen Pack"/>
    <n v="3"/>
    <n v="99"/>
    <n v="297"/>
    <n v="10"/>
    <n v="29.7"/>
    <n v="267.3"/>
    <s v="Credit Card"/>
    <x v="0"/>
  </r>
  <r>
    <s v="ORD-2026238"/>
    <s v="29 Sun"/>
    <s v="Jun"/>
    <s v="2025"/>
    <s v="CUST-1034"/>
    <s v="Sakshi Patel"/>
    <x v="0"/>
    <s v="Beauty"/>
    <s v="Herbal Shampoo"/>
    <n v="1"/>
    <n v="249"/>
    <n v="249"/>
    <n v="10"/>
    <n v="24.9"/>
    <n v="224.1"/>
    <s v="Credit Card"/>
    <x v="0"/>
  </r>
  <r>
    <s v="ORD-2026239"/>
    <s v="29 Sun"/>
    <s v="Jun"/>
    <s v="2025"/>
    <s v="CUST-1086"/>
    <s v="Nandini Verma"/>
    <x v="1"/>
    <s v="Electronics"/>
    <s v="Wireless Mouse"/>
    <n v="2"/>
    <n v="599"/>
    <n v="1198"/>
    <n v="30"/>
    <n v="359.4"/>
    <n v="838.6"/>
    <s v="UPI"/>
    <x v="1"/>
  </r>
  <r>
    <s v="ORD-2026240"/>
    <s v="29 Sun"/>
    <s v="Jun"/>
    <s v="2025"/>
    <s v="CUST-1260"/>
    <s v="Ankit Verma"/>
    <x v="0"/>
    <s v="Electronics"/>
    <s v="Wireless Mouse"/>
    <n v="3"/>
    <n v="599"/>
    <n v="1797"/>
    <n v="15"/>
    <n v="269.55"/>
    <n v="1527.45"/>
    <s v="Debit Card"/>
    <x v="0"/>
  </r>
  <r>
    <s v="ORD-2026241"/>
    <s v="30 Mon"/>
    <s v="Jun"/>
    <s v="2025"/>
    <s v="CUST-1169"/>
    <s v="Nandini Patel"/>
    <x v="2"/>
    <s v="Apparel"/>
    <s v="Cotton T-Shirt"/>
    <n v="1"/>
    <n v="499"/>
    <n v="499"/>
    <n v="0"/>
    <n v="0"/>
    <n v="499"/>
    <s v="Credit Card"/>
    <x v="0"/>
  </r>
  <r>
    <s v="ORD-2026242"/>
    <s v="30 Mon"/>
    <s v="Jun"/>
    <s v="2025"/>
    <s v="CUST-1318"/>
    <s v="Tanya Verma"/>
    <x v="0"/>
    <s v="Electronics"/>
    <s v="Wireless Mouse"/>
    <n v="1"/>
    <n v="599"/>
    <n v="599"/>
    <n v="30"/>
    <n v="179.7"/>
    <n v="419.3"/>
    <s v="UPI"/>
    <x v="0"/>
  </r>
  <r>
    <s v="ORD-2026243"/>
    <s v="30 Mon"/>
    <s v="Jun"/>
    <s v="2025"/>
    <s v="CUST-1023"/>
    <s v="Rohan Sharma"/>
    <x v="4"/>
    <s v="Apparel"/>
    <s v="Denim Jacket"/>
    <n v="2"/>
    <n v="1999"/>
    <n v="3998"/>
    <n v="5"/>
    <n v="199.9"/>
    <n v="3798.1"/>
    <s v="Credit Card"/>
    <x v="0"/>
  </r>
  <r>
    <s v="ORD-2026244"/>
    <s v="30 Mon"/>
    <s v="Jun"/>
    <s v="2025"/>
    <s v="CUST-1347"/>
    <s v="Ankit Joshi"/>
    <x v="3"/>
    <s v="Electronics"/>
    <s v="Wireless Mouse"/>
    <n v="3"/>
    <n v="599"/>
    <n v="1797"/>
    <n v="5"/>
    <n v="89.85"/>
    <n v="1707.15"/>
    <s v="Credit Card"/>
    <x v="0"/>
  </r>
  <r>
    <s v="ORD-2026245"/>
    <s v="30 Mon"/>
    <s v="Jun"/>
    <s v="2025"/>
    <s v="CUST-1184"/>
    <s v="Rahul Joshi"/>
    <x v="2"/>
    <s v="Beauty"/>
    <s v="Face Wash 100ml"/>
    <n v="4"/>
    <n v="299"/>
    <n v="1196"/>
    <n v="15"/>
    <n v="179.4"/>
    <n v="1016.6"/>
    <s v="UPI"/>
    <x v="0"/>
  </r>
  <r>
    <s v="ORD-2026246"/>
    <s v="30 Mon"/>
    <s v="Jun"/>
    <s v="2025"/>
    <s v="CUST-1042"/>
    <s v="Kunal Saxena"/>
    <x v="3"/>
    <s v="Apparel"/>
    <s v="Formal Shirt"/>
    <n v="3"/>
    <n v="899"/>
    <n v="2697"/>
    <n v="0"/>
    <n v="0"/>
    <n v="2697"/>
    <s v="Debit Card"/>
    <x v="0"/>
  </r>
  <r>
    <s v="ORD-2026247"/>
    <s v="30 Mon"/>
    <s v="Jun"/>
    <s v="2025"/>
    <s v="CUST-1121"/>
    <s v="Rahul Kapoor"/>
    <x v="1"/>
    <s v="Home &amp; Kitchen"/>
    <s v="LED Desk Lamp"/>
    <n v="1"/>
    <n v="799"/>
    <n v="799"/>
    <n v="20"/>
    <n v="159.80000000000001"/>
    <n v="639.20000000000005"/>
    <s v="Cash"/>
    <x v="0"/>
  </r>
  <r>
    <s v="ORD-2026248"/>
    <s v="30 Mon"/>
    <s v="Jun"/>
    <s v="2025"/>
    <s v="CUST-1038"/>
    <s v="Rohan Joshi"/>
    <x v="3"/>
    <s v="Electronics"/>
    <s v="Bluetooth Headphones"/>
    <n v="1"/>
    <n v="1799"/>
    <n v="1799"/>
    <n v="5"/>
    <n v="89.95"/>
    <n v="1709.05"/>
    <s v="Cash"/>
    <x v="0"/>
  </r>
  <r>
    <s v="ORD-2026249"/>
    <s v="30 Mon"/>
    <s v="Jun"/>
    <s v="2025"/>
    <s v="CUST-1124"/>
    <s v="Aditya Gupta"/>
    <x v="0"/>
    <s v="Groceries"/>
    <s v="Basmati Rice 5kg"/>
    <n v="1"/>
    <n v="549"/>
    <n v="549"/>
    <n v="25"/>
    <n v="137.25"/>
    <n v="411.75"/>
    <s v="Debit Card"/>
    <x v="0"/>
  </r>
  <r>
    <s v="ORD-2026250"/>
    <s v="30 Mon"/>
    <s v="Jun"/>
    <s v="2025"/>
    <s v="CUST-1125"/>
    <s v="Muskan Malhotra"/>
    <x v="4"/>
    <s v="Electronics"/>
    <s v="Wireless Mouse"/>
    <n v="4"/>
    <n v="599"/>
    <n v="2396"/>
    <n v="10"/>
    <n v="239.6"/>
    <n v="2156.4"/>
    <s v="Cash"/>
    <x v="1"/>
  </r>
  <r>
    <s v="ORD-2026251"/>
    <s v="30 Mon"/>
    <s v="Jun"/>
    <s v="2025"/>
    <s v="CUST-1043"/>
    <s v="Divya Kapoor"/>
    <x v="2"/>
    <s v="Home &amp; Kitchen"/>
    <s v="LED Desk Lamp"/>
    <n v="2"/>
    <n v="799"/>
    <n v="1598"/>
    <n v="5"/>
    <n v="79.900000000000006"/>
    <n v="1518.1"/>
    <s v="Debit Card"/>
    <x v="0"/>
  </r>
  <r>
    <s v="ORD-2026252"/>
    <s v="1 Tue"/>
    <s v="Jul"/>
    <s v="2025"/>
    <s v="CUST-1102"/>
    <s v="Aarav Patel"/>
    <x v="1"/>
    <s v="Home &amp; Kitchen"/>
    <s v="Non-stick Pan Set"/>
    <n v="1"/>
    <n v="1299"/>
    <n v="1299"/>
    <n v="0"/>
    <n v="0"/>
    <n v="1299"/>
    <s v="Cash"/>
    <x v="1"/>
  </r>
  <r>
    <s v="ORD-2026253"/>
    <s v="1 Tue"/>
    <s v="Jul"/>
    <s v="2025"/>
    <s v="CUST-1265"/>
    <s v="Muskan Singh"/>
    <x v="0"/>
    <s v="Stationery"/>
    <s v="Notebook Set"/>
    <n v="1"/>
    <n v="199"/>
    <n v="199"/>
    <n v="0"/>
    <n v="0"/>
    <n v="199"/>
    <s v="UPI"/>
    <x v="1"/>
  </r>
  <r>
    <s v="ORD-2026254"/>
    <s v="1 Tue"/>
    <s v="Jul"/>
    <s v="2025"/>
    <s v="CUST-1277"/>
    <s v="Vivaan Sharma"/>
    <x v="4"/>
    <s v="Apparel"/>
    <s v="Formal Shirt"/>
    <n v="2"/>
    <n v="899"/>
    <n v="1798"/>
    <n v="5"/>
    <n v="89.9"/>
    <n v="1708.1"/>
    <s v="Credit Card"/>
    <x v="0"/>
  </r>
  <r>
    <s v="ORD-2026255"/>
    <s v="1 Tue"/>
    <s v="Jul"/>
    <s v="2025"/>
    <s v="CUST-1307"/>
    <s v="Swati Kapoor"/>
    <x v="3"/>
    <s v="Home &amp; Kitchen"/>
    <s v="Non-stick Pan Set"/>
    <n v="2"/>
    <n v="1299"/>
    <n v="2598"/>
    <n v="0"/>
    <n v="0"/>
    <n v="2598"/>
    <s v="Net Banking"/>
    <x v="0"/>
  </r>
  <r>
    <s v="ORD-2026256"/>
    <s v="1 Tue"/>
    <s v="Jul"/>
    <s v="2025"/>
    <s v="CUST-1368"/>
    <s v="Isha Patel"/>
    <x v="0"/>
    <s v="Stationery"/>
    <s v="Gel Pen Pack"/>
    <n v="3"/>
    <n v="99"/>
    <n v="297"/>
    <n v="0"/>
    <n v="0"/>
    <n v="297"/>
    <s v="Credit Card"/>
    <x v="0"/>
  </r>
  <r>
    <s v="ORD-2026257"/>
    <s v="1 Tue"/>
    <s v="Jul"/>
    <s v="2025"/>
    <s v="CUST-1079"/>
    <s v="Komal Mehta"/>
    <x v="2"/>
    <s v="Groceries"/>
    <s v="Organic Honey 500g"/>
    <n v="1"/>
    <n v="349"/>
    <n v="349"/>
    <n v="10"/>
    <n v="34.9"/>
    <n v="314.10000000000002"/>
    <s v="Credit Card"/>
    <x v="1"/>
  </r>
  <r>
    <s v="ORD-2026258"/>
    <s v="1 Tue"/>
    <s v="Jul"/>
    <s v="2025"/>
    <s v="CUST-1290"/>
    <s v="Kabir Mehta"/>
    <x v="4"/>
    <s v="Apparel"/>
    <s v="Formal Shirt"/>
    <n v="1"/>
    <n v="899"/>
    <n v="899"/>
    <n v="15"/>
    <n v="134.85"/>
    <n v="764.15"/>
    <s v="UPI"/>
    <x v="0"/>
  </r>
  <r>
    <s v="ORD-2026259"/>
    <s v="1 Tue"/>
    <s v="Jul"/>
    <s v="2025"/>
    <s v="CUST-1384"/>
    <s v="Vivaan Singh"/>
    <x v="2"/>
    <s v="Apparel"/>
    <s v="Denim Jacket"/>
    <n v="1"/>
    <n v="1999"/>
    <n v="1999"/>
    <n v="0"/>
    <n v="0"/>
    <n v="1999"/>
    <s v="Credit Card"/>
    <x v="1"/>
  </r>
  <r>
    <s v="ORD-2026260"/>
    <s v="1 Tue"/>
    <s v="Jul"/>
    <s v="2025"/>
    <s v="CUST-1099"/>
    <s v="Rahul Malhotra"/>
    <x v="3"/>
    <s v="Groceries"/>
    <s v="Basmati Rice 5kg"/>
    <n v="1"/>
    <n v="549"/>
    <n v="549"/>
    <n v="10"/>
    <n v="54.9"/>
    <n v="494.1"/>
    <s v="Credit Card"/>
    <x v="1"/>
  </r>
  <r>
    <s v="ORD-2026261"/>
    <s v="2 Wed"/>
    <s v="Jul"/>
    <s v="2025"/>
    <s v="CUST-1226"/>
    <s v="Tanya Joshi"/>
    <x v="1"/>
    <s v="Electronics"/>
    <s v="Wireless Mouse"/>
    <n v="1"/>
    <n v="599"/>
    <n v="599"/>
    <n v="20"/>
    <n v="119.8"/>
    <n v="479.2"/>
    <s v="Debit Card"/>
    <x v="0"/>
  </r>
  <r>
    <s v="ORD-2026262"/>
    <s v="2 Wed"/>
    <s v="Jul"/>
    <s v="2025"/>
    <s v="CUST-1266"/>
    <s v="Vivaan Kapoor"/>
    <x v="0"/>
    <s v="Apparel"/>
    <s v="Formal Shirt"/>
    <n v="1"/>
    <n v="899"/>
    <n v="899"/>
    <n v="0"/>
    <n v="0"/>
    <n v="899"/>
    <s v="Cash"/>
    <x v="1"/>
  </r>
  <r>
    <s v="ORD-2026263"/>
    <s v="2 Wed"/>
    <s v="Jul"/>
    <s v="2025"/>
    <s v="CUST-1221"/>
    <s v="Kunal Singh"/>
    <x v="1"/>
    <s v="Electronics"/>
    <s v="Wireless Mouse"/>
    <n v="3"/>
    <n v="599"/>
    <n v="1797"/>
    <n v="15"/>
    <n v="269.55"/>
    <n v="1527.45"/>
    <s v="Credit Card"/>
    <x v="1"/>
  </r>
  <r>
    <s v="ORD-2026264"/>
    <s v="2 Wed"/>
    <s v="Jul"/>
    <s v="2025"/>
    <s v="CUST-1283"/>
    <s v="Aditya Mehta"/>
    <x v="0"/>
    <s v="Apparel"/>
    <s v="Cotton T-Shirt"/>
    <n v="1"/>
    <n v="499"/>
    <n v="499"/>
    <n v="20"/>
    <n v="99.8"/>
    <n v="399.2"/>
    <s v="Credit Card"/>
    <x v="0"/>
  </r>
  <r>
    <s v="ORD-2026265"/>
    <s v="2 Wed"/>
    <s v="Jul"/>
    <s v="2025"/>
    <s v="CUST-1358"/>
    <s v="Aman Patel"/>
    <x v="4"/>
    <s v="Apparel"/>
    <s v="Denim Jacket"/>
    <n v="1"/>
    <n v="1999"/>
    <n v="1999"/>
    <n v="20"/>
    <n v="399.8"/>
    <n v="1599.2"/>
    <s v="Debit Card"/>
    <x v="1"/>
  </r>
  <r>
    <s v="ORD-2026266"/>
    <s v="2 Wed"/>
    <s v="Jul"/>
    <s v="2025"/>
    <s v="CUST-1039"/>
    <s v="Aarav Joshi"/>
    <x v="3"/>
    <s v="Electronics"/>
    <s v="Bluetooth Headphones"/>
    <n v="1"/>
    <n v="1799"/>
    <n v="1799"/>
    <n v="20"/>
    <n v="359.8"/>
    <n v="1439.2"/>
    <s v="Cash"/>
    <x v="0"/>
  </r>
  <r>
    <s v="ORD-2026267"/>
    <s v="3 Thu"/>
    <s v="Jul"/>
    <s v="2025"/>
    <s v="CUST-1308"/>
    <s v="Shreya Sharma"/>
    <x v="2"/>
    <s v="Groceries"/>
    <s v="Basmati Rice 5kg"/>
    <n v="5"/>
    <n v="549"/>
    <n v="2745"/>
    <n v="10"/>
    <n v="274.5"/>
    <n v="2470.5"/>
    <s v="Cash"/>
    <x v="0"/>
  </r>
  <r>
    <s v="ORD-2026268"/>
    <s v="3 Thu"/>
    <s v="Jul"/>
    <s v="2025"/>
    <s v="CUST-1034"/>
    <s v="Sakshi Patel"/>
    <x v="1"/>
    <s v="Sports"/>
    <s v="Yoga Mat"/>
    <n v="4"/>
    <n v="699"/>
    <n v="2796"/>
    <n v="0"/>
    <n v="0"/>
    <n v="2796"/>
    <s v="UPI"/>
    <x v="0"/>
  </r>
  <r>
    <s v="ORD-2026269"/>
    <s v="3 Thu"/>
    <s v="Jul"/>
    <s v="2025"/>
    <s v="CUST-1237"/>
    <s v="Divya Sharma"/>
    <x v="3"/>
    <s v="Groceries"/>
    <s v="Organic Honey 500g"/>
    <n v="1"/>
    <n v="349"/>
    <n v="349"/>
    <n v="15"/>
    <n v="52.35"/>
    <n v="296.64999999999998"/>
    <s v="Debit Card"/>
    <x v="1"/>
  </r>
  <r>
    <s v="ORD-2026270"/>
    <s v="3 Thu"/>
    <s v="Jul"/>
    <s v="2025"/>
    <s v="CUST-1328"/>
    <s v="Arjun Verma"/>
    <x v="1"/>
    <s v="Groceries"/>
    <s v="Organic Honey 500g"/>
    <n v="2"/>
    <n v="349"/>
    <n v="698"/>
    <n v="0"/>
    <n v="0"/>
    <n v="698"/>
    <s v="Debit Card"/>
    <x v="1"/>
  </r>
  <r>
    <s v="ORD-2026271"/>
    <s v="3 Thu"/>
    <s v="Jul"/>
    <s v="2025"/>
    <s v="CUST-1380"/>
    <s v="Meera Joshi"/>
    <x v="4"/>
    <s v="Beauty"/>
    <s v="Face Wash 100ml"/>
    <n v="1"/>
    <n v="299"/>
    <n v="299"/>
    <n v="0"/>
    <n v="0"/>
    <n v="299"/>
    <s v="Cash"/>
    <x v="1"/>
  </r>
  <r>
    <s v="ORD-2026272"/>
    <s v="3 Thu"/>
    <s v="Jul"/>
    <s v="2025"/>
    <s v="CUST-1078"/>
    <s v="Kabir Malhotra"/>
    <x v="3"/>
    <s v="Groceries"/>
    <s v="Organic Honey 500g"/>
    <n v="1"/>
    <n v="349"/>
    <n v="349"/>
    <n v="10"/>
    <n v="34.9"/>
    <n v="314.10000000000002"/>
    <s v="Debit Card"/>
    <x v="1"/>
  </r>
  <r>
    <s v="ORD-2026273"/>
    <s v="3 Thu"/>
    <s v="Jul"/>
    <s v="2025"/>
    <s v="CUST-1167"/>
    <s v="Nandini Verma"/>
    <x v="2"/>
    <s v="Stationery"/>
    <s v="Gel Pen Pack"/>
    <n v="2"/>
    <n v="99"/>
    <n v="198"/>
    <n v="10"/>
    <n v="19.8"/>
    <n v="178.2"/>
    <s v="Cash"/>
    <x v="1"/>
  </r>
  <r>
    <s v="ORD-2026274"/>
    <s v="3 Thu"/>
    <s v="Jul"/>
    <s v="2025"/>
    <s v="CUST-1356"/>
    <s v="Isha Verma"/>
    <x v="4"/>
    <s v="Beauty"/>
    <s v="Herbal Shampoo"/>
    <n v="1"/>
    <n v="249"/>
    <n v="249"/>
    <n v="15"/>
    <n v="37.35"/>
    <n v="211.65"/>
    <s v="Cash"/>
    <x v="0"/>
  </r>
  <r>
    <s v="ORD-2026275"/>
    <s v="3 Thu"/>
    <s v="Jul"/>
    <s v="2025"/>
    <s v="CUST-1209"/>
    <s v="Meera Mehta"/>
    <x v="0"/>
    <s v="Electronics"/>
    <s v="Smartwatch"/>
    <n v="1"/>
    <n v="2999"/>
    <n v="2999"/>
    <n v="0"/>
    <n v="0"/>
    <n v="2999"/>
    <s v="Credit Card"/>
    <x v="0"/>
  </r>
  <r>
    <s v="ORD-2026276"/>
    <s v="3 Thu"/>
    <s v="Jul"/>
    <s v="2025"/>
    <s v="CUST-1390"/>
    <s v="Rahul Saxena"/>
    <x v="2"/>
    <s v="Apparel"/>
    <s v="Denim Jacket"/>
    <n v="4"/>
    <n v="1999"/>
    <n v="7996"/>
    <n v="5"/>
    <n v="399.8"/>
    <n v="7596.2"/>
    <s v="Debit Card"/>
    <x v="1"/>
  </r>
  <r>
    <s v="ORD-2026277"/>
    <s v="3 Thu"/>
    <s v="Jul"/>
    <s v="2025"/>
    <s v="CUST-1327"/>
    <s v="Kunal Malhotra"/>
    <x v="0"/>
    <s v="Apparel"/>
    <s v="Denim Jacket"/>
    <n v="3"/>
    <n v="1999"/>
    <n v="5997"/>
    <n v="0"/>
    <n v="0"/>
    <n v="5997"/>
    <s v="Credit Card"/>
    <x v="1"/>
  </r>
  <r>
    <s v="ORD-2026278"/>
    <s v="4 Fri"/>
    <s v="Jul"/>
    <s v="2025"/>
    <s v="CUST-1103"/>
    <s v="Muskan Gupta"/>
    <x v="0"/>
    <s v="Apparel"/>
    <s v="Formal Shirt"/>
    <n v="1"/>
    <n v="899"/>
    <n v="899"/>
    <n v="0"/>
    <n v="0"/>
    <n v="899"/>
    <s v="Credit Card"/>
    <x v="0"/>
  </r>
  <r>
    <s v="ORD-2026279"/>
    <s v="4 Fri"/>
    <s v="Jul"/>
    <s v="2025"/>
    <s v="CUST-1046"/>
    <s v="Rohan Kapoor"/>
    <x v="2"/>
    <s v="Apparel"/>
    <s v="Denim Jacket"/>
    <n v="1"/>
    <n v="1999"/>
    <n v="1999"/>
    <n v="20"/>
    <n v="399.8"/>
    <n v="1599.2"/>
    <s v="Net Banking"/>
    <x v="1"/>
  </r>
  <r>
    <s v="ORD-2026280"/>
    <s v="4 Fri"/>
    <s v="Jul"/>
    <s v="2025"/>
    <s v="CUST-1256"/>
    <s v="Rohan Singh"/>
    <x v="2"/>
    <s v="Apparel"/>
    <s v="Denim Jacket"/>
    <n v="1"/>
    <n v="1999"/>
    <n v="1999"/>
    <n v="20"/>
    <n v="399.8"/>
    <n v="1599.2"/>
    <s v="Debit Card"/>
    <x v="0"/>
  </r>
  <r>
    <s v="ORD-2026281"/>
    <s v="4 Fri"/>
    <s v="Jul"/>
    <s v="2025"/>
    <s v="CUST-1344"/>
    <s v="Nandini Saxena"/>
    <x v="3"/>
    <s v="Groceries"/>
    <s v="Basmati Rice 5kg"/>
    <n v="3"/>
    <n v="549"/>
    <n v="1647"/>
    <n v="0"/>
    <n v="0"/>
    <n v="1647"/>
    <s v="Cash"/>
    <x v="1"/>
  </r>
  <r>
    <s v="ORD-2026282"/>
    <s v="4 Fri"/>
    <s v="Jul"/>
    <s v="2025"/>
    <s v="CUST-1004"/>
    <s v="Tanya Malhotra"/>
    <x v="4"/>
    <s v="Apparel"/>
    <s v="Denim Jacket"/>
    <n v="3"/>
    <n v="1999"/>
    <n v="5997"/>
    <n v="0"/>
    <n v="0"/>
    <n v="5997"/>
    <s v="Debit Card"/>
    <x v="1"/>
  </r>
  <r>
    <s v="ORD-2026283"/>
    <s v="4 Fri"/>
    <s v="Jul"/>
    <s v="2025"/>
    <s v="CUST-1306"/>
    <s v="Sakshi Malhotra"/>
    <x v="0"/>
    <s v="Stationery"/>
    <s v="Notebook Set"/>
    <n v="5"/>
    <n v="199"/>
    <n v="995"/>
    <n v="15"/>
    <n v="149.25"/>
    <n v="845.75"/>
    <s v="UPI"/>
    <x v="1"/>
  </r>
  <r>
    <s v="ORD-2026284"/>
    <s v="4 Fri"/>
    <s v="Jul"/>
    <s v="2025"/>
    <s v="CUST-1349"/>
    <s v="Rohan Mehta"/>
    <x v="3"/>
    <s v="Sports"/>
    <s v="Cricket Bat"/>
    <n v="1"/>
    <n v="1499"/>
    <n v="1499"/>
    <n v="0"/>
    <n v="0"/>
    <n v="1499"/>
    <s v="Credit Card"/>
    <x v="1"/>
  </r>
  <r>
    <s v="ORD-2026285"/>
    <s v="4 Fri"/>
    <s v="Jul"/>
    <s v="2025"/>
    <s v="CUST-1074"/>
    <s v="Kabir Kapoor"/>
    <x v="4"/>
    <s v="Groceries"/>
    <s v="Basmati Rice 5kg"/>
    <n v="4"/>
    <n v="549"/>
    <n v="2196"/>
    <n v="5"/>
    <n v="109.8"/>
    <n v="2086.1999999999998"/>
    <s v="Credit Card"/>
    <x v="0"/>
  </r>
  <r>
    <s v="ORD-2026286"/>
    <s v="4 Fri"/>
    <s v="Jul"/>
    <s v="2025"/>
    <s v="CUST-1078"/>
    <s v="Kabir Malhotra"/>
    <x v="4"/>
    <s v="Home &amp; Kitchen"/>
    <s v="Non-stick Pan Set"/>
    <n v="1"/>
    <n v="1299"/>
    <n v="1299"/>
    <n v="0"/>
    <n v="0"/>
    <n v="1299"/>
    <s v="Debit Card"/>
    <x v="0"/>
  </r>
  <r>
    <s v="ORD-2026287"/>
    <s v="4 Fri"/>
    <s v="Jul"/>
    <s v="2025"/>
    <s v="CUST-1279"/>
    <s v="Tanya Kapoor"/>
    <x v="3"/>
    <s v="Electronics"/>
    <s v="Wireless Mouse"/>
    <n v="2"/>
    <n v="599"/>
    <n v="1198"/>
    <n v="0"/>
    <n v="0"/>
    <n v="1198"/>
    <s v="Cash"/>
    <x v="1"/>
  </r>
  <r>
    <s v="ORD-2026288"/>
    <s v="4 Fri"/>
    <s v="Jul"/>
    <s v="2025"/>
    <s v="CUST-1383"/>
    <s v="Aman Gupta"/>
    <x v="0"/>
    <s v="Sports"/>
    <s v="Yoga Mat"/>
    <n v="1"/>
    <n v="699"/>
    <n v="699"/>
    <n v="15"/>
    <n v="104.85"/>
    <n v="594.15"/>
    <s v="Net Banking"/>
    <x v="0"/>
  </r>
  <r>
    <s v="ORD-2026289"/>
    <s v="4 Fri"/>
    <s v="Jul"/>
    <s v="2025"/>
    <s v="CUST-1168"/>
    <s v="Nandini Joshi"/>
    <x v="1"/>
    <s v="Groceries"/>
    <s v="Basmati Rice 5kg"/>
    <n v="1"/>
    <n v="549"/>
    <n v="549"/>
    <n v="5"/>
    <n v="27.45"/>
    <n v="521.54999999999995"/>
    <s v="Debit Card"/>
    <x v="0"/>
  </r>
  <r>
    <s v="ORD-2026290"/>
    <s v="5 Sat"/>
    <s v="Jul"/>
    <s v="2025"/>
    <s v="CUST-1297"/>
    <s v="Sakshi Kapoor"/>
    <x v="3"/>
    <s v="Stationery"/>
    <s v="Gel Pen Pack"/>
    <n v="2"/>
    <n v="99"/>
    <n v="198"/>
    <n v="15"/>
    <n v="29.7"/>
    <n v="168.3"/>
    <s v="Cash"/>
    <x v="0"/>
  </r>
  <r>
    <s v="ORD-2026291"/>
    <s v="5 Sat"/>
    <s v="Jul"/>
    <s v="2025"/>
    <s v="CUST-1247"/>
    <s v="Meera Malhotra"/>
    <x v="0"/>
    <s v="Stationery"/>
    <s v="Gel Pen Pack"/>
    <n v="2"/>
    <n v="99"/>
    <n v="198"/>
    <n v="0"/>
    <n v="0"/>
    <n v="198"/>
    <s v="Debit Card"/>
    <x v="0"/>
  </r>
  <r>
    <s v="ORD-2026292"/>
    <s v="5 Sat"/>
    <s v="Jul"/>
    <s v="2025"/>
    <s v="CUST-1041"/>
    <s v="Divya Malhotra"/>
    <x v="3"/>
    <s v="Stationery"/>
    <s v="Notebook Set"/>
    <n v="1"/>
    <n v="199"/>
    <n v="199"/>
    <n v="15"/>
    <n v="29.85"/>
    <n v="169.15"/>
    <s v="Credit Card"/>
    <x v="0"/>
  </r>
  <r>
    <s v="ORD-2026293"/>
    <s v="5 Sat"/>
    <s v="Jul"/>
    <s v="2025"/>
    <s v="CUST-1389"/>
    <s v="Ankit Mehta"/>
    <x v="0"/>
    <s v="Apparel"/>
    <s v="Cotton T-Shirt"/>
    <n v="2"/>
    <n v="499"/>
    <n v="998"/>
    <n v="0"/>
    <n v="0"/>
    <n v="998"/>
    <s v="UPI"/>
    <x v="1"/>
  </r>
  <r>
    <s v="ORD-2026294"/>
    <s v="5 Sat"/>
    <s v="Jul"/>
    <s v="2025"/>
    <s v="CUST-1287"/>
    <s v="Divya Kapoor"/>
    <x v="3"/>
    <s v="Sports"/>
    <s v="Cricket Bat"/>
    <n v="3"/>
    <n v="1499"/>
    <n v="4497"/>
    <n v="10"/>
    <n v="449.7"/>
    <n v="4047.3"/>
    <s v="Cash"/>
    <x v="0"/>
  </r>
  <r>
    <s v="ORD-2026295"/>
    <s v="5 Sat"/>
    <s v="Jul"/>
    <s v="2025"/>
    <s v="CUST-1392"/>
    <s v="Aarav Singh"/>
    <x v="0"/>
    <s v="Groceries"/>
    <s v="Basmati Rice 5kg"/>
    <n v="1"/>
    <n v="549"/>
    <n v="549"/>
    <n v="15"/>
    <n v="82.35"/>
    <n v="466.65"/>
    <s v="UPI"/>
    <x v="0"/>
  </r>
  <r>
    <s v="ORD-2026296"/>
    <s v="5 Sat"/>
    <s v="Jul"/>
    <s v="2025"/>
    <s v="CUST-1086"/>
    <s v="Nandini Verma"/>
    <x v="2"/>
    <s v="Stationery"/>
    <s v="Gel Pen Pack"/>
    <n v="3"/>
    <n v="99"/>
    <n v="297"/>
    <n v="20"/>
    <n v="59.4"/>
    <n v="237.6"/>
    <s v="UPI"/>
    <x v="1"/>
  </r>
  <r>
    <s v="ORD-2026297"/>
    <s v="6 Sun"/>
    <s v="Jul"/>
    <s v="2025"/>
    <s v="CUST-1261"/>
    <s v="Shreya Patel"/>
    <x v="0"/>
    <s v="Groceries"/>
    <s v="Organic Honey 500g"/>
    <n v="1"/>
    <n v="349"/>
    <n v="349"/>
    <n v="20"/>
    <n v="69.8"/>
    <n v="279.2"/>
    <s v="UPI"/>
    <x v="1"/>
  </r>
  <r>
    <s v="ORD-2026298"/>
    <s v="6 Sun"/>
    <s v="Jul"/>
    <s v="2025"/>
    <s v="CUST-1235"/>
    <s v="Meera Verma"/>
    <x v="2"/>
    <s v="Sports"/>
    <s v="Yoga Mat"/>
    <n v="1"/>
    <n v="699"/>
    <n v="699"/>
    <n v="0"/>
    <n v="0"/>
    <n v="699"/>
    <s v="Net Banking"/>
    <x v="0"/>
  </r>
  <r>
    <s v="ORD-2026299"/>
    <s v="6 Sun"/>
    <s v="Jul"/>
    <s v="2025"/>
    <s v="CUST-1233"/>
    <s v="Rahul Joshi"/>
    <x v="4"/>
    <s v="Sports"/>
    <s v="Cricket Bat"/>
    <n v="1"/>
    <n v="1499"/>
    <n v="1499"/>
    <n v="0"/>
    <n v="0"/>
    <n v="1499"/>
    <s v="Credit Card"/>
    <x v="0"/>
  </r>
  <r>
    <s v="ORD-2026300"/>
    <s v="6 Sun"/>
    <s v="Jul"/>
    <s v="2025"/>
    <s v="CUST-1285"/>
    <s v="Ankit Joshi"/>
    <x v="1"/>
    <s v="Home &amp; Kitchen"/>
    <s v="LED Desk Lamp"/>
    <n v="2"/>
    <n v="799"/>
    <n v="1598"/>
    <n v="0"/>
    <n v="0"/>
    <n v="1598"/>
    <s v="Debit Card"/>
    <x v="0"/>
  </r>
  <r>
    <s v="ORD-2026301"/>
    <s v="6 Sun"/>
    <s v="Jul"/>
    <s v="2025"/>
    <s v="CUST-1030"/>
    <s v="Rahul Kapoor"/>
    <x v="2"/>
    <s v="Apparel"/>
    <s v="Cotton T-Shirt"/>
    <n v="5"/>
    <n v="499"/>
    <n v="2495"/>
    <n v="5"/>
    <n v="124.75"/>
    <n v="2370.25"/>
    <s v="Debit Card"/>
    <x v="0"/>
  </r>
  <r>
    <s v="ORD-2026302"/>
    <s v="6 Sun"/>
    <s v="Jul"/>
    <s v="2025"/>
    <s v="CUST-1220"/>
    <s v="Aditya Kapoor"/>
    <x v="0"/>
    <s v="Groceries"/>
    <s v="Organic Honey 500g"/>
    <n v="1"/>
    <n v="349"/>
    <n v="349"/>
    <n v="0"/>
    <n v="0"/>
    <n v="349"/>
    <s v="UPI"/>
    <x v="0"/>
  </r>
  <r>
    <s v="ORD-2026303"/>
    <s v="6 Sun"/>
    <s v="Jul"/>
    <s v="2025"/>
    <s v="CUST-1149"/>
    <s v="Aarav Verma"/>
    <x v="3"/>
    <s v="Beauty"/>
    <s v="Face Wash 100ml"/>
    <n v="2"/>
    <n v="299"/>
    <n v="598"/>
    <n v="0"/>
    <n v="0"/>
    <n v="598"/>
    <s v="UPI"/>
    <x v="1"/>
  </r>
  <r>
    <s v="ORD-2026304"/>
    <s v="6 Sun"/>
    <s v="Jul"/>
    <s v="2025"/>
    <s v="CUST-1117"/>
    <s v="Aman Saxena"/>
    <x v="1"/>
    <s v="Stationery"/>
    <s v="Gel Pen Pack"/>
    <n v="1"/>
    <n v="99"/>
    <n v="99"/>
    <n v="0"/>
    <n v="0"/>
    <n v="99"/>
    <s v="UPI"/>
    <x v="0"/>
  </r>
  <r>
    <s v="ORD-2026305"/>
    <s v="6 Sun"/>
    <s v="Jul"/>
    <s v="2025"/>
    <s v="CUST-1013"/>
    <s v="Divya Joshi"/>
    <x v="3"/>
    <s v="Electronics"/>
    <s v="Wireless Mouse"/>
    <n v="1"/>
    <n v="599"/>
    <n v="599"/>
    <n v="0"/>
    <n v="0"/>
    <n v="599"/>
    <s v="Debit Card"/>
    <x v="0"/>
  </r>
  <r>
    <s v="ORD-2026306"/>
    <s v="6 Sun"/>
    <s v="Jul"/>
    <s v="2025"/>
    <s v="CUST-1083"/>
    <s v="Komal Kapoor"/>
    <x v="3"/>
    <s v="Sports"/>
    <s v="Yoga Mat"/>
    <n v="1"/>
    <n v="699"/>
    <n v="699"/>
    <n v="10"/>
    <n v="69.900000000000006"/>
    <n v="629.1"/>
    <s v="Cash"/>
    <x v="0"/>
  </r>
  <r>
    <s v="ORD-2026307"/>
    <s v="7 Mon"/>
    <s v="Jul"/>
    <s v="2025"/>
    <s v="CUST-1363"/>
    <s v="Arjun Joshi"/>
    <x v="3"/>
    <s v="Beauty"/>
    <s v="Herbal Shampoo"/>
    <n v="1"/>
    <n v="249"/>
    <n v="249"/>
    <n v="0"/>
    <n v="0"/>
    <n v="249"/>
    <s v="Debit Card"/>
    <x v="0"/>
  </r>
  <r>
    <s v="ORD-2026308"/>
    <s v="7 Mon"/>
    <s v="Jul"/>
    <s v="2025"/>
    <s v="CUST-1335"/>
    <s v="Divya Saxena"/>
    <x v="0"/>
    <s v="Beauty"/>
    <s v="Herbal Shampoo"/>
    <n v="4"/>
    <n v="249"/>
    <n v="996"/>
    <n v="0"/>
    <n v="0"/>
    <n v="996"/>
    <s v="UPI"/>
    <x v="0"/>
  </r>
  <r>
    <s v="ORD-2026309"/>
    <s v="7 Mon"/>
    <s v="Jul"/>
    <s v="2025"/>
    <s v="CUST-1132"/>
    <s v="Shreya Sharma"/>
    <x v="2"/>
    <s v="Electronics"/>
    <s v="Wireless Mouse"/>
    <n v="4"/>
    <n v="599"/>
    <n v="2396"/>
    <n v="5"/>
    <n v="119.8"/>
    <n v="2276.1999999999998"/>
    <s v="Debit Card"/>
    <x v="0"/>
  </r>
  <r>
    <s v="ORD-2026310"/>
    <s v="7 Mon"/>
    <s v="Jul"/>
    <s v="2025"/>
    <s v="CUST-1056"/>
    <s v="Aarav Kapoor"/>
    <x v="4"/>
    <s v="Beauty"/>
    <s v="Face Wash 100ml"/>
    <n v="1"/>
    <n v="299"/>
    <n v="299"/>
    <n v="0"/>
    <n v="0"/>
    <n v="299"/>
    <s v="Credit Card"/>
    <x v="0"/>
  </r>
  <r>
    <s v="ORD-2026311"/>
    <s v="7 Mon"/>
    <s v="Jul"/>
    <s v="2025"/>
    <s v="CUST-1273"/>
    <s v="Aman Saxena"/>
    <x v="1"/>
    <s v="Sports"/>
    <s v="Cricket Bat"/>
    <n v="1"/>
    <n v="1499"/>
    <n v="1499"/>
    <n v="15"/>
    <n v="224.85"/>
    <n v="1274.1500000000001"/>
    <s v="Debit Card"/>
    <x v="1"/>
  </r>
  <r>
    <s v="ORD-2026312"/>
    <s v="7 Mon"/>
    <s v="Jul"/>
    <s v="2025"/>
    <s v="CUST-1242"/>
    <s v="Sakshi Malhotra"/>
    <x v="1"/>
    <s v="Sports"/>
    <s v="Cricket Bat"/>
    <n v="3"/>
    <n v="1499"/>
    <n v="4497"/>
    <n v="20"/>
    <n v="899.4"/>
    <n v="3597.6"/>
    <s v="Debit Card"/>
    <x v="0"/>
  </r>
  <r>
    <s v="ORD-2026313"/>
    <s v="7 Mon"/>
    <s v="Jul"/>
    <s v="2025"/>
    <s v="CUST-1164"/>
    <s v="Kabir Malhotra"/>
    <x v="1"/>
    <s v="Groceries"/>
    <s v="Organic Honey 500g"/>
    <n v="1"/>
    <n v="349"/>
    <n v="349"/>
    <n v="15"/>
    <n v="52.35"/>
    <n v="296.64999999999998"/>
    <s v="UPI"/>
    <x v="0"/>
  </r>
  <r>
    <s v="ORD-2026314"/>
    <s v="7 Mon"/>
    <s v="Jul"/>
    <s v="2025"/>
    <s v="CUST-1164"/>
    <s v="Kabir Malhotra"/>
    <x v="2"/>
    <s v="Groceries"/>
    <s v="Organic Honey 500g"/>
    <n v="1"/>
    <n v="349"/>
    <n v="349"/>
    <n v="15"/>
    <n v="52.35"/>
    <n v="296.64999999999998"/>
    <s v="Cash"/>
    <x v="1"/>
  </r>
  <r>
    <s v="ORD-2026315"/>
    <s v="8 Tue"/>
    <s v="Jul"/>
    <s v="2025"/>
    <s v="CUST-1352"/>
    <s v="Nandini Mehta"/>
    <x v="1"/>
    <s v="Apparel"/>
    <s v="Denim Jacket"/>
    <n v="1"/>
    <n v="1999"/>
    <n v="1999"/>
    <n v="15"/>
    <n v="299.85000000000002"/>
    <n v="1699.15"/>
    <s v="Debit Card"/>
    <x v="0"/>
  </r>
  <r>
    <s v="ORD-2026316"/>
    <s v="8 Tue"/>
    <s v="Jul"/>
    <s v="2025"/>
    <s v="CUST-1064"/>
    <s v="Ankit Mehta"/>
    <x v="0"/>
    <s v="Stationery"/>
    <s v="Gel Pen Pack"/>
    <n v="1"/>
    <n v="99"/>
    <n v="99"/>
    <n v="0"/>
    <n v="0"/>
    <n v="99"/>
    <s v="Debit Card"/>
    <x v="0"/>
  </r>
  <r>
    <s v="ORD-2026317"/>
    <s v="8 Tue"/>
    <s v="Jul"/>
    <s v="2025"/>
    <s v="CUST-1126"/>
    <s v="Divya Sharma"/>
    <x v="1"/>
    <s v="Stationery"/>
    <s v="Gel Pen Pack"/>
    <n v="3"/>
    <n v="99"/>
    <n v="297"/>
    <n v="5"/>
    <n v="14.85"/>
    <n v="282.14999999999998"/>
    <s v="Debit Card"/>
    <x v="1"/>
  </r>
  <r>
    <s v="ORD-2026318"/>
    <s v="8 Tue"/>
    <s v="Jul"/>
    <s v="2025"/>
    <s v="CUST-1174"/>
    <s v="Rahul Singh"/>
    <x v="2"/>
    <s v="Apparel"/>
    <s v="Denim Jacket"/>
    <n v="1"/>
    <n v="1999"/>
    <n v="1999"/>
    <n v="10"/>
    <n v="199.9"/>
    <n v="1799.1"/>
    <s v="UPI"/>
    <x v="1"/>
  </r>
  <r>
    <s v="ORD-2026319"/>
    <s v="8 Tue"/>
    <s v="Jul"/>
    <s v="2025"/>
    <s v="CUST-1252"/>
    <s v="Arjun Singh"/>
    <x v="0"/>
    <s v="Stationery"/>
    <s v="Gel Pen Pack"/>
    <n v="1"/>
    <n v="99"/>
    <n v="99"/>
    <n v="10"/>
    <n v="9.9"/>
    <n v="89.1"/>
    <s v="Debit Card"/>
    <x v="0"/>
  </r>
  <r>
    <s v="ORD-2026320"/>
    <s v="9 Wed"/>
    <s v="Jul"/>
    <s v="2025"/>
    <s v="CUST-1331"/>
    <s v="Arjun Singh"/>
    <x v="3"/>
    <s v="Electronics"/>
    <s v="Bluetooth Headphones"/>
    <n v="4"/>
    <n v="1799"/>
    <n v="7196"/>
    <n v="5"/>
    <n v="359.8"/>
    <n v="6836.2"/>
    <s v="Credit Card"/>
    <x v="1"/>
  </r>
  <r>
    <s v="ORD-2026321"/>
    <s v="9 Wed"/>
    <s v="Jul"/>
    <s v="2025"/>
    <s v="CUST-1029"/>
    <s v="Swati Patel"/>
    <x v="2"/>
    <s v="Home &amp; Kitchen"/>
    <s v="LED Desk Lamp"/>
    <n v="2"/>
    <n v="799"/>
    <n v="1598"/>
    <n v="0"/>
    <n v="0"/>
    <n v="1598"/>
    <s v="Debit Card"/>
    <x v="0"/>
  </r>
  <r>
    <s v="ORD-2026322"/>
    <s v="9 Wed"/>
    <s v="Jul"/>
    <s v="2025"/>
    <s v="CUST-1144"/>
    <s v="Divya Mehta"/>
    <x v="2"/>
    <s v="Groceries"/>
    <s v="Organic Honey 500g"/>
    <n v="1"/>
    <n v="349"/>
    <n v="349"/>
    <n v="0"/>
    <n v="0"/>
    <n v="349"/>
    <s v="Credit Card"/>
    <x v="1"/>
  </r>
  <r>
    <s v="ORD-2026323"/>
    <s v="10 Thu"/>
    <s v="Jul"/>
    <s v="2025"/>
    <s v="CUST-1348"/>
    <s v="Ankit Malhotra"/>
    <x v="4"/>
    <s v="Stationery"/>
    <s v="Gel Pen Pack"/>
    <n v="2"/>
    <n v="99"/>
    <n v="198"/>
    <n v="15"/>
    <n v="29.7"/>
    <n v="168.3"/>
    <s v="UPI"/>
    <x v="1"/>
  </r>
  <r>
    <s v="ORD-2026324"/>
    <s v="10 Thu"/>
    <s v="Jul"/>
    <s v="2025"/>
    <s v="CUST-1026"/>
    <s v="Rahul Saxena"/>
    <x v="4"/>
    <s v="Sports"/>
    <s v="Cricket Bat"/>
    <n v="1"/>
    <n v="1499"/>
    <n v="1499"/>
    <n v="0"/>
    <n v="0"/>
    <n v="1499"/>
    <s v="UPI"/>
    <x v="1"/>
  </r>
  <r>
    <s v="ORD-2026325"/>
    <s v="10 Thu"/>
    <s v="Jul"/>
    <s v="2025"/>
    <s v="CUST-1254"/>
    <s v="Meera Malhotra"/>
    <x v="1"/>
    <s v="Groceries"/>
    <s v="Basmati Rice 5kg"/>
    <n v="2"/>
    <n v="549"/>
    <n v="1098"/>
    <n v="5"/>
    <n v="54.9"/>
    <n v="1043.0999999999999"/>
    <s v="Credit Card"/>
    <x v="1"/>
  </r>
  <r>
    <s v="ORD-2026326"/>
    <s v="10 Thu"/>
    <s v="Jul"/>
    <s v="2025"/>
    <s v="CUST-1021"/>
    <s v="Isha Patel"/>
    <x v="1"/>
    <s v="Electronics"/>
    <s v="Bluetooth Headphones"/>
    <n v="1"/>
    <n v="1799"/>
    <n v="1799"/>
    <n v="0"/>
    <n v="0"/>
    <n v="1799"/>
    <s v="Debit Card"/>
    <x v="1"/>
  </r>
  <r>
    <s v="ORD-2026327"/>
    <s v="10 Thu"/>
    <s v="Jul"/>
    <s v="2025"/>
    <s v="CUST-1368"/>
    <s v="Isha Patel"/>
    <x v="1"/>
    <s v="Groceries"/>
    <s v="Basmati Rice 5kg"/>
    <n v="1"/>
    <n v="549"/>
    <n v="549"/>
    <n v="0"/>
    <n v="0"/>
    <n v="549"/>
    <s v="Debit Card"/>
    <x v="1"/>
  </r>
  <r>
    <s v="ORD-2026328"/>
    <s v="10 Thu"/>
    <s v="Jul"/>
    <s v="2025"/>
    <s v="CUST-1216"/>
    <s v="Meera Malhotra"/>
    <x v="0"/>
    <s v="Stationery"/>
    <s v="Gel Pen Pack"/>
    <n v="1"/>
    <n v="99"/>
    <n v="99"/>
    <n v="15"/>
    <n v="14.85"/>
    <n v="84.15"/>
    <s v="UPI"/>
    <x v="0"/>
  </r>
  <r>
    <s v="ORD-2026329"/>
    <s v="10 Thu"/>
    <s v="Jul"/>
    <s v="2025"/>
    <s v="CUST-1096"/>
    <s v="Kunal Saxena"/>
    <x v="2"/>
    <s v="Apparel"/>
    <s v="Cotton T-Shirt"/>
    <n v="1"/>
    <n v="499"/>
    <n v="499"/>
    <n v="15"/>
    <n v="74.849999999999994"/>
    <n v="424.15"/>
    <s v="Credit Card"/>
    <x v="1"/>
  </r>
  <r>
    <s v="ORD-2026330"/>
    <s v="10 Thu"/>
    <s v="Jul"/>
    <s v="2025"/>
    <s v="CUST-1251"/>
    <s v="Aarav Singh"/>
    <x v="0"/>
    <s v="Home &amp; Kitchen"/>
    <s v="Non-stick Pan Set"/>
    <n v="1"/>
    <n v="1299"/>
    <n v="1299"/>
    <n v="5"/>
    <n v="64.95"/>
    <n v="1234.05"/>
    <s v="Net Banking"/>
    <x v="1"/>
  </r>
  <r>
    <s v="ORD-2026331"/>
    <s v="11 Fri"/>
    <s v="Jul"/>
    <s v="2025"/>
    <s v="CUST-1303"/>
    <s v="Sakshi Sharma"/>
    <x v="1"/>
    <s v="Stationery"/>
    <s v="Notebook Set"/>
    <n v="1"/>
    <n v="199"/>
    <n v="199"/>
    <n v="15"/>
    <n v="29.85"/>
    <n v="169.15"/>
    <s v="Debit Card"/>
    <x v="1"/>
  </r>
  <r>
    <s v="ORD-2026332"/>
    <s v="11 Fri"/>
    <s v="Jul"/>
    <s v="2025"/>
    <s v="CUST-1386"/>
    <s v="Swati Patel"/>
    <x v="1"/>
    <s v="Electronics"/>
    <s v="Bluetooth Headphones"/>
    <n v="1"/>
    <n v="1799"/>
    <n v="1799"/>
    <n v="15"/>
    <n v="269.85000000000002"/>
    <n v="1529.15"/>
    <s v="Debit Card"/>
    <x v="0"/>
  </r>
  <r>
    <s v="ORD-2026333"/>
    <s v="11 Fri"/>
    <s v="Jul"/>
    <s v="2025"/>
    <s v="CUST-1031"/>
    <s v="Kabir Malhotra"/>
    <x v="0"/>
    <s v="Beauty"/>
    <s v="Herbal Shampoo"/>
    <n v="3"/>
    <n v="249"/>
    <n v="747"/>
    <n v="0"/>
    <n v="0"/>
    <n v="747"/>
    <s v="UPI"/>
    <x v="0"/>
  </r>
  <r>
    <s v="ORD-2026334"/>
    <s v="11 Fri"/>
    <s v="Jul"/>
    <s v="2025"/>
    <s v="CUST-1221"/>
    <s v="Kunal Singh"/>
    <x v="4"/>
    <s v="Groceries"/>
    <s v="Basmati Rice 5kg"/>
    <n v="1"/>
    <n v="549"/>
    <n v="549"/>
    <n v="0"/>
    <n v="0"/>
    <n v="549"/>
    <s v="Credit Card"/>
    <x v="1"/>
  </r>
  <r>
    <s v="ORD-2026335"/>
    <s v="11 Fri"/>
    <s v="Jul"/>
    <s v="2025"/>
    <s v="CUST-1286"/>
    <s v="Arjun Singh"/>
    <x v="0"/>
    <s v="Beauty"/>
    <s v="Herbal Shampoo"/>
    <n v="1"/>
    <n v="249"/>
    <n v="249"/>
    <n v="0"/>
    <n v="0"/>
    <n v="249"/>
    <s v="Credit Card"/>
    <x v="0"/>
  </r>
  <r>
    <s v="ORD-2026336"/>
    <s v="11 Fri"/>
    <s v="Jul"/>
    <s v="2025"/>
    <s v="CUST-1026"/>
    <s v="Rahul Saxena"/>
    <x v="4"/>
    <s v="Sports"/>
    <s v="Yoga Mat"/>
    <n v="3"/>
    <n v="699"/>
    <n v="2097"/>
    <n v="20"/>
    <n v="419.4"/>
    <n v="1677.6"/>
    <s v="Cash"/>
    <x v="0"/>
  </r>
  <r>
    <s v="ORD-2026337"/>
    <s v="11 Fri"/>
    <s v="Jul"/>
    <s v="2025"/>
    <s v="CUST-1088"/>
    <s v="Arjun Patel"/>
    <x v="2"/>
    <s v="Electronics"/>
    <s v="Smartwatch"/>
    <n v="3"/>
    <n v="2999"/>
    <n v="8997"/>
    <n v="10"/>
    <n v="899.7"/>
    <n v="8097.3"/>
    <s v="UPI"/>
    <x v="1"/>
  </r>
  <r>
    <s v="ORD-2026338"/>
    <s v="11 Fri"/>
    <s v="Jul"/>
    <s v="2025"/>
    <s v="CUST-1133"/>
    <s v="Kunal Mehta"/>
    <x v="1"/>
    <s v="Beauty"/>
    <s v="Face Wash 100ml"/>
    <n v="1"/>
    <n v="299"/>
    <n v="299"/>
    <n v="20"/>
    <n v="59.8"/>
    <n v="239.2"/>
    <s v="Debit Card"/>
    <x v="0"/>
  </r>
  <r>
    <s v="ORD-2026339"/>
    <s v="11 Fri"/>
    <s v="Jul"/>
    <s v="2025"/>
    <s v="CUST-1335"/>
    <s v="Divya Saxena"/>
    <x v="3"/>
    <s v="Stationery"/>
    <s v="Notebook Set"/>
    <n v="3"/>
    <n v="199"/>
    <n v="597"/>
    <n v="20"/>
    <n v="119.4"/>
    <n v="477.6"/>
    <s v="Debit Card"/>
    <x v="1"/>
  </r>
  <r>
    <s v="ORD-2026340"/>
    <s v="12 Sat"/>
    <s v="Jul"/>
    <s v="2025"/>
    <s v="CUST-1263"/>
    <s v="Tanya Mehta"/>
    <x v="4"/>
    <s v="Electronics"/>
    <s v="Wireless Mouse"/>
    <n v="1"/>
    <n v="599"/>
    <n v="599"/>
    <n v="20"/>
    <n v="119.8"/>
    <n v="479.2"/>
    <s v="Credit Card"/>
    <x v="0"/>
  </r>
  <r>
    <s v="ORD-2026341"/>
    <s v="12 Sat"/>
    <s v="Jul"/>
    <s v="2025"/>
    <s v="CUST-1313"/>
    <s v="Kunal Joshi"/>
    <x v="2"/>
    <s v="Electronics"/>
    <s v="Smartwatch"/>
    <n v="1"/>
    <n v="2999"/>
    <n v="2999"/>
    <n v="0"/>
    <n v="0"/>
    <n v="2999"/>
    <s v="Credit Card"/>
    <x v="0"/>
  </r>
  <r>
    <s v="ORD-2026342"/>
    <s v="13 Sun"/>
    <s v="Jul"/>
    <s v="2025"/>
    <s v="CUST-1351"/>
    <s v="Tanya Mehta"/>
    <x v="3"/>
    <s v="Home &amp; Kitchen"/>
    <s v="LED Desk Lamp"/>
    <n v="1"/>
    <n v="799"/>
    <n v="799"/>
    <n v="0"/>
    <n v="0"/>
    <n v="799"/>
    <s v="Debit Card"/>
    <x v="0"/>
  </r>
  <r>
    <s v="ORD-2026343"/>
    <s v="13 Sun"/>
    <s v="Jul"/>
    <s v="2025"/>
    <s v="CUST-1294"/>
    <s v="Kabir Joshi"/>
    <x v="2"/>
    <s v="Sports"/>
    <s v="Cricket Bat"/>
    <n v="2"/>
    <n v="1499"/>
    <n v="2998"/>
    <n v="15"/>
    <n v="449.7"/>
    <n v="2548.3000000000002"/>
    <s v="Credit Card"/>
    <x v="0"/>
  </r>
  <r>
    <s v="ORD-2026344"/>
    <s v="13 Sun"/>
    <s v="Jul"/>
    <s v="2025"/>
    <s v="CUST-1086"/>
    <s v="Nandini Verma"/>
    <x v="3"/>
    <s v="Apparel"/>
    <s v="Formal Shirt"/>
    <n v="1"/>
    <n v="899"/>
    <n v="899"/>
    <n v="15"/>
    <n v="134.85"/>
    <n v="764.15"/>
    <s v="UPI"/>
    <x v="0"/>
  </r>
  <r>
    <s v="ORD-2026345"/>
    <s v="13 Sun"/>
    <s v="Jul"/>
    <s v="2025"/>
    <s v="CUST-1252"/>
    <s v="Arjun Singh"/>
    <x v="2"/>
    <s v="Groceries"/>
    <s v="Organic Honey 500g"/>
    <n v="1"/>
    <n v="349"/>
    <n v="349"/>
    <n v="10"/>
    <n v="34.9"/>
    <n v="314.10000000000002"/>
    <s v="UPI"/>
    <x v="1"/>
  </r>
  <r>
    <s v="ORD-2026346"/>
    <s v="13 Sun"/>
    <s v="Jul"/>
    <s v="2025"/>
    <s v="CUST-1020"/>
    <s v="Rohan Malhotra"/>
    <x v="0"/>
    <s v="Stationery"/>
    <s v="Notebook Set"/>
    <n v="1"/>
    <n v="199"/>
    <n v="199"/>
    <n v="0"/>
    <n v="0"/>
    <n v="199"/>
    <s v="Credit Card"/>
    <x v="1"/>
  </r>
  <r>
    <s v="ORD-2026347"/>
    <s v="13 Sun"/>
    <s v="Jul"/>
    <s v="2025"/>
    <s v="CUST-1301"/>
    <s v="Shreya Sharma"/>
    <x v="3"/>
    <s v="Apparel"/>
    <s v="Formal Shirt"/>
    <n v="1"/>
    <n v="899"/>
    <n v="899"/>
    <n v="0"/>
    <n v="0"/>
    <n v="899"/>
    <s v="UPI"/>
    <x v="1"/>
  </r>
  <r>
    <s v="ORD-2026348"/>
    <s v="14 Mon"/>
    <s v="Jul"/>
    <s v="2025"/>
    <s v="CUST-1156"/>
    <s v="Nandini Joshi"/>
    <x v="4"/>
    <s v="Sports"/>
    <s v="Cricket Bat"/>
    <n v="2"/>
    <n v="1499"/>
    <n v="2998"/>
    <n v="10"/>
    <n v="299.8"/>
    <n v="2698.2"/>
    <s v="UPI"/>
    <x v="0"/>
  </r>
  <r>
    <s v="ORD-2026349"/>
    <s v="14 Mon"/>
    <s v="Jul"/>
    <s v="2025"/>
    <s v="CUST-1044"/>
    <s v="Swati Saxena"/>
    <x v="4"/>
    <s v="Stationery"/>
    <s v="Gel Pen Pack"/>
    <n v="3"/>
    <n v="99"/>
    <n v="297"/>
    <n v="20"/>
    <n v="59.4"/>
    <n v="237.6"/>
    <s v="Credit Card"/>
    <x v="0"/>
  </r>
  <r>
    <s v="ORD-2026350"/>
    <s v="14 Mon"/>
    <s v="Jul"/>
    <s v="2025"/>
    <s v="CUST-1141"/>
    <s v="Tanya Kapoor"/>
    <x v="4"/>
    <s v="Sports"/>
    <s v="Cricket Bat"/>
    <n v="1"/>
    <n v="1499"/>
    <n v="1499"/>
    <n v="5"/>
    <n v="74.95"/>
    <n v="1424.05"/>
    <s v="Debit Card"/>
    <x v="0"/>
  </r>
  <r>
    <s v="ORD-2026351"/>
    <s v="14 Mon"/>
    <s v="Jul"/>
    <s v="2025"/>
    <s v="CUST-1261"/>
    <s v="Shreya Patel"/>
    <x v="0"/>
    <s v="Apparel"/>
    <s v="Denim Jacket"/>
    <n v="1"/>
    <n v="1999"/>
    <n v="1999"/>
    <n v="10"/>
    <n v="199.9"/>
    <n v="1799.1"/>
    <s v="Cash"/>
    <x v="0"/>
  </r>
  <r>
    <s v="ORD-2026352"/>
    <s v="14 Mon"/>
    <s v="Jul"/>
    <s v="2025"/>
    <s v="CUST-1266"/>
    <s v="Vivaan Kapoor"/>
    <x v="1"/>
    <s v="Beauty"/>
    <s v="Face Wash 100ml"/>
    <n v="1"/>
    <n v="299"/>
    <n v="299"/>
    <n v="15"/>
    <n v="44.85"/>
    <n v="254.15"/>
    <s v="Debit Card"/>
    <x v="0"/>
  </r>
  <r>
    <s v="ORD-2026353"/>
    <s v="14 Mon"/>
    <s v="Jul"/>
    <s v="2025"/>
    <s v="CUST-1103"/>
    <s v="Muskan Gupta"/>
    <x v="0"/>
    <s v="Groceries"/>
    <s v="Organic Honey 500g"/>
    <n v="1"/>
    <n v="349"/>
    <n v="349"/>
    <n v="0"/>
    <n v="0"/>
    <n v="349"/>
    <s v="Cash"/>
    <x v="0"/>
  </r>
  <r>
    <s v="ORD-2026354"/>
    <s v="14 Mon"/>
    <s v="Jul"/>
    <s v="2025"/>
    <s v="CUST-1141"/>
    <s v="Tanya Kapoor"/>
    <x v="3"/>
    <s v="Sports"/>
    <s v="Yoga Mat"/>
    <n v="2"/>
    <n v="699"/>
    <n v="1398"/>
    <n v="10"/>
    <n v="139.80000000000001"/>
    <n v="1258.2"/>
    <s v="Credit Card"/>
    <x v="0"/>
  </r>
  <r>
    <s v="ORD-2026355"/>
    <s v="14 Mon"/>
    <s v="Jul"/>
    <s v="2025"/>
    <s v="CUST-1285"/>
    <s v="Ankit Joshi"/>
    <x v="3"/>
    <s v="Electronics"/>
    <s v="Smartwatch"/>
    <n v="4"/>
    <n v="2999"/>
    <n v="11996"/>
    <n v="0"/>
    <n v="0"/>
    <n v="11996"/>
    <s v="Credit Card"/>
    <x v="1"/>
  </r>
  <r>
    <s v="ORD-2026356"/>
    <s v="15 Tue"/>
    <s v="Jul"/>
    <s v="2025"/>
    <s v="CUST-1134"/>
    <s v="Komal Patel"/>
    <x v="0"/>
    <s v="Home &amp; Kitchen"/>
    <s v="LED Desk Lamp"/>
    <n v="1"/>
    <n v="799"/>
    <n v="799"/>
    <n v="20"/>
    <n v="159.80000000000001"/>
    <n v="639.20000000000005"/>
    <s v="Net Banking"/>
    <x v="0"/>
  </r>
  <r>
    <s v="ORD-2026357"/>
    <s v="15 Tue"/>
    <s v="Jul"/>
    <s v="2025"/>
    <s v="CUST-1114"/>
    <s v="Vivaan Malhotra"/>
    <x v="4"/>
    <s v="Stationery"/>
    <s v="Gel Pen Pack"/>
    <n v="2"/>
    <n v="99"/>
    <n v="198"/>
    <n v="15"/>
    <n v="29.7"/>
    <n v="168.3"/>
    <s v="UPI"/>
    <x v="0"/>
  </r>
  <r>
    <s v="ORD-2026358"/>
    <s v="15 Tue"/>
    <s v="Jul"/>
    <s v="2025"/>
    <s v="CUST-1355"/>
    <s v="Aditya Joshi"/>
    <x v="0"/>
    <s v="Beauty"/>
    <s v="Herbal Shampoo"/>
    <n v="1"/>
    <n v="249"/>
    <n v="249"/>
    <n v="0"/>
    <n v="0"/>
    <n v="249"/>
    <s v="Debit Card"/>
    <x v="0"/>
  </r>
  <r>
    <s v="ORD-2026359"/>
    <s v="15 Tue"/>
    <s v="Jul"/>
    <s v="2025"/>
    <s v="CUST-1243"/>
    <s v="Aman Joshi"/>
    <x v="0"/>
    <s v="Apparel"/>
    <s v="Denim Jacket"/>
    <n v="2"/>
    <n v="1999"/>
    <n v="3998"/>
    <n v="0"/>
    <n v="0"/>
    <n v="3998"/>
    <s v="Debit Card"/>
    <x v="0"/>
  </r>
  <r>
    <s v="ORD-2026360"/>
    <s v="15 Tue"/>
    <s v="Jul"/>
    <s v="2025"/>
    <s v="CUST-1271"/>
    <s v="Nandini Sharma"/>
    <x v="4"/>
    <s v="Beauty"/>
    <s v="Herbal Shampoo"/>
    <n v="1"/>
    <n v="249"/>
    <n v="249"/>
    <n v="10"/>
    <n v="24.9"/>
    <n v="224.1"/>
    <s v="Debit Card"/>
    <x v="0"/>
  </r>
  <r>
    <s v="ORD-2026361"/>
    <s v="15 Tue"/>
    <s v="Jul"/>
    <s v="2025"/>
    <s v="CUST-1146"/>
    <s v="Tanya Patel"/>
    <x v="1"/>
    <s v="Electronics"/>
    <s v="Bluetooth Headphones"/>
    <n v="1"/>
    <n v="1799"/>
    <n v="1799"/>
    <n v="15"/>
    <n v="269.85000000000002"/>
    <n v="1529.15"/>
    <s v="Credit Card"/>
    <x v="0"/>
  </r>
  <r>
    <s v="ORD-2026362"/>
    <s v="15 Tue"/>
    <s v="Jul"/>
    <s v="2025"/>
    <s v="CUST-1182"/>
    <s v="Swati Verma"/>
    <x v="2"/>
    <s v="Home &amp; Kitchen"/>
    <s v="LED Desk Lamp"/>
    <n v="1"/>
    <n v="799"/>
    <n v="799"/>
    <n v="0"/>
    <n v="0"/>
    <n v="799"/>
    <s v="Net Banking"/>
    <x v="1"/>
  </r>
  <r>
    <s v="ORD-2026363"/>
    <s v="15 Tue"/>
    <s v="Jul"/>
    <s v="2025"/>
    <s v="CUST-1037"/>
    <s v="Aarav Gupta"/>
    <x v="3"/>
    <s v="Electronics"/>
    <s v="Bluetooth Headphones"/>
    <n v="1"/>
    <n v="1799"/>
    <n v="1799"/>
    <n v="0"/>
    <n v="0"/>
    <n v="1799"/>
    <s v="Cash"/>
    <x v="0"/>
  </r>
  <r>
    <s v="ORD-2026364"/>
    <s v="15 Tue"/>
    <s v="Jul"/>
    <s v="2025"/>
    <s v="CUST-1228"/>
    <s v="Aarav Mehta"/>
    <x v="3"/>
    <s v="Electronics"/>
    <s v="Bluetooth Headphones"/>
    <n v="2"/>
    <n v="1799"/>
    <n v="3598"/>
    <n v="0"/>
    <n v="0"/>
    <n v="3598"/>
    <s v="Credit Card"/>
    <x v="1"/>
  </r>
  <r>
    <s v="ORD-2026365"/>
    <s v="16 Wed"/>
    <s v="Jul"/>
    <s v="2025"/>
    <s v="CUST-1162"/>
    <s v="Aarav Kapoor"/>
    <x v="4"/>
    <s v="Electronics"/>
    <s v="Smartwatch"/>
    <n v="2"/>
    <n v="2999"/>
    <n v="5998"/>
    <n v="20"/>
    <n v="1199.5999999999999"/>
    <n v="4798.3999999999996"/>
    <s v="Debit Card"/>
    <x v="0"/>
  </r>
  <r>
    <s v="ORD-2026366"/>
    <s v="17 Thu"/>
    <s v="Jul"/>
    <s v="2025"/>
    <s v="CUST-1247"/>
    <s v="Meera Malhotra"/>
    <x v="1"/>
    <s v="Apparel"/>
    <s v="Cotton T-Shirt"/>
    <n v="1"/>
    <n v="499"/>
    <n v="499"/>
    <n v="0"/>
    <n v="0"/>
    <n v="499"/>
    <s v="Debit Card"/>
    <x v="0"/>
  </r>
  <r>
    <s v="ORD-2026367"/>
    <s v="17 Thu"/>
    <s v="Jul"/>
    <s v="2025"/>
    <s v="CUST-1213"/>
    <s v="Ankit Patel"/>
    <x v="2"/>
    <s v="Sports"/>
    <s v="Yoga Mat"/>
    <n v="3"/>
    <n v="699"/>
    <n v="2097"/>
    <n v="10"/>
    <n v="209.7"/>
    <n v="1887.3"/>
    <s v="Debit Card"/>
    <x v="0"/>
  </r>
  <r>
    <s v="ORD-2026368"/>
    <s v="17 Thu"/>
    <s v="Jul"/>
    <s v="2025"/>
    <s v="CUST-1391"/>
    <s v="Kunal Gupta"/>
    <x v="1"/>
    <s v="Home &amp; Kitchen"/>
    <s v="LED Desk Lamp"/>
    <n v="1"/>
    <n v="799"/>
    <n v="799"/>
    <n v="10"/>
    <n v="79.900000000000006"/>
    <n v="719.1"/>
    <s v="Credit Card"/>
    <x v="1"/>
  </r>
  <r>
    <s v="ORD-2026369"/>
    <s v="17 Thu"/>
    <s v="Jul"/>
    <s v="2025"/>
    <s v="CUST-1246"/>
    <s v="Divya Verma"/>
    <x v="0"/>
    <s v="Apparel"/>
    <s v="Formal Shirt"/>
    <n v="1"/>
    <n v="899"/>
    <n v="899"/>
    <n v="0"/>
    <n v="0"/>
    <n v="899"/>
    <s v="Debit Card"/>
    <x v="0"/>
  </r>
  <r>
    <s v="ORD-2026370"/>
    <s v="17 Thu"/>
    <s v="Jul"/>
    <s v="2025"/>
    <s v="CUST-1175"/>
    <s v="Vivaan Kapoor"/>
    <x v="0"/>
    <s v="Groceries"/>
    <s v="Organic Honey 500g"/>
    <n v="1"/>
    <n v="349"/>
    <n v="349"/>
    <n v="5"/>
    <n v="17.45"/>
    <n v="331.55"/>
    <s v="Credit Card"/>
    <x v="0"/>
  </r>
  <r>
    <s v="ORD-2026371"/>
    <s v="17 Thu"/>
    <s v="Jul"/>
    <s v="2025"/>
    <s v="CUST-1343"/>
    <s v="Tanya Sharma"/>
    <x v="0"/>
    <s v="Beauty"/>
    <s v="Herbal Shampoo"/>
    <n v="3"/>
    <n v="249"/>
    <n v="747"/>
    <n v="0"/>
    <n v="0"/>
    <n v="747"/>
    <s v="Cash"/>
    <x v="1"/>
  </r>
  <r>
    <s v="ORD-2026372"/>
    <s v="17 Thu"/>
    <s v="Jul"/>
    <s v="2025"/>
    <s v="CUST-1236"/>
    <s v="Divya Mehta"/>
    <x v="3"/>
    <s v="Sports"/>
    <s v="Cricket Bat"/>
    <n v="2"/>
    <n v="1499"/>
    <n v="2998"/>
    <n v="5"/>
    <n v="149.9"/>
    <n v="2848.1"/>
    <s v="Debit Card"/>
    <x v="0"/>
  </r>
  <r>
    <s v="ORD-2026373"/>
    <s v="18 Fri"/>
    <s v="Jul"/>
    <s v="2025"/>
    <s v="CUST-1377"/>
    <s v="Sakshi Patel"/>
    <x v="2"/>
    <s v="Electronics"/>
    <s v="Smartwatch"/>
    <n v="1"/>
    <n v="2999"/>
    <n v="2999"/>
    <n v="15"/>
    <n v="449.85"/>
    <n v="2549.15"/>
    <s v="Cash"/>
    <x v="0"/>
  </r>
  <r>
    <s v="ORD-2026374"/>
    <s v="18 Fri"/>
    <s v="Jul"/>
    <s v="2025"/>
    <s v="CUST-1032"/>
    <s v="Shreya Mehta"/>
    <x v="1"/>
    <s v="Groceries"/>
    <s v="Basmati Rice 5kg"/>
    <n v="1"/>
    <n v="549"/>
    <n v="549"/>
    <n v="10"/>
    <n v="54.9"/>
    <n v="494.1"/>
    <s v="UPI"/>
    <x v="1"/>
  </r>
  <r>
    <s v="ORD-2026375"/>
    <s v="18 Fri"/>
    <s v="Jul"/>
    <s v="2025"/>
    <s v="CUST-1196"/>
    <s v="Aditya Patel"/>
    <x v="0"/>
    <s v="Apparel"/>
    <s v="Cotton T-Shirt"/>
    <n v="2"/>
    <n v="499"/>
    <n v="998"/>
    <n v="15"/>
    <n v="149.69999999999999"/>
    <n v="848.3"/>
    <s v="Debit Card"/>
    <x v="1"/>
  </r>
  <r>
    <s v="ORD-2026376"/>
    <s v="18 Fri"/>
    <s v="Jul"/>
    <s v="2025"/>
    <s v="CUST-1068"/>
    <s v="Isha Verma"/>
    <x v="1"/>
    <s v="Home &amp; Kitchen"/>
    <s v="LED Desk Lamp"/>
    <n v="2"/>
    <n v="799"/>
    <n v="1598"/>
    <n v="0"/>
    <n v="0"/>
    <n v="1598"/>
    <s v="Credit Card"/>
    <x v="1"/>
  </r>
  <r>
    <s v="ORD-2026377"/>
    <s v="18 Fri"/>
    <s v="Jul"/>
    <s v="2025"/>
    <s v="CUST-1145"/>
    <s v="Kunal Joshi"/>
    <x v="0"/>
    <s v="Stationery"/>
    <s v="Notebook Set"/>
    <n v="3"/>
    <n v="199"/>
    <n v="597"/>
    <n v="10"/>
    <n v="59.7"/>
    <n v="537.29999999999995"/>
    <s v="Debit Card"/>
    <x v="0"/>
  </r>
  <r>
    <s v="ORD-2026378"/>
    <s v="18 Fri"/>
    <s v="Jul"/>
    <s v="2025"/>
    <s v="CUST-1173"/>
    <s v="Ankit Gupta"/>
    <x v="4"/>
    <s v="Apparel"/>
    <s v="Cotton T-Shirt"/>
    <n v="3"/>
    <n v="499"/>
    <n v="1497"/>
    <n v="0"/>
    <n v="0"/>
    <n v="1497"/>
    <s v="Credit Card"/>
    <x v="0"/>
  </r>
  <r>
    <s v="ORD-2026379"/>
    <s v="18 Fri"/>
    <s v="Jul"/>
    <s v="2025"/>
    <s v="CUST-1056"/>
    <s v="Aarav Kapoor"/>
    <x v="2"/>
    <s v="Sports"/>
    <s v="Yoga Mat"/>
    <n v="4"/>
    <n v="699"/>
    <n v="2796"/>
    <n v="0"/>
    <n v="0"/>
    <n v="2796"/>
    <s v="Cash"/>
    <x v="0"/>
  </r>
  <r>
    <s v="ORD-2026380"/>
    <s v="18 Fri"/>
    <s v="Jul"/>
    <s v="2025"/>
    <s v="CUST-1248"/>
    <s v="Meera Saxena"/>
    <x v="3"/>
    <s v="Sports"/>
    <s v="Cricket Bat"/>
    <n v="1"/>
    <n v="1499"/>
    <n v="1499"/>
    <n v="0"/>
    <n v="0"/>
    <n v="1499"/>
    <s v="Credit Card"/>
    <x v="0"/>
  </r>
  <r>
    <s v="ORD-2026381"/>
    <s v="19 Sat"/>
    <s v="Jul"/>
    <s v="2025"/>
    <s v="CUST-1275"/>
    <s v="Tanya Singh"/>
    <x v="4"/>
    <s v="Apparel"/>
    <s v="Formal Shirt"/>
    <n v="3"/>
    <n v="899"/>
    <n v="2697"/>
    <n v="0"/>
    <n v="0"/>
    <n v="2697"/>
    <s v="Credit Card"/>
    <x v="0"/>
  </r>
  <r>
    <s v="ORD-2026382"/>
    <s v="19 Sat"/>
    <s v="Jul"/>
    <s v="2025"/>
    <s v="CUST-1292"/>
    <s v="Aman Singh"/>
    <x v="2"/>
    <s v="Beauty"/>
    <s v="Face Wash 100ml"/>
    <n v="1"/>
    <n v="299"/>
    <n v="299"/>
    <n v="0"/>
    <n v="0"/>
    <n v="299"/>
    <s v="Credit Card"/>
    <x v="0"/>
  </r>
  <r>
    <s v="ORD-2026383"/>
    <s v="19 Sat"/>
    <s v="Jul"/>
    <s v="2025"/>
    <s v="CUST-1138"/>
    <s v="Tanya Singh"/>
    <x v="4"/>
    <s v="Apparel"/>
    <s v="Formal Shirt"/>
    <n v="1"/>
    <n v="899"/>
    <n v="899"/>
    <n v="20"/>
    <n v="179.8"/>
    <n v="719.2"/>
    <s v="Credit Card"/>
    <x v="1"/>
  </r>
  <r>
    <s v="ORD-2026384"/>
    <s v="19 Sat"/>
    <s v="Jul"/>
    <s v="2025"/>
    <s v="CUST-1186"/>
    <s v="Meera Verma"/>
    <x v="1"/>
    <s v="Stationery"/>
    <s v="Notebook Set"/>
    <n v="2"/>
    <n v="199"/>
    <n v="398"/>
    <n v="0"/>
    <n v="0"/>
    <n v="398"/>
    <s v="Cash"/>
    <x v="0"/>
  </r>
  <r>
    <s v="ORD-2026385"/>
    <s v="19 Sat"/>
    <s v="Jul"/>
    <s v="2025"/>
    <s v="CUST-1006"/>
    <s v="Sakshi Singh"/>
    <x v="4"/>
    <s v="Beauty"/>
    <s v="Herbal Shampoo"/>
    <n v="1"/>
    <n v="249"/>
    <n v="249"/>
    <n v="10"/>
    <n v="24.9"/>
    <n v="224.1"/>
    <s v="UPI"/>
    <x v="0"/>
  </r>
  <r>
    <s v="ORD-2026386"/>
    <s v="19 Sat"/>
    <s v="Jul"/>
    <s v="2025"/>
    <s v="CUST-1326"/>
    <s v="Rohan Verma"/>
    <x v="2"/>
    <s v="Stationery"/>
    <s v="Gel Pen Pack"/>
    <n v="1"/>
    <n v="99"/>
    <n v="99"/>
    <n v="0"/>
    <n v="0"/>
    <n v="99"/>
    <s v="Credit Card"/>
    <x v="1"/>
  </r>
  <r>
    <s v="ORD-2026387"/>
    <s v="19 Sat"/>
    <s v="Jul"/>
    <s v="2025"/>
    <s v="CUST-1335"/>
    <s v="Divya Saxena"/>
    <x v="1"/>
    <s v="Electronics"/>
    <s v="Wireless Mouse"/>
    <n v="1"/>
    <n v="599"/>
    <n v="599"/>
    <n v="5"/>
    <n v="29.95"/>
    <n v="569.04999999999995"/>
    <s v="Debit Card"/>
    <x v="0"/>
  </r>
  <r>
    <s v="ORD-2026388"/>
    <s v="19 Sat"/>
    <s v="Jul"/>
    <s v="2025"/>
    <s v="CUST-1290"/>
    <s v="Kabir Mehta"/>
    <x v="0"/>
    <s v="Groceries"/>
    <s v="Basmati Rice 5kg"/>
    <n v="1"/>
    <n v="549"/>
    <n v="549"/>
    <n v="0"/>
    <n v="0"/>
    <n v="549"/>
    <s v="Credit Card"/>
    <x v="0"/>
  </r>
  <r>
    <s v="ORD-2026389"/>
    <s v="20 Sun"/>
    <s v="Jul"/>
    <s v="2025"/>
    <s v="CUST-1107"/>
    <s v="Isha Sharma"/>
    <x v="1"/>
    <s v="Electronics"/>
    <s v="Wireless Mouse"/>
    <n v="3"/>
    <n v="599"/>
    <n v="1797"/>
    <n v="0"/>
    <n v="0"/>
    <n v="1797"/>
    <s v="Debit Card"/>
    <x v="1"/>
  </r>
  <r>
    <s v="ORD-2026390"/>
    <s v="20 Sun"/>
    <s v="Jul"/>
    <s v="2025"/>
    <s v="CUST-1337"/>
    <s v="Rahul Patel"/>
    <x v="2"/>
    <s v="Beauty"/>
    <s v="Herbal Shampoo"/>
    <n v="3"/>
    <n v="249"/>
    <n v="747"/>
    <n v="15"/>
    <n v="112.05"/>
    <n v="634.95000000000005"/>
    <s v="Net Banking"/>
    <x v="0"/>
  </r>
  <r>
    <s v="ORD-2026391"/>
    <s v="20 Sun"/>
    <s v="Jul"/>
    <s v="2025"/>
    <s v="CUST-1020"/>
    <s v="Rohan Malhotra"/>
    <x v="2"/>
    <s v="Beauty"/>
    <s v="Face Wash 100ml"/>
    <n v="2"/>
    <n v="299"/>
    <n v="598"/>
    <n v="5"/>
    <n v="29.9"/>
    <n v="568.1"/>
    <s v="Debit Card"/>
    <x v="0"/>
  </r>
  <r>
    <s v="ORD-2026392"/>
    <s v="20 Sun"/>
    <s v="Jul"/>
    <s v="2025"/>
    <s v="CUST-1141"/>
    <s v="Tanya Kapoor"/>
    <x v="3"/>
    <s v="Sports"/>
    <s v="Cricket Bat"/>
    <n v="2"/>
    <n v="1499"/>
    <n v="2998"/>
    <n v="0"/>
    <n v="0"/>
    <n v="2998"/>
    <s v="Credit Card"/>
    <x v="0"/>
  </r>
  <r>
    <s v="ORD-2026393"/>
    <s v="20 Sun"/>
    <s v="Jul"/>
    <s v="2025"/>
    <s v="CUST-1173"/>
    <s v="Ankit Gupta"/>
    <x v="0"/>
    <s v="Apparel"/>
    <s v="Cotton T-Shirt"/>
    <n v="1"/>
    <n v="499"/>
    <n v="499"/>
    <n v="5"/>
    <n v="24.95"/>
    <n v="474.05"/>
    <s v="UPI"/>
    <x v="0"/>
  </r>
  <r>
    <s v="ORD-2026394"/>
    <s v="20 Sun"/>
    <s v="Jul"/>
    <s v="2025"/>
    <s v="CUST-1333"/>
    <s v="Aarav Gupta"/>
    <x v="3"/>
    <s v="Home &amp; Kitchen"/>
    <s v="Non-stick Pan Set"/>
    <n v="1"/>
    <n v="1299"/>
    <n v="1299"/>
    <n v="0"/>
    <n v="0"/>
    <n v="1299"/>
    <s v="Net Banking"/>
    <x v="0"/>
  </r>
  <r>
    <s v="ORD-2026395"/>
    <s v="20 Sun"/>
    <s v="Jul"/>
    <s v="2025"/>
    <s v="CUST-1049"/>
    <s v="Kunal Gupta"/>
    <x v="1"/>
    <s v="Groceries"/>
    <s v="Basmati Rice 5kg"/>
    <n v="3"/>
    <n v="549"/>
    <n v="1647"/>
    <n v="15"/>
    <n v="247.05"/>
    <n v="1399.95"/>
    <s v="Cash"/>
    <x v="0"/>
  </r>
  <r>
    <s v="ORD-2026396"/>
    <s v="20 Sun"/>
    <s v="Jul"/>
    <s v="2025"/>
    <s v="CUST-1399"/>
    <s v="Vivaan Verma"/>
    <x v="0"/>
    <s v="Electronics"/>
    <s v="Bluetooth Headphones"/>
    <n v="1"/>
    <n v="1799"/>
    <n v="1799"/>
    <n v="0"/>
    <n v="0"/>
    <n v="1799"/>
    <s v="Debit Card"/>
    <x v="0"/>
  </r>
  <r>
    <s v="ORD-2026397"/>
    <s v="20 Sun"/>
    <s v="Jul"/>
    <s v="2025"/>
    <s v="CUST-1352"/>
    <s v="Nandini Mehta"/>
    <x v="2"/>
    <s v="Beauty"/>
    <s v="Face Wash 100ml"/>
    <n v="2"/>
    <n v="299"/>
    <n v="598"/>
    <n v="15"/>
    <n v="89.7"/>
    <n v="508.3"/>
    <s v="Credit Card"/>
    <x v="0"/>
  </r>
  <r>
    <s v="ORD-2026398"/>
    <s v="21 Mon"/>
    <s v="Jul"/>
    <s v="2025"/>
    <s v="CUST-1235"/>
    <s v="Meera Verma"/>
    <x v="0"/>
    <s v="Electronics"/>
    <s v="Bluetooth Headphones"/>
    <n v="1"/>
    <n v="1799"/>
    <n v="1799"/>
    <n v="20"/>
    <n v="359.8"/>
    <n v="1439.2"/>
    <s v="Net Banking"/>
    <x v="0"/>
  </r>
  <r>
    <s v="ORD-2026399"/>
    <s v="21 Mon"/>
    <s v="Jul"/>
    <s v="2025"/>
    <s v="CUST-1216"/>
    <s v="Meera Malhotra"/>
    <x v="4"/>
    <s v="Sports"/>
    <s v="Yoga Mat"/>
    <n v="1"/>
    <n v="699"/>
    <n v="699"/>
    <n v="0"/>
    <n v="0"/>
    <n v="699"/>
    <s v="UPI"/>
    <x v="0"/>
  </r>
  <r>
    <s v="ORD-2026400"/>
    <s v="21 Mon"/>
    <s v="Jul"/>
    <s v="2025"/>
    <s v="CUST-1265"/>
    <s v="Muskan Singh"/>
    <x v="0"/>
    <s v="Sports"/>
    <s v="Yoga Mat"/>
    <n v="1"/>
    <n v="699"/>
    <n v="699"/>
    <n v="0"/>
    <n v="0"/>
    <n v="699"/>
    <s v="UPI"/>
    <x v="0"/>
  </r>
  <r>
    <s v="ORD-2026401"/>
    <s v="21 Mon"/>
    <s v="Jul"/>
    <s v="2025"/>
    <s v="CUST-1121"/>
    <s v="Rahul Kapoor"/>
    <x v="4"/>
    <s v="Apparel"/>
    <s v="Cotton T-Shirt"/>
    <n v="1"/>
    <n v="499"/>
    <n v="499"/>
    <n v="15"/>
    <n v="74.849999999999994"/>
    <n v="424.15"/>
    <s v="UPI"/>
    <x v="0"/>
  </r>
  <r>
    <s v="ORD-2026402"/>
    <s v="21 Mon"/>
    <s v="Jul"/>
    <s v="2025"/>
    <s v="CUST-1067"/>
    <s v="Nandini Gupta"/>
    <x v="2"/>
    <s v="Stationery"/>
    <s v="Gel Pen Pack"/>
    <n v="1"/>
    <n v="99"/>
    <n v="99"/>
    <n v="0"/>
    <n v="0"/>
    <n v="99"/>
    <s v="Debit Card"/>
    <x v="0"/>
  </r>
  <r>
    <s v="ORD-2026403"/>
    <s v="21 Mon"/>
    <s v="Jul"/>
    <s v="2025"/>
    <s v="CUST-1120"/>
    <s v="Divya Kapoor"/>
    <x v="3"/>
    <s v="Groceries"/>
    <s v="Basmati Rice 5kg"/>
    <n v="3"/>
    <n v="549"/>
    <n v="1647"/>
    <n v="0"/>
    <n v="0"/>
    <n v="1647"/>
    <s v="Debit Card"/>
    <x v="0"/>
  </r>
  <r>
    <s v="ORD-2026404"/>
    <s v="21 Mon"/>
    <s v="Jul"/>
    <s v="2025"/>
    <s v="CUST-1189"/>
    <s v="Vivaan Mehta"/>
    <x v="0"/>
    <s v="Sports"/>
    <s v="Yoga Mat"/>
    <n v="3"/>
    <n v="699"/>
    <n v="2097"/>
    <n v="0"/>
    <n v="0"/>
    <n v="2097"/>
    <s v="Debit Card"/>
    <x v="1"/>
  </r>
  <r>
    <s v="ORD-2026405"/>
    <s v="22 Tue"/>
    <s v="Jul"/>
    <s v="2025"/>
    <s v="CUST-1310"/>
    <s v="Meera Patel"/>
    <x v="1"/>
    <s v="Beauty"/>
    <s v="Herbal Shampoo"/>
    <n v="2"/>
    <n v="249"/>
    <n v="498"/>
    <n v="0"/>
    <n v="0"/>
    <n v="498"/>
    <s v="Debit Card"/>
    <x v="0"/>
  </r>
  <r>
    <s v="ORD-2026406"/>
    <s v="22 Tue"/>
    <s v="Jul"/>
    <s v="2025"/>
    <s v="CUST-1249"/>
    <s v="Kabir Sharma"/>
    <x v="4"/>
    <s v="Groceries"/>
    <s v="Basmati Rice 5kg"/>
    <n v="3"/>
    <n v="549"/>
    <n v="1647"/>
    <n v="0"/>
    <n v="0"/>
    <n v="1647"/>
    <s v="Cash"/>
    <x v="1"/>
  </r>
  <r>
    <s v="ORD-2026407"/>
    <s v="23 Wed"/>
    <s v="Jul"/>
    <s v="2025"/>
    <s v="CUST-1297"/>
    <s v="Sakshi Kapoor"/>
    <x v="0"/>
    <s v="Stationery"/>
    <s v="Notebook Set"/>
    <n v="2"/>
    <n v="199"/>
    <n v="398"/>
    <n v="0"/>
    <n v="0"/>
    <n v="398"/>
    <s v="Credit Card"/>
    <x v="0"/>
  </r>
  <r>
    <s v="ORD-2026408"/>
    <s v="23 Wed"/>
    <s v="Jul"/>
    <s v="2025"/>
    <s v="CUST-1044"/>
    <s v="Swati Saxena"/>
    <x v="0"/>
    <s v="Home &amp; Kitchen"/>
    <s v="Non-stick Pan Set"/>
    <n v="1"/>
    <n v="1299"/>
    <n v="1299"/>
    <n v="20"/>
    <n v="259.8"/>
    <n v="1039.2"/>
    <s v="Net Banking"/>
    <x v="0"/>
  </r>
  <r>
    <s v="ORD-2026409"/>
    <s v="23 Wed"/>
    <s v="Jul"/>
    <s v="2025"/>
    <s v="CUST-1172"/>
    <s v="Nandini Saxena"/>
    <x v="4"/>
    <s v="Home &amp; Kitchen"/>
    <s v="Non-stick Pan Set"/>
    <n v="3"/>
    <n v="1299"/>
    <n v="3897"/>
    <n v="0"/>
    <n v="0"/>
    <n v="3897"/>
    <s v="Cash"/>
    <x v="1"/>
  </r>
  <r>
    <s v="ORD-2026410"/>
    <s v="23 Wed"/>
    <s v="Jul"/>
    <s v="2025"/>
    <s v="CUST-1321"/>
    <s v="Isha Mehta"/>
    <x v="3"/>
    <s v="Beauty"/>
    <s v="Face Wash 100ml"/>
    <n v="3"/>
    <n v="299"/>
    <n v="897"/>
    <n v="0"/>
    <n v="0"/>
    <n v="897"/>
    <s v="Debit Card"/>
    <x v="0"/>
  </r>
  <r>
    <s v="ORD-2026411"/>
    <s v="23 Wed"/>
    <s v="Jul"/>
    <s v="2025"/>
    <s v="CUST-1036"/>
    <s v="Nandini Mehta"/>
    <x v="0"/>
    <s v="Stationery"/>
    <s v="Notebook Set"/>
    <n v="1"/>
    <n v="199"/>
    <n v="199"/>
    <n v="10"/>
    <n v="19.899999999999999"/>
    <n v="179.1"/>
    <s v="Credit Card"/>
    <x v="1"/>
  </r>
  <r>
    <s v="ORD-2026412"/>
    <s v="24 Thu"/>
    <s v="Jul"/>
    <s v="2025"/>
    <s v="CUST-1206"/>
    <s v="Aditya Gupta"/>
    <x v="2"/>
    <s v="Sports"/>
    <s v="Cricket Bat"/>
    <n v="5"/>
    <n v="1499"/>
    <n v="7495"/>
    <n v="10"/>
    <n v="749.5"/>
    <n v="6745.5"/>
    <s v="Cash"/>
    <x v="0"/>
  </r>
  <r>
    <s v="ORD-2026413"/>
    <s v="24 Thu"/>
    <s v="Jul"/>
    <s v="2025"/>
    <s v="CUST-1211"/>
    <s v="Rohan Sharma"/>
    <x v="3"/>
    <s v="Apparel"/>
    <s v="Formal Shirt"/>
    <n v="1"/>
    <n v="899"/>
    <n v="899"/>
    <n v="5"/>
    <n v="44.95"/>
    <n v="854.05"/>
    <s v="UPI"/>
    <x v="0"/>
  </r>
  <r>
    <s v="ORD-2026414"/>
    <s v="24 Thu"/>
    <s v="Jul"/>
    <s v="2025"/>
    <s v="CUST-1367"/>
    <s v="Aman Saxena"/>
    <x v="1"/>
    <s v="Stationery"/>
    <s v="Gel Pen Pack"/>
    <n v="1"/>
    <n v="99"/>
    <n v="99"/>
    <n v="15"/>
    <n v="14.85"/>
    <n v="84.15"/>
    <s v="UPI"/>
    <x v="1"/>
  </r>
  <r>
    <s v="ORD-2026415"/>
    <s v="24 Thu"/>
    <s v="Jul"/>
    <s v="2025"/>
    <s v="CUST-1242"/>
    <s v="Sakshi Malhotra"/>
    <x v="4"/>
    <s v="Sports"/>
    <s v="Cricket Bat"/>
    <n v="5"/>
    <n v="1499"/>
    <n v="7495"/>
    <n v="0"/>
    <n v="0"/>
    <n v="7495"/>
    <s v="UPI"/>
    <x v="0"/>
  </r>
  <r>
    <s v="ORD-2026416"/>
    <s v="25 Fri"/>
    <s v="Jul"/>
    <s v="2025"/>
    <s v="CUST-1108"/>
    <s v="Kunal Patel"/>
    <x v="2"/>
    <s v="Groceries"/>
    <s v="Basmati Rice 5kg"/>
    <n v="2"/>
    <n v="549"/>
    <n v="1098"/>
    <n v="5"/>
    <n v="54.9"/>
    <n v="1043.0999999999999"/>
    <s v="Credit Card"/>
    <x v="0"/>
  </r>
  <r>
    <s v="ORD-2026417"/>
    <s v="25 Fri"/>
    <s v="Jul"/>
    <s v="2025"/>
    <s v="CUST-1126"/>
    <s v="Divya Sharma"/>
    <x v="0"/>
    <s v="Groceries"/>
    <s v="Basmati Rice 5kg"/>
    <n v="3"/>
    <n v="549"/>
    <n v="1647"/>
    <n v="0"/>
    <n v="0"/>
    <n v="1647"/>
    <s v="Cash"/>
    <x v="0"/>
  </r>
  <r>
    <s v="ORD-2026418"/>
    <s v="25 Fri"/>
    <s v="Jul"/>
    <s v="2025"/>
    <s v="CUST-1145"/>
    <s v="Kunal Joshi"/>
    <x v="1"/>
    <s v="Electronics"/>
    <s v="Wireless Mouse"/>
    <n v="1"/>
    <n v="599"/>
    <n v="599"/>
    <n v="5"/>
    <n v="29.95"/>
    <n v="569.04999999999995"/>
    <s v="Debit Card"/>
    <x v="0"/>
  </r>
  <r>
    <s v="ORD-2026419"/>
    <s v="25 Fri"/>
    <s v="Jul"/>
    <s v="2025"/>
    <s v="CUST-1097"/>
    <s v="Rohan Verma"/>
    <x v="1"/>
    <s v="Groceries"/>
    <s v="Organic Honey 500g"/>
    <n v="3"/>
    <n v="349"/>
    <n v="1047"/>
    <n v="20"/>
    <n v="209.4"/>
    <n v="837.6"/>
    <s v="Debit Card"/>
    <x v="0"/>
  </r>
  <r>
    <s v="ORD-2026420"/>
    <s v="26 Sat"/>
    <s v="Jul"/>
    <s v="2025"/>
    <s v="CUST-1236"/>
    <s v="Divya Mehta"/>
    <x v="0"/>
    <s v="Electronics"/>
    <s v="Bluetooth Headphones"/>
    <n v="4"/>
    <n v="1799"/>
    <n v="7196"/>
    <n v="15"/>
    <n v="1079.4000000000001"/>
    <n v="6116.6"/>
    <s v="UPI"/>
    <x v="1"/>
  </r>
  <r>
    <s v="ORD-2026421"/>
    <s v="26 Sat"/>
    <s v="Jul"/>
    <s v="2025"/>
    <s v="CUST-1110"/>
    <s v="Aman Malhotra"/>
    <x v="0"/>
    <s v="Apparel"/>
    <s v="Cotton T-Shirt"/>
    <n v="4"/>
    <n v="499"/>
    <n v="1996"/>
    <n v="20"/>
    <n v="399.2"/>
    <n v="1596.8"/>
    <s v="Debit Card"/>
    <x v="1"/>
  </r>
  <r>
    <s v="ORD-2026422"/>
    <s v="26 Sat"/>
    <s v="Jul"/>
    <s v="2025"/>
    <s v="CUST-1360"/>
    <s v="Muskan Singh"/>
    <x v="4"/>
    <s v="Stationery"/>
    <s v="Notebook Set"/>
    <n v="1"/>
    <n v="199"/>
    <n v="199"/>
    <n v="0"/>
    <n v="0"/>
    <n v="199"/>
    <s v="Credit Card"/>
    <x v="0"/>
  </r>
  <r>
    <s v="ORD-2026423"/>
    <s v="26 Sat"/>
    <s v="Jul"/>
    <s v="2025"/>
    <s v="CUST-1264"/>
    <s v="Vivaan Malhotra"/>
    <x v="0"/>
    <s v="Apparel"/>
    <s v="Formal Shirt"/>
    <n v="1"/>
    <n v="899"/>
    <n v="899"/>
    <n v="0"/>
    <n v="0"/>
    <n v="899"/>
    <s v="UPI"/>
    <x v="1"/>
  </r>
  <r>
    <s v="ORD-2026424"/>
    <s v="26 Sat"/>
    <s v="Jul"/>
    <s v="2025"/>
    <s v="CUST-1167"/>
    <s v="Nandini Verma"/>
    <x v="2"/>
    <s v="Electronics"/>
    <s v="Bluetooth Headphones"/>
    <n v="1"/>
    <n v="1799"/>
    <n v="1799"/>
    <n v="0"/>
    <n v="0"/>
    <n v="1799"/>
    <s v="Cash"/>
    <x v="0"/>
  </r>
  <r>
    <s v="ORD-2026425"/>
    <s v="26 Sat"/>
    <s v="Jul"/>
    <s v="2025"/>
    <s v="CUST-1374"/>
    <s v="Isha Sharma"/>
    <x v="4"/>
    <s v="Home &amp; Kitchen"/>
    <s v="LED Desk Lamp"/>
    <n v="2"/>
    <n v="799"/>
    <n v="1598"/>
    <n v="0"/>
    <n v="0"/>
    <n v="1598"/>
    <s v="Credit Card"/>
    <x v="1"/>
  </r>
  <r>
    <s v="ORD-2026426"/>
    <s v="26 Sat"/>
    <s v="Jul"/>
    <s v="2025"/>
    <s v="CUST-1353"/>
    <s v="Vivaan Gupta"/>
    <x v="2"/>
    <s v="Beauty"/>
    <s v="Herbal Shampoo"/>
    <n v="1"/>
    <n v="249"/>
    <n v="249"/>
    <n v="20"/>
    <n v="49.8"/>
    <n v="199.2"/>
    <s v="Debit Card"/>
    <x v="1"/>
  </r>
  <r>
    <s v="ORD-2026427"/>
    <s v="26 Sat"/>
    <s v="Jul"/>
    <s v="2025"/>
    <s v="CUST-1287"/>
    <s v="Divya Kapoor"/>
    <x v="3"/>
    <s v="Home &amp; Kitchen"/>
    <s v="Non-stick Pan Set"/>
    <n v="3"/>
    <n v="1299"/>
    <n v="3897"/>
    <n v="10"/>
    <n v="389.7"/>
    <n v="3507.3"/>
    <s v="UPI"/>
    <x v="1"/>
  </r>
  <r>
    <s v="ORD-2026428"/>
    <s v="27 Sun"/>
    <s v="Jul"/>
    <s v="2025"/>
    <s v="CUST-1088"/>
    <s v="Arjun Patel"/>
    <x v="1"/>
    <s v="Apparel"/>
    <s v="Denim Jacket"/>
    <n v="1"/>
    <n v="1999"/>
    <n v="1999"/>
    <n v="0"/>
    <n v="0"/>
    <n v="1999"/>
    <s v="Credit Card"/>
    <x v="1"/>
  </r>
  <r>
    <s v="ORD-2026429"/>
    <s v="27 Sun"/>
    <s v="Jul"/>
    <s v="2025"/>
    <s v="CUST-1296"/>
    <s v="Vivaan Kapoor"/>
    <x v="4"/>
    <s v="Stationery"/>
    <s v="Notebook Set"/>
    <n v="2"/>
    <n v="199"/>
    <n v="398"/>
    <n v="15"/>
    <n v="59.7"/>
    <n v="338.3"/>
    <s v="Debit Card"/>
    <x v="0"/>
  </r>
  <r>
    <s v="ORD-2026430"/>
    <s v="27 Sun"/>
    <s v="Jul"/>
    <s v="2025"/>
    <s v="CUST-1312"/>
    <s v="Sakshi Saxena"/>
    <x v="4"/>
    <s v="Apparel"/>
    <s v="Formal Shirt"/>
    <n v="1"/>
    <n v="899"/>
    <n v="899"/>
    <n v="15"/>
    <n v="134.85"/>
    <n v="764.15"/>
    <s v="Debit Card"/>
    <x v="1"/>
  </r>
  <r>
    <s v="ORD-2026431"/>
    <s v="27 Sun"/>
    <s v="Jul"/>
    <s v="2025"/>
    <s v="CUST-1388"/>
    <s v="Aarav Saxena"/>
    <x v="4"/>
    <s v="Electronics"/>
    <s v="Wireless Mouse"/>
    <n v="3"/>
    <n v="599"/>
    <n v="1797"/>
    <n v="15"/>
    <n v="269.55"/>
    <n v="1527.45"/>
    <s v="Credit Card"/>
    <x v="0"/>
  </r>
  <r>
    <s v="ORD-2026432"/>
    <s v="27 Sun"/>
    <s v="Jul"/>
    <s v="2025"/>
    <s v="CUST-1244"/>
    <s v="Meera Gupta"/>
    <x v="3"/>
    <s v="Beauty"/>
    <s v="Herbal Shampoo"/>
    <n v="1"/>
    <n v="249"/>
    <n v="249"/>
    <n v="15"/>
    <n v="37.35"/>
    <n v="211.65"/>
    <s v="Credit Card"/>
    <x v="0"/>
  </r>
  <r>
    <s v="ORD-2026433"/>
    <s v="27 Sun"/>
    <s v="Jul"/>
    <s v="2025"/>
    <s v="CUST-1250"/>
    <s v="Shreya Saxena"/>
    <x v="1"/>
    <s v="Home &amp; Kitchen"/>
    <s v="Non-stick Pan Set"/>
    <n v="1"/>
    <n v="1299"/>
    <n v="1299"/>
    <n v="0"/>
    <n v="0"/>
    <n v="1299"/>
    <s v="Cash"/>
    <x v="0"/>
  </r>
  <r>
    <s v="ORD-2026434"/>
    <s v="27 Sun"/>
    <s v="Jul"/>
    <s v="2025"/>
    <s v="CUST-1049"/>
    <s v="Kunal Gupta"/>
    <x v="1"/>
    <s v="Apparel"/>
    <s v="Cotton T-Shirt"/>
    <n v="5"/>
    <n v="499"/>
    <n v="2495"/>
    <n v="15"/>
    <n v="374.25"/>
    <n v="2120.75"/>
    <s v="Credit Card"/>
    <x v="1"/>
  </r>
  <r>
    <s v="ORD-2026435"/>
    <s v="27 Sun"/>
    <s v="Jul"/>
    <s v="2025"/>
    <s v="CUST-1199"/>
    <s v="Sakshi Saxena"/>
    <x v="4"/>
    <s v="Beauty"/>
    <s v="Herbal Shampoo"/>
    <n v="3"/>
    <n v="249"/>
    <n v="747"/>
    <n v="0"/>
    <n v="0"/>
    <n v="747"/>
    <s v="UPI"/>
    <x v="0"/>
  </r>
  <r>
    <s v="ORD-2026436"/>
    <s v="27 Sun"/>
    <s v="Jul"/>
    <s v="2025"/>
    <s v="CUST-1016"/>
    <s v="Arjun Kapoor"/>
    <x v="3"/>
    <s v="Stationery"/>
    <s v="Gel Pen Pack"/>
    <n v="3"/>
    <n v="99"/>
    <n v="297"/>
    <n v="0"/>
    <n v="0"/>
    <n v="297"/>
    <s v="Cash"/>
    <x v="1"/>
  </r>
  <r>
    <s v="ORD-2026437"/>
    <s v="27 Sun"/>
    <s v="Jul"/>
    <s v="2025"/>
    <s v="CUST-1215"/>
    <s v="Arjun Singh"/>
    <x v="2"/>
    <s v="Beauty"/>
    <s v="Herbal Shampoo"/>
    <n v="3"/>
    <n v="249"/>
    <n v="747"/>
    <n v="20"/>
    <n v="149.4"/>
    <n v="597.6"/>
    <s v="UPI"/>
    <x v="1"/>
  </r>
  <r>
    <s v="ORD-2026438"/>
    <s v="27 Sun"/>
    <s v="Jul"/>
    <s v="2025"/>
    <s v="CUST-1223"/>
    <s v="Meera Saxena"/>
    <x v="4"/>
    <s v="Apparel"/>
    <s v="Cotton T-Shirt"/>
    <n v="2"/>
    <n v="499"/>
    <n v="998"/>
    <n v="0"/>
    <n v="0"/>
    <n v="998"/>
    <s v="Net Banking"/>
    <x v="0"/>
  </r>
  <r>
    <s v="ORD-2026439"/>
    <s v="27 Sun"/>
    <s v="Jul"/>
    <s v="2025"/>
    <s v="CUST-1268"/>
    <s v="Aman Verma"/>
    <x v="1"/>
    <s v="Stationery"/>
    <s v="Gel Pen Pack"/>
    <n v="2"/>
    <n v="99"/>
    <n v="198"/>
    <n v="0"/>
    <n v="0"/>
    <n v="198"/>
    <s v="Debit Card"/>
    <x v="0"/>
  </r>
  <r>
    <s v="ORD-2026440"/>
    <s v="28 Mon"/>
    <s v="Jul"/>
    <s v="2025"/>
    <s v="CUST-1283"/>
    <s v="Aditya Mehta"/>
    <x v="3"/>
    <s v="Electronics"/>
    <s v="Bluetooth Headphones"/>
    <n v="1"/>
    <n v="1799"/>
    <n v="1799"/>
    <n v="0"/>
    <n v="0"/>
    <n v="1799"/>
    <s v="Credit Card"/>
    <x v="0"/>
  </r>
  <r>
    <s v="ORD-2026441"/>
    <s v="28 Mon"/>
    <s v="Jul"/>
    <s v="2025"/>
    <s v="CUST-1214"/>
    <s v="Rohan Sharma"/>
    <x v="2"/>
    <s v="Apparel"/>
    <s v="Formal Shirt"/>
    <n v="3"/>
    <n v="899"/>
    <n v="2697"/>
    <n v="10"/>
    <n v="269.7"/>
    <n v="2427.3000000000002"/>
    <s v="UPI"/>
    <x v="1"/>
  </r>
  <r>
    <s v="ORD-2026442"/>
    <s v="29 Tue"/>
    <s v="Jul"/>
    <s v="2025"/>
    <s v="CUST-1054"/>
    <s v="Kunal Patel"/>
    <x v="3"/>
    <s v="Electronics"/>
    <s v="Smartwatch"/>
    <n v="1"/>
    <n v="2999"/>
    <n v="2999"/>
    <n v="5"/>
    <n v="149.94999999999999"/>
    <n v="2849.05"/>
    <s v="Cash"/>
    <x v="1"/>
  </r>
  <r>
    <s v="ORD-2026443"/>
    <s v="29 Tue"/>
    <s v="Jul"/>
    <s v="2025"/>
    <s v="CUST-1368"/>
    <s v="Isha Patel"/>
    <x v="1"/>
    <s v="Electronics"/>
    <s v="Smartwatch"/>
    <n v="1"/>
    <n v="2999"/>
    <n v="2999"/>
    <n v="15"/>
    <n v="449.85"/>
    <n v="2549.15"/>
    <s v="Credit Card"/>
    <x v="0"/>
  </r>
  <r>
    <s v="ORD-2026444"/>
    <s v="29 Tue"/>
    <s v="Jul"/>
    <s v="2025"/>
    <s v="CUST-1015"/>
    <s v="Swati Joshi"/>
    <x v="0"/>
    <s v="Sports"/>
    <s v="Yoga Mat"/>
    <n v="2"/>
    <n v="699"/>
    <n v="1398"/>
    <n v="15"/>
    <n v="209.7"/>
    <n v="1188.3"/>
    <s v="Debit Card"/>
    <x v="1"/>
  </r>
  <r>
    <s v="ORD-2026445"/>
    <s v="29 Tue"/>
    <s v="Jul"/>
    <s v="2025"/>
    <s v="CUST-1330"/>
    <s v="Nandini Gupta"/>
    <x v="3"/>
    <s v="Beauty"/>
    <s v="Herbal Shampoo"/>
    <n v="1"/>
    <n v="249"/>
    <n v="249"/>
    <n v="0"/>
    <n v="0"/>
    <n v="249"/>
    <s v="UPI"/>
    <x v="1"/>
  </r>
  <r>
    <s v="ORD-2026446"/>
    <s v="29 Tue"/>
    <s v="Jul"/>
    <s v="2025"/>
    <s v="CUST-1019"/>
    <s v="Aarav Joshi"/>
    <x v="1"/>
    <s v="Home &amp; Kitchen"/>
    <s v="Non-stick Pan Set"/>
    <n v="1"/>
    <n v="1299"/>
    <n v="1299"/>
    <n v="15"/>
    <n v="194.85"/>
    <n v="1104.1500000000001"/>
    <s v="UPI"/>
    <x v="0"/>
  </r>
  <r>
    <s v="ORD-2026447"/>
    <s v="29 Tue"/>
    <s v="Jul"/>
    <s v="2025"/>
    <s v="CUST-1083"/>
    <s v="Komal Kapoor"/>
    <x v="1"/>
    <s v="Electronics"/>
    <s v="Bluetooth Headphones"/>
    <n v="2"/>
    <n v="1799"/>
    <n v="3598"/>
    <n v="0"/>
    <n v="0"/>
    <n v="3598"/>
    <s v="Credit Card"/>
    <x v="1"/>
  </r>
  <r>
    <s v="ORD-2026448"/>
    <s v="29 Tue"/>
    <s v="Jul"/>
    <s v="2025"/>
    <s v="CUST-1125"/>
    <s v="Muskan Malhotra"/>
    <x v="0"/>
    <s v="Groceries"/>
    <s v="Organic Honey 500g"/>
    <n v="1"/>
    <n v="349"/>
    <n v="349"/>
    <n v="5"/>
    <n v="17.45"/>
    <n v="331.55"/>
    <s v="Credit Card"/>
    <x v="1"/>
  </r>
  <r>
    <s v="ORD-2026449"/>
    <s v="29 Tue"/>
    <s v="Jul"/>
    <s v="2025"/>
    <s v="CUST-1223"/>
    <s v="Meera Saxena"/>
    <x v="3"/>
    <s v="Home &amp; Kitchen"/>
    <s v="LED Desk Lamp"/>
    <n v="3"/>
    <n v="799"/>
    <n v="2397"/>
    <n v="10"/>
    <n v="239.7"/>
    <n v="2157.3000000000002"/>
    <s v="Cash"/>
    <x v="1"/>
  </r>
  <r>
    <s v="ORD-2026450"/>
    <s v="29 Tue"/>
    <s v="Jul"/>
    <s v="2025"/>
    <s v="CUST-1247"/>
    <s v="Meera Malhotra"/>
    <x v="2"/>
    <s v="Stationery"/>
    <s v="Gel Pen Pack"/>
    <n v="2"/>
    <n v="99"/>
    <n v="198"/>
    <n v="0"/>
    <n v="0"/>
    <n v="198"/>
    <s v="Debit Card"/>
    <x v="0"/>
  </r>
  <r>
    <s v="ORD-2026451"/>
    <s v="29 Tue"/>
    <s v="Jul"/>
    <s v="2025"/>
    <s v="CUST-1359"/>
    <s v="Arjun Mehta"/>
    <x v="1"/>
    <s v="Groceries"/>
    <s v="Organic Honey 500g"/>
    <n v="1"/>
    <n v="349"/>
    <n v="349"/>
    <n v="0"/>
    <n v="0"/>
    <n v="349"/>
    <s v="Credit Card"/>
    <x v="0"/>
  </r>
  <r>
    <s v="ORD-2026452"/>
    <s v="29 Tue"/>
    <s v="Jul"/>
    <s v="2025"/>
    <s v="CUST-1061"/>
    <s v="Muskan Patel"/>
    <x v="2"/>
    <s v="Apparel"/>
    <s v="Cotton T-Shirt"/>
    <n v="1"/>
    <n v="499"/>
    <n v="499"/>
    <n v="0"/>
    <n v="0"/>
    <n v="499"/>
    <s v="UPI"/>
    <x v="0"/>
  </r>
  <r>
    <s v="ORD-2026453"/>
    <s v="30 Wed"/>
    <s v="Jul"/>
    <s v="2025"/>
    <s v="CUST-1066"/>
    <s v="Kunal Verma"/>
    <x v="1"/>
    <s v="Home &amp; Kitchen"/>
    <s v="LED Desk Lamp"/>
    <n v="1"/>
    <n v="799"/>
    <n v="799"/>
    <n v="10"/>
    <n v="79.900000000000006"/>
    <n v="719.1"/>
    <s v="Cash"/>
    <x v="0"/>
  </r>
  <r>
    <s v="ORD-2026454"/>
    <s v="30 Wed"/>
    <s v="Jul"/>
    <s v="2025"/>
    <s v="CUST-1210"/>
    <s v="Meera Sharma"/>
    <x v="3"/>
    <s v="Apparel"/>
    <s v="Denim Jacket"/>
    <n v="1"/>
    <n v="1999"/>
    <n v="1999"/>
    <n v="0"/>
    <n v="0"/>
    <n v="1999"/>
    <s v="Debit Card"/>
    <x v="0"/>
  </r>
  <r>
    <s v="ORD-2026455"/>
    <s v="31 Thu"/>
    <s v="Jul"/>
    <s v="2025"/>
    <s v="CUST-1043"/>
    <s v="Divya Kapoor"/>
    <x v="4"/>
    <s v="Home &amp; Kitchen"/>
    <s v="LED Desk Lamp"/>
    <n v="3"/>
    <n v="799"/>
    <n v="2397"/>
    <n v="5"/>
    <n v="119.85"/>
    <n v="2277.15"/>
    <s v="Credit Card"/>
    <x v="1"/>
  </r>
  <r>
    <s v="ORD-2026456"/>
    <s v="31 Thu"/>
    <s v="Jul"/>
    <s v="2025"/>
    <s v="CUST-1275"/>
    <s v="Tanya Singh"/>
    <x v="2"/>
    <s v="Stationery"/>
    <s v="Notebook Set"/>
    <n v="1"/>
    <n v="199"/>
    <n v="199"/>
    <n v="20"/>
    <n v="39.799999999999997"/>
    <n v="159.19999999999999"/>
    <s v="Credit Card"/>
    <x v="0"/>
  </r>
  <r>
    <s v="ORD-2026457"/>
    <s v="31 Thu"/>
    <s v="Jul"/>
    <s v="2025"/>
    <s v="CUST-1041"/>
    <s v="Divya Malhotra"/>
    <x v="3"/>
    <s v="Groceries"/>
    <s v="Organic Honey 500g"/>
    <n v="1"/>
    <n v="349"/>
    <n v="349"/>
    <n v="0"/>
    <n v="0"/>
    <n v="349"/>
    <s v="Debit Card"/>
    <x v="1"/>
  </r>
  <r>
    <s v="ORD-2026458"/>
    <s v="31 Thu"/>
    <s v="Jul"/>
    <s v="2025"/>
    <s v="CUST-1247"/>
    <s v="Meera Malhotra"/>
    <x v="2"/>
    <s v="Home &amp; Kitchen"/>
    <s v="Non-stick Pan Set"/>
    <n v="2"/>
    <n v="1299"/>
    <n v="2598"/>
    <n v="5"/>
    <n v="129.9"/>
    <n v="2468.1"/>
    <s v="Net Banking"/>
    <x v="1"/>
  </r>
  <r>
    <s v="ORD-2026459"/>
    <s v="31 Thu"/>
    <s v="Jul"/>
    <s v="2025"/>
    <s v="CUST-1390"/>
    <s v="Rahul Saxena"/>
    <x v="2"/>
    <s v="Stationery"/>
    <s v="Notebook Set"/>
    <n v="2"/>
    <n v="199"/>
    <n v="398"/>
    <n v="10"/>
    <n v="39.799999999999997"/>
    <n v="358.2"/>
    <s v="Debit Card"/>
    <x v="0"/>
  </r>
  <r>
    <s v="ORD-2026460"/>
    <s v="31 Thu"/>
    <s v="Jul"/>
    <s v="2025"/>
    <s v="CUST-1290"/>
    <s v="Kabir Mehta"/>
    <x v="3"/>
    <s v="Groceries"/>
    <s v="Basmati Rice 5kg"/>
    <n v="1"/>
    <n v="549"/>
    <n v="549"/>
    <n v="0"/>
    <n v="0"/>
    <n v="549"/>
    <s v="UPI"/>
    <x v="1"/>
  </r>
  <r>
    <s v="ORD-2026461"/>
    <s v="31 Thu"/>
    <s v="Jul"/>
    <s v="2025"/>
    <s v="CUST-1167"/>
    <s v="Nandini Verma"/>
    <x v="1"/>
    <s v="Home &amp; Kitchen"/>
    <s v="LED Desk Lamp"/>
    <n v="1"/>
    <n v="799"/>
    <n v="799"/>
    <n v="20"/>
    <n v="159.80000000000001"/>
    <n v="639.20000000000005"/>
    <s v="UPI"/>
    <x v="0"/>
  </r>
  <r>
    <s v="ORD-2026462"/>
    <s v="31 Thu"/>
    <s v="Jul"/>
    <s v="2025"/>
    <s v="CUST-1331"/>
    <s v="Arjun Singh"/>
    <x v="4"/>
    <s v="Sports"/>
    <s v="Yoga Mat"/>
    <n v="1"/>
    <n v="699"/>
    <n v="699"/>
    <n v="10"/>
    <n v="69.900000000000006"/>
    <n v="629.1"/>
    <s v="UPI"/>
    <x v="0"/>
  </r>
  <r>
    <s v="ORD-2026463"/>
    <s v="1 Fri"/>
    <s v="Aug"/>
    <s v="2025"/>
    <s v="CUST-1341"/>
    <s v="Meera Patel"/>
    <x v="1"/>
    <s v="Home &amp; Kitchen"/>
    <s v="Non-stick Pan Set"/>
    <n v="1"/>
    <n v="1299"/>
    <n v="1299"/>
    <n v="0"/>
    <n v="0"/>
    <n v="1299"/>
    <s v="Cash"/>
    <x v="1"/>
  </r>
  <r>
    <s v="ORD-2026464"/>
    <s v="1 Fri"/>
    <s v="Aug"/>
    <s v="2025"/>
    <s v="CUST-1056"/>
    <s v="Aarav Kapoor"/>
    <x v="4"/>
    <s v="Home &amp; Kitchen"/>
    <s v="LED Desk Lamp"/>
    <n v="2"/>
    <n v="799"/>
    <n v="1598"/>
    <n v="0"/>
    <n v="0"/>
    <n v="1598"/>
    <s v="UPI"/>
    <x v="1"/>
  </r>
  <r>
    <s v="ORD-2026465"/>
    <s v="1 Fri"/>
    <s v="Aug"/>
    <s v="2025"/>
    <s v="CUST-1252"/>
    <s v="Arjun Singh"/>
    <x v="1"/>
    <s v="Electronics"/>
    <s v="Bluetooth Headphones"/>
    <n v="5"/>
    <n v="1799"/>
    <n v="8995"/>
    <n v="0"/>
    <n v="0"/>
    <n v="8995"/>
    <s v="Debit Card"/>
    <x v="1"/>
  </r>
  <r>
    <s v="ORD-2026466"/>
    <s v="1 Fri"/>
    <s v="Aug"/>
    <s v="2025"/>
    <s v="CUST-1297"/>
    <s v="Sakshi Kapoor"/>
    <x v="3"/>
    <s v="Groceries"/>
    <s v="Basmati Rice 5kg"/>
    <n v="1"/>
    <n v="549"/>
    <n v="549"/>
    <n v="15"/>
    <n v="82.35"/>
    <n v="466.65"/>
    <s v="UPI"/>
    <x v="0"/>
  </r>
  <r>
    <s v="ORD-2026467"/>
    <s v="1 Fri"/>
    <s v="Aug"/>
    <s v="2025"/>
    <s v="CUST-1345"/>
    <s v="Tanya Verma"/>
    <x v="2"/>
    <s v="Stationery"/>
    <s v="Notebook Set"/>
    <n v="1"/>
    <n v="199"/>
    <n v="199"/>
    <n v="15"/>
    <n v="29.85"/>
    <n v="169.15"/>
    <s v="UPI"/>
    <x v="0"/>
  </r>
  <r>
    <s v="ORD-2026468"/>
    <s v="1 Fri"/>
    <s v="Aug"/>
    <s v="2025"/>
    <s v="CUST-1235"/>
    <s v="Meera Verma"/>
    <x v="1"/>
    <s v="Sports"/>
    <s v="Yoga Mat"/>
    <n v="2"/>
    <n v="699"/>
    <n v="1398"/>
    <n v="0"/>
    <n v="0"/>
    <n v="1398"/>
    <s v="UPI"/>
    <x v="1"/>
  </r>
  <r>
    <s v="ORD-2026469"/>
    <s v="1 Fri"/>
    <s v="Aug"/>
    <s v="2025"/>
    <s v="CUST-1197"/>
    <s v="Rahul Verma"/>
    <x v="2"/>
    <s v="Stationery"/>
    <s v="Gel Pen Pack"/>
    <n v="2"/>
    <n v="99"/>
    <n v="198"/>
    <n v="15"/>
    <n v="29.7"/>
    <n v="168.3"/>
    <s v="Credit Card"/>
    <x v="1"/>
  </r>
  <r>
    <s v="ORD-2026470"/>
    <s v="2 Sat"/>
    <s v="Aug"/>
    <s v="2025"/>
    <s v="CUST-1199"/>
    <s v="Sakshi Saxena"/>
    <x v="4"/>
    <s v="Beauty"/>
    <s v="Herbal Shampoo"/>
    <n v="2"/>
    <n v="249"/>
    <n v="498"/>
    <n v="0"/>
    <n v="0"/>
    <n v="498"/>
    <s v="UPI"/>
    <x v="1"/>
  </r>
  <r>
    <s v="ORD-2026471"/>
    <s v="2 Sat"/>
    <s v="Aug"/>
    <s v="2025"/>
    <s v="CUST-1052"/>
    <s v="Meera Verma"/>
    <x v="1"/>
    <s v="Sports"/>
    <s v="Yoga Mat"/>
    <n v="1"/>
    <n v="699"/>
    <n v="699"/>
    <n v="10"/>
    <n v="69.900000000000006"/>
    <n v="629.1"/>
    <s v="Net Banking"/>
    <x v="0"/>
  </r>
  <r>
    <s v="ORD-2026472"/>
    <s v="2 Sat"/>
    <s v="Aug"/>
    <s v="2025"/>
    <s v="CUST-1027"/>
    <s v="Aditya Gupta"/>
    <x v="0"/>
    <s v="Electronics"/>
    <s v="Bluetooth Headphones"/>
    <n v="1"/>
    <n v="1799"/>
    <n v="1799"/>
    <n v="10"/>
    <n v="179.9"/>
    <n v="1619.1"/>
    <s v="UPI"/>
    <x v="1"/>
  </r>
  <r>
    <s v="ORD-2026473"/>
    <s v="2 Sat"/>
    <s v="Aug"/>
    <s v="2025"/>
    <s v="CUST-1312"/>
    <s v="Sakshi Saxena"/>
    <x v="1"/>
    <s v="Stationery"/>
    <s v="Gel Pen Pack"/>
    <n v="1"/>
    <n v="99"/>
    <n v="99"/>
    <n v="0"/>
    <n v="0"/>
    <n v="99"/>
    <s v="UPI"/>
    <x v="0"/>
  </r>
  <r>
    <s v="ORD-2026474"/>
    <s v="2 Sat"/>
    <s v="Aug"/>
    <s v="2025"/>
    <s v="CUST-1029"/>
    <s v="Swati Patel"/>
    <x v="3"/>
    <s v="Home &amp; Kitchen"/>
    <s v="Non-stick Pan Set"/>
    <n v="1"/>
    <n v="1299"/>
    <n v="1299"/>
    <n v="10"/>
    <n v="129.9"/>
    <n v="1169.0999999999999"/>
    <s v="Credit Card"/>
    <x v="0"/>
  </r>
  <r>
    <s v="ORD-2026475"/>
    <s v="2 Sat"/>
    <s v="Aug"/>
    <s v="2025"/>
    <s v="CUST-1080"/>
    <s v="Kabir Sharma"/>
    <x v="2"/>
    <s v="Apparel"/>
    <s v="Cotton T-Shirt"/>
    <n v="1"/>
    <n v="499"/>
    <n v="499"/>
    <n v="0"/>
    <n v="0"/>
    <n v="499"/>
    <s v="Cash"/>
    <x v="0"/>
  </r>
  <r>
    <s v="ORD-2026476"/>
    <s v="3 Sun"/>
    <s v="Aug"/>
    <s v="2025"/>
    <s v="CUST-1143"/>
    <s v="Muskan Saxena"/>
    <x v="3"/>
    <s v="Apparel"/>
    <s v="Formal Shirt"/>
    <n v="4"/>
    <n v="899"/>
    <n v="3596"/>
    <n v="20"/>
    <n v="719.2"/>
    <n v="2876.8"/>
    <s v="Cash"/>
    <x v="0"/>
  </r>
  <r>
    <s v="ORD-2026477"/>
    <s v="3 Sun"/>
    <s v="Aug"/>
    <s v="2025"/>
    <s v="CUST-1031"/>
    <s v="Kabir Malhotra"/>
    <x v="0"/>
    <s v="Apparel"/>
    <s v="Cotton T-Shirt"/>
    <n v="1"/>
    <n v="499"/>
    <n v="499"/>
    <n v="20"/>
    <n v="99.8"/>
    <n v="399.2"/>
    <s v="Debit Card"/>
    <x v="0"/>
  </r>
  <r>
    <s v="ORD-2026478"/>
    <s v="3 Sun"/>
    <s v="Aug"/>
    <s v="2025"/>
    <s v="CUST-1081"/>
    <s v="Nandini Verma"/>
    <x v="3"/>
    <s v="Beauty"/>
    <s v="Face Wash 100ml"/>
    <n v="5"/>
    <n v="299"/>
    <n v="1495"/>
    <n v="10"/>
    <n v="149.5"/>
    <n v="1345.5"/>
    <s v="Credit Card"/>
    <x v="1"/>
  </r>
  <r>
    <s v="ORD-2026479"/>
    <s v="3 Sun"/>
    <s v="Aug"/>
    <s v="2025"/>
    <s v="CUST-1329"/>
    <s v="Swati Gupta"/>
    <x v="4"/>
    <s v="Electronics"/>
    <s v="Bluetooth Headphones"/>
    <n v="1"/>
    <n v="1799"/>
    <n v="1799"/>
    <n v="5"/>
    <n v="89.95"/>
    <n v="1709.05"/>
    <s v="UPI"/>
    <x v="0"/>
  </r>
  <r>
    <s v="ORD-2026480"/>
    <s v="4 Mon"/>
    <s v="Aug"/>
    <s v="2025"/>
    <s v="CUST-1306"/>
    <s v="Sakshi Malhotra"/>
    <x v="0"/>
    <s v="Beauty"/>
    <s v="Herbal Shampoo"/>
    <n v="2"/>
    <n v="249"/>
    <n v="498"/>
    <n v="10"/>
    <n v="49.8"/>
    <n v="448.2"/>
    <s v="UPI"/>
    <x v="0"/>
  </r>
  <r>
    <s v="ORD-2026481"/>
    <s v="4 Mon"/>
    <s v="Aug"/>
    <s v="2025"/>
    <s v="CUST-1240"/>
    <s v="Sakshi Patel"/>
    <x v="2"/>
    <s v="Home &amp; Kitchen"/>
    <s v="LED Desk Lamp"/>
    <n v="1"/>
    <n v="799"/>
    <n v="799"/>
    <n v="0"/>
    <n v="0"/>
    <n v="799"/>
    <s v="Cash"/>
    <x v="0"/>
  </r>
  <r>
    <s v="ORD-2026482"/>
    <s v="4 Mon"/>
    <s v="Aug"/>
    <s v="2025"/>
    <s v="CUST-1053"/>
    <s v="Vivaan Malhotra"/>
    <x v="0"/>
    <s v="Sports"/>
    <s v="Cricket Bat"/>
    <n v="4"/>
    <n v="1499"/>
    <n v="5996"/>
    <n v="15"/>
    <n v="899.4"/>
    <n v="5096.6000000000004"/>
    <s v="Debit Card"/>
    <x v="0"/>
  </r>
  <r>
    <s v="ORD-2026483"/>
    <s v="4 Mon"/>
    <s v="Aug"/>
    <s v="2025"/>
    <s v="CUST-1123"/>
    <s v="Shreya Gupta"/>
    <x v="3"/>
    <s v="Electronics"/>
    <s v="Bluetooth Headphones"/>
    <n v="5"/>
    <n v="1799"/>
    <n v="8995"/>
    <n v="0"/>
    <n v="0"/>
    <n v="8995"/>
    <s v="UPI"/>
    <x v="1"/>
  </r>
  <r>
    <s v="ORD-2026484"/>
    <s v="4 Mon"/>
    <s v="Aug"/>
    <s v="2025"/>
    <s v="CUST-1182"/>
    <s v="Swati Verma"/>
    <x v="4"/>
    <s v="Sports"/>
    <s v="Cricket Bat"/>
    <n v="2"/>
    <n v="1499"/>
    <n v="2998"/>
    <n v="10"/>
    <n v="299.8"/>
    <n v="2698.2"/>
    <s v="Credit Card"/>
    <x v="0"/>
  </r>
  <r>
    <s v="ORD-2026485"/>
    <s v="4 Mon"/>
    <s v="Aug"/>
    <s v="2025"/>
    <s v="CUST-1228"/>
    <s v="Aarav Mehta"/>
    <x v="0"/>
    <s v="Sports"/>
    <s v="Cricket Bat"/>
    <n v="1"/>
    <n v="1499"/>
    <n v="1499"/>
    <n v="0"/>
    <n v="0"/>
    <n v="1499"/>
    <s v="Credit Card"/>
    <x v="1"/>
  </r>
  <r>
    <s v="ORD-2026486"/>
    <s v="4 Mon"/>
    <s v="Aug"/>
    <s v="2025"/>
    <s v="CUST-1296"/>
    <s v="Vivaan Kapoor"/>
    <x v="2"/>
    <s v="Sports"/>
    <s v="Yoga Mat"/>
    <n v="1"/>
    <n v="699"/>
    <n v="699"/>
    <n v="0"/>
    <n v="0"/>
    <n v="699"/>
    <s v="UPI"/>
    <x v="0"/>
  </r>
  <r>
    <s v="ORD-2026487"/>
    <s v="4 Mon"/>
    <s v="Aug"/>
    <s v="2025"/>
    <s v="CUST-1104"/>
    <s v="Nandini Saxena"/>
    <x v="1"/>
    <s v="Stationery"/>
    <s v="Gel Pen Pack"/>
    <n v="1"/>
    <n v="99"/>
    <n v="99"/>
    <n v="20"/>
    <n v="19.8"/>
    <n v="79.2"/>
    <s v="Debit Card"/>
    <x v="0"/>
  </r>
  <r>
    <s v="ORD-2026488"/>
    <s v="5 Tue"/>
    <s v="Aug"/>
    <s v="2025"/>
    <s v="CUST-1219"/>
    <s v="Sakshi Patel"/>
    <x v="2"/>
    <s v="Stationery"/>
    <s v="Notebook Set"/>
    <n v="3"/>
    <n v="199"/>
    <n v="597"/>
    <n v="20"/>
    <n v="119.4"/>
    <n v="477.6"/>
    <s v="Debit Card"/>
    <x v="0"/>
  </r>
  <r>
    <s v="ORD-2026489"/>
    <s v="5 Tue"/>
    <s v="Aug"/>
    <s v="2025"/>
    <s v="CUST-1078"/>
    <s v="Kabir Malhotra"/>
    <x v="3"/>
    <s v="Electronics"/>
    <s v="Smartwatch"/>
    <n v="1"/>
    <n v="2999"/>
    <n v="2999"/>
    <n v="15"/>
    <n v="449.85"/>
    <n v="2549.15"/>
    <s v="Debit Card"/>
    <x v="0"/>
  </r>
  <r>
    <s v="ORD-2026490"/>
    <s v="5 Tue"/>
    <s v="Aug"/>
    <s v="2025"/>
    <s v="CUST-1243"/>
    <s v="Aman Joshi"/>
    <x v="4"/>
    <s v="Apparel"/>
    <s v="Formal Shirt"/>
    <n v="2"/>
    <n v="899"/>
    <n v="1798"/>
    <n v="10"/>
    <n v="179.8"/>
    <n v="1618.2"/>
    <s v="Credit Card"/>
    <x v="0"/>
  </r>
  <r>
    <s v="ORD-2026491"/>
    <s v="5 Tue"/>
    <s v="Aug"/>
    <s v="2025"/>
    <s v="CUST-1081"/>
    <s v="Nandini Verma"/>
    <x v="1"/>
    <s v="Groceries"/>
    <s v="Organic Honey 500g"/>
    <n v="1"/>
    <n v="349"/>
    <n v="349"/>
    <n v="0"/>
    <n v="0"/>
    <n v="349"/>
    <s v="Debit Card"/>
    <x v="0"/>
  </r>
  <r>
    <s v="ORD-2026492"/>
    <s v="5 Tue"/>
    <s v="Aug"/>
    <s v="2025"/>
    <s v="CUST-1151"/>
    <s v="Aman Patel"/>
    <x v="4"/>
    <s v="Electronics"/>
    <s v="Wireless Mouse"/>
    <n v="1"/>
    <n v="599"/>
    <n v="599"/>
    <n v="10"/>
    <n v="59.9"/>
    <n v="539.1"/>
    <s v="Debit Card"/>
    <x v="0"/>
  </r>
  <r>
    <s v="ORD-2026493"/>
    <s v="5 Tue"/>
    <s v="Aug"/>
    <s v="2025"/>
    <s v="CUST-1260"/>
    <s v="Ankit Verma"/>
    <x v="1"/>
    <s v="Groceries"/>
    <s v="Basmati Rice 5kg"/>
    <n v="4"/>
    <n v="549"/>
    <n v="2196"/>
    <n v="20"/>
    <n v="439.2"/>
    <n v="1756.8"/>
    <s v="Credit Card"/>
    <x v="1"/>
  </r>
  <r>
    <s v="ORD-2026494"/>
    <s v="5 Tue"/>
    <s v="Aug"/>
    <s v="2025"/>
    <s v="CUST-1211"/>
    <s v="Rohan Sharma"/>
    <x v="0"/>
    <s v="Home &amp; Kitchen"/>
    <s v="Non-stick Pan Set"/>
    <n v="1"/>
    <n v="1299"/>
    <n v="1299"/>
    <n v="10"/>
    <n v="129.9"/>
    <n v="1169.0999999999999"/>
    <s v="Debit Card"/>
    <x v="1"/>
  </r>
  <r>
    <s v="ORD-2026495"/>
    <s v="5 Tue"/>
    <s v="Aug"/>
    <s v="2025"/>
    <s v="CUST-1106"/>
    <s v="Ankit Saxena"/>
    <x v="2"/>
    <s v="Sports"/>
    <s v="Cricket Bat"/>
    <n v="2"/>
    <n v="1499"/>
    <n v="2998"/>
    <n v="0"/>
    <n v="0"/>
    <n v="2998"/>
    <s v="UPI"/>
    <x v="0"/>
  </r>
  <r>
    <s v="ORD-2026496"/>
    <s v="5 Tue"/>
    <s v="Aug"/>
    <s v="2025"/>
    <s v="CUST-1360"/>
    <s v="Muskan Singh"/>
    <x v="3"/>
    <s v="Home &amp; Kitchen"/>
    <s v="LED Desk Lamp"/>
    <n v="1"/>
    <n v="799"/>
    <n v="799"/>
    <n v="20"/>
    <n v="159.80000000000001"/>
    <n v="639.20000000000005"/>
    <s v="UPI"/>
    <x v="0"/>
  </r>
  <r>
    <s v="ORD-2026497"/>
    <s v="6 Wed"/>
    <s v="Aug"/>
    <s v="2025"/>
    <s v="CUST-1289"/>
    <s v="Kunal Verma"/>
    <x v="2"/>
    <s v="Beauty"/>
    <s v="Herbal Shampoo"/>
    <n v="2"/>
    <n v="249"/>
    <n v="498"/>
    <n v="20"/>
    <n v="99.6"/>
    <n v="398.4"/>
    <s v="Cash"/>
    <x v="0"/>
  </r>
  <r>
    <s v="ORD-2026498"/>
    <s v="6 Wed"/>
    <s v="Aug"/>
    <s v="2025"/>
    <s v="CUST-1395"/>
    <s v="Rahul Verma"/>
    <x v="1"/>
    <s v="Apparel"/>
    <s v="Cotton T-Shirt"/>
    <n v="1"/>
    <n v="499"/>
    <n v="499"/>
    <n v="10"/>
    <n v="49.9"/>
    <n v="449.1"/>
    <s v="UPI"/>
    <x v="0"/>
  </r>
  <r>
    <s v="ORD-2026499"/>
    <s v="7 Thu"/>
    <s v="Aug"/>
    <s v="2025"/>
    <s v="CUST-1102"/>
    <s v="Aarav Patel"/>
    <x v="3"/>
    <s v="Stationery"/>
    <s v="Gel Pen Pack"/>
    <n v="3"/>
    <n v="99"/>
    <n v="297"/>
    <n v="0"/>
    <n v="0"/>
    <n v="297"/>
    <s v="UPI"/>
    <x v="1"/>
  </r>
  <r>
    <s v="ORD-2026500"/>
    <s v="7 Thu"/>
    <s v="Aug"/>
    <s v="2025"/>
    <s v="CUST-1360"/>
    <s v="Muskan Singh"/>
    <x v="1"/>
    <s v="Beauty"/>
    <s v="Herbal Shampoo"/>
    <n v="1"/>
    <n v="249"/>
    <n v="249"/>
    <n v="10"/>
    <n v="24.9"/>
    <n v="224.1"/>
    <s v="Net Banking"/>
    <x v="0"/>
  </r>
  <r>
    <s v="ORD-2026501"/>
    <s v="7 Thu"/>
    <s v="Aug"/>
    <s v="2025"/>
    <s v="CUST-1064"/>
    <s v="Ankit Mehta"/>
    <x v="1"/>
    <s v="Electronics"/>
    <s v="Wireless Mouse"/>
    <n v="2"/>
    <n v="599"/>
    <n v="1198"/>
    <n v="0"/>
    <n v="0"/>
    <n v="1198"/>
    <s v="UPI"/>
    <x v="0"/>
  </r>
  <r>
    <s v="ORD-2026502"/>
    <s v="8 Fri"/>
    <s v="Aug"/>
    <s v="2025"/>
    <s v="CUST-1113"/>
    <s v="Swati Saxena"/>
    <x v="3"/>
    <s v="Sports"/>
    <s v="Cricket Bat"/>
    <n v="1"/>
    <n v="1499"/>
    <n v="1499"/>
    <n v="20"/>
    <n v="299.8"/>
    <n v="1199.2"/>
    <s v="UPI"/>
    <x v="1"/>
  </r>
  <r>
    <s v="ORD-2026503"/>
    <s v="8 Fri"/>
    <s v="Aug"/>
    <s v="2025"/>
    <s v="CUST-1200"/>
    <s v="Swati Saxena"/>
    <x v="0"/>
    <s v="Beauty"/>
    <s v="Face Wash 100ml"/>
    <n v="3"/>
    <n v="299"/>
    <n v="897"/>
    <n v="0"/>
    <n v="0"/>
    <n v="897"/>
    <s v="Credit Card"/>
    <x v="0"/>
  </r>
  <r>
    <s v="ORD-2026504"/>
    <s v="8 Fri"/>
    <s v="Aug"/>
    <s v="2025"/>
    <s v="CUST-1181"/>
    <s v="Kunal Sharma"/>
    <x v="3"/>
    <s v="Groceries"/>
    <s v="Organic Honey 500g"/>
    <n v="1"/>
    <n v="349"/>
    <n v="349"/>
    <n v="0"/>
    <n v="0"/>
    <n v="349"/>
    <s v="Debit Card"/>
    <x v="1"/>
  </r>
  <r>
    <s v="ORD-2026505"/>
    <s v="9 Sat"/>
    <s v="Aug"/>
    <s v="2025"/>
    <s v="CUST-1198"/>
    <s v="Vivaan Joshi"/>
    <x v="1"/>
    <s v="Sports"/>
    <s v="Cricket Bat"/>
    <n v="2"/>
    <n v="1499"/>
    <n v="2998"/>
    <n v="0"/>
    <n v="0"/>
    <n v="2998"/>
    <s v="Debit Card"/>
    <x v="1"/>
  </r>
  <r>
    <s v="ORD-2026506"/>
    <s v="9 Sat"/>
    <s v="Aug"/>
    <s v="2025"/>
    <s v="CUST-1351"/>
    <s v="Tanya Mehta"/>
    <x v="1"/>
    <s v="Groceries"/>
    <s v="Organic Honey 500g"/>
    <n v="4"/>
    <n v="349"/>
    <n v="1396"/>
    <n v="10"/>
    <n v="139.6"/>
    <n v="1256.4000000000001"/>
    <s v="Net Banking"/>
    <x v="0"/>
  </r>
  <r>
    <s v="ORD-2026507"/>
    <s v="9 Sat"/>
    <s v="Aug"/>
    <s v="2025"/>
    <s v="CUST-1017"/>
    <s v="Aarav Verma"/>
    <x v="1"/>
    <s v="Apparel"/>
    <s v="Cotton T-Shirt"/>
    <n v="3"/>
    <n v="499"/>
    <n v="1497"/>
    <n v="15"/>
    <n v="224.55"/>
    <n v="1272.45"/>
    <s v="UPI"/>
    <x v="0"/>
  </r>
  <r>
    <s v="ORD-2026508"/>
    <s v="9 Sat"/>
    <s v="Aug"/>
    <s v="2025"/>
    <s v="CUST-1215"/>
    <s v="Arjun Singh"/>
    <x v="4"/>
    <s v="Electronics"/>
    <s v="Smartwatch"/>
    <n v="1"/>
    <n v="2999"/>
    <n v="2999"/>
    <n v="15"/>
    <n v="449.85"/>
    <n v="2549.15"/>
    <s v="Debit Card"/>
    <x v="1"/>
  </r>
  <r>
    <s v="ORD-2026509"/>
    <s v="9 Sat"/>
    <s v="Aug"/>
    <s v="2025"/>
    <s v="CUST-1250"/>
    <s v="Shreya Saxena"/>
    <x v="3"/>
    <s v="Stationery"/>
    <s v="Notebook Set"/>
    <n v="3"/>
    <n v="199"/>
    <n v="597"/>
    <n v="0"/>
    <n v="0"/>
    <n v="597"/>
    <s v="Net Banking"/>
    <x v="1"/>
  </r>
  <r>
    <s v="ORD-2026510"/>
    <s v="9 Sat"/>
    <s v="Aug"/>
    <s v="2025"/>
    <s v="CUST-1142"/>
    <s v="Divya Singh"/>
    <x v="1"/>
    <s v="Stationery"/>
    <s v="Gel Pen Pack"/>
    <n v="4"/>
    <n v="99"/>
    <n v="396"/>
    <n v="15"/>
    <n v="59.4"/>
    <n v="336.6"/>
    <s v="Credit Card"/>
    <x v="0"/>
  </r>
  <r>
    <s v="ORD-2026511"/>
    <s v="9 Sat"/>
    <s v="Aug"/>
    <s v="2025"/>
    <s v="CUST-1376"/>
    <s v="Kunal Kapoor"/>
    <x v="0"/>
    <s v="Home &amp; Kitchen"/>
    <s v="LED Desk Lamp"/>
    <n v="1"/>
    <n v="799"/>
    <n v="799"/>
    <n v="0"/>
    <n v="0"/>
    <n v="799"/>
    <s v="Cash"/>
    <x v="1"/>
  </r>
  <r>
    <s v="ORD-2026512"/>
    <s v="10 Sun"/>
    <s v="Aug"/>
    <s v="2025"/>
    <s v="CUST-1025"/>
    <s v="Aditya Singh"/>
    <x v="2"/>
    <s v="Beauty"/>
    <s v="Herbal Shampoo"/>
    <n v="2"/>
    <n v="249"/>
    <n v="498"/>
    <n v="10"/>
    <n v="49.8"/>
    <n v="448.2"/>
    <s v="UPI"/>
    <x v="0"/>
  </r>
  <r>
    <s v="ORD-2026513"/>
    <s v="10 Sun"/>
    <s v="Aug"/>
    <s v="2025"/>
    <s v="CUST-1033"/>
    <s v="Meera Joshi"/>
    <x v="0"/>
    <s v="Electronics"/>
    <s v="Smartwatch"/>
    <n v="1"/>
    <n v="2999"/>
    <n v="2999"/>
    <n v="0"/>
    <n v="0"/>
    <n v="2999"/>
    <s v="Debit Card"/>
    <x v="1"/>
  </r>
  <r>
    <s v="ORD-2026514"/>
    <s v="10 Sun"/>
    <s v="Aug"/>
    <s v="2025"/>
    <s v="CUST-1159"/>
    <s v="Isha Kapoor"/>
    <x v="2"/>
    <s v="Apparel"/>
    <s v="Denim Jacket"/>
    <n v="1"/>
    <n v="1999"/>
    <n v="1999"/>
    <n v="0"/>
    <n v="0"/>
    <n v="1999"/>
    <s v="Credit Card"/>
    <x v="0"/>
  </r>
  <r>
    <s v="ORD-2026515"/>
    <s v="10 Sun"/>
    <s v="Aug"/>
    <s v="2025"/>
    <s v="CUST-1105"/>
    <s v="Rohan Singh"/>
    <x v="1"/>
    <s v="Apparel"/>
    <s v="Formal Shirt"/>
    <n v="2"/>
    <n v="899"/>
    <n v="1798"/>
    <n v="0"/>
    <n v="0"/>
    <n v="1798"/>
    <s v="Debit Card"/>
    <x v="0"/>
  </r>
  <r>
    <s v="ORD-2026516"/>
    <s v="10 Sun"/>
    <s v="Aug"/>
    <s v="2025"/>
    <s v="CUST-1232"/>
    <s v="Aman Patel"/>
    <x v="2"/>
    <s v="Sports"/>
    <s v="Cricket Bat"/>
    <n v="1"/>
    <n v="1499"/>
    <n v="1499"/>
    <n v="0"/>
    <n v="0"/>
    <n v="1499"/>
    <s v="UPI"/>
    <x v="1"/>
  </r>
  <r>
    <s v="ORD-2026517"/>
    <s v="10 Sun"/>
    <s v="Aug"/>
    <s v="2025"/>
    <s v="CUST-1308"/>
    <s v="Shreya Sharma"/>
    <x v="4"/>
    <s v="Electronics"/>
    <s v="Bluetooth Headphones"/>
    <n v="1"/>
    <n v="1799"/>
    <n v="1799"/>
    <n v="0"/>
    <n v="0"/>
    <n v="1799"/>
    <s v="UPI"/>
    <x v="1"/>
  </r>
  <r>
    <s v="ORD-2026518"/>
    <s v="10 Sun"/>
    <s v="Aug"/>
    <s v="2025"/>
    <s v="CUST-1036"/>
    <s v="Nandini Mehta"/>
    <x v="2"/>
    <s v="Sports"/>
    <s v="Cricket Bat"/>
    <n v="1"/>
    <n v="1499"/>
    <n v="1499"/>
    <n v="5"/>
    <n v="74.95"/>
    <n v="1424.05"/>
    <s v="UPI"/>
    <x v="0"/>
  </r>
  <r>
    <s v="ORD-2026519"/>
    <s v="11 Mon"/>
    <s v="Aug"/>
    <s v="2025"/>
    <s v="CUST-1138"/>
    <s v="Tanya Singh"/>
    <x v="0"/>
    <s v="Beauty"/>
    <s v="Herbal Shampoo"/>
    <n v="1"/>
    <n v="249"/>
    <n v="249"/>
    <n v="10"/>
    <n v="24.9"/>
    <n v="224.1"/>
    <s v="Credit Card"/>
    <x v="1"/>
  </r>
  <r>
    <s v="ORD-2026520"/>
    <s v="11 Mon"/>
    <s v="Aug"/>
    <s v="2025"/>
    <s v="CUST-1004"/>
    <s v="Tanya Malhotra"/>
    <x v="4"/>
    <s v="Apparel"/>
    <s v="Formal Shirt"/>
    <n v="2"/>
    <n v="899"/>
    <n v="1798"/>
    <n v="20"/>
    <n v="359.6"/>
    <n v="1438.4"/>
    <s v="Credit Card"/>
    <x v="0"/>
  </r>
  <r>
    <s v="ORD-2026521"/>
    <s v="11 Mon"/>
    <s v="Aug"/>
    <s v="2025"/>
    <s v="CUST-1297"/>
    <s v="Sakshi Kapoor"/>
    <x v="2"/>
    <s v="Electronics"/>
    <s v="Wireless Mouse"/>
    <n v="1"/>
    <n v="599"/>
    <n v="599"/>
    <n v="10"/>
    <n v="59.9"/>
    <n v="539.1"/>
    <s v="UPI"/>
    <x v="1"/>
  </r>
  <r>
    <s v="ORD-2026522"/>
    <s v="11 Mon"/>
    <s v="Aug"/>
    <s v="2025"/>
    <s v="CUST-1143"/>
    <s v="Muskan Saxena"/>
    <x v="4"/>
    <s v="Apparel"/>
    <s v="Formal Shirt"/>
    <n v="2"/>
    <n v="899"/>
    <n v="1798"/>
    <n v="0"/>
    <n v="0"/>
    <n v="1798"/>
    <s v="Credit Card"/>
    <x v="0"/>
  </r>
  <r>
    <s v="ORD-2026523"/>
    <s v="11 Mon"/>
    <s v="Aug"/>
    <s v="2025"/>
    <s v="CUST-1271"/>
    <s v="Nandini Sharma"/>
    <x v="3"/>
    <s v="Groceries"/>
    <s v="Organic Honey 500g"/>
    <n v="2"/>
    <n v="349"/>
    <n v="698"/>
    <n v="5"/>
    <n v="34.9"/>
    <n v="663.1"/>
    <s v="Debit Card"/>
    <x v="0"/>
  </r>
  <r>
    <s v="ORD-2026524"/>
    <s v="11 Mon"/>
    <s v="Aug"/>
    <s v="2025"/>
    <s v="CUST-1365"/>
    <s v="Meera Singh"/>
    <x v="1"/>
    <s v="Electronics"/>
    <s v="Bluetooth Headphones"/>
    <n v="2"/>
    <n v="1799"/>
    <n v="3598"/>
    <n v="5"/>
    <n v="179.9"/>
    <n v="3418.1"/>
    <s v="UPI"/>
    <x v="1"/>
  </r>
  <r>
    <s v="ORD-2026525"/>
    <s v="12 Tue"/>
    <s v="Aug"/>
    <s v="2025"/>
    <s v="CUST-1135"/>
    <s v="Shreya Joshi"/>
    <x v="4"/>
    <s v="Apparel"/>
    <s v="Denim Jacket"/>
    <n v="3"/>
    <n v="1999"/>
    <n v="5997"/>
    <n v="0"/>
    <n v="0"/>
    <n v="5997"/>
    <s v="Debit Card"/>
    <x v="1"/>
  </r>
  <r>
    <s v="ORD-2026526"/>
    <s v="12 Tue"/>
    <s v="Aug"/>
    <s v="2025"/>
    <s v="CUST-1272"/>
    <s v="Aarav Saxena"/>
    <x v="4"/>
    <s v="Electronics"/>
    <s v="Wireless Mouse"/>
    <n v="3"/>
    <n v="599"/>
    <n v="1797"/>
    <n v="10"/>
    <n v="179.7"/>
    <n v="1617.3"/>
    <s v="Debit Card"/>
    <x v="1"/>
  </r>
  <r>
    <s v="ORD-2026527"/>
    <s v="12 Tue"/>
    <s v="Aug"/>
    <s v="2025"/>
    <s v="CUST-1179"/>
    <s v="Nandini Saxena"/>
    <x v="1"/>
    <s v="Beauty"/>
    <s v="Herbal Shampoo"/>
    <n v="3"/>
    <n v="249"/>
    <n v="747"/>
    <n v="0"/>
    <n v="0"/>
    <n v="747"/>
    <s v="Credit Card"/>
    <x v="0"/>
  </r>
  <r>
    <s v="ORD-2026528"/>
    <s v="12 Tue"/>
    <s v="Aug"/>
    <s v="2025"/>
    <s v="CUST-1179"/>
    <s v="Nandini Saxena"/>
    <x v="2"/>
    <s v="Electronics"/>
    <s v="Wireless Mouse"/>
    <n v="2"/>
    <n v="599"/>
    <n v="1198"/>
    <n v="0"/>
    <n v="0"/>
    <n v="1198"/>
    <s v="Credit Card"/>
    <x v="0"/>
  </r>
  <r>
    <s v="ORD-2026529"/>
    <s v="12 Tue"/>
    <s v="Aug"/>
    <s v="2025"/>
    <s v="CUST-1304"/>
    <s v="Kunal Saxena"/>
    <x v="4"/>
    <s v="Home &amp; Kitchen"/>
    <s v="LED Desk Lamp"/>
    <n v="1"/>
    <n v="799"/>
    <n v="799"/>
    <n v="0"/>
    <n v="0"/>
    <n v="799"/>
    <s v="Debit Card"/>
    <x v="1"/>
  </r>
  <r>
    <s v="ORD-2026530"/>
    <s v="12 Tue"/>
    <s v="Aug"/>
    <s v="2025"/>
    <s v="CUST-1232"/>
    <s v="Aman Patel"/>
    <x v="4"/>
    <s v="Sports"/>
    <s v="Cricket Bat"/>
    <n v="1"/>
    <n v="1499"/>
    <n v="1499"/>
    <n v="5"/>
    <n v="74.95"/>
    <n v="1424.05"/>
    <s v="UPI"/>
    <x v="0"/>
  </r>
  <r>
    <s v="ORD-2026531"/>
    <s v="12 Tue"/>
    <s v="Aug"/>
    <s v="2025"/>
    <s v="CUST-1349"/>
    <s v="Rohan Mehta"/>
    <x v="1"/>
    <s v="Beauty"/>
    <s v="Herbal Shampoo"/>
    <n v="5"/>
    <n v="249"/>
    <n v="1245"/>
    <n v="0"/>
    <n v="0"/>
    <n v="1245"/>
    <s v="Net Banking"/>
    <x v="0"/>
  </r>
  <r>
    <s v="ORD-2026532"/>
    <s v="12 Tue"/>
    <s v="Aug"/>
    <s v="2025"/>
    <s v="CUST-1352"/>
    <s v="Nandini Mehta"/>
    <x v="4"/>
    <s v="Stationery"/>
    <s v="Notebook Set"/>
    <n v="1"/>
    <n v="199"/>
    <n v="199"/>
    <n v="20"/>
    <n v="39.799999999999997"/>
    <n v="159.19999999999999"/>
    <s v="Net Banking"/>
    <x v="1"/>
  </r>
  <r>
    <s v="ORD-2026533"/>
    <s v="12 Tue"/>
    <s v="Aug"/>
    <s v="2025"/>
    <s v="CUST-1027"/>
    <s v="Aditya Gupta"/>
    <x v="3"/>
    <s v="Home &amp; Kitchen"/>
    <s v="Non-stick Pan Set"/>
    <n v="3"/>
    <n v="1299"/>
    <n v="3897"/>
    <n v="15"/>
    <n v="584.54999999999995"/>
    <n v="3312.45"/>
    <s v="UPI"/>
    <x v="1"/>
  </r>
  <r>
    <s v="ORD-2026534"/>
    <s v="12 Tue"/>
    <s v="Aug"/>
    <s v="2025"/>
    <s v="CUST-1262"/>
    <s v="Kunal Joshi"/>
    <x v="0"/>
    <s v="Beauty"/>
    <s v="Face Wash 100ml"/>
    <n v="4"/>
    <n v="299"/>
    <n v="1196"/>
    <n v="0"/>
    <n v="0"/>
    <n v="1196"/>
    <s v="Debit Card"/>
    <x v="0"/>
  </r>
  <r>
    <s v="ORD-2026535"/>
    <s v="12 Tue"/>
    <s v="Aug"/>
    <s v="2025"/>
    <s v="CUST-1234"/>
    <s v="Meera Sharma"/>
    <x v="4"/>
    <s v="Groceries"/>
    <s v="Basmati Rice 5kg"/>
    <n v="2"/>
    <n v="549"/>
    <n v="1098"/>
    <n v="10"/>
    <n v="109.8"/>
    <n v="988.2"/>
    <s v="UPI"/>
    <x v="1"/>
  </r>
  <r>
    <s v="ORD-2026536"/>
    <s v="12 Tue"/>
    <s v="Aug"/>
    <s v="2025"/>
    <s v="CUST-1052"/>
    <s v="Meera Verma"/>
    <x v="4"/>
    <s v="Stationery"/>
    <s v="Notebook Set"/>
    <n v="1"/>
    <n v="199"/>
    <n v="199"/>
    <n v="5"/>
    <n v="9.9499999999999993"/>
    <n v="189.05"/>
    <s v="Cash"/>
    <x v="0"/>
  </r>
  <r>
    <s v="ORD-2026537"/>
    <s v="12 Tue"/>
    <s v="Aug"/>
    <s v="2025"/>
    <s v="CUST-1207"/>
    <s v="Rohan Malhotra"/>
    <x v="1"/>
    <s v="Groceries"/>
    <s v="Basmati Rice 5kg"/>
    <n v="1"/>
    <n v="549"/>
    <n v="549"/>
    <n v="15"/>
    <n v="82.35"/>
    <n v="466.65"/>
    <s v="Credit Card"/>
    <x v="0"/>
  </r>
  <r>
    <s v="ORD-2026538"/>
    <s v="12 Tue"/>
    <s v="Aug"/>
    <s v="2025"/>
    <s v="CUST-1271"/>
    <s v="Nandini Sharma"/>
    <x v="2"/>
    <s v="Sports"/>
    <s v="Yoga Mat"/>
    <n v="1"/>
    <n v="699"/>
    <n v="699"/>
    <n v="0"/>
    <n v="0"/>
    <n v="699"/>
    <s v="UPI"/>
    <x v="1"/>
  </r>
  <r>
    <s v="ORD-2026539"/>
    <s v="13 Wed"/>
    <s v="Aug"/>
    <s v="2025"/>
    <s v="CUST-1039"/>
    <s v="Aarav Joshi"/>
    <x v="1"/>
    <s v="Home &amp; Kitchen"/>
    <s v="Non-stick Pan Set"/>
    <n v="1"/>
    <n v="1299"/>
    <n v="1299"/>
    <n v="10"/>
    <n v="129.9"/>
    <n v="1169.0999999999999"/>
    <s v="Cash"/>
    <x v="0"/>
  </r>
  <r>
    <s v="ORD-2026540"/>
    <s v="13 Wed"/>
    <s v="Aug"/>
    <s v="2025"/>
    <s v="CUST-1019"/>
    <s v="Aarav Joshi"/>
    <x v="0"/>
    <s v="Apparel"/>
    <s v="Formal Shirt"/>
    <n v="1"/>
    <n v="899"/>
    <n v="899"/>
    <n v="20"/>
    <n v="179.8"/>
    <n v="719.2"/>
    <s v="Net Banking"/>
    <x v="1"/>
  </r>
  <r>
    <s v="ORD-2026541"/>
    <s v="13 Wed"/>
    <s v="Aug"/>
    <s v="2025"/>
    <s v="CUST-1372"/>
    <s v="Vivaan Singh"/>
    <x v="0"/>
    <s v="Apparel"/>
    <s v="Denim Jacket"/>
    <n v="4"/>
    <n v="1999"/>
    <n v="7996"/>
    <n v="0"/>
    <n v="0"/>
    <n v="7996"/>
    <s v="Debit Card"/>
    <x v="1"/>
  </r>
  <r>
    <s v="ORD-2026542"/>
    <s v="14 Thu"/>
    <s v="Aug"/>
    <s v="2025"/>
    <s v="CUST-1283"/>
    <s v="Aditya Mehta"/>
    <x v="3"/>
    <s v="Stationery"/>
    <s v="Notebook Set"/>
    <n v="5"/>
    <n v="199"/>
    <n v="995"/>
    <n v="15"/>
    <n v="149.25"/>
    <n v="845.75"/>
    <s v="Debit Card"/>
    <x v="0"/>
  </r>
  <r>
    <s v="ORD-2026543"/>
    <s v="14 Thu"/>
    <s v="Aug"/>
    <s v="2025"/>
    <s v="CUST-1309"/>
    <s v="Meera Verma"/>
    <x v="1"/>
    <s v="Home &amp; Kitchen"/>
    <s v="LED Desk Lamp"/>
    <n v="1"/>
    <n v="799"/>
    <n v="799"/>
    <n v="15"/>
    <n v="119.85"/>
    <n v="679.15"/>
    <s v="UPI"/>
    <x v="0"/>
  </r>
  <r>
    <s v="ORD-2026544"/>
    <s v="14 Thu"/>
    <s v="Aug"/>
    <s v="2025"/>
    <s v="CUST-1202"/>
    <s v="Isha Verma"/>
    <x v="2"/>
    <s v="Apparel"/>
    <s v="Cotton T-Shirt"/>
    <n v="1"/>
    <n v="499"/>
    <n v="499"/>
    <n v="10"/>
    <n v="49.9"/>
    <n v="449.1"/>
    <s v="Debit Card"/>
    <x v="0"/>
  </r>
  <r>
    <s v="ORD-2026545"/>
    <s v="14 Thu"/>
    <s v="Aug"/>
    <s v="2025"/>
    <s v="CUST-1275"/>
    <s v="Tanya Singh"/>
    <x v="3"/>
    <s v="Apparel"/>
    <s v="Formal Shirt"/>
    <n v="1"/>
    <n v="899"/>
    <n v="899"/>
    <n v="10"/>
    <n v="89.9"/>
    <n v="809.1"/>
    <s v="Credit Card"/>
    <x v="0"/>
  </r>
  <r>
    <s v="ORD-2026546"/>
    <s v="14 Thu"/>
    <s v="Aug"/>
    <s v="2025"/>
    <s v="CUST-1332"/>
    <s v="Rahul Malhotra"/>
    <x v="1"/>
    <s v="Sports"/>
    <s v="Cricket Bat"/>
    <n v="2"/>
    <n v="1499"/>
    <n v="2998"/>
    <n v="5"/>
    <n v="149.9"/>
    <n v="2848.1"/>
    <s v="Debit Card"/>
    <x v="0"/>
  </r>
  <r>
    <s v="ORD-2026547"/>
    <s v="14 Thu"/>
    <s v="Aug"/>
    <s v="2025"/>
    <s v="CUST-1131"/>
    <s v="Aarav Sharma"/>
    <x v="0"/>
    <s v="Groceries"/>
    <s v="Basmati Rice 5kg"/>
    <n v="1"/>
    <n v="549"/>
    <n v="549"/>
    <n v="0"/>
    <n v="0"/>
    <n v="549"/>
    <s v="Cash"/>
    <x v="0"/>
  </r>
  <r>
    <s v="ORD-2026548"/>
    <s v="14 Thu"/>
    <s v="Aug"/>
    <s v="2025"/>
    <s v="CUST-1273"/>
    <s v="Aman Saxena"/>
    <x v="3"/>
    <s v="Sports"/>
    <s v="Cricket Bat"/>
    <n v="3"/>
    <n v="1499"/>
    <n v="4497"/>
    <n v="20"/>
    <n v="899.4"/>
    <n v="3597.6"/>
    <s v="UPI"/>
    <x v="0"/>
  </r>
  <r>
    <s v="ORD-2026549"/>
    <s v="14 Thu"/>
    <s v="Aug"/>
    <s v="2025"/>
    <s v="CUST-1109"/>
    <s v="Kabir Mehta"/>
    <x v="1"/>
    <s v="Electronics"/>
    <s v="Bluetooth Headphones"/>
    <n v="2"/>
    <n v="1799"/>
    <n v="3598"/>
    <n v="20"/>
    <n v="719.6"/>
    <n v="2878.4"/>
    <s v="Debit Card"/>
    <x v="0"/>
  </r>
  <r>
    <s v="ORD-2026550"/>
    <s v="14 Thu"/>
    <s v="Aug"/>
    <s v="2025"/>
    <s v="CUST-1014"/>
    <s v="Vivaan Kapoor"/>
    <x v="4"/>
    <s v="Apparel"/>
    <s v="Cotton T-Shirt"/>
    <n v="1"/>
    <n v="499"/>
    <n v="499"/>
    <n v="0"/>
    <n v="0"/>
    <n v="499"/>
    <s v="Cash"/>
    <x v="0"/>
  </r>
  <r>
    <s v="ORD-2026551"/>
    <s v="15 Fri"/>
    <s v="Aug"/>
    <s v="2025"/>
    <s v="CUST-1222"/>
    <s v="Sakshi Sharma"/>
    <x v="2"/>
    <s v="Electronics"/>
    <s v="Smartwatch"/>
    <n v="4"/>
    <n v="2999"/>
    <n v="11996"/>
    <n v="5"/>
    <n v="599.79999999999995"/>
    <n v="11396.2"/>
    <s v="UPI"/>
    <x v="0"/>
  </r>
  <r>
    <s v="ORD-2026552"/>
    <s v="15 Fri"/>
    <s v="Aug"/>
    <s v="2025"/>
    <s v="CUST-1079"/>
    <s v="Komal Mehta"/>
    <x v="4"/>
    <s v="Groceries"/>
    <s v="Basmati Rice 5kg"/>
    <n v="3"/>
    <n v="549"/>
    <n v="1647"/>
    <n v="20"/>
    <n v="329.4"/>
    <n v="1317.6"/>
    <s v="Debit Card"/>
    <x v="0"/>
  </r>
  <r>
    <s v="ORD-2026553"/>
    <s v="15 Fri"/>
    <s v="Aug"/>
    <s v="2025"/>
    <s v="CUST-1347"/>
    <s v="Ankit Joshi"/>
    <x v="2"/>
    <s v="Beauty"/>
    <s v="Face Wash 100ml"/>
    <n v="1"/>
    <n v="299"/>
    <n v="299"/>
    <n v="0"/>
    <n v="0"/>
    <n v="299"/>
    <s v="UPI"/>
    <x v="1"/>
  </r>
  <r>
    <s v="ORD-2026554"/>
    <s v="15 Fri"/>
    <s v="Aug"/>
    <s v="2025"/>
    <s v="CUST-1212"/>
    <s v="Komal Joshi"/>
    <x v="4"/>
    <s v="Electronics"/>
    <s v="Wireless Mouse"/>
    <n v="2"/>
    <n v="599"/>
    <n v="1198"/>
    <n v="15"/>
    <n v="179.7"/>
    <n v="1018.3"/>
    <s v="UPI"/>
    <x v="1"/>
  </r>
  <r>
    <s v="ORD-2026555"/>
    <s v="15 Fri"/>
    <s v="Aug"/>
    <s v="2025"/>
    <s v="CUST-1199"/>
    <s v="Sakshi Saxena"/>
    <x v="1"/>
    <s v="Sports"/>
    <s v="Yoga Mat"/>
    <n v="1"/>
    <n v="699"/>
    <n v="699"/>
    <n v="0"/>
    <n v="0"/>
    <n v="699"/>
    <s v="Debit Card"/>
    <x v="1"/>
  </r>
  <r>
    <s v="ORD-2026556"/>
    <s v="15 Fri"/>
    <s v="Aug"/>
    <s v="2025"/>
    <s v="CUST-1144"/>
    <s v="Divya Mehta"/>
    <x v="2"/>
    <s v="Stationery"/>
    <s v="Notebook Set"/>
    <n v="1"/>
    <n v="199"/>
    <n v="199"/>
    <n v="20"/>
    <n v="39.799999999999997"/>
    <n v="159.19999999999999"/>
    <s v="Debit Card"/>
    <x v="1"/>
  </r>
  <r>
    <s v="ORD-2026557"/>
    <s v="15 Fri"/>
    <s v="Aug"/>
    <s v="2025"/>
    <s v="CUST-1053"/>
    <s v="Vivaan Malhotra"/>
    <x v="0"/>
    <s v="Electronics"/>
    <s v="Smartwatch"/>
    <n v="1"/>
    <n v="2999"/>
    <n v="2999"/>
    <n v="0"/>
    <n v="0"/>
    <n v="2999"/>
    <s v="UPI"/>
    <x v="0"/>
  </r>
  <r>
    <s v="ORD-2026558"/>
    <s v="15 Fri"/>
    <s v="Aug"/>
    <s v="2025"/>
    <s v="CUST-1337"/>
    <s v="Rahul Patel"/>
    <x v="1"/>
    <s v="Electronics"/>
    <s v="Smartwatch"/>
    <n v="1"/>
    <n v="2999"/>
    <n v="2999"/>
    <n v="0"/>
    <n v="0"/>
    <n v="2999"/>
    <s v="UPI"/>
    <x v="1"/>
  </r>
  <r>
    <s v="ORD-2026559"/>
    <s v="15 Fri"/>
    <s v="Aug"/>
    <s v="2025"/>
    <s v="CUST-1361"/>
    <s v="Vivaan Kapoor"/>
    <x v="0"/>
    <s v="Apparel"/>
    <s v="Formal Shirt"/>
    <n v="3"/>
    <n v="899"/>
    <n v="2697"/>
    <n v="10"/>
    <n v="269.7"/>
    <n v="2427.3000000000002"/>
    <s v="Debit Card"/>
    <x v="1"/>
  </r>
  <r>
    <s v="ORD-2026560"/>
    <s v="15 Fri"/>
    <s v="Aug"/>
    <s v="2025"/>
    <s v="CUST-1189"/>
    <s v="Vivaan Mehta"/>
    <x v="3"/>
    <s v="Stationery"/>
    <s v="Notebook Set"/>
    <n v="3"/>
    <n v="199"/>
    <n v="597"/>
    <n v="10"/>
    <n v="59.7"/>
    <n v="537.29999999999995"/>
    <s v="Credit Card"/>
    <x v="0"/>
  </r>
  <r>
    <s v="ORD-2026561"/>
    <s v="15 Fri"/>
    <s v="Aug"/>
    <s v="2025"/>
    <s v="CUST-1064"/>
    <s v="Ankit Mehta"/>
    <x v="2"/>
    <s v="Groceries"/>
    <s v="Organic Honey 500g"/>
    <n v="1"/>
    <n v="349"/>
    <n v="349"/>
    <n v="15"/>
    <n v="52.35"/>
    <n v="296.64999999999998"/>
    <s v="Debit Card"/>
    <x v="0"/>
  </r>
  <r>
    <s v="ORD-2026562"/>
    <s v="15 Fri"/>
    <s v="Aug"/>
    <s v="2025"/>
    <s v="CUST-1277"/>
    <s v="Vivaan Sharma"/>
    <x v="3"/>
    <s v="Electronics"/>
    <s v="Wireless Mouse"/>
    <n v="3"/>
    <n v="599"/>
    <n v="1797"/>
    <n v="15"/>
    <n v="269.55"/>
    <n v="1527.45"/>
    <s v="Debit Card"/>
    <x v="1"/>
  </r>
  <r>
    <s v="ORD-2026563"/>
    <s v="16 Sat"/>
    <s v="Aug"/>
    <s v="2025"/>
    <s v="CUST-1323"/>
    <s v="Muskan Verma"/>
    <x v="2"/>
    <s v="Apparel"/>
    <s v="Formal Shirt"/>
    <n v="3"/>
    <n v="899"/>
    <n v="2697"/>
    <n v="10"/>
    <n v="269.7"/>
    <n v="2427.3000000000002"/>
    <s v="Credit Card"/>
    <x v="1"/>
  </r>
  <r>
    <s v="ORD-2026564"/>
    <s v="16 Sat"/>
    <s v="Aug"/>
    <s v="2025"/>
    <s v="CUST-1340"/>
    <s v="Aman Kapoor"/>
    <x v="4"/>
    <s v="Beauty"/>
    <s v="Face Wash 100ml"/>
    <n v="1"/>
    <n v="299"/>
    <n v="299"/>
    <n v="20"/>
    <n v="59.8"/>
    <n v="239.2"/>
    <s v="UPI"/>
    <x v="1"/>
  </r>
  <r>
    <s v="ORD-2026565"/>
    <s v="16 Sat"/>
    <s v="Aug"/>
    <s v="2025"/>
    <s v="CUST-1229"/>
    <s v="Vivaan Singh"/>
    <x v="3"/>
    <s v="Stationery"/>
    <s v="Notebook Set"/>
    <n v="2"/>
    <n v="199"/>
    <n v="398"/>
    <n v="15"/>
    <n v="59.7"/>
    <n v="338.3"/>
    <s v="Credit Card"/>
    <x v="1"/>
  </r>
  <r>
    <s v="ORD-2026566"/>
    <s v="16 Sat"/>
    <s v="Aug"/>
    <s v="2025"/>
    <s v="CUST-1321"/>
    <s v="Isha Mehta"/>
    <x v="1"/>
    <s v="Groceries"/>
    <s v="Basmati Rice 5kg"/>
    <n v="2"/>
    <n v="549"/>
    <n v="1098"/>
    <n v="10"/>
    <n v="109.8"/>
    <n v="988.2"/>
    <s v="Debit Card"/>
    <x v="1"/>
  </r>
  <r>
    <s v="ORD-2026567"/>
    <s v="16 Sat"/>
    <s v="Aug"/>
    <s v="2025"/>
    <s v="CUST-1006"/>
    <s v="Sakshi Singh"/>
    <x v="2"/>
    <s v="Electronics"/>
    <s v="Wireless Mouse"/>
    <n v="2"/>
    <n v="599"/>
    <n v="1198"/>
    <n v="20"/>
    <n v="239.6"/>
    <n v="958.4"/>
    <s v="UPI"/>
    <x v="1"/>
  </r>
  <r>
    <s v="ORD-2026568"/>
    <s v="16 Sat"/>
    <s v="Aug"/>
    <s v="2025"/>
    <s v="CUST-1363"/>
    <s v="Arjun Joshi"/>
    <x v="2"/>
    <s v="Electronics"/>
    <s v="Bluetooth Headphones"/>
    <n v="2"/>
    <n v="1799"/>
    <n v="3598"/>
    <n v="0"/>
    <n v="0"/>
    <n v="3598"/>
    <s v="UPI"/>
    <x v="1"/>
  </r>
  <r>
    <s v="ORD-2026569"/>
    <s v="17 Sun"/>
    <s v="Aug"/>
    <s v="2025"/>
    <s v="CUST-1107"/>
    <s v="Isha Sharma"/>
    <x v="2"/>
    <s v="Groceries"/>
    <s v="Basmati Rice 5kg"/>
    <n v="3"/>
    <n v="549"/>
    <n v="1647"/>
    <n v="20"/>
    <n v="329.4"/>
    <n v="1317.6"/>
    <s v="UPI"/>
    <x v="1"/>
  </r>
  <r>
    <s v="ORD-2026570"/>
    <s v="17 Sun"/>
    <s v="Aug"/>
    <s v="2025"/>
    <s v="CUST-1394"/>
    <s v="Tanya Malhotra"/>
    <x v="4"/>
    <s v="Apparel"/>
    <s v="Denim Jacket"/>
    <n v="1"/>
    <n v="1999"/>
    <n v="1999"/>
    <n v="0"/>
    <n v="0"/>
    <n v="1999"/>
    <s v="UPI"/>
    <x v="0"/>
  </r>
  <r>
    <s v="ORD-2026571"/>
    <s v="17 Sun"/>
    <s v="Aug"/>
    <s v="2025"/>
    <s v="CUST-1175"/>
    <s v="Vivaan Kapoor"/>
    <x v="0"/>
    <s v="Beauty"/>
    <s v="Face Wash 100ml"/>
    <n v="2"/>
    <n v="299"/>
    <n v="598"/>
    <n v="20"/>
    <n v="119.6"/>
    <n v="478.4"/>
    <s v="Credit Card"/>
    <x v="0"/>
  </r>
  <r>
    <s v="ORD-2026572"/>
    <s v="17 Sun"/>
    <s v="Aug"/>
    <s v="2025"/>
    <s v="CUST-1308"/>
    <s v="Shreya Sharma"/>
    <x v="3"/>
    <s v="Electronics"/>
    <s v="Smartwatch"/>
    <n v="3"/>
    <n v="2999"/>
    <n v="8997"/>
    <n v="20"/>
    <n v="1799.4"/>
    <n v="7197.6"/>
    <s v="UPI"/>
    <x v="1"/>
  </r>
  <r>
    <s v="ORD-2026573"/>
    <s v="17 Sun"/>
    <s v="Aug"/>
    <s v="2025"/>
    <s v="CUST-1009"/>
    <s v="Shreya Gupta"/>
    <x v="1"/>
    <s v="Sports"/>
    <s v="Yoga Mat"/>
    <n v="1"/>
    <n v="699"/>
    <n v="699"/>
    <n v="0"/>
    <n v="0"/>
    <n v="699"/>
    <s v="Cash"/>
    <x v="1"/>
  </r>
  <r>
    <s v="ORD-2026574"/>
    <s v="17 Sun"/>
    <s v="Aug"/>
    <s v="2025"/>
    <s v="CUST-1295"/>
    <s v="Tanya Singh"/>
    <x v="3"/>
    <s v="Beauty"/>
    <s v="Herbal Shampoo"/>
    <n v="2"/>
    <n v="249"/>
    <n v="498"/>
    <n v="15"/>
    <n v="74.7"/>
    <n v="423.3"/>
    <s v="Debit Card"/>
    <x v="0"/>
  </r>
  <r>
    <s v="ORD-2026575"/>
    <s v="17 Sun"/>
    <s v="Aug"/>
    <s v="2025"/>
    <s v="CUST-1266"/>
    <s v="Vivaan Kapoor"/>
    <x v="3"/>
    <s v="Home &amp; Kitchen"/>
    <s v="LED Desk Lamp"/>
    <n v="1"/>
    <n v="799"/>
    <n v="799"/>
    <n v="0"/>
    <n v="0"/>
    <n v="799"/>
    <s v="UPI"/>
    <x v="0"/>
  </r>
  <r>
    <s v="ORD-2026576"/>
    <s v="17 Sun"/>
    <s v="Aug"/>
    <s v="2025"/>
    <s v="CUST-1070"/>
    <s v="Vivaan Mehta"/>
    <x v="4"/>
    <s v="Apparel"/>
    <s v="Formal Shirt"/>
    <n v="2"/>
    <n v="899"/>
    <n v="1798"/>
    <n v="0"/>
    <n v="0"/>
    <n v="1798"/>
    <s v="Credit Card"/>
    <x v="1"/>
  </r>
  <r>
    <s v="ORD-2026577"/>
    <s v="17 Sun"/>
    <s v="Aug"/>
    <s v="2025"/>
    <s v="CUST-1376"/>
    <s v="Kunal Kapoor"/>
    <x v="4"/>
    <s v="Groceries"/>
    <s v="Basmati Rice 5kg"/>
    <n v="2"/>
    <n v="549"/>
    <n v="1098"/>
    <n v="0"/>
    <n v="0"/>
    <n v="1098"/>
    <s v="UPI"/>
    <x v="0"/>
  </r>
  <r>
    <s v="ORD-2026578"/>
    <s v="17 Sun"/>
    <s v="Aug"/>
    <s v="2025"/>
    <s v="CUST-1005"/>
    <s v="Rohan Malhotra"/>
    <x v="4"/>
    <s v="Home &amp; Kitchen"/>
    <s v="LED Desk Lamp"/>
    <n v="1"/>
    <n v="799"/>
    <n v="799"/>
    <n v="0"/>
    <n v="0"/>
    <n v="799"/>
    <s v="UPI"/>
    <x v="0"/>
  </r>
  <r>
    <s v="ORD-2026579"/>
    <s v="17 Sun"/>
    <s v="Aug"/>
    <s v="2025"/>
    <s v="CUST-1117"/>
    <s v="Aman Saxena"/>
    <x v="4"/>
    <s v="Sports"/>
    <s v="Yoga Mat"/>
    <n v="1"/>
    <n v="699"/>
    <n v="699"/>
    <n v="5"/>
    <n v="34.950000000000003"/>
    <n v="664.05"/>
    <s v="Cash"/>
    <x v="1"/>
  </r>
  <r>
    <s v="ORD-2026580"/>
    <s v="18 Mon"/>
    <s v="Aug"/>
    <s v="2025"/>
    <s v="CUST-1277"/>
    <s v="Vivaan Sharma"/>
    <x v="3"/>
    <s v="Electronics"/>
    <s v="Wireless Mouse"/>
    <n v="1"/>
    <n v="599"/>
    <n v="599"/>
    <n v="0"/>
    <n v="0"/>
    <n v="599"/>
    <s v="Net Banking"/>
    <x v="0"/>
  </r>
  <r>
    <s v="ORD-2026581"/>
    <s v="18 Mon"/>
    <s v="Aug"/>
    <s v="2025"/>
    <s v="CUST-1345"/>
    <s v="Tanya Verma"/>
    <x v="3"/>
    <s v="Home &amp; Kitchen"/>
    <s v="Non-stick Pan Set"/>
    <n v="1"/>
    <n v="1299"/>
    <n v="1299"/>
    <n v="20"/>
    <n v="259.8"/>
    <n v="1039.2"/>
    <s v="Debit Card"/>
    <x v="0"/>
  </r>
  <r>
    <s v="ORD-2026582"/>
    <s v="18 Mon"/>
    <s v="Aug"/>
    <s v="2025"/>
    <s v="CUST-1051"/>
    <s v="Rohan Patel"/>
    <x v="2"/>
    <s v="Electronics"/>
    <s v="Smartwatch"/>
    <n v="1"/>
    <n v="2999"/>
    <n v="2999"/>
    <n v="0"/>
    <n v="0"/>
    <n v="2999"/>
    <s v="Credit Card"/>
    <x v="1"/>
  </r>
  <r>
    <s v="ORD-2026583"/>
    <s v="18 Mon"/>
    <s v="Aug"/>
    <s v="2025"/>
    <s v="CUST-1329"/>
    <s v="Swati Gupta"/>
    <x v="4"/>
    <s v="Home &amp; Kitchen"/>
    <s v="Non-stick Pan Set"/>
    <n v="5"/>
    <n v="1299"/>
    <n v="6495"/>
    <n v="0"/>
    <n v="0"/>
    <n v="6495"/>
    <s v="UPI"/>
    <x v="0"/>
  </r>
  <r>
    <s v="ORD-2026584"/>
    <s v="18 Mon"/>
    <s v="Aug"/>
    <s v="2025"/>
    <s v="CUST-1251"/>
    <s v="Aarav Singh"/>
    <x v="1"/>
    <s v="Beauty"/>
    <s v="Face Wash 100ml"/>
    <n v="2"/>
    <n v="299"/>
    <n v="598"/>
    <n v="0"/>
    <n v="0"/>
    <n v="598"/>
    <s v="UPI"/>
    <x v="0"/>
  </r>
  <r>
    <s v="ORD-2026585"/>
    <s v="18 Mon"/>
    <s v="Aug"/>
    <s v="2025"/>
    <s v="CUST-1325"/>
    <s v="Aarav Saxena"/>
    <x v="2"/>
    <s v="Apparel"/>
    <s v="Cotton T-Shirt"/>
    <n v="1"/>
    <n v="499"/>
    <n v="499"/>
    <n v="0"/>
    <n v="0"/>
    <n v="499"/>
    <s v="Credit Card"/>
    <x v="1"/>
  </r>
  <r>
    <s v="ORD-2026586"/>
    <s v="18 Mon"/>
    <s v="Aug"/>
    <s v="2025"/>
    <s v="CUST-1191"/>
    <s v="Nandini Malhotra"/>
    <x v="3"/>
    <s v="Groceries"/>
    <s v="Organic Honey 500g"/>
    <n v="2"/>
    <n v="349"/>
    <n v="698"/>
    <n v="5"/>
    <n v="34.9"/>
    <n v="663.1"/>
    <s v="UPI"/>
    <x v="1"/>
  </r>
  <r>
    <s v="ORD-2026587"/>
    <s v="18 Mon"/>
    <s v="Aug"/>
    <s v="2025"/>
    <s v="CUST-1262"/>
    <s v="Kunal Joshi"/>
    <x v="4"/>
    <s v="Electronics"/>
    <s v="Wireless Mouse"/>
    <n v="1"/>
    <n v="599"/>
    <n v="599"/>
    <n v="20"/>
    <n v="119.8"/>
    <n v="479.2"/>
    <s v="Credit Card"/>
    <x v="1"/>
  </r>
  <r>
    <s v="ORD-2026588"/>
    <s v="18 Mon"/>
    <s v="Aug"/>
    <s v="2025"/>
    <s v="CUST-1050"/>
    <s v="Rohan Gupta"/>
    <x v="1"/>
    <s v="Sports"/>
    <s v="Cricket Bat"/>
    <n v="1"/>
    <n v="1499"/>
    <n v="1499"/>
    <n v="0"/>
    <n v="0"/>
    <n v="1499"/>
    <s v="Net Banking"/>
    <x v="0"/>
  </r>
  <r>
    <s v="ORD-2026589"/>
    <s v="19 Tue"/>
    <s v="Aug"/>
    <s v="2025"/>
    <s v="CUST-1133"/>
    <s v="Kunal Mehta"/>
    <x v="0"/>
    <s v="Beauty"/>
    <s v="Herbal Shampoo"/>
    <n v="1"/>
    <n v="249"/>
    <n v="249"/>
    <n v="0"/>
    <n v="0"/>
    <n v="249"/>
    <s v="Net Banking"/>
    <x v="1"/>
  </r>
  <r>
    <s v="ORD-2026590"/>
    <s v="19 Tue"/>
    <s v="Aug"/>
    <s v="2025"/>
    <s v="CUST-1272"/>
    <s v="Aarav Saxena"/>
    <x v="4"/>
    <s v="Beauty"/>
    <s v="Herbal Shampoo"/>
    <n v="4"/>
    <n v="249"/>
    <n v="996"/>
    <n v="0"/>
    <n v="0"/>
    <n v="996"/>
    <s v="UPI"/>
    <x v="1"/>
  </r>
  <r>
    <s v="ORD-2026591"/>
    <s v="19 Tue"/>
    <s v="Aug"/>
    <s v="2025"/>
    <s v="CUST-1054"/>
    <s v="Kunal Patel"/>
    <x v="2"/>
    <s v="Groceries"/>
    <s v="Basmati Rice 5kg"/>
    <n v="1"/>
    <n v="549"/>
    <n v="549"/>
    <n v="10"/>
    <n v="54.9"/>
    <n v="494.1"/>
    <s v="Credit Card"/>
    <x v="0"/>
  </r>
  <r>
    <s v="ORD-2026592"/>
    <s v="19 Tue"/>
    <s v="Aug"/>
    <s v="2025"/>
    <s v="CUST-1365"/>
    <s v="Meera Singh"/>
    <x v="1"/>
    <s v="Apparel"/>
    <s v="Denim Jacket"/>
    <n v="1"/>
    <n v="1999"/>
    <n v="1999"/>
    <n v="15"/>
    <n v="299.85000000000002"/>
    <n v="1699.15"/>
    <s v="Cash"/>
    <x v="1"/>
  </r>
  <r>
    <s v="ORD-2026593"/>
    <s v="19 Tue"/>
    <s v="Aug"/>
    <s v="2025"/>
    <s v="CUST-1036"/>
    <s v="Nandini Mehta"/>
    <x v="4"/>
    <s v="Electronics"/>
    <s v="Bluetooth Headphones"/>
    <n v="4"/>
    <n v="1799"/>
    <n v="7196"/>
    <n v="10"/>
    <n v="719.6"/>
    <n v="6476.4"/>
    <s v="Net Banking"/>
    <x v="1"/>
  </r>
  <r>
    <s v="ORD-2026594"/>
    <s v="20 Wed"/>
    <s v="Aug"/>
    <s v="2025"/>
    <s v="CUST-1193"/>
    <s v="Komal Saxena"/>
    <x v="0"/>
    <s v="Sports"/>
    <s v="Cricket Bat"/>
    <n v="2"/>
    <n v="1499"/>
    <n v="2998"/>
    <n v="0"/>
    <n v="0"/>
    <n v="2998"/>
    <s v="UPI"/>
    <x v="0"/>
  </r>
  <r>
    <s v="ORD-2026595"/>
    <s v="20 Wed"/>
    <s v="Aug"/>
    <s v="2025"/>
    <s v="CUST-1359"/>
    <s v="Arjun Mehta"/>
    <x v="4"/>
    <s v="Home &amp; Kitchen"/>
    <s v="LED Desk Lamp"/>
    <n v="1"/>
    <n v="799"/>
    <n v="799"/>
    <n v="0"/>
    <n v="0"/>
    <n v="799"/>
    <s v="Credit Card"/>
    <x v="0"/>
  </r>
  <r>
    <s v="ORD-2026596"/>
    <s v="20 Wed"/>
    <s v="Aug"/>
    <s v="2025"/>
    <s v="CUST-1086"/>
    <s v="Nandini Verma"/>
    <x v="2"/>
    <s v="Apparel"/>
    <s v="Denim Jacket"/>
    <n v="4"/>
    <n v="1999"/>
    <n v="7996"/>
    <n v="5"/>
    <n v="399.8"/>
    <n v="7596.2"/>
    <s v="Debit Card"/>
    <x v="1"/>
  </r>
  <r>
    <s v="ORD-2026597"/>
    <s v="20 Wed"/>
    <s v="Aug"/>
    <s v="2025"/>
    <s v="CUST-1123"/>
    <s v="Shreya Gupta"/>
    <x v="0"/>
    <s v="Stationery"/>
    <s v="Gel Pen Pack"/>
    <n v="3"/>
    <n v="99"/>
    <n v="297"/>
    <n v="0"/>
    <n v="0"/>
    <n v="297"/>
    <s v="Debit Card"/>
    <x v="0"/>
  </r>
  <r>
    <s v="ORD-2026598"/>
    <s v="20 Wed"/>
    <s v="Aug"/>
    <s v="2025"/>
    <s v="CUST-1223"/>
    <s v="Meera Saxena"/>
    <x v="3"/>
    <s v="Beauty"/>
    <s v="Face Wash 100ml"/>
    <n v="2"/>
    <n v="299"/>
    <n v="598"/>
    <n v="10"/>
    <n v="59.8"/>
    <n v="538.20000000000005"/>
    <s v="UPI"/>
    <x v="0"/>
  </r>
  <r>
    <s v="ORD-2026599"/>
    <s v="21 Thu"/>
    <s v="Aug"/>
    <s v="2025"/>
    <s v="CUST-1171"/>
    <s v="Ankit Verma"/>
    <x v="3"/>
    <s v="Electronics"/>
    <s v="Wireless Mouse"/>
    <n v="3"/>
    <n v="599"/>
    <n v="1797"/>
    <n v="10"/>
    <n v="179.7"/>
    <n v="1617.3"/>
    <s v="Debit Card"/>
    <x v="1"/>
  </r>
  <r>
    <s v="ORD-2026600"/>
    <s v="21 Thu"/>
    <s v="Aug"/>
    <s v="2025"/>
    <s v="CUST-1008"/>
    <s v="Meera Saxena"/>
    <x v="3"/>
    <s v="Electronics"/>
    <s v="Smartwatch"/>
    <n v="1"/>
    <n v="2999"/>
    <n v="2999"/>
    <n v="5"/>
    <n v="149.94999999999999"/>
    <n v="2849.05"/>
    <s v="Debit Card"/>
    <x v="1"/>
  </r>
  <r>
    <s v="ORD-2026601"/>
    <s v="21 Thu"/>
    <s v="Aug"/>
    <s v="2025"/>
    <s v="CUST-1136"/>
    <s v="Kunal Patel"/>
    <x v="4"/>
    <s v="Electronics"/>
    <s v="Wireless Mouse"/>
    <n v="2"/>
    <n v="599"/>
    <n v="1198"/>
    <n v="20"/>
    <n v="239.6"/>
    <n v="958.4"/>
    <s v="Cash"/>
    <x v="0"/>
  </r>
  <r>
    <s v="ORD-2026602"/>
    <s v="21 Thu"/>
    <s v="Aug"/>
    <s v="2025"/>
    <s v="CUST-1322"/>
    <s v="Rahul Sharma"/>
    <x v="3"/>
    <s v="Home &amp; Kitchen"/>
    <s v="Non-stick Pan Set"/>
    <n v="2"/>
    <n v="1299"/>
    <n v="2598"/>
    <n v="0"/>
    <n v="0"/>
    <n v="2598"/>
    <s v="UPI"/>
    <x v="1"/>
  </r>
  <r>
    <s v="ORD-2026603"/>
    <s v="21 Thu"/>
    <s v="Aug"/>
    <s v="2025"/>
    <s v="CUST-1328"/>
    <s v="Arjun Verma"/>
    <x v="0"/>
    <s v="Stationery"/>
    <s v="Gel Pen Pack"/>
    <n v="1"/>
    <n v="99"/>
    <n v="99"/>
    <n v="5"/>
    <n v="4.95"/>
    <n v="94.05"/>
    <s v="Cash"/>
    <x v="1"/>
  </r>
  <r>
    <s v="ORD-2026604"/>
    <s v="21 Thu"/>
    <s v="Aug"/>
    <s v="2025"/>
    <s v="CUST-1298"/>
    <s v="Aarav Singh"/>
    <x v="1"/>
    <s v="Apparel"/>
    <s v="Denim Jacket"/>
    <n v="1"/>
    <n v="1999"/>
    <n v="1999"/>
    <n v="0"/>
    <n v="0"/>
    <n v="1999"/>
    <s v="Debit Card"/>
    <x v="0"/>
  </r>
  <r>
    <s v="ORD-2026605"/>
    <s v="22 Fri"/>
    <s v="Aug"/>
    <s v="2025"/>
    <s v="CUST-1184"/>
    <s v="Rahul Joshi"/>
    <x v="4"/>
    <s v="Electronics"/>
    <s v="Smartwatch"/>
    <n v="2"/>
    <n v="2999"/>
    <n v="5998"/>
    <n v="0"/>
    <n v="0"/>
    <n v="5998"/>
    <s v="UPI"/>
    <x v="0"/>
  </r>
  <r>
    <s v="ORD-2026606"/>
    <s v="22 Fri"/>
    <s v="Aug"/>
    <s v="2025"/>
    <s v="CUST-1363"/>
    <s v="Arjun Joshi"/>
    <x v="4"/>
    <s v="Electronics"/>
    <s v="Bluetooth Headphones"/>
    <n v="1"/>
    <n v="1799"/>
    <n v="1799"/>
    <n v="15"/>
    <n v="269.85000000000002"/>
    <n v="1529.15"/>
    <s v="Debit Card"/>
    <x v="0"/>
  </r>
  <r>
    <s v="ORD-2026607"/>
    <s v="22 Fri"/>
    <s v="Aug"/>
    <s v="2025"/>
    <s v="CUST-1361"/>
    <s v="Vivaan Kapoor"/>
    <x v="4"/>
    <s v="Home &amp; Kitchen"/>
    <s v="LED Desk Lamp"/>
    <n v="2"/>
    <n v="799"/>
    <n v="1598"/>
    <n v="0"/>
    <n v="0"/>
    <n v="1598"/>
    <s v="Cash"/>
    <x v="0"/>
  </r>
  <r>
    <s v="ORD-2026608"/>
    <s v="22 Fri"/>
    <s v="Aug"/>
    <s v="2025"/>
    <s v="CUST-1290"/>
    <s v="Kabir Mehta"/>
    <x v="0"/>
    <s v="Electronics"/>
    <s v="Bluetooth Headphones"/>
    <n v="4"/>
    <n v="1799"/>
    <n v="7196"/>
    <n v="20"/>
    <n v="1439.2"/>
    <n v="5756.8"/>
    <s v="Debit Card"/>
    <x v="1"/>
  </r>
  <r>
    <s v="ORD-2026609"/>
    <s v="22 Fri"/>
    <s v="Aug"/>
    <s v="2025"/>
    <s v="CUST-1260"/>
    <s v="Ankit Verma"/>
    <x v="2"/>
    <s v="Sports"/>
    <s v="Yoga Mat"/>
    <n v="2"/>
    <n v="699"/>
    <n v="1398"/>
    <n v="5"/>
    <n v="69.900000000000006"/>
    <n v="1328.1"/>
    <s v="Debit Card"/>
    <x v="0"/>
  </r>
  <r>
    <s v="ORD-2026610"/>
    <s v="23 Sat"/>
    <s v="Aug"/>
    <s v="2025"/>
    <s v="CUST-1029"/>
    <s v="Swati Patel"/>
    <x v="2"/>
    <s v="Stationery"/>
    <s v="Gel Pen Pack"/>
    <n v="4"/>
    <n v="99"/>
    <n v="396"/>
    <n v="20"/>
    <n v="79.2"/>
    <n v="316.8"/>
    <s v="Debit Card"/>
    <x v="1"/>
  </r>
  <r>
    <s v="ORD-2026611"/>
    <s v="23 Sat"/>
    <s v="Aug"/>
    <s v="2025"/>
    <s v="CUST-1353"/>
    <s v="Vivaan Gupta"/>
    <x v="1"/>
    <s v="Home &amp; Kitchen"/>
    <s v="LED Desk Lamp"/>
    <n v="3"/>
    <n v="799"/>
    <n v="2397"/>
    <n v="0"/>
    <n v="0"/>
    <n v="2397"/>
    <s v="Credit Card"/>
    <x v="1"/>
  </r>
  <r>
    <s v="ORD-2026612"/>
    <s v="23 Sat"/>
    <s v="Aug"/>
    <s v="2025"/>
    <s v="CUST-1377"/>
    <s v="Sakshi Patel"/>
    <x v="3"/>
    <s v="Stationery"/>
    <s v="Notebook Set"/>
    <n v="1"/>
    <n v="199"/>
    <n v="199"/>
    <n v="10"/>
    <n v="19.899999999999999"/>
    <n v="179.1"/>
    <s v="Cash"/>
    <x v="0"/>
  </r>
  <r>
    <s v="ORD-2026613"/>
    <s v="23 Sat"/>
    <s v="Aug"/>
    <s v="2025"/>
    <s v="CUST-1353"/>
    <s v="Vivaan Gupta"/>
    <x v="0"/>
    <s v="Sports"/>
    <s v="Cricket Bat"/>
    <n v="1"/>
    <n v="1499"/>
    <n v="1499"/>
    <n v="20"/>
    <n v="299.8"/>
    <n v="1199.2"/>
    <s v="UPI"/>
    <x v="0"/>
  </r>
  <r>
    <s v="ORD-2026614"/>
    <s v="23 Sat"/>
    <s v="Aug"/>
    <s v="2025"/>
    <s v="CUST-1292"/>
    <s v="Aman Singh"/>
    <x v="0"/>
    <s v="Electronics"/>
    <s v="Wireless Mouse"/>
    <n v="2"/>
    <n v="599"/>
    <n v="1198"/>
    <n v="0"/>
    <n v="0"/>
    <n v="1198"/>
    <s v="UPI"/>
    <x v="1"/>
  </r>
  <r>
    <s v="ORD-2026615"/>
    <s v="23 Sat"/>
    <s v="Aug"/>
    <s v="2025"/>
    <s v="CUST-1269"/>
    <s v="Kunal Verma"/>
    <x v="4"/>
    <s v="Home &amp; Kitchen"/>
    <s v="Non-stick Pan Set"/>
    <n v="1"/>
    <n v="1299"/>
    <n v="1299"/>
    <n v="0"/>
    <n v="0"/>
    <n v="1299"/>
    <s v="Credit Card"/>
    <x v="1"/>
  </r>
  <r>
    <s v="ORD-2026616"/>
    <s v="23 Sat"/>
    <s v="Aug"/>
    <s v="2025"/>
    <s v="CUST-1364"/>
    <s v="Rahul Malhotra"/>
    <x v="1"/>
    <s v="Apparel"/>
    <s v="Cotton T-Shirt"/>
    <n v="1"/>
    <n v="499"/>
    <n v="499"/>
    <n v="0"/>
    <n v="0"/>
    <n v="499"/>
    <s v="UPI"/>
    <x v="0"/>
  </r>
  <r>
    <s v="ORD-2026617"/>
    <s v="23 Sat"/>
    <s v="Aug"/>
    <s v="2025"/>
    <s v="CUST-1383"/>
    <s v="Aman Gupta"/>
    <x v="4"/>
    <s v="Sports"/>
    <s v="Cricket Bat"/>
    <n v="2"/>
    <n v="1499"/>
    <n v="2998"/>
    <n v="0"/>
    <n v="0"/>
    <n v="2998"/>
    <s v="Credit Card"/>
    <x v="0"/>
  </r>
  <r>
    <s v="ORD-2026618"/>
    <s v="23 Sat"/>
    <s v="Aug"/>
    <s v="2025"/>
    <s v="CUST-1135"/>
    <s v="Shreya Joshi"/>
    <x v="0"/>
    <s v="Sports"/>
    <s v="Yoga Mat"/>
    <n v="2"/>
    <n v="699"/>
    <n v="1398"/>
    <n v="0"/>
    <n v="0"/>
    <n v="1398"/>
    <s v="Cash"/>
    <x v="0"/>
  </r>
  <r>
    <s v="ORD-2026619"/>
    <s v="23 Sat"/>
    <s v="Aug"/>
    <s v="2025"/>
    <s v="CUST-1257"/>
    <s v="Shreya Saxena"/>
    <x v="4"/>
    <s v="Electronics"/>
    <s v="Wireless Mouse"/>
    <n v="2"/>
    <n v="599"/>
    <n v="1198"/>
    <n v="0"/>
    <n v="0"/>
    <n v="1198"/>
    <s v="Cash"/>
    <x v="1"/>
  </r>
  <r>
    <s v="ORD-2026620"/>
    <s v="23 Sat"/>
    <s v="Aug"/>
    <s v="2025"/>
    <s v="CUST-1197"/>
    <s v="Rahul Verma"/>
    <x v="1"/>
    <s v="Groceries"/>
    <s v="Basmati Rice 5kg"/>
    <n v="2"/>
    <n v="549"/>
    <n v="1098"/>
    <n v="0"/>
    <n v="0"/>
    <n v="1098"/>
    <s v="Debit Card"/>
    <x v="0"/>
  </r>
  <r>
    <s v="ORD-2026621"/>
    <s v="23 Sat"/>
    <s v="Aug"/>
    <s v="2025"/>
    <s v="CUST-1255"/>
    <s v="Aman Gupta"/>
    <x v="4"/>
    <s v="Apparel"/>
    <s v="Cotton T-Shirt"/>
    <n v="2"/>
    <n v="499"/>
    <n v="998"/>
    <n v="0"/>
    <n v="0"/>
    <n v="998"/>
    <s v="Net Banking"/>
    <x v="1"/>
  </r>
  <r>
    <s v="ORD-2026622"/>
    <s v="24 Sun"/>
    <s v="Aug"/>
    <s v="2025"/>
    <s v="CUST-1353"/>
    <s v="Vivaan Gupta"/>
    <x v="3"/>
    <s v="Stationery"/>
    <s v="Notebook Set"/>
    <n v="2"/>
    <n v="199"/>
    <n v="398"/>
    <n v="0"/>
    <n v="0"/>
    <n v="398"/>
    <s v="UPI"/>
    <x v="0"/>
  </r>
  <r>
    <s v="ORD-2026623"/>
    <s v="24 Sun"/>
    <s v="Aug"/>
    <s v="2025"/>
    <s v="CUST-1330"/>
    <s v="Nandini Gupta"/>
    <x v="3"/>
    <s v="Electronics"/>
    <s v="Wireless Mouse"/>
    <n v="2"/>
    <n v="599"/>
    <n v="1198"/>
    <n v="15"/>
    <n v="179.7"/>
    <n v="1018.3"/>
    <s v="UPI"/>
    <x v="1"/>
  </r>
  <r>
    <s v="ORD-2026624"/>
    <s v="24 Sun"/>
    <s v="Aug"/>
    <s v="2025"/>
    <s v="CUST-1103"/>
    <s v="Muskan Gupta"/>
    <x v="3"/>
    <s v="Electronics"/>
    <s v="Wireless Mouse"/>
    <n v="1"/>
    <n v="599"/>
    <n v="599"/>
    <n v="0"/>
    <n v="0"/>
    <n v="599"/>
    <s v="Debit Card"/>
    <x v="0"/>
  </r>
  <r>
    <s v="ORD-2026625"/>
    <s v="24 Sun"/>
    <s v="Aug"/>
    <s v="2025"/>
    <s v="CUST-1226"/>
    <s v="Tanya Joshi"/>
    <x v="2"/>
    <s v="Apparel"/>
    <s v="Formal Shirt"/>
    <n v="3"/>
    <n v="899"/>
    <n v="2697"/>
    <n v="15"/>
    <n v="404.55"/>
    <n v="2292.4499999999998"/>
    <s v="Credit Card"/>
    <x v="1"/>
  </r>
  <r>
    <s v="ORD-2026626"/>
    <s v="24 Sun"/>
    <s v="Aug"/>
    <s v="2025"/>
    <s v="CUST-1088"/>
    <s v="Arjun Patel"/>
    <x v="1"/>
    <s v="Beauty"/>
    <s v="Herbal Shampoo"/>
    <n v="1"/>
    <n v="249"/>
    <n v="249"/>
    <n v="10"/>
    <n v="24.9"/>
    <n v="224.1"/>
    <s v="Credit Card"/>
    <x v="0"/>
  </r>
  <r>
    <s v="ORD-2026627"/>
    <s v="24 Sun"/>
    <s v="Aug"/>
    <s v="2025"/>
    <s v="CUST-1333"/>
    <s v="Aarav Gupta"/>
    <x v="2"/>
    <s v="Apparel"/>
    <s v="Formal Shirt"/>
    <n v="2"/>
    <n v="899"/>
    <n v="1798"/>
    <n v="20"/>
    <n v="359.6"/>
    <n v="1438.4"/>
    <s v="Credit Card"/>
    <x v="0"/>
  </r>
  <r>
    <s v="ORD-2026628"/>
    <s v="24 Sun"/>
    <s v="Aug"/>
    <s v="2025"/>
    <s v="CUST-1314"/>
    <s v="Kunal Sharma"/>
    <x v="4"/>
    <s v="Groceries"/>
    <s v="Basmati Rice 5kg"/>
    <n v="1"/>
    <n v="549"/>
    <n v="549"/>
    <n v="0"/>
    <n v="0"/>
    <n v="549"/>
    <s v="Credit Card"/>
    <x v="1"/>
  </r>
  <r>
    <s v="ORD-2026629"/>
    <s v="24 Sun"/>
    <s v="Aug"/>
    <s v="2025"/>
    <s v="CUST-1336"/>
    <s v="Arjun Singh"/>
    <x v="1"/>
    <s v="Apparel"/>
    <s v="Cotton T-Shirt"/>
    <n v="1"/>
    <n v="499"/>
    <n v="499"/>
    <n v="10"/>
    <n v="49.9"/>
    <n v="449.1"/>
    <s v="Debit Card"/>
    <x v="0"/>
  </r>
  <r>
    <s v="ORD-2026630"/>
    <s v="24 Sun"/>
    <s v="Aug"/>
    <s v="2025"/>
    <s v="CUST-1224"/>
    <s v="Swati Verma"/>
    <x v="4"/>
    <s v="Sports"/>
    <s v="Cricket Bat"/>
    <n v="2"/>
    <n v="1499"/>
    <n v="2998"/>
    <n v="0"/>
    <n v="0"/>
    <n v="2998"/>
    <s v="UPI"/>
    <x v="1"/>
  </r>
  <r>
    <s v="ORD-2026631"/>
    <s v="24 Sun"/>
    <s v="Aug"/>
    <s v="2025"/>
    <s v="CUST-1086"/>
    <s v="Nandini Verma"/>
    <x v="1"/>
    <s v="Electronics"/>
    <s v="Smartwatch"/>
    <n v="4"/>
    <n v="2999"/>
    <n v="11996"/>
    <n v="0"/>
    <n v="0"/>
    <n v="11996"/>
    <s v="UPI"/>
    <x v="1"/>
  </r>
  <r>
    <s v="ORD-2026632"/>
    <s v="24 Sun"/>
    <s v="Aug"/>
    <s v="2025"/>
    <s v="CUST-1139"/>
    <s v="Aditya Sharma"/>
    <x v="0"/>
    <s v="Electronics"/>
    <s v="Wireless Mouse"/>
    <n v="2"/>
    <n v="599"/>
    <n v="1198"/>
    <n v="10"/>
    <n v="119.8"/>
    <n v="1078.2"/>
    <s v="Debit Card"/>
    <x v="1"/>
  </r>
  <r>
    <s v="ORD-2026633"/>
    <s v="24 Sun"/>
    <s v="Aug"/>
    <s v="2025"/>
    <s v="CUST-1347"/>
    <s v="Ankit Joshi"/>
    <x v="1"/>
    <s v="Beauty"/>
    <s v="Face Wash 100ml"/>
    <n v="1"/>
    <n v="299"/>
    <n v="299"/>
    <n v="10"/>
    <n v="29.9"/>
    <n v="269.10000000000002"/>
    <s v="UPI"/>
    <x v="0"/>
  </r>
  <r>
    <s v="ORD-2026634"/>
    <s v="24 Sun"/>
    <s v="Aug"/>
    <s v="2025"/>
    <s v="CUST-1167"/>
    <s v="Nandini Verma"/>
    <x v="3"/>
    <s v="Beauty"/>
    <s v="Face Wash 100ml"/>
    <n v="1"/>
    <n v="299"/>
    <n v="299"/>
    <n v="15"/>
    <n v="44.85"/>
    <n v="254.15"/>
    <s v="Cash"/>
    <x v="0"/>
  </r>
  <r>
    <s v="ORD-2026635"/>
    <s v="25 Mon"/>
    <s v="Aug"/>
    <s v="2025"/>
    <s v="CUST-1054"/>
    <s v="Kunal Patel"/>
    <x v="0"/>
    <s v="Sports"/>
    <s v="Cricket Bat"/>
    <n v="1"/>
    <n v="1499"/>
    <n v="1499"/>
    <n v="5"/>
    <n v="74.95"/>
    <n v="1424.05"/>
    <s v="UPI"/>
    <x v="0"/>
  </r>
  <r>
    <s v="ORD-2026636"/>
    <s v="25 Mon"/>
    <s v="Aug"/>
    <s v="2025"/>
    <s v="CUST-1150"/>
    <s v="Isha Singh"/>
    <x v="1"/>
    <s v="Sports"/>
    <s v="Cricket Bat"/>
    <n v="1"/>
    <n v="1499"/>
    <n v="1499"/>
    <n v="15"/>
    <n v="224.85"/>
    <n v="1274.1500000000001"/>
    <s v="Credit Card"/>
    <x v="1"/>
  </r>
  <r>
    <s v="ORD-2026637"/>
    <s v="25 Mon"/>
    <s v="Aug"/>
    <s v="2025"/>
    <s v="CUST-1166"/>
    <s v="Divya Mehta"/>
    <x v="3"/>
    <s v="Beauty"/>
    <s v="Face Wash 100ml"/>
    <n v="1"/>
    <n v="299"/>
    <n v="299"/>
    <n v="10"/>
    <n v="29.9"/>
    <n v="269.10000000000002"/>
    <s v="Debit Card"/>
    <x v="0"/>
  </r>
  <r>
    <s v="ORD-2026638"/>
    <s v="26 Tue"/>
    <s v="Aug"/>
    <s v="2025"/>
    <s v="CUST-1349"/>
    <s v="Rohan Mehta"/>
    <x v="0"/>
    <s v="Stationery"/>
    <s v="Gel Pen Pack"/>
    <n v="2"/>
    <n v="99"/>
    <n v="198"/>
    <n v="20"/>
    <n v="39.6"/>
    <n v="158.4"/>
    <s v="Credit Card"/>
    <x v="0"/>
  </r>
  <r>
    <s v="ORD-2026639"/>
    <s v="27 Wed"/>
    <s v="Aug"/>
    <s v="2025"/>
    <s v="CUST-1167"/>
    <s v="Nandini Verma"/>
    <x v="2"/>
    <s v="Apparel"/>
    <s v="Formal Shirt"/>
    <n v="1"/>
    <n v="899"/>
    <n v="899"/>
    <n v="15"/>
    <n v="134.85"/>
    <n v="764.15"/>
    <s v="Debit Card"/>
    <x v="1"/>
  </r>
  <r>
    <s v="ORD-2026640"/>
    <s v="27 Wed"/>
    <s v="Aug"/>
    <s v="2025"/>
    <s v="CUST-1314"/>
    <s v="Kunal Sharma"/>
    <x v="4"/>
    <s v="Electronics"/>
    <s v="Wireless Mouse"/>
    <n v="2"/>
    <n v="599"/>
    <n v="1198"/>
    <n v="20"/>
    <n v="239.6"/>
    <n v="958.4"/>
    <s v="Credit Card"/>
    <x v="0"/>
  </r>
  <r>
    <s v="ORD-2026641"/>
    <s v="27 Wed"/>
    <s v="Aug"/>
    <s v="2025"/>
    <s v="CUST-1011"/>
    <s v="Kunal Sharma"/>
    <x v="4"/>
    <s v="Beauty"/>
    <s v="Face Wash 100ml"/>
    <n v="1"/>
    <n v="299"/>
    <n v="299"/>
    <n v="15"/>
    <n v="44.85"/>
    <n v="254.15"/>
    <s v="Cash"/>
    <x v="1"/>
  </r>
  <r>
    <s v="ORD-2026642"/>
    <s v="27 Wed"/>
    <s v="Aug"/>
    <s v="2025"/>
    <s v="CUST-1027"/>
    <s v="Aditya Gupta"/>
    <x v="4"/>
    <s v="Electronics"/>
    <s v="Wireless Mouse"/>
    <n v="4"/>
    <n v="599"/>
    <n v="2396"/>
    <n v="15"/>
    <n v="359.4"/>
    <n v="2036.6"/>
    <s v="Net Banking"/>
    <x v="0"/>
  </r>
  <r>
    <s v="ORD-2026643"/>
    <s v="27 Wed"/>
    <s v="Aug"/>
    <s v="2025"/>
    <s v="CUST-1084"/>
    <s v="Kunal Saxena"/>
    <x v="2"/>
    <s v="Sports"/>
    <s v="Cricket Bat"/>
    <n v="2"/>
    <n v="1499"/>
    <n v="2998"/>
    <n v="0"/>
    <n v="0"/>
    <n v="2998"/>
    <s v="Credit Card"/>
    <x v="1"/>
  </r>
  <r>
    <s v="ORD-2026644"/>
    <s v="27 Wed"/>
    <s v="Aug"/>
    <s v="2025"/>
    <s v="CUST-1237"/>
    <s v="Divya Sharma"/>
    <x v="3"/>
    <s v="Electronics"/>
    <s v="Smartwatch"/>
    <n v="3"/>
    <n v="2999"/>
    <n v="8997"/>
    <n v="0"/>
    <n v="0"/>
    <n v="8997"/>
    <s v="Debit Card"/>
    <x v="1"/>
  </r>
  <r>
    <s v="ORD-2026645"/>
    <s v="27 Wed"/>
    <s v="Aug"/>
    <s v="2025"/>
    <s v="CUST-1217"/>
    <s v="Ankit Patel"/>
    <x v="1"/>
    <s v="Electronics"/>
    <s v="Bluetooth Headphones"/>
    <n v="4"/>
    <n v="1799"/>
    <n v="7196"/>
    <n v="15"/>
    <n v="1079.4000000000001"/>
    <n v="6116.6"/>
    <s v="Cash"/>
    <x v="0"/>
  </r>
  <r>
    <s v="ORD-2026646"/>
    <s v="27 Wed"/>
    <s v="Aug"/>
    <s v="2025"/>
    <s v="CUST-1058"/>
    <s v="Nandini Singh"/>
    <x v="0"/>
    <s v="Stationery"/>
    <s v="Notebook Set"/>
    <n v="1"/>
    <n v="199"/>
    <n v="199"/>
    <n v="5"/>
    <n v="9.9499999999999993"/>
    <n v="189.05"/>
    <s v="Cash"/>
    <x v="1"/>
  </r>
  <r>
    <s v="ORD-2026647"/>
    <s v="27 Wed"/>
    <s v="Aug"/>
    <s v="2025"/>
    <s v="CUST-1054"/>
    <s v="Kunal Patel"/>
    <x v="3"/>
    <s v="Home &amp; Kitchen"/>
    <s v="Non-stick Pan Set"/>
    <n v="2"/>
    <n v="1299"/>
    <n v="2598"/>
    <n v="0"/>
    <n v="0"/>
    <n v="2598"/>
    <s v="Credit Card"/>
    <x v="0"/>
  </r>
  <r>
    <s v="ORD-2026648"/>
    <s v="28 Thu"/>
    <s v="Aug"/>
    <s v="2025"/>
    <s v="CUST-1371"/>
    <s v="Rahul Verma"/>
    <x v="2"/>
    <s v="Electronics"/>
    <s v="Smartwatch"/>
    <n v="1"/>
    <n v="2999"/>
    <n v="2999"/>
    <n v="20"/>
    <n v="599.79999999999995"/>
    <n v="2399.1999999999998"/>
    <s v="UPI"/>
    <x v="0"/>
  </r>
  <r>
    <s v="ORD-2026649"/>
    <s v="28 Thu"/>
    <s v="Aug"/>
    <s v="2025"/>
    <s v="CUST-1279"/>
    <s v="Tanya Kapoor"/>
    <x v="3"/>
    <s v="Electronics"/>
    <s v="Smartwatch"/>
    <n v="1"/>
    <n v="2999"/>
    <n v="2999"/>
    <n v="20"/>
    <n v="599.79999999999995"/>
    <n v="2399.1999999999998"/>
    <s v="Net Banking"/>
    <x v="0"/>
  </r>
  <r>
    <s v="ORD-2026650"/>
    <s v="28 Thu"/>
    <s v="Aug"/>
    <s v="2025"/>
    <s v="CUST-1304"/>
    <s v="Kunal Saxena"/>
    <x v="3"/>
    <s v="Electronics"/>
    <s v="Wireless Mouse"/>
    <n v="1"/>
    <n v="599"/>
    <n v="599"/>
    <n v="20"/>
    <n v="119.8"/>
    <n v="479.2"/>
    <s v="UPI"/>
    <x v="0"/>
  </r>
  <r>
    <s v="ORD-2026651"/>
    <s v="28 Thu"/>
    <s v="Aug"/>
    <s v="2025"/>
    <s v="CUST-1302"/>
    <s v="Arjun Saxena"/>
    <x v="0"/>
    <s v="Apparel"/>
    <s v="Formal Shirt"/>
    <n v="1"/>
    <n v="899"/>
    <n v="899"/>
    <n v="0"/>
    <n v="0"/>
    <n v="899"/>
    <s v="Credit Card"/>
    <x v="0"/>
  </r>
  <r>
    <s v="ORD-2026652"/>
    <s v="28 Thu"/>
    <s v="Aug"/>
    <s v="2025"/>
    <s v="CUST-1013"/>
    <s v="Divya Joshi"/>
    <x v="0"/>
    <s v="Apparel"/>
    <s v="Cotton T-Shirt"/>
    <n v="2"/>
    <n v="499"/>
    <n v="998"/>
    <n v="10"/>
    <n v="99.8"/>
    <n v="898.2"/>
    <s v="Debit Card"/>
    <x v="0"/>
  </r>
  <r>
    <s v="ORD-2026653"/>
    <s v="28 Thu"/>
    <s v="Aug"/>
    <s v="2025"/>
    <s v="CUST-1391"/>
    <s v="Kunal Gupta"/>
    <x v="2"/>
    <s v="Groceries"/>
    <s v="Organic Honey 500g"/>
    <n v="3"/>
    <n v="349"/>
    <n v="1047"/>
    <n v="0"/>
    <n v="0"/>
    <n v="1047"/>
    <s v="Debit Card"/>
    <x v="1"/>
  </r>
  <r>
    <s v="ORD-2026654"/>
    <s v="29 Fri"/>
    <s v="Aug"/>
    <s v="2025"/>
    <s v="CUST-1341"/>
    <s v="Meera Patel"/>
    <x v="3"/>
    <s v="Apparel"/>
    <s v="Formal Shirt"/>
    <n v="2"/>
    <n v="899"/>
    <n v="1798"/>
    <n v="0"/>
    <n v="0"/>
    <n v="1798"/>
    <s v="Credit Card"/>
    <x v="1"/>
  </r>
  <r>
    <s v="ORD-2026655"/>
    <s v="29 Fri"/>
    <s v="Aug"/>
    <s v="2025"/>
    <s v="CUST-1210"/>
    <s v="Meera Sharma"/>
    <x v="1"/>
    <s v="Beauty"/>
    <s v="Herbal Shampoo"/>
    <n v="2"/>
    <n v="249"/>
    <n v="498"/>
    <n v="10"/>
    <n v="49.8"/>
    <n v="448.2"/>
    <s v="Credit Card"/>
    <x v="1"/>
  </r>
  <r>
    <s v="ORD-2026656"/>
    <s v="29 Fri"/>
    <s v="Aug"/>
    <s v="2025"/>
    <s v="CUST-1175"/>
    <s v="Vivaan Kapoor"/>
    <x v="4"/>
    <s v="Stationery"/>
    <s v="Notebook Set"/>
    <n v="1"/>
    <n v="199"/>
    <n v="199"/>
    <n v="0"/>
    <n v="0"/>
    <n v="199"/>
    <s v="Credit Card"/>
    <x v="0"/>
  </r>
  <r>
    <s v="ORD-2026657"/>
    <s v="30 Sat"/>
    <s v="Aug"/>
    <s v="2025"/>
    <s v="CUST-1187"/>
    <s v="Kabir Saxena"/>
    <x v="1"/>
    <s v="Groceries"/>
    <s v="Organic Honey 500g"/>
    <n v="1"/>
    <n v="349"/>
    <n v="349"/>
    <n v="5"/>
    <n v="17.45"/>
    <n v="331.55"/>
    <s v="UPI"/>
    <x v="0"/>
  </r>
  <r>
    <s v="ORD-2026658"/>
    <s v="30 Sat"/>
    <s v="Aug"/>
    <s v="2025"/>
    <s v="CUST-1189"/>
    <s v="Vivaan Mehta"/>
    <x v="4"/>
    <s v="Stationery"/>
    <s v="Notebook Set"/>
    <n v="2"/>
    <n v="199"/>
    <n v="398"/>
    <n v="20"/>
    <n v="79.599999999999994"/>
    <n v="318.39999999999998"/>
    <s v="Credit Card"/>
    <x v="1"/>
  </r>
  <r>
    <s v="ORD-2026659"/>
    <s v="30 Sat"/>
    <s v="Aug"/>
    <s v="2025"/>
    <s v="CUST-1098"/>
    <s v="Rohan Patel"/>
    <x v="0"/>
    <s v="Stationery"/>
    <s v="Notebook Set"/>
    <n v="1"/>
    <n v="199"/>
    <n v="199"/>
    <n v="0"/>
    <n v="0"/>
    <n v="199"/>
    <s v="Net Banking"/>
    <x v="1"/>
  </r>
  <r>
    <s v="ORD-2026660"/>
    <s v="30 Sat"/>
    <s v="Aug"/>
    <s v="2025"/>
    <s v="CUST-1289"/>
    <s v="Kunal Verma"/>
    <x v="2"/>
    <s v="Electronics"/>
    <s v="Smartwatch"/>
    <n v="2"/>
    <n v="2999"/>
    <n v="5998"/>
    <n v="20"/>
    <n v="1199.5999999999999"/>
    <n v="4798.3999999999996"/>
    <s v="Debit Card"/>
    <x v="1"/>
  </r>
  <r>
    <s v="ORD-2026661"/>
    <s v="30 Sat"/>
    <s v="Aug"/>
    <s v="2025"/>
    <s v="CUST-1262"/>
    <s v="Kunal Joshi"/>
    <x v="4"/>
    <s v="Home &amp; Kitchen"/>
    <s v="Non-stick Pan Set"/>
    <n v="1"/>
    <n v="1299"/>
    <n v="1299"/>
    <n v="0"/>
    <n v="0"/>
    <n v="1299"/>
    <s v="Credit Card"/>
    <x v="0"/>
  </r>
  <r>
    <s v="ORD-2026662"/>
    <s v="31 Sun"/>
    <s v="Aug"/>
    <s v="2025"/>
    <s v="CUST-1355"/>
    <s v="Aditya Joshi"/>
    <x v="4"/>
    <s v="Sports"/>
    <s v="Cricket Bat"/>
    <n v="2"/>
    <n v="1499"/>
    <n v="2998"/>
    <n v="10"/>
    <n v="299.8"/>
    <n v="2698.2"/>
    <s v="Net Banking"/>
    <x v="0"/>
  </r>
  <r>
    <s v="ORD-2026663"/>
    <s v="31 Sun"/>
    <s v="Aug"/>
    <s v="2025"/>
    <s v="CUST-1140"/>
    <s v="Tanya Verma"/>
    <x v="3"/>
    <s v="Stationery"/>
    <s v="Notebook Set"/>
    <n v="1"/>
    <n v="199"/>
    <n v="199"/>
    <n v="0"/>
    <n v="0"/>
    <n v="199"/>
    <s v="Net Banking"/>
    <x v="0"/>
  </r>
  <r>
    <s v="ORD-2026664"/>
    <s v="31 Sun"/>
    <s v="Aug"/>
    <s v="2025"/>
    <s v="CUST-1280"/>
    <s v="Muskan Kapoor"/>
    <x v="2"/>
    <s v="Beauty"/>
    <s v="Herbal Shampoo"/>
    <n v="2"/>
    <n v="249"/>
    <n v="498"/>
    <n v="0"/>
    <n v="0"/>
    <n v="498"/>
    <s v="Credit Card"/>
    <x v="0"/>
  </r>
  <r>
    <s v="ORD-2026665"/>
    <s v="31 Sun"/>
    <s v="Aug"/>
    <s v="2025"/>
    <s v="CUST-1398"/>
    <s v="Sakshi Patel"/>
    <x v="3"/>
    <s v="Beauty"/>
    <s v="Face Wash 100ml"/>
    <n v="3"/>
    <n v="299"/>
    <n v="897"/>
    <n v="15"/>
    <n v="134.55000000000001"/>
    <n v="762.45"/>
    <s v="Credit Card"/>
    <x v="0"/>
  </r>
  <r>
    <s v="ORD-2026666"/>
    <s v="31 Sun"/>
    <s v="Aug"/>
    <s v="2025"/>
    <s v="CUST-1120"/>
    <s v="Divya Kapoor"/>
    <x v="2"/>
    <s v="Groceries"/>
    <s v="Organic Honey 500g"/>
    <n v="1"/>
    <n v="349"/>
    <n v="349"/>
    <n v="20"/>
    <n v="69.8"/>
    <n v="279.2"/>
    <s v="Cash"/>
    <x v="0"/>
  </r>
  <r>
    <s v="ORD-2026667"/>
    <s v="1 Mon"/>
    <s v="Sep"/>
    <s v="2025"/>
    <s v="CUST-1394"/>
    <s v="Tanya Malhotra"/>
    <x v="1"/>
    <s v="Apparel"/>
    <s v="Denim Jacket"/>
    <n v="2"/>
    <n v="1999"/>
    <n v="3998"/>
    <n v="15"/>
    <n v="599.70000000000005"/>
    <n v="3398.3"/>
    <s v="Cash"/>
    <x v="0"/>
  </r>
  <r>
    <s v="ORD-2026668"/>
    <s v="1 Mon"/>
    <s v="Sep"/>
    <s v="2025"/>
    <s v="CUST-1336"/>
    <s v="Arjun Singh"/>
    <x v="0"/>
    <s v="Home &amp; Kitchen"/>
    <s v="LED Desk Lamp"/>
    <n v="1"/>
    <n v="799"/>
    <n v="799"/>
    <n v="5"/>
    <n v="39.950000000000003"/>
    <n v="759.05"/>
    <s v="UPI"/>
    <x v="0"/>
  </r>
  <r>
    <s v="ORD-2026669"/>
    <s v="2 Tue"/>
    <s v="Sep"/>
    <s v="2025"/>
    <s v="CUST-1361"/>
    <s v="Vivaan Kapoor"/>
    <x v="0"/>
    <s v="Sports"/>
    <s v="Cricket Bat"/>
    <n v="2"/>
    <n v="1499"/>
    <n v="2998"/>
    <n v="15"/>
    <n v="449.7"/>
    <n v="2548.3000000000002"/>
    <s v="UPI"/>
    <x v="1"/>
  </r>
  <r>
    <s v="ORD-2026670"/>
    <s v="2 Tue"/>
    <s v="Sep"/>
    <s v="2025"/>
    <s v="CUST-1389"/>
    <s v="Ankit Mehta"/>
    <x v="0"/>
    <s v="Apparel"/>
    <s v="Formal Shirt"/>
    <n v="2"/>
    <n v="899"/>
    <n v="1798"/>
    <n v="5"/>
    <n v="89.9"/>
    <n v="1708.1"/>
    <s v="Cash"/>
    <x v="0"/>
  </r>
  <r>
    <s v="ORD-2026671"/>
    <s v="2 Tue"/>
    <s v="Sep"/>
    <s v="2025"/>
    <s v="CUST-1351"/>
    <s v="Tanya Mehta"/>
    <x v="1"/>
    <s v="Beauty"/>
    <s v="Face Wash 100ml"/>
    <n v="1"/>
    <n v="299"/>
    <n v="299"/>
    <n v="15"/>
    <n v="44.85"/>
    <n v="254.15"/>
    <s v="Cash"/>
    <x v="0"/>
  </r>
  <r>
    <s v="ORD-2026672"/>
    <s v="2 Tue"/>
    <s v="Sep"/>
    <s v="2025"/>
    <s v="CUST-1244"/>
    <s v="Meera Gupta"/>
    <x v="3"/>
    <s v="Apparel"/>
    <s v="Cotton T-Shirt"/>
    <n v="4"/>
    <n v="499"/>
    <n v="1996"/>
    <n v="10"/>
    <n v="199.6"/>
    <n v="1796.4"/>
    <s v="Debit Card"/>
    <x v="1"/>
  </r>
  <r>
    <s v="ORD-2026673"/>
    <s v="3 Wed"/>
    <s v="Sep"/>
    <s v="2025"/>
    <s v="CUST-1180"/>
    <s v="Muskan Joshi"/>
    <x v="1"/>
    <s v="Apparel"/>
    <s v="Formal Shirt"/>
    <n v="1"/>
    <n v="899"/>
    <n v="899"/>
    <n v="15"/>
    <n v="134.85"/>
    <n v="764.15"/>
    <s v="Debit Card"/>
    <x v="0"/>
  </r>
  <r>
    <s v="ORD-2026674"/>
    <s v="3 Wed"/>
    <s v="Sep"/>
    <s v="2025"/>
    <s v="CUST-1341"/>
    <s v="Meera Patel"/>
    <x v="3"/>
    <s v="Beauty"/>
    <s v="Herbal Shampoo"/>
    <n v="1"/>
    <n v="249"/>
    <n v="249"/>
    <n v="0"/>
    <n v="0"/>
    <n v="249"/>
    <s v="Net Banking"/>
    <x v="0"/>
  </r>
  <r>
    <s v="ORD-2026675"/>
    <s v="3 Wed"/>
    <s v="Sep"/>
    <s v="2025"/>
    <s v="CUST-1067"/>
    <s v="Nandini Gupta"/>
    <x v="2"/>
    <s v="Apparel"/>
    <s v="Denim Jacket"/>
    <n v="2"/>
    <n v="1999"/>
    <n v="3998"/>
    <n v="0"/>
    <n v="0"/>
    <n v="3998"/>
    <s v="Debit Card"/>
    <x v="0"/>
  </r>
  <r>
    <s v="ORD-2026676"/>
    <s v="3 Wed"/>
    <s v="Sep"/>
    <s v="2025"/>
    <s v="CUST-1126"/>
    <s v="Divya Sharma"/>
    <x v="0"/>
    <s v="Sports"/>
    <s v="Cricket Bat"/>
    <n v="2"/>
    <n v="1499"/>
    <n v="2998"/>
    <n v="0"/>
    <n v="0"/>
    <n v="2998"/>
    <s v="Credit Card"/>
    <x v="1"/>
  </r>
  <r>
    <s v="ORD-2026677"/>
    <s v="3 Wed"/>
    <s v="Sep"/>
    <s v="2025"/>
    <s v="CUST-1103"/>
    <s v="Muskan Gupta"/>
    <x v="2"/>
    <s v="Apparel"/>
    <s v="Formal Shirt"/>
    <n v="1"/>
    <n v="899"/>
    <n v="899"/>
    <n v="5"/>
    <n v="44.95"/>
    <n v="854.05"/>
    <s v="Debit Card"/>
    <x v="1"/>
  </r>
  <r>
    <s v="ORD-2026678"/>
    <s v="3 Wed"/>
    <s v="Sep"/>
    <s v="2025"/>
    <s v="CUST-1319"/>
    <s v="Rohan Sharma"/>
    <x v="2"/>
    <s v="Beauty"/>
    <s v="Herbal Shampoo"/>
    <n v="2"/>
    <n v="249"/>
    <n v="498"/>
    <n v="5"/>
    <n v="24.9"/>
    <n v="473.1"/>
    <s v="Debit Card"/>
    <x v="0"/>
  </r>
  <r>
    <s v="ORD-2026679"/>
    <s v="3 Wed"/>
    <s v="Sep"/>
    <s v="2025"/>
    <s v="CUST-1157"/>
    <s v="Arjun Verma"/>
    <x v="0"/>
    <s v="Beauty"/>
    <s v="Herbal Shampoo"/>
    <n v="1"/>
    <n v="249"/>
    <n v="249"/>
    <n v="0"/>
    <n v="0"/>
    <n v="249"/>
    <s v="Cash"/>
    <x v="0"/>
  </r>
  <r>
    <s v="ORD-2026680"/>
    <s v="3 Wed"/>
    <s v="Sep"/>
    <s v="2025"/>
    <s v="CUST-1075"/>
    <s v="Divya Patel"/>
    <x v="0"/>
    <s v="Electronics"/>
    <s v="Smartwatch"/>
    <n v="1"/>
    <n v="2999"/>
    <n v="2999"/>
    <n v="20"/>
    <n v="599.79999999999995"/>
    <n v="2399.1999999999998"/>
    <s v="Net Banking"/>
    <x v="1"/>
  </r>
  <r>
    <s v="ORD-2026681"/>
    <s v="4 Thu"/>
    <s v="Sep"/>
    <s v="2025"/>
    <s v="CUST-1122"/>
    <s v="Aditya Kapoor"/>
    <x v="0"/>
    <s v="Home &amp; Kitchen"/>
    <s v="Non-stick Pan Set"/>
    <n v="3"/>
    <n v="1299"/>
    <n v="3897"/>
    <n v="0"/>
    <n v="0"/>
    <n v="3897"/>
    <s v="Credit Card"/>
    <x v="1"/>
  </r>
  <r>
    <s v="ORD-2026682"/>
    <s v="4 Thu"/>
    <s v="Sep"/>
    <s v="2025"/>
    <s v="CUST-1153"/>
    <s v="Swati Verma"/>
    <x v="1"/>
    <s v="Home &amp; Kitchen"/>
    <s v="LED Desk Lamp"/>
    <n v="1"/>
    <n v="799"/>
    <n v="799"/>
    <n v="20"/>
    <n v="159.80000000000001"/>
    <n v="639.20000000000005"/>
    <s v="Credit Card"/>
    <x v="0"/>
  </r>
  <r>
    <s v="ORD-2026683"/>
    <s v="4 Thu"/>
    <s v="Sep"/>
    <s v="2025"/>
    <s v="CUST-1138"/>
    <s v="Tanya Singh"/>
    <x v="3"/>
    <s v="Groceries"/>
    <s v="Organic Honey 500g"/>
    <n v="1"/>
    <n v="349"/>
    <n v="349"/>
    <n v="15"/>
    <n v="52.35"/>
    <n v="296.64999999999998"/>
    <s v="UPI"/>
    <x v="1"/>
  </r>
  <r>
    <s v="ORD-2026684"/>
    <s v="4 Thu"/>
    <s v="Sep"/>
    <s v="2025"/>
    <s v="CUST-1284"/>
    <s v="Arjun Kapoor"/>
    <x v="0"/>
    <s v="Sports"/>
    <s v="Yoga Mat"/>
    <n v="1"/>
    <n v="699"/>
    <n v="699"/>
    <n v="0"/>
    <n v="0"/>
    <n v="699"/>
    <s v="Credit Card"/>
    <x v="1"/>
  </r>
  <r>
    <s v="ORD-2026685"/>
    <s v="4 Thu"/>
    <s v="Sep"/>
    <s v="2025"/>
    <s v="CUST-1105"/>
    <s v="Rohan Singh"/>
    <x v="1"/>
    <s v="Beauty"/>
    <s v="Face Wash 100ml"/>
    <n v="1"/>
    <n v="299"/>
    <n v="299"/>
    <n v="15"/>
    <n v="44.85"/>
    <n v="254.15"/>
    <s v="Debit Card"/>
    <x v="0"/>
  </r>
  <r>
    <s v="ORD-2026686"/>
    <s v="4 Thu"/>
    <s v="Sep"/>
    <s v="2025"/>
    <s v="CUST-1119"/>
    <s v="Rahul Gupta"/>
    <x v="2"/>
    <s v="Apparel"/>
    <s v="Cotton T-Shirt"/>
    <n v="1"/>
    <n v="499"/>
    <n v="499"/>
    <n v="0"/>
    <n v="0"/>
    <n v="499"/>
    <s v="Credit Card"/>
    <x v="0"/>
  </r>
  <r>
    <s v="ORD-2026687"/>
    <s v="4 Thu"/>
    <s v="Sep"/>
    <s v="2025"/>
    <s v="CUST-1017"/>
    <s v="Aarav Verma"/>
    <x v="1"/>
    <s v="Apparel"/>
    <s v="Cotton T-Shirt"/>
    <n v="1"/>
    <n v="499"/>
    <n v="499"/>
    <n v="15"/>
    <n v="74.849999999999994"/>
    <n v="424.15"/>
    <s v="Debit Card"/>
    <x v="0"/>
  </r>
  <r>
    <s v="ORD-2026688"/>
    <s v="4 Thu"/>
    <s v="Sep"/>
    <s v="2025"/>
    <s v="CUST-1331"/>
    <s v="Arjun Singh"/>
    <x v="0"/>
    <s v="Sports"/>
    <s v="Cricket Bat"/>
    <n v="1"/>
    <n v="1499"/>
    <n v="1499"/>
    <n v="20"/>
    <n v="299.8"/>
    <n v="1199.2"/>
    <s v="Debit Card"/>
    <x v="0"/>
  </r>
  <r>
    <s v="ORD-2026689"/>
    <s v="5 Fri"/>
    <s v="Sep"/>
    <s v="2025"/>
    <s v="CUST-1243"/>
    <s v="Aman Joshi"/>
    <x v="4"/>
    <s v="Groceries"/>
    <s v="Basmati Rice 5kg"/>
    <n v="1"/>
    <n v="549"/>
    <n v="549"/>
    <n v="0"/>
    <n v="0"/>
    <n v="549"/>
    <s v="Debit Card"/>
    <x v="1"/>
  </r>
  <r>
    <s v="ORD-2026690"/>
    <s v="5 Fri"/>
    <s v="Sep"/>
    <s v="2025"/>
    <s v="CUST-1269"/>
    <s v="Kunal Verma"/>
    <x v="4"/>
    <s v="Apparel"/>
    <s v="Formal Shirt"/>
    <n v="1"/>
    <n v="899"/>
    <n v="899"/>
    <n v="5"/>
    <n v="44.95"/>
    <n v="854.05"/>
    <s v="UPI"/>
    <x v="0"/>
  </r>
  <r>
    <s v="ORD-2026691"/>
    <s v="5 Fri"/>
    <s v="Sep"/>
    <s v="2025"/>
    <s v="CUST-1158"/>
    <s v="Shreya Singh"/>
    <x v="3"/>
    <s v="Apparel"/>
    <s v="Denim Jacket"/>
    <n v="1"/>
    <n v="1999"/>
    <n v="1999"/>
    <n v="0"/>
    <n v="0"/>
    <n v="1999"/>
    <s v="UPI"/>
    <x v="0"/>
  </r>
  <r>
    <s v="ORD-2026692"/>
    <s v="5 Fri"/>
    <s v="Sep"/>
    <s v="2025"/>
    <s v="CUST-1012"/>
    <s v="Shreya Patel"/>
    <x v="0"/>
    <s v="Electronics"/>
    <s v="Wireless Mouse"/>
    <n v="1"/>
    <n v="599"/>
    <n v="599"/>
    <n v="0"/>
    <n v="0"/>
    <n v="599"/>
    <s v="UPI"/>
    <x v="0"/>
  </r>
  <r>
    <s v="ORD-2026693"/>
    <s v="5 Fri"/>
    <s v="Sep"/>
    <s v="2025"/>
    <s v="CUST-1364"/>
    <s v="Rahul Malhotra"/>
    <x v="3"/>
    <s v="Electronics"/>
    <s v="Wireless Mouse"/>
    <n v="1"/>
    <n v="599"/>
    <n v="599"/>
    <n v="0"/>
    <n v="0"/>
    <n v="599"/>
    <s v="Debit Card"/>
    <x v="0"/>
  </r>
  <r>
    <s v="ORD-2026694"/>
    <s v="5 Fri"/>
    <s v="Sep"/>
    <s v="2025"/>
    <s v="CUST-1158"/>
    <s v="Shreya Singh"/>
    <x v="1"/>
    <s v="Apparel"/>
    <s v="Denim Jacket"/>
    <n v="1"/>
    <n v="1999"/>
    <n v="1999"/>
    <n v="15"/>
    <n v="299.85000000000002"/>
    <n v="1699.15"/>
    <s v="Cash"/>
    <x v="1"/>
  </r>
  <r>
    <s v="ORD-2026695"/>
    <s v="5 Fri"/>
    <s v="Sep"/>
    <s v="2025"/>
    <s v="CUST-1072"/>
    <s v="Tanya Sharma"/>
    <x v="1"/>
    <s v="Electronics"/>
    <s v="Smartwatch"/>
    <n v="1"/>
    <n v="2999"/>
    <n v="2999"/>
    <n v="0"/>
    <n v="0"/>
    <n v="2999"/>
    <s v="UPI"/>
    <x v="1"/>
  </r>
  <r>
    <s v="ORD-2026696"/>
    <s v="6 Sat"/>
    <s v="Sep"/>
    <s v="2025"/>
    <s v="CUST-1274"/>
    <s v="Muskan Singh"/>
    <x v="2"/>
    <s v="Stationery"/>
    <s v="Notebook Set"/>
    <n v="2"/>
    <n v="199"/>
    <n v="398"/>
    <n v="0"/>
    <n v="0"/>
    <n v="398"/>
    <s v="Net Banking"/>
    <x v="0"/>
  </r>
  <r>
    <s v="ORD-2026697"/>
    <s v="6 Sat"/>
    <s v="Sep"/>
    <s v="2025"/>
    <s v="CUST-1288"/>
    <s v="Aditya Mehta"/>
    <x v="0"/>
    <s v="Apparel"/>
    <s v="Denim Jacket"/>
    <n v="1"/>
    <n v="1999"/>
    <n v="1999"/>
    <n v="0"/>
    <n v="0"/>
    <n v="1999"/>
    <s v="Cash"/>
    <x v="0"/>
  </r>
  <r>
    <s v="ORD-2026698"/>
    <s v="6 Sat"/>
    <s v="Sep"/>
    <s v="2025"/>
    <s v="CUST-1319"/>
    <s v="Rohan Sharma"/>
    <x v="2"/>
    <s v="Apparel"/>
    <s v="Formal Shirt"/>
    <n v="3"/>
    <n v="899"/>
    <n v="2697"/>
    <n v="0"/>
    <n v="0"/>
    <n v="2697"/>
    <s v="Cash"/>
    <x v="0"/>
  </r>
  <r>
    <s v="ORD-2026699"/>
    <s v="6 Sat"/>
    <s v="Sep"/>
    <s v="2025"/>
    <s v="CUST-1339"/>
    <s v="Aarav Patel"/>
    <x v="4"/>
    <s v="Apparel"/>
    <s v="Cotton T-Shirt"/>
    <n v="3"/>
    <n v="499"/>
    <n v="1497"/>
    <n v="20"/>
    <n v="299.39999999999998"/>
    <n v="1197.5999999999999"/>
    <s v="Debit Card"/>
    <x v="0"/>
  </r>
  <r>
    <s v="ORD-2026700"/>
    <s v="6 Sat"/>
    <s v="Sep"/>
    <s v="2025"/>
    <s v="CUST-1230"/>
    <s v="Divya Malhotra"/>
    <x v="2"/>
    <s v="Home &amp; Kitchen"/>
    <s v="Non-stick Pan Set"/>
    <n v="1"/>
    <n v="1299"/>
    <n v="1299"/>
    <n v="15"/>
    <n v="194.85"/>
    <n v="1104.1500000000001"/>
    <s v="UPI"/>
    <x v="0"/>
  </r>
  <r>
    <s v="ORD-2026701"/>
    <s v="6 Sat"/>
    <s v="Sep"/>
    <s v="2025"/>
    <s v="CUST-1337"/>
    <s v="Rahul Patel"/>
    <x v="2"/>
    <s v="Electronics"/>
    <s v="Smartwatch"/>
    <n v="3"/>
    <n v="2999"/>
    <n v="8997"/>
    <n v="5"/>
    <n v="449.85"/>
    <n v="8547.15"/>
    <s v="Net Banking"/>
    <x v="0"/>
  </r>
  <r>
    <s v="ORD-2026702"/>
    <s v="6 Sat"/>
    <s v="Sep"/>
    <s v="2025"/>
    <s v="CUST-1019"/>
    <s v="Aarav Joshi"/>
    <x v="4"/>
    <s v="Stationery"/>
    <s v="Gel Pen Pack"/>
    <n v="4"/>
    <n v="99"/>
    <n v="396"/>
    <n v="0"/>
    <n v="0"/>
    <n v="396"/>
    <s v="Debit Card"/>
    <x v="0"/>
  </r>
  <r>
    <s v="ORD-2026703"/>
    <s v="7 Sun"/>
    <s v="Sep"/>
    <s v="2025"/>
    <s v="CUST-1085"/>
    <s v="Shreya Mehta"/>
    <x v="4"/>
    <s v="Sports"/>
    <s v="Yoga Mat"/>
    <n v="2"/>
    <n v="699"/>
    <n v="1398"/>
    <n v="0"/>
    <n v="0"/>
    <n v="1398"/>
    <s v="Credit Card"/>
    <x v="0"/>
  </r>
  <r>
    <s v="ORD-2026704"/>
    <s v="7 Sun"/>
    <s v="Sep"/>
    <s v="2025"/>
    <s v="CUST-1202"/>
    <s v="Isha Verma"/>
    <x v="2"/>
    <s v="Apparel"/>
    <s v="Denim Jacket"/>
    <n v="3"/>
    <n v="1999"/>
    <n v="5997"/>
    <n v="0"/>
    <n v="0"/>
    <n v="5997"/>
    <s v="UPI"/>
    <x v="0"/>
  </r>
  <r>
    <s v="ORD-2026705"/>
    <s v="7 Sun"/>
    <s v="Sep"/>
    <s v="2025"/>
    <s v="CUST-1230"/>
    <s v="Divya Malhotra"/>
    <x v="1"/>
    <s v="Groceries"/>
    <s v="Organic Honey 500g"/>
    <n v="2"/>
    <n v="349"/>
    <n v="698"/>
    <n v="0"/>
    <n v="0"/>
    <n v="698"/>
    <s v="Credit Card"/>
    <x v="0"/>
  </r>
  <r>
    <s v="ORD-2026706"/>
    <s v="7 Sun"/>
    <s v="Sep"/>
    <s v="2025"/>
    <s v="CUST-1183"/>
    <s v="Arjun Mehta"/>
    <x v="0"/>
    <s v="Electronics"/>
    <s v="Smartwatch"/>
    <n v="2"/>
    <n v="2999"/>
    <n v="5998"/>
    <n v="0"/>
    <n v="0"/>
    <n v="5998"/>
    <s v="UPI"/>
    <x v="0"/>
  </r>
  <r>
    <s v="ORD-2026707"/>
    <s v="7 Sun"/>
    <s v="Sep"/>
    <s v="2025"/>
    <s v="CUST-1042"/>
    <s v="Kunal Saxena"/>
    <x v="1"/>
    <s v="Beauty"/>
    <s v="Herbal Shampoo"/>
    <n v="1"/>
    <n v="249"/>
    <n v="249"/>
    <n v="15"/>
    <n v="37.35"/>
    <n v="211.65"/>
    <s v="UPI"/>
    <x v="1"/>
  </r>
  <r>
    <s v="ORD-2026708"/>
    <s v="7 Sun"/>
    <s v="Sep"/>
    <s v="2025"/>
    <s v="CUST-1138"/>
    <s v="Tanya Singh"/>
    <x v="2"/>
    <s v="Beauty"/>
    <s v="Herbal Shampoo"/>
    <n v="1"/>
    <n v="249"/>
    <n v="249"/>
    <n v="0"/>
    <n v="0"/>
    <n v="249"/>
    <s v="Debit Card"/>
    <x v="1"/>
  </r>
  <r>
    <s v="ORD-2026709"/>
    <s v="7 Sun"/>
    <s v="Sep"/>
    <s v="2025"/>
    <s v="CUST-1321"/>
    <s v="Isha Mehta"/>
    <x v="0"/>
    <s v="Stationery"/>
    <s v="Gel Pen Pack"/>
    <n v="1"/>
    <n v="99"/>
    <n v="99"/>
    <n v="15"/>
    <n v="14.85"/>
    <n v="84.15"/>
    <s v="Credit Card"/>
    <x v="0"/>
  </r>
  <r>
    <s v="ORD-2026710"/>
    <s v="7 Sun"/>
    <s v="Sep"/>
    <s v="2025"/>
    <s v="CUST-1395"/>
    <s v="Rahul Verma"/>
    <x v="2"/>
    <s v="Electronics"/>
    <s v="Wireless Mouse"/>
    <n v="1"/>
    <n v="599"/>
    <n v="599"/>
    <n v="0"/>
    <n v="0"/>
    <n v="599"/>
    <s v="UPI"/>
    <x v="0"/>
  </r>
  <r>
    <s v="ORD-2026711"/>
    <s v="7 Sun"/>
    <s v="Sep"/>
    <s v="2025"/>
    <s v="CUST-1112"/>
    <s v="Komal Gupta"/>
    <x v="3"/>
    <s v="Sports"/>
    <s v="Yoga Mat"/>
    <n v="2"/>
    <n v="699"/>
    <n v="1398"/>
    <n v="5"/>
    <n v="69.900000000000006"/>
    <n v="1328.1"/>
    <s v="Net Banking"/>
    <x v="0"/>
  </r>
  <r>
    <s v="ORD-2026712"/>
    <s v="7 Sun"/>
    <s v="Sep"/>
    <s v="2025"/>
    <s v="CUST-1186"/>
    <s v="Meera Verma"/>
    <x v="2"/>
    <s v="Groceries"/>
    <s v="Organic Honey 500g"/>
    <n v="1"/>
    <n v="349"/>
    <n v="349"/>
    <n v="5"/>
    <n v="17.45"/>
    <n v="331.55"/>
    <s v="UPI"/>
    <x v="0"/>
  </r>
  <r>
    <s v="ORD-2026713"/>
    <s v="7 Sun"/>
    <s v="Sep"/>
    <s v="2025"/>
    <s v="CUST-1102"/>
    <s v="Aarav Patel"/>
    <x v="3"/>
    <s v="Stationery"/>
    <s v="Notebook Set"/>
    <n v="3"/>
    <n v="199"/>
    <n v="597"/>
    <n v="0"/>
    <n v="0"/>
    <n v="597"/>
    <s v="UPI"/>
    <x v="1"/>
  </r>
  <r>
    <s v="ORD-2026714"/>
    <s v="7 Sun"/>
    <s v="Sep"/>
    <s v="2025"/>
    <s v="CUST-1168"/>
    <s v="Nandini Joshi"/>
    <x v="1"/>
    <s v="Electronics"/>
    <s v="Bluetooth Headphones"/>
    <n v="1"/>
    <n v="1799"/>
    <n v="1799"/>
    <n v="5"/>
    <n v="89.95"/>
    <n v="1709.05"/>
    <s v="Credit Card"/>
    <x v="0"/>
  </r>
  <r>
    <s v="ORD-2026715"/>
    <s v="8 Mon"/>
    <s v="Sep"/>
    <s v="2025"/>
    <s v="CUST-1178"/>
    <s v="Komal Sharma"/>
    <x v="3"/>
    <s v="Electronics"/>
    <s v="Wireless Mouse"/>
    <n v="1"/>
    <n v="599"/>
    <n v="599"/>
    <n v="15"/>
    <n v="89.85"/>
    <n v="509.15"/>
    <s v="Net Banking"/>
    <x v="0"/>
  </r>
  <r>
    <s v="ORD-2026716"/>
    <s v="8 Mon"/>
    <s v="Sep"/>
    <s v="2025"/>
    <s v="CUST-1183"/>
    <s v="Arjun Mehta"/>
    <x v="1"/>
    <s v="Stationery"/>
    <s v="Notebook Set"/>
    <n v="2"/>
    <n v="199"/>
    <n v="398"/>
    <n v="0"/>
    <n v="0"/>
    <n v="398"/>
    <s v="UPI"/>
    <x v="0"/>
  </r>
  <r>
    <s v="ORD-2026717"/>
    <s v="8 Mon"/>
    <s v="Sep"/>
    <s v="2025"/>
    <s v="CUST-1370"/>
    <s v="Shreya Malhotra"/>
    <x v="1"/>
    <s v="Sports"/>
    <s v="Cricket Bat"/>
    <n v="3"/>
    <n v="1499"/>
    <n v="4497"/>
    <n v="15"/>
    <n v="674.55"/>
    <n v="3822.45"/>
    <s v="Debit Card"/>
    <x v="1"/>
  </r>
  <r>
    <s v="ORD-2026718"/>
    <s v="8 Mon"/>
    <s v="Sep"/>
    <s v="2025"/>
    <s v="CUST-1275"/>
    <s v="Tanya Singh"/>
    <x v="3"/>
    <s v="Electronics"/>
    <s v="Smartwatch"/>
    <n v="1"/>
    <n v="2999"/>
    <n v="2999"/>
    <n v="0"/>
    <n v="0"/>
    <n v="2999"/>
    <s v="Credit Card"/>
    <x v="0"/>
  </r>
  <r>
    <s v="ORD-2026719"/>
    <s v="8 Mon"/>
    <s v="Sep"/>
    <s v="2025"/>
    <s v="CUST-1232"/>
    <s v="Aman Patel"/>
    <x v="1"/>
    <s v="Electronics"/>
    <s v="Bluetooth Headphones"/>
    <n v="2"/>
    <n v="1799"/>
    <n v="3598"/>
    <n v="0"/>
    <n v="0"/>
    <n v="3598"/>
    <s v="Debit Card"/>
    <x v="0"/>
  </r>
  <r>
    <s v="ORD-2026720"/>
    <s v="8 Mon"/>
    <s v="Sep"/>
    <s v="2025"/>
    <s v="CUST-1376"/>
    <s v="Kunal Kapoor"/>
    <x v="3"/>
    <s v="Sports"/>
    <s v="Yoga Mat"/>
    <n v="2"/>
    <n v="699"/>
    <n v="1398"/>
    <n v="0"/>
    <n v="0"/>
    <n v="1398"/>
    <s v="UPI"/>
    <x v="1"/>
  </r>
  <r>
    <s v="ORD-2026721"/>
    <s v="9 Tue"/>
    <s v="Sep"/>
    <s v="2025"/>
    <s v="CUST-1087"/>
    <s v="Kabir Verma"/>
    <x v="3"/>
    <s v="Apparel"/>
    <s v="Formal Shirt"/>
    <n v="1"/>
    <n v="899"/>
    <n v="899"/>
    <n v="15"/>
    <n v="134.85"/>
    <n v="764.15"/>
    <s v="Credit Card"/>
    <x v="0"/>
  </r>
  <r>
    <s v="ORD-2026722"/>
    <s v="9 Tue"/>
    <s v="Sep"/>
    <s v="2025"/>
    <s v="CUST-1145"/>
    <s v="Kunal Joshi"/>
    <x v="4"/>
    <s v="Home &amp; Kitchen"/>
    <s v="Non-stick Pan Set"/>
    <n v="1"/>
    <n v="1299"/>
    <n v="1299"/>
    <n v="20"/>
    <n v="259.8"/>
    <n v="1039.2"/>
    <s v="Net Banking"/>
    <x v="1"/>
  </r>
  <r>
    <s v="ORD-2026723"/>
    <s v="9 Tue"/>
    <s v="Sep"/>
    <s v="2025"/>
    <s v="CUST-1116"/>
    <s v="Sakshi Mehta"/>
    <x v="3"/>
    <s v="Groceries"/>
    <s v="Basmati Rice 5kg"/>
    <n v="1"/>
    <n v="549"/>
    <n v="549"/>
    <n v="10"/>
    <n v="54.9"/>
    <n v="494.1"/>
    <s v="Credit Card"/>
    <x v="0"/>
  </r>
  <r>
    <s v="ORD-2026724"/>
    <s v="9 Tue"/>
    <s v="Sep"/>
    <s v="2025"/>
    <s v="CUST-1295"/>
    <s v="Tanya Singh"/>
    <x v="2"/>
    <s v="Sports"/>
    <s v="Cricket Bat"/>
    <n v="1"/>
    <n v="1499"/>
    <n v="1499"/>
    <n v="10"/>
    <n v="149.9"/>
    <n v="1349.1"/>
    <s v="Cash"/>
    <x v="0"/>
  </r>
  <r>
    <s v="ORD-2026725"/>
    <s v="9 Tue"/>
    <s v="Sep"/>
    <s v="2025"/>
    <s v="CUST-1018"/>
    <s v="Aditya Gupta"/>
    <x v="2"/>
    <s v="Groceries"/>
    <s v="Basmati Rice 5kg"/>
    <n v="2"/>
    <n v="549"/>
    <n v="1098"/>
    <n v="0"/>
    <n v="0"/>
    <n v="1098"/>
    <s v="Credit Card"/>
    <x v="0"/>
  </r>
  <r>
    <s v="ORD-2026726"/>
    <s v="9 Tue"/>
    <s v="Sep"/>
    <s v="2025"/>
    <s v="CUST-1208"/>
    <s v="Arjun Singh"/>
    <x v="2"/>
    <s v="Beauty"/>
    <s v="Herbal Shampoo"/>
    <n v="3"/>
    <n v="249"/>
    <n v="747"/>
    <n v="5"/>
    <n v="37.35"/>
    <n v="709.65"/>
    <s v="Credit Card"/>
    <x v="0"/>
  </r>
  <r>
    <s v="ORD-2026727"/>
    <s v="9 Tue"/>
    <s v="Sep"/>
    <s v="2025"/>
    <s v="CUST-1265"/>
    <s v="Muskan Singh"/>
    <x v="1"/>
    <s v="Electronics"/>
    <s v="Wireless Mouse"/>
    <n v="4"/>
    <n v="599"/>
    <n v="2396"/>
    <n v="5"/>
    <n v="119.8"/>
    <n v="2276.1999999999998"/>
    <s v="Net Banking"/>
    <x v="1"/>
  </r>
  <r>
    <s v="ORD-2026728"/>
    <s v="9 Tue"/>
    <s v="Sep"/>
    <s v="2025"/>
    <s v="CUST-1281"/>
    <s v="Nandini Saxena"/>
    <x v="2"/>
    <s v="Stationery"/>
    <s v="Gel Pen Pack"/>
    <n v="1"/>
    <n v="99"/>
    <n v="99"/>
    <n v="15"/>
    <n v="14.85"/>
    <n v="84.15"/>
    <s v="Debit Card"/>
    <x v="0"/>
  </r>
  <r>
    <s v="ORD-2026729"/>
    <s v="9 Tue"/>
    <s v="Sep"/>
    <s v="2025"/>
    <s v="CUST-1252"/>
    <s v="Arjun Singh"/>
    <x v="4"/>
    <s v="Beauty"/>
    <s v="Herbal Shampoo"/>
    <n v="1"/>
    <n v="249"/>
    <n v="249"/>
    <n v="0"/>
    <n v="0"/>
    <n v="249"/>
    <s v="Credit Card"/>
    <x v="0"/>
  </r>
  <r>
    <s v="ORD-2026730"/>
    <s v="9 Tue"/>
    <s v="Sep"/>
    <s v="2025"/>
    <s v="CUST-1387"/>
    <s v="Rohan Patel"/>
    <x v="1"/>
    <s v="Electronics"/>
    <s v="Bluetooth Headphones"/>
    <n v="1"/>
    <n v="1799"/>
    <n v="1799"/>
    <n v="10"/>
    <n v="179.9"/>
    <n v="1619.1"/>
    <s v="Cash"/>
    <x v="1"/>
  </r>
  <r>
    <s v="ORD-2026731"/>
    <s v="9 Tue"/>
    <s v="Sep"/>
    <s v="2025"/>
    <s v="CUST-1352"/>
    <s v="Nandini Mehta"/>
    <x v="1"/>
    <s v="Groceries"/>
    <s v="Basmati Rice 5kg"/>
    <n v="1"/>
    <n v="549"/>
    <n v="549"/>
    <n v="0"/>
    <n v="0"/>
    <n v="549"/>
    <s v="UPI"/>
    <x v="1"/>
  </r>
  <r>
    <s v="ORD-2026732"/>
    <s v="10 Wed"/>
    <s v="Sep"/>
    <s v="2025"/>
    <s v="CUST-1103"/>
    <s v="Muskan Gupta"/>
    <x v="1"/>
    <s v="Home &amp; Kitchen"/>
    <s v="LED Desk Lamp"/>
    <n v="1"/>
    <n v="799"/>
    <n v="799"/>
    <n v="20"/>
    <n v="159.80000000000001"/>
    <n v="639.20000000000005"/>
    <s v="Debit Card"/>
    <x v="0"/>
  </r>
  <r>
    <s v="ORD-2026733"/>
    <s v="10 Wed"/>
    <s v="Sep"/>
    <s v="2025"/>
    <s v="CUST-1178"/>
    <s v="Komal Sharma"/>
    <x v="4"/>
    <s v="Stationery"/>
    <s v="Notebook Set"/>
    <n v="1"/>
    <n v="199"/>
    <n v="199"/>
    <n v="0"/>
    <n v="0"/>
    <n v="199"/>
    <s v="UPI"/>
    <x v="0"/>
  </r>
  <r>
    <s v="ORD-2026734"/>
    <s v="10 Wed"/>
    <s v="Sep"/>
    <s v="2025"/>
    <s v="CUST-1110"/>
    <s v="Aman Malhotra"/>
    <x v="2"/>
    <s v="Beauty"/>
    <s v="Face Wash 100ml"/>
    <n v="2"/>
    <n v="299"/>
    <n v="598"/>
    <n v="0"/>
    <n v="0"/>
    <n v="598"/>
    <s v="Cash"/>
    <x v="0"/>
  </r>
  <r>
    <s v="ORD-2026735"/>
    <s v="10 Wed"/>
    <s v="Sep"/>
    <s v="2025"/>
    <s v="CUST-1269"/>
    <s v="Kunal Verma"/>
    <x v="4"/>
    <s v="Apparel"/>
    <s v="Formal Shirt"/>
    <n v="1"/>
    <n v="899"/>
    <n v="899"/>
    <n v="0"/>
    <n v="0"/>
    <n v="899"/>
    <s v="Debit Card"/>
    <x v="0"/>
  </r>
  <r>
    <s v="ORD-2026736"/>
    <s v="10 Wed"/>
    <s v="Sep"/>
    <s v="2025"/>
    <s v="CUST-1385"/>
    <s v="Aman Kapoor"/>
    <x v="0"/>
    <s v="Home &amp; Kitchen"/>
    <s v="LED Desk Lamp"/>
    <n v="1"/>
    <n v="799"/>
    <n v="799"/>
    <n v="0"/>
    <n v="0"/>
    <n v="799"/>
    <s v="Credit Card"/>
    <x v="1"/>
  </r>
  <r>
    <s v="ORD-2026737"/>
    <s v="10 Wed"/>
    <s v="Sep"/>
    <s v="2025"/>
    <s v="CUST-1297"/>
    <s v="Sakshi Kapoor"/>
    <x v="1"/>
    <s v="Apparel"/>
    <s v="Cotton T-Shirt"/>
    <n v="2"/>
    <n v="499"/>
    <n v="998"/>
    <n v="20"/>
    <n v="199.6"/>
    <n v="798.4"/>
    <s v="UPI"/>
    <x v="0"/>
  </r>
  <r>
    <s v="ORD-2026738"/>
    <s v="11 Thu"/>
    <s v="Sep"/>
    <s v="2025"/>
    <s v="CUST-1234"/>
    <s v="Meera Sharma"/>
    <x v="0"/>
    <s v="Electronics"/>
    <s v="Bluetooth Headphones"/>
    <n v="1"/>
    <n v="1799"/>
    <n v="1799"/>
    <n v="5"/>
    <n v="89.95"/>
    <n v="1709.05"/>
    <s v="Debit Card"/>
    <x v="0"/>
  </r>
  <r>
    <s v="ORD-2026739"/>
    <s v="11 Thu"/>
    <s v="Sep"/>
    <s v="2025"/>
    <s v="CUST-1060"/>
    <s v="Swati Gupta"/>
    <x v="4"/>
    <s v="Apparel"/>
    <s v="Cotton T-Shirt"/>
    <n v="2"/>
    <n v="499"/>
    <n v="998"/>
    <n v="10"/>
    <n v="99.8"/>
    <n v="898.2"/>
    <s v="Debit Card"/>
    <x v="1"/>
  </r>
  <r>
    <s v="ORD-2026740"/>
    <s v="11 Thu"/>
    <s v="Sep"/>
    <s v="2025"/>
    <s v="CUST-1335"/>
    <s v="Divya Saxena"/>
    <x v="0"/>
    <s v="Electronics"/>
    <s v="Smartwatch"/>
    <n v="2"/>
    <n v="2999"/>
    <n v="5998"/>
    <n v="10"/>
    <n v="599.79999999999995"/>
    <n v="5398.2"/>
    <s v="UPI"/>
    <x v="0"/>
  </r>
  <r>
    <s v="ORD-2026741"/>
    <s v="11 Thu"/>
    <s v="Sep"/>
    <s v="2025"/>
    <s v="CUST-1184"/>
    <s v="Rahul Joshi"/>
    <x v="1"/>
    <s v="Sports"/>
    <s v="Yoga Mat"/>
    <n v="3"/>
    <n v="699"/>
    <n v="2097"/>
    <n v="0"/>
    <n v="0"/>
    <n v="2097"/>
    <s v="Cash"/>
    <x v="0"/>
  </r>
  <r>
    <s v="ORD-2026742"/>
    <s v="11 Thu"/>
    <s v="Sep"/>
    <s v="2025"/>
    <s v="CUST-1196"/>
    <s v="Aditya Patel"/>
    <x v="2"/>
    <s v="Stationery"/>
    <s v="Notebook Set"/>
    <n v="1"/>
    <n v="199"/>
    <n v="199"/>
    <n v="5"/>
    <n v="9.9499999999999993"/>
    <n v="189.05"/>
    <s v="Debit Card"/>
    <x v="1"/>
  </r>
  <r>
    <s v="ORD-2026743"/>
    <s v="12 Fri"/>
    <s v="Sep"/>
    <s v="2025"/>
    <s v="CUST-1143"/>
    <s v="Muskan Saxena"/>
    <x v="0"/>
    <s v="Apparel"/>
    <s v="Denim Jacket"/>
    <n v="1"/>
    <n v="1999"/>
    <n v="1999"/>
    <n v="0"/>
    <n v="0"/>
    <n v="1999"/>
    <s v="UPI"/>
    <x v="1"/>
  </r>
  <r>
    <s v="ORD-2026744"/>
    <s v="12 Fri"/>
    <s v="Sep"/>
    <s v="2025"/>
    <s v="CUST-1221"/>
    <s v="Kunal Singh"/>
    <x v="2"/>
    <s v="Sports"/>
    <s v="Yoga Mat"/>
    <n v="4"/>
    <n v="699"/>
    <n v="2796"/>
    <n v="0"/>
    <n v="0"/>
    <n v="2796"/>
    <s v="Debit Card"/>
    <x v="0"/>
  </r>
  <r>
    <s v="ORD-2026745"/>
    <s v="12 Fri"/>
    <s v="Sep"/>
    <s v="2025"/>
    <s v="CUST-1122"/>
    <s v="Aditya Kapoor"/>
    <x v="4"/>
    <s v="Apparel"/>
    <s v="Cotton T-Shirt"/>
    <n v="4"/>
    <n v="499"/>
    <n v="1996"/>
    <n v="0"/>
    <n v="0"/>
    <n v="1996"/>
    <s v="UPI"/>
    <x v="0"/>
  </r>
  <r>
    <s v="ORD-2026746"/>
    <s v="12 Fri"/>
    <s v="Sep"/>
    <s v="2025"/>
    <s v="CUST-1071"/>
    <s v="Kabir Malhotra"/>
    <x v="0"/>
    <s v="Electronics"/>
    <s v="Wireless Mouse"/>
    <n v="3"/>
    <n v="599"/>
    <n v="1797"/>
    <n v="0"/>
    <n v="0"/>
    <n v="1797"/>
    <s v="UPI"/>
    <x v="1"/>
  </r>
  <r>
    <s v="ORD-2026747"/>
    <s v="13 Sat"/>
    <s v="Sep"/>
    <s v="2025"/>
    <s v="CUST-1039"/>
    <s v="Aarav Joshi"/>
    <x v="2"/>
    <s v="Beauty"/>
    <s v="Herbal Shampoo"/>
    <n v="1"/>
    <n v="249"/>
    <n v="249"/>
    <n v="0"/>
    <n v="0"/>
    <n v="249"/>
    <s v="Credit Card"/>
    <x v="0"/>
  </r>
  <r>
    <s v="ORD-2026748"/>
    <s v="13 Sat"/>
    <s v="Sep"/>
    <s v="2025"/>
    <s v="CUST-1067"/>
    <s v="Nandini Gupta"/>
    <x v="1"/>
    <s v="Apparel"/>
    <s v="Denim Jacket"/>
    <n v="1"/>
    <n v="1999"/>
    <n v="1999"/>
    <n v="0"/>
    <n v="0"/>
    <n v="1999"/>
    <s v="UPI"/>
    <x v="0"/>
  </r>
  <r>
    <s v="ORD-2026749"/>
    <s v="13 Sat"/>
    <s v="Sep"/>
    <s v="2025"/>
    <s v="CUST-1171"/>
    <s v="Ankit Verma"/>
    <x v="4"/>
    <s v="Beauty"/>
    <s v="Face Wash 100ml"/>
    <n v="2"/>
    <n v="299"/>
    <n v="598"/>
    <n v="5"/>
    <n v="29.9"/>
    <n v="568.1"/>
    <s v="Credit Card"/>
    <x v="1"/>
  </r>
  <r>
    <s v="ORD-2026750"/>
    <s v="13 Sat"/>
    <s v="Sep"/>
    <s v="2025"/>
    <s v="CUST-1250"/>
    <s v="Shreya Saxena"/>
    <x v="3"/>
    <s v="Groceries"/>
    <s v="Basmati Rice 5kg"/>
    <n v="1"/>
    <n v="549"/>
    <n v="549"/>
    <n v="0"/>
    <n v="0"/>
    <n v="549"/>
    <s v="Debit Card"/>
    <x v="1"/>
  </r>
  <r>
    <s v="ORD-2026751"/>
    <s v="13 Sat"/>
    <s v="Sep"/>
    <s v="2025"/>
    <s v="CUST-1360"/>
    <s v="Muskan Singh"/>
    <x v="0"/>
    <s v="Beauty"/>
    <s v="Face Wash 100ml"/>
    <n v="1"/>
    <n v="299"/>
    <n v="299"/>
    <n v="5"/>
    <n v="14.95"/>
    <n v="284.05"/>
    <s v="Debit Card"/>
    <x v="1"/>
  </r>
  <r>
    <s v="ORD-2026752"/>
    <s v="13 Sat"/>
    <s v="Sep"/>
    <s v="2025"/>
    <s v="CUST-1209"/>
    <s v="Meera Mehta"/>
    <x v="2"/>
    <s v="Apparel"/>
    <s v="Cotton T-Shirt"/>
    <n v="3"/>
    <n v="499"/>
    <n v="1497"/>
    <n v="20"/>
    <n v="299.39999999999998"/>
    <n v="1197.5999999999999"/>
    <s v="Credit Card"/>
    <x v="0"/>
  </r>
  <r>
    <s v="ORD-2026753"/>
    <s v="13 Sat"/>
    <s v="Sep"/>
    <s v="2025"/>
    <s v="CUST-1327"/>
    <s v="Kunal Malhotra"/>
    <x v="4"/>
    <s v="Sports"/>
    <s v="Cricket Bat"/>
    <n v="2"/>
    <n v="1499"/>
    <n v="2998"/>
    <n v="0"/>
    <n v="0"/>
    <n v="2998"/>
    <s v="UPI"/>
    <x v="0"/>
  </r>
  <r>
    <s v="ORD-2026754"/>
    <s v="13 Sat"/>
    <s v="Sep"/>
    <s v="2025"/>
    <s v="CUST-1180"/>
    <s v="Muskan Joshi"/>
    <x v="3"/>
    <s v="Beauty"/>
    <s v="Herbal Shampoo"/>
    <n v="2"/>
    <n v="249"/>
    <n v="498"/>
    <n v="5"/>
    <n v="24.9"/>
    <n v="473.1"/>
    <s v="Debit Card"/>
    <x v="1"/>
  </r>
  <r>
    <s v="ORD-2026755"/>
    <s v="14 Sun"/>
    <s v="Sep"/>
    <s v="2025"/>
    <s v="CUST-1358"/>
    <s v="Aman Patel"/>
    <x v="3"/>
    <s v="Stationery"/>
    <s v="Gel Pen Pack"/>
    <n v="3"/>
    <n v="99"/>
    <n v="297"/>
    <n v="0"/>
    <n v="0"/>
    <n v="297"/>
    <s v="UPI"/>
    <x v="1"/>
  </r>
  <r>
    <s v="ORD-2026756"/>
    <s v="14 Sun"/>
    <s v="Sep"/>
    <s v="2025"/>
    <s v="CUST-1352"/>
    <s v="Nandini Mehta"/>
    <x v="2"/>
    <s v="Beauty"/>
    <s v="Herbal Shampoo"/>
    <n v="1"/>
    <n v="249"/>
    <n v="249"/>
    <n v="10"/>
    <n v="24.9"/>
    <n v="224.1"/>
    <s v="Cash"/>
    <x v="0"/>
  </r>
  <r>
    <s v="ORD-2026757"/>
    <s v="14 Sun"/>
    <s v="Sep"/>
    <s v="2025"/>
    <s v="CUST-1140"/>
    <s v="Tanya Verma"/>
    <x v="2"/>
    <s v="Electronics"/>
    <s v="Bluetooth Headphones"/>
    <n v="1"/>
    <n v="1799"/>
    <n v="1799"/>
    <n v="15"/>
    <n v="269.85000000000002"/>
    <n v="1529.15"/>
    <s v="UPI"/>
    <x v="0"/>
  </r>
  <r>
    <s v="ORD-2026758"/>
    <s v="14 Sun"/>
    <s v="Sep"/>
    <s v="2025"/>
    <s v="CUST-1139"/>
    <s v="Aditya Sharma"/>
    <x v="4"/>
    <s v="Electronics"/>
    <s v="Wireless Mouse"/>
    <n v="4"/>
    <n v="599"/>
    <n v="2396"/>
    <n v="15"/>
    <n v="359.4"/>
    <n v="2036.6"/>
    <s v="Cash"/>
    <x v="1"/>
  </r>
  <r>
    <s v="ORD-2026759"/>
    <s v="14 Sun"/>
    <s v="Sep"/>
    <s v="2025"/>
    <s v="CUST-1348"/>
    <s v="Ankit Malhotra"/>
    <x v="1"/>
    <s v="Electronics"/>
    <s v="Smartwatch"/>
    <n v="2"/>
    <n v="2999"/>
    <n v="5998"/>
    <n v="0"/>
    <n v="0"/>
    <n v="5998"/>
    <s v="Debit Card"/>
    <x v="0"/>
  </r>
  <r>
    <s v="ORD-2026760"/>
    <s v="14 Sun"/>
    <s v="Sep"/>
    <s v="2025"/>
    <s v="CUST-1254"/>
    <s v="Meera Malhotra"/>
    <x v="1"/>
    <s v="Apparel"/>
    <s v="Formal Shirt"/>
    <n v="1"/>
    <n v="899"/>
    <n v="899"/>
    <n v="0"/>
    <n v="0"/>
    <n v="899"/>
    <s v="Net Banking"/>
    <x v="1"/>
  </r>
  <r>
    <s v="ORD-2026761"/>
    <s v="14 Sun"/>
    <s v="Sep"/>
    <s v="2025"/>
    <s v="CUST-1344"/>
    <s v="Nandini Saxena"/>
    <x v="2"/>
    <s v="Sports"/>
    <s v="Yoga Mat"/>
    <n v="1"/>
    <n v="699"/>
    <n v="699"/>
    <n v="0"/>
    <n v="0"/>
    <n v="699"/>
    <s v="Debit Card"/>
    <x v="0"/>
  </r>
  <r>
    <s v="ORD-2026762"/>
    <s v="15 Mon"/>
    <s v="Sep"/>
    <s v="2025"/>
    <s v="CUST-1050"/>
    <s v="Rohan Gupta"/>
    <x v="3"/>
    <s v="Sports"/>
    <s v="Yoga Mat"/>
    <n v="3"/>
    <n v="699"/>
    <n v="2097"/>
    <n v="10"/>
    <n v="209.7"/>
    <n v="1887.3"/>
    <s v="Debit Card"/>
    <x v="0"/>
  </r>
  <r>
    <s v="ORD-2026763"/>
    <s v="15 Mon"/>
    <s v="Sep"/>
    <s v="2025"/>
    <s v="CUST-1105"/>
    <s v="Rohan Singh"/>
    <x v="3"/>
    <s v="Stationery"/>
    <s v="Gel Pen Pack"/>
    <n v="2"/>
    <n v="99"/>
    <n v="198"/>
    <n v="10"/>
    <n v="19.8"/>
    <n v="178.2"/>
    <s v="Credit Card"/>
    <x v="1"/>
  </r>
  <r>
    <s v="ORD-2026764"/>
    <s v="15 Mon"/>
    <s v="Sep"/>
    <s v="2025"/>
    <s v="CUST-1127"/>
    <s v="Muskan Joshi"/>
    <x v="2"/>
    <s v="Sports"/>
    <s v="Cricket Bat"/>
    <n v="1"/>
    <n v="1499"/>
    <n v="1499"/>
    <n v="5"/>
    <n v="74.95"/>
    <n v="1424.05"/>
    <s v="Cash"/>
    <x v="0"/>
  </r>
  <r>
    <s v="ORD-2026765"/>
    <s v="15 Mon"/>
    <s v="Sep"/>
    <s v="2025"/>
    <s v="CUST-1297"/>
    <s v="Sakshi Kapoor"/>
    <x v="0"/>
    <s v="Beauty"/>
    <s v="Face Wash 100ml"/>
    <n v="1"/>
    <n v="299"/>
    <n v="299"/>
    <n v="15"/>
    <n v="44.85"/>
    <n v="254.15"/>
    <s v="UPI"/>
    <x v="1"/>
  </r>
  <r>
    <s v="ORD-2026766"/>
    <s v="15 Mon"/>
    <s v="Sep"/>
    <s v="2025"/>
    <s v="CUST-1152"/>
    <s v="Kabir Gupta"/>
    <x v="3"/>
    <s v="Apparel"/>
    <s v="Denim Jacket"/>
    <n v="1"/>
    <n v="1999"/>
    <n v="1999"/>
    <n v="0"/>
    <n v="0"/>
    <n v="1999"/>
    <s v="Cash"/>
    <x v="0"/>
  </r>
  <r>
    <s v="ORD-2026767"/>
    <s v="15 Mon"/>
    <s v="Sep"/>
    <s v="2025"/>
    <s v="CUST-1203"/>
    <s v="Ankit Verma"/>
    <x v="3"/>
    <s v="Beauty"/>
    <s v="Herbal Shampoo"/>
    <n v="3"/>
    <n v="249"/>
    <n v="747"/>
    <n v="10"/>
    <n v="74.7"/>
    <n v="672.3"/>
    <s v="Net Banking"/>
    <x v="0"/>
  </r>
  <r>
    <s v="ORD-2026768"/>
    <s v="15 Mon"/>
    <s v="Sep"/>
    <s v="2025"/>
    <s v="CUST-1114"/>
    <s v="Vivaan Malhotra"/>
    <x v="3"/>
    <s v="Electronics"/>
    <s v="Smartwatch"/>
    <n v="2"/>
    <n v="2999"/>
    <n v="5998"/>
    <n v="10"/>
    <n v="599.79999999999995"/>
    <n v="5398.2"/>
    <s v="UPI"/>
    <x v="0"/>
  </r>
  <r>
    <s v="ORD-2026769"/>
    <s v="15 Mon"/>
    <s v="Sep"/>
    <s v="2025"/>
    <s v="CUST-1159"/>
    <s v="Isha Kapoor"/>
    <x v="2"/>
    <s v="Sports"/>
    <s v="Cricket Bat"/>
    <n v="4"/>
    <n v="1499"/>
    <n v="5996"/>
    <n v="15"/>
    <n v="899.4"/>
    <n v="5096.6000000000004"/>
    <s v="Debit Card"/>
    <x v="1"/>
  </r>
  <r>
    <s v="ORD-2026770"/>
    <s v="16 Tue"/>
    <s v="Sep"/>
    <s v="2025"/>
    <s v="CUST-1050"/>
    <s v="Rohan Gupta"/>
    <x v="0"/>
    <s v="Sports"/>
    <s v="Cricket Bat"/>
    <n v="1"/>
    <n v="1499"/>
    <n v="1499"/>
    <n v="5"/>
    <n v="74.95"/>
    <n v="1424.05"/>
    <s v="Net Banking"/>
    <x v="0"/>
  </r>
  <r>
    <s v="ORD-2026771"/>
    <s v="16 Tue"/>
    <s v="Sep"/>
    <s v="2025"/>
    <s v="CUST-1130"/>
    <s v="Aditya Singh"/>
    <x v="0"/>
    <s v="Stationery"/>
    <s v="Notebook Set"/>
    <n v="2"/>
    <n v="199"/>
    <n v="398"/>
    <n v="0"/>
    <n v="0"/>
    <n v="398"/>
    <s v="Credit Card"/>
    <x v="0"/>
  </r>
  <r>
    <s v="ORD-2026772"/>
    <s v="16 Tue"/>
    <s v="Sep"/>
    <s v="2025"/>
    <s v="CUST-1308"/>
    <s v="Shreya Sharma"/>
    <x v="2"/>
    <s v="Apparel"/>
    <s v="Denim Jacket"/>
    <n v="4"/>
    <n v="1999"/>
    <n v="7996"/>
    <n v="10"/>
    <n v="799.6"/>
    <n v="7196.4"/>
    <s v="Cash"/>
    <x v="1"/>
  </r>
  <r>
    <s v="ORD-2026773"/>
    <s v="16 Tue"/>
    <s v="Sep"/>
    <s v="2025"/>
    <s v="CUST-1364"/>
    <s v="Rahul Malhotra"/>
    <x v="2"/>
    <s v="Groceries"/>
    <s v="Basmati Rice 5kg"/>
    <n v="4"/>
    <n v="549"/>
    <n v="2196"/>
    <n v="0"/>
    <n v="0"/>
    <n v="2196"/>
    <s v="UPI"/>
    <x v="0"/>
  </r>
  <r>
    <s v="ORD-2026774"/>
    <s v="16 Tue"/>
    <s v="Sep"/>
    <s v="2025"/>
    <s v="CUST-1330"/>
    <s v="Nandini Gupta"/>
    <x v="3"/>
    <s v="Home &amp; Kitchen"/>
    <s v="LED Desk Lamp"/>
    <n v="3"/>
    <n v="799"/>
    <n v="2397"/>
    <n v="0"/>
    <n v="0"/>
    <n v="2397"/>
    <s v="UPI"/>
    <x v="0"/>
  </r>
  <r>
    <s v="ORD-2026775"/>
    <s v="16 Tue"/>
    <s v="Sep"/>
    <s v="2025"/>
    <s v="CUST-1120"/>
    <s v="Divya Kapoor"/>
    <x v="3"/>
    <s v="Groceries"/>
    <s v="Basmati Rice 5kg"/>
    <n v="5"/>
    <n v="549"/>
    <n v="2745"/>
    <n v="5"/>
    <n v="137.25"/>
    <n v="2607.75"/>
    <s v="Debit Card"/>
    <x v="1"/>
  </r>
  <r>
    <s v="ORD-2026776"/>
    <s v="16 Tue"/>
    <s v="Sep"/>
    <s v="2025"/>
    <s v="CUST-1176"/>
    <s v="Meera Sharma"/>
    <x v="3"/>
    <s v="Groceries"/>
    <s v="Basmati Rice 5kg"/>
    <n v="5"/>
    <n v="549"/>
    <n v="2745"/>
    <n v="0"/>
    <n v="0"/>
    <n v="2745"/>
    <s v="UPI"/>
    <x v="0"/>
  </r>
  <r>
    <s v="ORD-2026777"/>
    <s v="16 Tue"/>
    <s v="Sep"/>
    <s v="2025"/>
    <s v="CUST-1180"/>
    <s v="Muskan Joshi"/>
    <x v="2"/>
    <s v="Apparel"/>
    <s v="Denim Jacket"/>
    <n v="1"/>
    <n v="1999"/>
    <n v="1999"/>
    <n v="0"/>
    <n v="0"/>
    <n v="1999"/>
    <s v="Net Banking"/>
    <x v="0"/>
  </r>
  <r>
    <s v="ORD-2026778"/>
    <s v="16 Tue"/>
    <s v="Sep"/>
    <s v="2025"/>
    <s v="CUST-1096"/>
    <s v="Kunal Saxena"/>
    <x v="1"/>
    <s v="Sports"/>
    <s v="Cricket Bat"/>
    <n v="4"/>
    <n v="1499"/>
    <n v="5996"/>
    <n v="20"/>
    <n v="1199.2"/>
    <n v="4796.8"/>
    <s v="UPI"/>
    <x v="0"/>
  </r>
  <r>
    <s v="ORD-2026779"/>
    <s v="16 Tue"/>
    <s v="Sep"/>
    <s v="2025"/>
    <s v="CUST-1342"/>
    <s v="Vivaan Saxena"/>
    <x v="0"/>
    <s v="Beauty"/>
    <s v="Face Wash 100ml"/>
    <n v="1"/>
    <n v="299"/>
    <n v="299"/>
    <n v="0"/>
    <n v="0"/>
    <n v="299"/>
    <s v="Credit Card"/>
    <x v="0"/>
  </r>
  <r>
    <s v="ORD-2026780"/>
    <s v="16 Tue"/>
    <s v="Sep"/>
    <s v="2025"/>
    <s v="CUST-1120"/>
    <s v="Divya Kapoor"/>
    <x v="2"/>
    <s v="Stationery"/>
    <s v="Notebook Set"/>
    <n v="3"/>
    <n v="199"/>
    <n v="597"/>
    <n v="15"/>
    <n v="89.55"/>
    <n v="507.45"/>
    <s v="UPI"/>
    <x v="0"/>
  </r>
  <r>
    <s v="ORD-2026781"/>
    <s v="16 Tue"/>
    <s v="Sep"/>
    <s v="2025"/>
    <s v="CUST-1338"/>
    <s v="Komal Malhotra"/>
    <x v="2"/>
    <s v="Home &amp; Kitchen"/>
    <s v="LED Desk Lamp"/>
    <n v="1"/>
    <n v="799"/>
    <n v="799"/>
    <n v="0"/>
    <n v="0"/>
    <n v="799"/>
    <s v="Debit Card"/>
    <x v="0"/>
  </r>
  <r>
    <s v="ORD-2026782"/>
    <s v="17 Wed"/>
    <s v="Sep"/>
    <s v="2025"/>
    <s v="CUST-1002"/>
    <s v="Shreya Mehta"/>
    <x v="2"/>
    <s v="Sports"/>
    <s v="Cricket Bat"/>
    <n v="2"/>
    <n v="1499"/>
    <n v="2998"/>
    <n v="10"/>
    <n v="299.8"/>
    <n v="2698.2"/>
    <s v="Credit Card"/>
    <x v="0"/>
  </r>
  <r>
    <s v="ORD-2026783"/>
    <s v="17 Wed"/>
    <s v="Sep"/>
    <s v="2025"/>
    <s v="CUST-1107"/>
    <s v="Isha Sharma"/>
    <x v="0"/>
    <s v="Groceries"/>
    <s v="Basmati Rice 5kg"/>
    <n v="1"/>
    <n v="549"/>
    <n v="549"/>
    <n v="5"/>
    <n v="27.45"/>
    <n v="521.54999999999995"/>
    <s v="Credit Card"/>
    <x v="1"/>
  </r>
  <r>
    <s v="ORD-2026784"/>
    <s v="17 Wed"/>
    <s v="Sep"/>
    <s v="2025"/>
    <s v="CUST-1302"/>
    <s v="Arjun Saxena"/>
    <x v="0"/>
    <s v="Stationery"/>
    <s v="Gel Pen Pack"/>
    <n v="1"/>
    <n v="99"/>
    <n v="99"/>
    <n v="10"/>
    <n v="9.9"/>
    <n v="89.1"/>
    <s v="Debit Card"/>
    <x v="0"/>
  </r>
  <r>
    <s v="ORD-2026785"/>
    <s v="17 Wed"/>
    <s v="Sep"/>
    <s v="2025"/>
    <s v="CUST-1340"/>
    <s v="Aman Kapoor"/>
    <x v="3"/>
    <s v="Sports"/>
    <s v="Yoga Mat"/>
    <n v="3"/>
    <n v="699"/>
    <n v="2097"/>
    <n v="20"/>
    <n v="419.4"/>
    <n v="1677.6"/>
    <s v="UPI"/>
    <x v="0"/>
  </r>
  <r>
    <s v="ORD-2026786"/>
    <s v="17 Wed"/>
    <s v="Sep"/>
    <s v="2025"/>
    <s v="CUST-1379"/>
    <s v="Divya Verma"/>
    <x v="1"/>
    <s v="Electronics"/>
    <s v="Smartwatch"/>
    <n v="3"/>
    <n v="2999"/>
    <n v="8997"/>
    <n v="10"/>
    <n v="899.7"/>
    <n v="8097.3"/>
    <s v="UPI"/>
    <x v="0"/>
  </r>
  <r>
    <s v="ORD-2026787"/>
    <s v="17 Wed"/>
    <s v="Sep"/>
    <s v="2025"/>
    <s v="CUST-1064"/>
    <s v="Ankit Mehta"/>
    <x v="3"/>
    <s v="Apparel"/>
    <s v="Formal Shirt"/>
    <n v="1"/>
    <n v="899"/>
    <n v="899"/>
    <n v="0"/>
    <n v="0"/>
    <n v="899"/>
    <s v="Credit Card"/>
    <x v="0"/>
  </r>
  <r>
    <s v="ORD-2026788"/>
    <s v="17 Wed"/>
    <s v="Sep"/>
    <s v="2025"/>
    <s v="CUST-1144"/>
    <s v="Divya Mehta"/>
    <x v="4"/>
    <s v="Electronics"/>
    <s v="Bluetooth Headphones"/>
    <n v="4"/>
    <n v="1799"/>
    <n v="7196"/>
    <n v="15"/>
    <n v="1079.4000000000001"/>
    <n v="6116.6"/>
    <s v="Credit Card"/>
    <x v="0"/>
  </r>
  <r>
    <s v="ORD-2026789"/>
    <s v="18 Thu"/>
    <s v="Sep"/>
    <s v="2025"/>
    <s v="CUST-1269"/>
    <s v="Kunal Verma"/>
    <x v="4"/>
    <s v="Sports"/>
    <s v="Cricket Bat"/>
    <n v="1"/>
    <n v="1499"/>
    <n v="1499"/>
    <n v="5"/>
    <n v="74.95"/>
    <n v="1424.05"/>
    <s v="Cash"/>
    <x v="1"/>
  </r>
  <r>
    <s v="ORD-2026790"/>
    <s v="18 Thu"/>
    <s v="Sep"/>
    <s v="2025"/>
    <s v="CUST-1276"/>
    <s v="Swati Joshi"/>
    <x v="0"/>
    <s v="Groceries"/>
    <s v="Basmati Rice 5kg"/>
    <n v="3"/>
    <n v="549"/>
    <n v="1647"/>
    <n v="15"/>
    <n v="247.05"/>
    <n v="1399.95"/>
    <s v="Credit Card"/>
    <x v="0"/>
  </r>
  <r>
    <s v="ORD-2026791"/>
    <s v="18 Thu"/>
    <s v="Sep"/>
    <s v="2025"/>
    <s v="CUST-1004"/>
    <s v="Tanya Malhotra"/>
    <x v="1"/>
    <s v="Beauty"/>
    <s v="Face Wash 100ml"/>
    <n v="1"/>
    <n v="299"/>
    <n v="299"/>
    <n v="0"/>
    <n v="0"/>
    <n v="299"/>
    <s v="Cash"/>
    <x v="0"/>
  </r>
  <r>
    <s v="ORD-2026792"/>
    <s v="18 Thu"/>
    <s v="Sep"/>
    <s v="2025"/>
    <s v="CUST-1180"/>
    <s v="Muskan Joshi"/>
    <x v="2"/>
    <s v="Apparel"/>
    <s v="Formal Shirt"/>
    <n v="1"/>
    <n v="899"/>
    <n v="899"/>
    <n v="0"/>
    <n v="0"/>
    <n v="899"/>
    <s v="Debit Card"/>
    <x v="1"/>
  </r>
  <r>
    <s v="ORD-2026793"/>
    <s v="18 Thu"/>
    <s v="Sep"/>
    <s v="2025"/>
    <s v="CUST-1057"/>
    <s v="Tanya Malhotra"/>
    <x v="1"/>
    <s v="Electronics"/>
    <s v="Smartwatch"/>
    <n v="1"/>
    <n v="2999"/>
    <n v="2999"/>
    <n v="5"/>
    <n v="149.94999999999999"/>
    <n v="2849.05"/>
    <s v="UPI"/>
    <x v="0"/>
  </r>
  <r>
    <s v="ORD-2026794"/>
    <s v="19 Fri"/>
    <s v="Sep"/>
    <s v="2025"/>
    <s v="CUST-1144"/>
    <s v="Divya Mehta"/>
    <x v="1"/>
    <s v="Sports"/>
    <s v="Yoga Mat"/>
    <n v="1"/>
    <n v="699"/>
    <n v="699"/>
    <n v="5"/>
    <n v="34.950000000000003"/>
    <n v="664.05"/>
    <s v="UPI"/>
    <x v="0"/>
  </r>
  <r>
    <s v="ORD-2026795"/>
    <s v="19 Fri"/>
    <s v="Sep"/>
    <s v="2025"/>
    <s v="CUST-1288"/>
    <s v="Aditya Mehta"/>
    <x v="0"/>
    <s v="Home &amp; Kitchen"/>
    <s v="Non-stick Pan Set"/>
    <n v="1"/>
    <n v="1299"/>
    <n v="1299"/>
    <n v="10"/>
    <n v="129.9"/>
    <n v="1169.0999999999999"/>
    <s v="UPI"/>
    <x v="0"/>
  </r>
  <r>
    <s v="ORD-2026796"/>
    <s v="19 Fri"/>
    <s v="Sep"/>
    <s v="2025"/>
    <s v="CUST-1138"/>
    <s v="Tanya Singh"/>
    <x v="4"/>
    <s v="Home &amp; Kitchen"/>
    <s v="LED Desk Lamp"/>
    <n v="3"/>
    <n v="799"/>
    <n v="2397"/>
    <n v="0"/>
    <n v="0"/>
    <n v="2397"/>
    <s v="UPI"/>
    <x v="1"/>
  </r>
  <r>
    <s v="ORD-2026797"/>
    <s v="19 Fri"/>
    <s v="Sep"/>
    <s v="2025"/>
    <s v="CUST-1020"/>
    <s v="Rohan Malhotra"/>
    <x v="0"/>
    <s v="Beauty"/>
    <s v="Herbal Shampoo"/>
    <n v="3"/>
    <n v="249"/>
    <n v="747"/>
    <n v="5"/>
    <n v="37.35"/>
    <n v="709.65"/>
    <s v="Cash"/>
    <x v="0"/>
  </r>
  <r>
    <s v="ORD-2026798"/>
    <s v="19 Fri"/>
    <s v="Sep"/>
    <s v="2025"/>
    <s v="CUST-1355"/>
    <s v="Aditya Joshi"/>
    <x v="4"/>
    <s v="Home &amp; Kitchen"/>
    <s v="LED Desk Lamp"/>
    <n v="2"/>
    <n v="799"/>
    <n v="1598"/>
    <n v="10"/>
    <n v="159.80000000000001"/>
    <n v="1438.2"/>
    <s v="Debit Card"/>
    <x v="0"/>
  </r>
  <r>
    <s v="ORD-2026799"/>
    <s v="19 Fri"/>
    <s v="Sep"/>
    <s v="2025"/>
    <s v="CUST-1339"/>
    <s v="Aarav Patel"/>
    <x v="2"/>
    <s v="Electronics"/>
    <s v="Bluetooth Headphones"/>
    <n v="1"/>
    <n v="1799"/>
    <n v="1799"/>
    <n v="0"/>
    <n v="0"/>
    <n v="1799"/>
    <s v="Cash"/>
    <x v="0"/>
  </r>
  <r>
    <s v="ORD-2026800"/>
    <s v="19 Fri"/>
    <s v="Sep"/>
    <s v="2025"/>
    <s v="CUST-1222"/>
    <s v="Sakshi Sharma"/>
    <x v="4"/>
    <s v="Home &amp; Kitchen"/>
    <s v="LED Desk Lamp"/>
    <n v="1"/>
    <n v="799"/>
    <n v="799"/>
    <n v="0"/>
    <n v="0"/>
    <n v="799"/>
    <s v="Debit Card"/>
    <x v="0"/>
  </r>
  <r>
    <s v="ORD-2026801"/>
    <s v="19 Fri"/>
    <s v="Sep"/>
    <s v="2025"/>
    <s v="CUST-1172"/>
    <s v="Nandini Saxena"/>
    <x v="1"/>
    <s v="Electronics"/>
    <s v="Wireless Mouse"/>
    <n v="3"/>
    <n v="599"/>
    <n v="1797"/>
    <n v="0"/>
    <n v="0"/>
    <n v="1797"/>
    <s v="Debit Card"/>
    <x v="1"/>
  </r>
  <r>
    <s v="ORD-2026802"/>
    <s v="19 Fri"/>
    <s v="Sep"/>
    <s v="2025"/>
    <s v="CUST-1152"/>
    <s v="Kabir Gupta"/>
    <x v="3"/>
    <s v="Electronics"/>
    <s v="Smartwatch"/>
    <n v="3"/>
    <n v="2999"/>
    <n v="8997"/>
    <n v="0"/>
    <n v="0"/>
    <n v="8997"/>
    <s v="Credit Card"/>
    <x v="0"/>
  </r>
  <r>
    <s v="ORD-2026803"/>
    <s v="19 Fri"/>
    <s v="Sep"/>
    <s v="2025"/>
    <s v="CUST-1233"/>
    <s v="Rahul Joshi"/>
    <x v="2"/>
    <s v="Stationery"/>
    <s v="Notebook Set"/>
    <n v="1"/>
    <n v="199"/>
    <n v="199"/>
    <n v="20"/>
    <n v="39.799999999999997"/>
    <n v="159.19999999999999"/>
    <s v="UPI"/>
    <x v="0"/>
  </r>
  <r>
    <s v="ORD-2026804"/>
    <s v="19 Fri"/>
    <s v="Sep"/>
    <s v="2025"/>
    <s v="CUST-1108"/>
    <s v="Kunal Patel"/>
    <x v="2"/>
    <s v="Apparel"/>
    <s v="Formal Shirt"/>
    <n v="1"/>
    <n v="899"/>
    <n v="899"/>
    <n v="15"/>
    <n v="134.85"/>
    <n v="764.15"/>
    <s v="UPI"/>
    <x v="0"/>
  </r>
  <r>
    <s v="ORD-2026805"/>
    <s v="20 Sat"/>
    <s v="Sep"/>
    <s v="2025"/>
    <s v="CUST-1009"/>
    <s v="Shreya Gupta"/>
    <x v="1"/>
    <s v="Groceries"/>
    <s v="Basmati Rice 5kg"/>
    <n v="3"/>
    <n v="549"/>
    <n v="1647"/>
    <n v="0"/>
    <n v="0"/>
    <n v="1647"/>
    <s v="UPI"/>
    <x v="1"/>
  </r>
  <r>
    <s v="ORD-2026806"/>
    <s v="20 Sat"/>
    <s v="Sep"/>
    <s v="2025"/>
    <s v="CUST-1136"/>
    <s v="Kunal Patel"/>
    <x v="2"/>
    <s v="Sports"/>
    <s v="Cricket Bat"/>
    <n v="3"/>
    <n v="1499"/>
    <n v="4497"/>
    <n v="20"/>
    <n v="899.4"/>
    <n v="3597.6"/>
    <s v="Cash"/>
    <x v="0"/>
  </r>
  <r>
    <s v="ORD-2026807"/>
    <s v="20 Sat"/>
    <s v="Sep"/>
    <s v="2025"/>
    <s v="CUST-1315"/>
    <s v="Muskan Singh"/>
    <x v="1"/>
    <s v="Beauty"/>
    <s v="Herbal Shampoo"/>
    <n v="1"/>
    <n v="249"/>
    <n v="249"/>
    <n v="5"/>
    <n v="12.45"/>
    <n v="236.55"/>
    <s v="UPI"/>
    <x v="0"/>
  </r>
  <r>
    <s v="ORD-2026808"/>
    <s v="20 Sat"/>
    <s v="Sep"/>
    <s v="2025"/>
    <s v="CUST-1376"/>
    <s v="Kunal Kapoor"/>
    <x v="0"/>
    <s v="Stationery"/>
    <s v="Notebook Set"/>
    <n v="1"/>
    <n v="199"/>
    <n v="199"/>
    <n v="20"/>
    <n v="39.799999999999997"/>
    <n v="159.19999999999999"/>
    <s v="Net Banking"/>
    <x v="0"/>
  </r>
  <r>
    <s v="ORD-2026809"/>
    <s v="20 Sat"/>
    <s v="Sep"/>
    <s v="2025"/>
    <s v="CUST-1327"/>
    <s v="Kunal Malhotra"/>
    <x v="3"/>
    <s v="Electronics"/>
    <s v="Wireless Mouse"/>
    <n v="1"/>
    <n v="599"/>
    <n v="599"/>
    <n v="0"/>
    <n v="0"/>
    <n v="599"/>
    <s v="Credit Card"/>
    <x v="0"/>
  </r>
  <r>
    <s v="ORD-2026810"/>
    <s v="20 Sat"/>
    <s v="Sep"/>
    <s v="2025"/>
    <s v="CUST-1283"/>
    <s v="Aditya Mehta"/>
    <x v="1"/>
    <s v="Apparel"/>
    <s v="Cotton T-Shirt"/>
    <n v="1"/>
    <n v="499"/>
    <n v="499"/>
    <n v="10"/>
    <n v="49.9"/>
    <n v="449.1"/>
    <s v="UPI"/>
    <x v="0"/>
  </r>
  <r>
    <s v="ORD-2026811"/>
    <s v="20 Sat"/>
    <s v="Sep"/>
    <s v="2025"/>
    <s v="CUST-1162"/>
    <s v="Aarav Kapoor"/>
    <x v="0"/>
    <s v="Electronics"/>
    <s v="Wireless Mouse"/>
    <n v="3"/>
    <n v="599"/>
    <n v="1797"/>
    <n v="5"/>
    <n v="89.85"/>
    <n v="1707.15"/>
    <s v="Cash"/>
    <x v="0"/>
  </r>
  <r>
    <s v="ORD-2026812"/>
    <s v="20 Sat"/>
    <s v="Sep"/>
    <s v="2025"/>
    <s v="CUST-1278"/>
    <s v="Meera Verma"/>
    <x v="2"/>
    <s v="Groceries"/>
    <s v="Organic Honey 500g"/>
    <n v="1"/>
    <n v="349"/>
    <n v="349"/>
    <n v="0"/>
    <n v="0"/>
    <n v="349"/>
    <s v="Credit Card"/>
    <x v="0"/>
  </r>
  <r>
    <s v="ORD-2026813"/>
    <s v="20 Sat"/>
    <s v="Sep"/>
    <s v="2025"/>
    <s v="CUST-1004"/>
    <s v="Tanya Malhotra"/>
    <x v="4"/>
    <s v="Electronics"/>
    <s v="Bluetooth Headphones"/>
    <n v="3"/>
    <n v="1799"/>
    <n v="5397"/>
    <n v="0"/>
    <n v="0"/>
    <n v="5397"/>
    <s v="UPI"/>
    <x v="0"/>
  </r>
  <r>
    <s v="ORD-2026814"/>
    <s v="20 Sat"/>
    <s v="Sep"/>
    <s v="2025"/>
    <s v="CUST-1226"/>
    <s v="Tanya Joshi"/>
    <x v="1"/>
    <s v="Groceries"/>
    <s v="Organic Honey 500g"/>
    <n v="2"/>
    <n v="349"/>
    <n v="698"/>
    <n v="5"/>
    <n v="34.9"/>
    <n v="663.1"/>
    <s v="Credit Card"/>
    <x v="0"/>
  </r>
  <r>
    <s v="ORD-2026815"/>
    <s v="20 Sat"/>
    <s v="Sep"/>
    <s v="2025"/>
    <s v="CUST-1226"/>
    <s v="Tanya Joshi"/>
    <x v="3"/>
    <s v="Beauty"/>
    <s v="Herbal Shampoo"/>
    <n v="3"/>
    <n v="249"/>
    <n v="747"/>
    <n v="0"/>
    <n v="0"/>
    <n v="747"/>
    <s v="Credit Card"/>
    <x v="1"/>
  </r>
  <r>
    <s v="ORD-2026816"/>
    <s v="20 Sat"/>
    <s v="Sep"/>
    <s v="2025"/>
    <s v="CUST-1145"/>
    <s v="Kunal Joshi"/>
    <x v="4"/>
    <s v="Home &amp; Kitchen"/>
    <s v="Non-stick Pan Set"/>
    <n v="1"/>
    <n v="1299"/>
    <n v="1299"/>
    <n v="10"/>
    <n v="129.9"/>
    <n v="1169.0999999999999"/>
    <s v="UPI"/>
    <x v="1"/>
  </r>
  <r>
    <s v="ORD-2026817"/>
    <s v="20 Sat"/>
    <s v="Sep"/>
    <s v="2025"/>
    <s v="CUST-1251"/>
    <s v="Aarav Singh"/>
    <x v="0"/>
    <s v="Electronics"/>
    <s v="Smartwatch"/>
    <n v="4"/>
    <n v="2999"/>
    <n v="11996"/>
    <n v="0"/>
    <n v="0"/>
    <n v="11996"/>
    <s v="Debit Card"/>
    <x v="0"/>
  </r>
  <r>
    <s v="ORD-2026818"/>
    <s v="21 Sun"/>
    <s v="Sep"/>
    <s v="2025"/>
    <s v="CUST-1262"/>
    <s v="Kunal Joshi"/>
    <x v="3"/>
    <s v="Apparel"/>
    <s v="Cotton T-Shirt"/>
    <n v="4"/>
    <n v="499"/>
    <n v="1996"/>
    <n v="20"/>
    <n v="399.2"/>
    <n v="1596.8"/>
    <s v="Cash"/>
    <x v="0"/>
  </r>
  <r>
    <s v="ORD-2026819"/>
    <s v="21 Sun"/>
    <s v="Sep"/>
    <s v="2025"/>
    <s v="CUST-1350"/>
    <s v="Isha Kapoor"/>
    <x v="1"/>
    <s v="Apparel"/>
    <s v="Denim Jacket"/>
    <n v="1"/>
    <n v="1999"/>
    <n v="1999"/>
    <n v="0"/>
    <n v="0"/>
    <n v="1999"/>
    <s v="Credit Card"/>
    <x v="1"/>
  </r>
  <r>
    <s v="ORD-2026820"/>
    <s v="21 Sun"/>
    <s v="Sep"/>
    <s v="2025"/>
    <s v="CUST-1244"/>
    <s v="Meera Gupta"/>
    <x v="4"/>
    <s v="Stationery"/>
    <s v="Gel Pen Pack"/>
    <n v="1"/>
    <n v="99"/>
    <n v="99"/>
    <n v="5"/>
    <n v="4.95"/>
    <n v="94.05"/>
    <s v="Credit Card"/>
    <x v="0"/>
  </r>
  <r>
    <s v="ORD-2026821"/>
    <s v="21 Sun"/>
    <s v="Sep"/>
    <s v="2025"/>
    <s v="CUST-1393"/>
    <s v="Nandini Singh"/>
    <x v="1"/>
    <s v="Groceries"/>
    <s v="Organic Honey 500g"/>
    <n v="1"/>
    <n v="349"/>
    <n v="349"/>
    <n v="20"/>
    <n v="69.8"/>
    <n v="279.2"/>
    <s v="Credit Card"/>
    <x v="0"/>
  </r>
  <r>
    <s v="ORD-2026822"/>
    <s v="21 Sun"/>
    <s v="Sep"/>
    <s v="2025"/>
    <s v="CUST-1203"/>
    <s v="Ankit Verma"/>
    <x v="2"/>
    <s v="Sports"/>
    <s v="Cricket Bat"/>
    <n v="1"/>
    <n v="1499"/>
    <n v="1499"/>
    <n v="20"/>
    <n v="299.8"/>
    <n v="1199.2"/>
    <s v="Credit Card"/>
    <x v="1"/>
  </r>
  <r>
    <s v="ORD-2026823"/>
    <s v="21 Sun"/>
    <s v="Sep"/>
    <s v="2025"/>
    <s v="CUST-1391"/>
    <s v="Kunal Gupta"/>
    <x v="4"/>
    <s v="Electronics"/>
    <s v="Smartwatch"/>
    <n v="5"/>
    <n v="2999"/>
    <n v="14995"/>
    <n v="10"/>
    <n v="1499.5"/>
    <n v="13495.5"/>
    <s v="Credit Card"/>
    <x v="0"/>
  </r>
  <r>
    <s v="ORD-2026824"/>
    <s v="21 Sun"/>
    <s v="Sep"/>
    <s v="2025"/>
    <s v="CUST-1371"/>
    <s v="Rahul Verma"/>
    <x v="1"/>
    <s v="Electronics"/>
    <s v="Bluetooth Headphones"/>
    <n v="2"/>
    <n v="1799"/>
    <n v="3598"/>
    <n v="0"/>
    <n v="0"/>
    <n v="3598"/>
    <s v="Credit Card"/>
    <x v="1"/>
  </r>
  <r>
    <s v="ORD-2026825"/>
    <s v="21 Sun"/>
    <s v="Sep"/>
    <s v="2025"/>
    <s v="CUST-1069"/>
    <s v="Kabir Joshi"/>
    <x v="2"/>
    <s v="Stationery"/>
    <s v="Notebook Set"/>
    <n v="1"/>
    <n v="199"/>
    <n v="199"/>
    <n v="0"/>
    <n v="0"/>
    <n v="199"/>
    <s v="Credit Card"/>
    <x v="0"/>
  </r>
  <r>
    <s v="ORD-2026826"/>
    <s v="21 Sun"/>
    <s v="Sep"/>
    <s v="2025"/>
    <s v="CUST-1331"/>
    <s v="Arjun Singh"/>
    <x v="1"/>
    <s v="Electronics"/>
    <s v="Smartwatch"/>
    <n v="1"/>
    <n v="2999"/>
    <n v="2999"/>
    <n v="0"/>
    <n v="0"/>
    <n v="2999"/>
    <s v="Net Banking"/>
    <x v="1"/>
  </r>
  <r>
    <s v="ORD-2026827"/>
    <s v="21 Sun"/>
    <s v="Sep"/>
    <s v="2025"/>
    <s v="CUST-1122"/>
    <s v="Aditya Kapoor"/>
    <x v="1"/>
    <s v="Electronics"/>
    <s v="Smartwatch"/>
    <n v="1"/>
    <n v="2999"/>
    <n v="2999"/>
    <n v="0"/>
    <n v="0"/>
    <n v="2999"/>
    <s v="Credit Card"/>
    <x v="1"/>
  </r>
  <r>
    <s v="ORD-2026828"/>
    <s v="21 Sun"/>
    <s v="Sep"/>
    <s v="2025"/>
    <s v="CUST-1052"/>
    <s v="Meera Verma"/>
    <x v="3"/>
    <s v="Groceries"/>
    <s v="Basmati Rice 5kg"/>
    <n v="4"/>
    <n v="549"/>
    <n v="2196"/>
    <n v="0"/>
    <n v="0"/>
    <n v="2196"/>
    <s v="UPI"/>
    <x v="1"/>
  </r>
  <r>
    <s v="ORD-2026829"/>
    <s v="21 Sun"/>
    <s v="Sep"/>
    <s v="2025"/>
    <s v="CUST-1082"/>
    <s v="Aarav Mehta"/>
    <x v="2"/>
    <s v="Sports"/>
    <s v="Yoga Mat"/>
    <n v="1"/>
    <n v="699"/>
    <n v="699"/>
    <n v="0"/>
    <n v="0"/>
    <n v="699"/>
    <s v="Cash"/>
    <x v="0"/>
  </r>
  <r>
    <s v="ORD-2026830"/>
    <s v="21 Sun"/>
    <s v="Sep"/>
    <s v="2025"/>
    <s v="CUST-1369"/>
    <s v="Rohan Sharma"/>
    <x v="2"/>
    <s v="Sports"/>
    <s v="Cricket Bat"/>
    <n v="1"/>
    <n v="1499"/>
    <n v="1499"/>
    <n v="0"/>
    <n v="0"/>
    <n v="1499"/>
    <s v="UPI"/>
    <x v="1"/>
  </r>
  <r>
    <s v="ORD-2026831"/>
    <s v="22 Mon"/>
    <s v="Sep"/>
    <s v="2025"/>
    <s v="CUST-1399"/>
    <s v="Vivaan Verma"/>
    <x v="2"/>
    <s v="Sports"/>
    <s v="Yoga Mat"/>
    <n v="2"/>
    <n v="699"/>
    <n v="1398"/>
    <n v="20"/>
    <n v="279.60000000000002"/>
    <n v="1118.4000000000001"/>
    <s v="Credit Card"/>
    <x v="0"/>
  </r>
  <r>
    <s v="ORD-2026832"/>
    <s v="22 Mon"/>
    <s v="Sep"/>
    <s v="2025"/>
    <s v="CUST-1254"/>
    <s v="Meera Malhotra"/>
    <x v="1"/>
    <s v="Beauty"/>
    <s v="Herbal Shampoo"/>
    <n v="1"/>
    <n v="249"/>
    <n v="249"/>
    <n v="15"/>
    <n v="37.35"/>
    <n v="211.65"/>
    <s v="UPI"/>
    <x v="1"/>
  </r>
  <r>
    <s v="ORD-2026833"/>
    <s v="22 Mon"/>
    <s v="Sep"/>
    <s v="2025"/>
    <s v="CUST-1217"/>
    <s v="Ankit Patel"/>
    <x v="3"/>
    <s v="Beauty"/>
    <s v="Face Wash 100ml"/>
    <n v="1"/>
    <n v="299"/>
    <n v="299"/>
    <n v="15"/>
    <n v="44.85"/>
    <n v="254.15"/>
    <s v="Debit Card"/>
    <x v="0"/>
  </r>
  <r>
    <s v="ORD-2026834"/>
    <s v="22 Mon"/>
    <s v="Sep"/>
    <s v="2025"/>
    <s v="CUST-1362"/>
    <s v="Shreya Malhotra"/>
    <x v="4"/>
    <s v="Groceries"/>
    <s v="Organic Honey 500g"/>
    <n v="1"/>
    <n v="349"/>
    <n v="349"/>
    <n v="15"/>
    <n v="52.35"/>
    <n v="296.64999999999998"/>
    <s v="Debit Card"/>
    <x v="0"/>
  </r>
  <r>
    <s v="ORD-2026835"/>
    <s v="22 Mon"/>
    <s v="Sep"/>
    <s v="2025"/>
    <s v="CUST-1313"/>
    <s v="Kunal Joshi"/>
    <x v="1"/>
    <s v="Stationery"/>
    <s v="Gel Pen Pack"/>
    <n v="2"/>
    <n v="99"/>
    <n v="198"/>
    <n v="20"/>
    <n v="39.6"/>
    <n v="158.4"/>
    <s v="UPI"/>
    <x v="0"/>
  </r>
  <r>
    <s v="ORD-2026836"/>
    <s v="22 Mon"/>
    <s v="Sep"/>
    <s v="2025"/>
    <s v="CUST-1300"/>
    <s v="Vivaan Mehta"/>
    <x v="2"/>
    <s v="Stationery"/>
    <s v="Notebook Set"/>
    <n v="1"/>
    <n v="199"/>
    <n v="199"/>
    <n v="5"/>
    <n v="9.9499999999999993"/>
    <n v="189.05"/>
    <s v="Debit Card"/>
    <x v="0"/>
  </r>
  <r>
    <s v="ORD-2026837"/>
    <s v="23 Tue"/>
    <s v="Sep"/>
    <s v="2025"/>
    <s v="CUST-1307"/>
    <s v="Swati Kapoor"/>
    <x v="2"/>
    <s v="Home &amp; Kitchen"/>
    <s v="Non-stick Pan Set"/>
    <n v="1"/>
    <n v="1299"/>
    <n v="1299"/>
    <n v="15"/>
    <n v="194.85"/>
    <n v="1104.1500000000001"/>
    <s v="Credit Card"/>
    <x v="0"/>
  </r>
  <r>
    <s v="ORD-2026838"/>
    <s v="23 Tue"/>
    <s v="Sep"/>
    <s v="2025"/>
    <s v="CUST-1369"/>
    <s v="Rohan Sharma"/>
    <x v="4"/>
    <s v="Stationery"/>
    <s v="Gel Pen Pack"/>
    <n v="1"/>
    <n v="99"/>
    <n v="99"/>
    <n v="0"/>
    <n v="0"/>
    <n v="99"/>
    <s v="Credit Card"/>
    <x v="1"/>
  </r>
  <r>
    <s v="ORD-2026839"/>
    <s v="23 Tue"/>
    <s v="Sep"/>
    <s v="2025"/>
    <s v="CUST-1125"/>
    <s v="Muskan Malhotra"/>
    <x v="4"/>
    <s v="Stationery"/>
    <s v="Gel Pen Pack"/>
    <n v="3"/>
    <n v="99"/>
    <n v="297"/>
    <n v="0"/>
    <n v="0"/>
    <n v="297"/>
    <s v="Debit Card"/>
    <x v="0"/>
  </r>
  <r>
    <s v="ORD-2026840"/>
    <s v="23 Tue"/>
    <s v="Sep"/>
    <s v="2025"/>
    <s v="CUST-1315"/>
    <s v="Muskan Singh"/>
    <x v="0"/>
    <s v="Apparel"/>
    <s v="Denim Jacket"/>
    <n v="1"/>
    <n v="1999"/>
    <n v="1999"/>
    <n v="15"/>
    <n v="299.85000000000002"/>
    <n v="1699.15"/>
    <s v="Net Banking"/>
    <x v="0"/>
  </r>
  <r>
    <s v="ORD-2026841"/>
    <s v="23 Tue"/>
    <s v="Sep"/>
    <s v="2025"/>
    <s v="CUST-1400"/>
    <s v="Aarav Gupta"/>
    <x v="4"/>
    <s v="Apparel"/>
    <s v="Formal Shirt"/>
    <n v="1"/>
    <n v="899"/>
    <n v="899"/>
    <n v="0"/>
    <n v="0"/>
    <n v="899"/>
    <s v="Credit Card"/>
    <x v="0"/>
  </r>
  <r>
    <s v="ORD-2026842"/>
    <s v="23 Tue"/>
    <s v="Sep"/>
    <s v="2025"/>
    <s v="CUST-1038"/>
    <s v="Rohan Joshi"/>
    <x v="3"/>
    <s v="Stationery"/>
    <s v="Notebook Set"/>
    <n v="4"/>
    <n v="199"/>
    <n v="796"/>
    <n v="15"/>
    <n v="119.4"/>
    <n v="676.6"/>
    <s v="UPI"/>
    <x v="0"/>
  </r>
  <r>
    <s v="ORD-2026843"/>
    <s v="23 Tue"/>
    <s v="Sep"/>
    <s v="2025"/>
    <s v="CUST-1164"/>
    <s v="Kabir Malhotra"/>
    <x v="0"/>
    <s v="Groceries"/>
    <s v="Basmati Rice 5kg"/>
    <n v="3"/>
    <n v="549"/>
    <n v="1647"/>
    <n v="5"/>
    <n v="82.35"/>
    <n v="1564.65"/>
    <s v="Debit Card"/>
    <x v="0"/>
  </r>
  <r>
    <s v="ORD-2026844"/>
    <s v="24 Wed"/>
    <s v="Sep"/>
    <s v="2025"/>
    <s v="CUST-1249"/>
    <s v="Kabir Sharma"/>
    <x v="4"/>
    <s v="Electronics"/>
    <s v="Smartwatch"/>
    <n v="1"/>
    <n v="2999"/>
    <n v="2999"/>
    <n v="10"/>
    <n v="299.89999999999998"/>
    <n v="2699.1"/>
    <s v="Credit Card"/>
    <x v="1"/>
  </r>
  <r>
    <s v="ORD-2026845"/>
    <s v="24 Wed"/>
    <s v="Sep"/>
    <s v="2025"/>
    <s v="CUST-1359"/>
    <s v="Arjun Mehta"/>
    <x v="1"/>
    <s v="Sports"/>
    <s v="Cricket Bat"/>
    <n v="1"/>
    <n v="1499"/>
    <n v="1499"/>
    <n v="0"/>
    <n v="0"/>
    <n v="1499"/>
    <s v="Credit Card"/>
    <x v="0"/>
  </r>
  <r>
    <s v="ORD-2026846"/>
    <s v="24 Wed"/>
    <s v="Sep"/>
    <s v="2025"/>
    <s v="CUST-1398"/>
    <s v="Sakshi Patel"/>
    <x v="3"/>
    <s v="Beauty"/>
    <s v="Herbal Shampoo"/>
    <n v="1"/>
    <n v="249"/>
    <n v="249"/>
    <n v="20"/>
    <n v="49.8"/>
    <n v="199.2"/>
    <s v="Credit Card"/>
    <x v="1"/>
  </r>
  <r>
    <s v="ORD-2026847"/>
    <s v="24 Wed"/>
    <s v="Sep"/>
    <s v="2025"/>
    <s v="CUST-1252"/>
    <s v="Arjun Singh"/>
    <x v="3"/>
    <s v="Electronics"/>
    <s v="Bluetooth Headphones"/>
    <n v="1"/>
    <n v="1799"/>
    <n v="1799"/>
    <n v="15"/>
    <n v="269.85000000000002"/>
    <n v="1529.15"/>
    <s v="UPI"/>
    <x v="0"/>
  </r>
  <r>
    <s v="ORD-2026848"/>
    <s v="24 Wed"/>
    <s v="Sep"/>
    <s v="2025"/>
    <s v="CUST-1198"/>
    <s v="Vivaan Joshi"/>
    <x v="3"/>
    <s v="Apparel"/>
    <s v="Cotton T-Shirt"/>
    <n v="1"/>
    <n v="499"/>
    <n v="499"/>
    <n v="0"/>
    <n v="0"/>
    <n v="499"/>
    <s v="Debit Card"/>
    <x v="1"/>
  </r>
  <r>
    <s v="ORD-2026849"/>
    <s v="24 Wed"/>
    <s v="Sep"/>
    <s v="2025"/>
    <s v="CUST-1204"/>
    <s v="Meera Mehta"/>
    <x v="4"/>
    <s v="Apparel"/>
    <s v="Formal Shirt"/>
    <n v="2"/>
    <n v="899"/>
    <n v="1798"/>
    <n v="20"/>
    <n v="359.6"/>
    <n v="1438.4"/>
    <s v="UPI"/>
    <x v="0"/>
  </r>
  <r>
    <s v="ORD-2026850"/>
    <s v="24 Wed"/>
    <s v="Sep"/>
    <s v="2025"/>
    <s v="CUST-1301"/>
    <s v="Shreya Sharma"/>
    <x v="3"/>
    <s v="Electronics"/>
    <s v="Smartwatch"/>
    <n v="2"/>
    <n v="2999"/>
    <n v="5998"/>
    <n v="0"/>
    <n v="0"/>
    <n v="5998"/>
    <s v="Debit Card"/>
    <x v="0"/>
  </r>
  <r>
    <s v="ORD-2026851"/>
    <s v="25 Thu"/>
    <s v="Sep"/>
    <s v="2025"/>
    <s v="CUST-1350"/>
    <s v="Isha Kapoor"/>
    <x v="4"/>
    <s v="Beauty"/>
    <s v="Face Wash 100ml"/>
    <n v="2"/>
    <n v="299"/>
    <n v="598"/>
    <n v="0"/>
    <n v="0"/>
    <n v="598"/>
    <s v="Credit Card"/>
    <x v="1"/>
  </r>
  <r>
    <s v="ORD-2026852"/>
    <s v="25 Thu"/>
    <s v="Sep"/>
    <s v="2025"/>
    <s v="CUST-1361"/>
    <s v="Vivaan Kapoor"/>
    <x v="2"/>
    <s v="Electronics"/>
    <s v="Wireless Mouse"/>
    <n v="3"/>
    <n v="599"/>
    <n v="1797"/>
    <n v="0"/>
    <n v="0"/>
    <n v="1797"/>
    <s v="Credit Card"/>
    <x v="1"/>
  </r>
  <r>
    <s v="ORD-2026853"/>
    <s v="25 Thu"/>
    <s v="Sep"/>
    <s v="2025"/>
    <s v="CUST-1367"/>
    <s v="Aman Saxena"/>
    <x v="4"/>
    <s v="Apparel"/>
    <s v="Cotton T-Shirt"/>
    <n v="2"/>
    <n v="499"/>
    <n v="998"/>
    <n v="0"/>
    <n v="0"/>
    <n v="998"/>
    <s v="Credit Card"/>
    <x v="0"/>
  </r>
  <r>
    <s v="ORD-2026854"/>
    <s v="25 Thu"/>
    <s v="Sep"/>
    <s v="2025"/>
    <s v="CUST-1068"/>
    <s v="Isha Verma"/>
    <x v="2"/>
    <s v="Beauty"/>
    <s v="Face Wash 100ml"/>
    <n v="1"/>
    <n v="299"/>
    <n v="299"/>
    <n v="0"/>
    <n v="0"/>
    <n v="299"/>
    <s v="Credit Card"/>
    <x v="1"/>
  </r>
  <r>
    <s v="ORD-2026855"/>
    <s v="25 Thu"/>
    <s v="Sep"/>
    <s v="2025"/>
    <s v="CUST-1099"/>
    <s v="Rahul Malhotra"/>
    <x v="4"/>
    <s v="Sports"/>
    <s v="Yoga Mat"/>
    <n v="1"/>
    <n v="699"/>
    <n v="699"/>
    <n v="5"/>
    <n v="34.950000000000003"/>
    <n v="664.05"/>
    <s v="Credit Card"/>
    <x v="0"/>
  </r>
  <r>
    <s v="ORD-2026856"/>
    <s v="25 Thu"/>
    <s v="Sep"/>
    <s v="2025"/>
    <s v="CUST-1251"/>
    <s v="Aarav Singh"/>
    <x v="3"/>
    <s v="Groceries"/>
    <s v="Basmati Rice 5kg"/>
    <n v="5"/>
    <n v="549"/>
    <n v="2745"/>
    <n v="10"/>
    <n v="274.5"/>
    <n v="2470.5"/>
    <s v="Debit Card"/>
    <x v="1"/>
  </r>
  <r>
    <s v="ORD-2026857"/>
    <s v="25 Thu"/>
    <s v="Sep"/>
    <s v="2025"/>
    <s v="CUST-1116"/>
    <s v="Sakshi Mehta"/>
    <x v="1"/>
    <s v="Groceries"/>
    <s v="Basmati Rice 5kg"/>
    <n v="1"/>
    <n v="549"/>
    <n v="549"/>
    <n v="0"/>
    <n v="0"/>
    <n v="549"/>
    <s v="Debit Card"/>
    <x v="1"/>
  </r>
  <r>
    <s v="ORD-2026858"/>
    <s v="25 Thu"/>
    <s v="Sep"/>
    <s v="2025"/>
    <s v="CUST-1248"/>
    <s v="Meera Saxena"/>
    <x v="0"/>
    <s v="Home &amp; Kitchen"/>
    <s v="Non-stick Pan Set"/>
    <n v="4"/>
    <n v="1299"/>
    <n v="5196"/>
    <n v="20"/>
    <n v="1039.2"/>
    <n v="4156.8"/>
    <s v="Credit Card"/>
    <x v="0"/>
  </r>
  <r>
    <s v="ORD-2026859"/>
    <s v="26 Fri"/>
    <s v="Sep"/>
    <s v="2025"/>
    <s v="CUST-1008"/>
    <s v="Meera Saxena"/>
    <x v="4"/>
    <s v="Apparel"/>
    <s v="Denim Jacket"/>
    <n v="2"/>
    <n v="1999"/>
    <n v="3998"/>
    <n v="0"/>
    <n v="0"/>
    <n v="3998"/>
    <s v="Credit Card"/>
    <x v="1"/>
  </r>
  <r>
    <s v="ORD-2026860"/>
    <s v="26 Fri"/>
    <s v="Sep"/>
    <s v="2025"/>
    <s v="CUST-1147"/>
    <s v="Aman Saxena"/>
    <x v="4"/>
    <s v="Apparel"/>
    <s v="Denim Jacket"/>
    <n v="2"/>
    <n v="1999"/>
    <n v="3998"/>
    <n v="0"/>
    <n v="0"/>
    <n v="3998"/>
    <s v="Net Banking"/>
    <x v="0"/>
  </r>
  <r>
    <s v="ORD-2026861"/>
    <s v="26 Fri"/>
    <s v="Sep"/>
    <s v="2025"/>
    <s v="CUST-1321"/>
    <s v="Isha Mehta"/>
    <x v="3"/>
    <s v="Apparel"/>
    <s v="Denim Jacket"/>
    <n v="2"/>
    <n v="1999"/>
    <n v="3998"/>
    <n v="0"/>
    <n v="0"/>
    <n v="3998"/>
    <s v="UPI"/>
    <x v="1"/>
  </r>
  <r>
    <s v="ORD-2026862"/>
    <s v="26 Fri"/>
    <s v="Sep"/>
    <s v="2025"/>
    <s v="CUST-1021"/>
    <s v="Isha Patel"/>
    <x v="1"/>
    <s v="Apparel"/>
    <s v="Cotton T-Shirt"/>
    <n v="1"/>
    <n v="499"/>
    <n v="499"/>
    <n v="15"/>
    <n v="74.849999999999994"/>
    <n v="424.15"/>
    <s v="Debit Card"/>
    <x v="1"/>
  </r>
  <r>
    <s v="ORD-2026863"/>
    <s v="26 Fri"/>
    <s v="Sep"/>
    <s v="2025"/>
    <s v="CUST-1083"/>
    <s v="Komal Kapoor"/>
    <x v="2"/>
    <s v="Sports"/>
    <s v="Cricket Bat"/>
    <n v="2"/>
    <n v="1499"/>
    <n v="2998"/>
    <n v="15"/>
    <n v="449.7"/>
    <n v="2548.3000000000002"/>
    <s v="Debit Card"/>
    <x v="0"/>
  </r>
  <r>
    <s v="ORD-2026864"/>
    <s v="26 Fri"/>
    <s v="Sep"/>
    <s v="2025"/>
    <s v="CUST-1332"/>
    <s v="Rahul Malhotra"/>
    <x v="2"/>
    <s v="Groceries"/>
    <s v="Basmati Rice 5kg"/>
    <n v="2"/>
    <n v="549"/>
    <n v="1098"/>
    <n v="0"/>
    <n v="0"/>
    <n v="1098"/>
    <s v="UPI"/>
    <x v="0"/>
  </r>
  <r>
    <s v="ORD-2026865"/>
    <s v="26 Fri"/>
    <s v="Sep"/>
    <s v="2025"/>
    <s v="CUST-1174"/>
    <s v="Rahul Singh"/>
    <x v="1"/>
    <s v="Apparel"/>
    <s v="Formal Shirt"/>
    <n v="1"/>
    <n v="899"/>
    <n v="899"/>
    <n v="0"/>
    <n v="0"/>
    <n v="899"/>
    <s v="Credit Card"/>
    <x v="0"/>
  </r>
  <r>
    <s v="ORD-2026866"/>
    <s v="26 Fri"/>
    <s v="Sep"/>
    <s v="2025"/>
    <s v="CUST-1250"/>
    <s v="Shreya Saxena"/>
    <x v="2"/>
    <s v="Electronics"/>
    <s v="Wireless Mouse"/>
    <n v="2"/>
    <n v="599"/>
    <n v="1198"/>
    <n v="5"/>
    <n v="59.9"/>
    <n v="1138.0999999999999"/>
    <s v="Cash"/>
    <x v="1"/>
  </r>
  <r>
    <s v="ORD-2026867"/>
    <s v="26 Fri"/>
    <s v="Sep"/>
    <s v="2025"/>
    <s v="CUST-1377"/>
    <s v="Sakshi Patel"/>
    <x v="1"/>
    <s v="Beauty"/>
    <s v="Herbal Shampoo"/>
    <n v="2"/>
    <n v="249"/>
    <n v="498"/>
    <n v="5"/>
    <n v="24.9"/>
    <n v="473.1"/>
    <s v="Debit Card"/>
    <x v="1"/>
  </r>
  <r>
    <s v="ORD-2026868"/>
    <s v="26 Fri"/>
    <s v="Sep"/>
    <s v="2025"/>
    <s v="CUST-1184"/>
    <s v="Rahul Joshi"/>
    <x v="3"/>
    <s v="Electronics"/>
    <s v="Wireless Mouse"/>
    <n v="2"/>
    <n v="599"/>
    <n v="1198"/>
    <n v="20"/>
    <n v="239.6"/>
    <n v="958.4"/>
    <s v="Credit Card"/>
    <x v="0"/>
  </r>
  <r>
    <s v="ORD-2026869"/>
    <s v="26 Fri"/>
    <s v="Sep"/>
    <s v="2025"/>
    <s v="CUST-1091"/>
    <s v="Kabir Gupta"/>
    <x v="0"/>
    <s v="Stationery"/>
    <s v="Notebook Set"/>
    <n v="4"/>
    <n v="199"/>
    <n v="796"/>
    <n v="0"/>
    <n v="0"/>
    <n v="796"/>
    <s v="Debit Card"/>
    <x v="0"/>
  </r>
  <r>
    <s v="ORD-2026870"/>
    <s v="26 Fri"/>
    <s v="Sep"/>
    <s v="2025"/>
    <s v="CUST-1377"/>
    <s v="Sakshi Patel"/>
    <x v="3"/>
    <s v="Electronics"/>
    <s v="Bluetooth Headphones"/>
    <n v="1"/>
    <n v="1799"/>
    <n v="1799"/>
    <n v="0"/>
    <n v="0"/>
    <n v="1799"/>
    <s v="Net Banking"/>
    <x v="0"/>
  </r>
  <r>
    <s v="ORD-2026871"/>
    <s v="27 Sat"/>
    <s v="Sep"/>
    <s v="2025"/>
    <s v="CUST-1214"/>
    <s v="Rohan Sharma"/>
    <x v="0"/>
    <s v="Electronics"/>
    <s v="Bluetooth Headphones"/>
    <n v="2"/>
    <n v="1799"/>
    <n v="3598"/>
    <n v="15"/>
    <n v="539.70000000000005"/>
    <n v="3058.3"/>
    <s v="UPI"/>
    <x v="1"/>
  </r>
  <r>
    <s v="ORD-2026872"/>
    <s v="27 Sat"/>
    <s v="Sep"/>
    <s v="2025"/>
    <s v="CUST-1332"/>
    <s v="Rahul Malhotra"/>
    <x v="0"/>
    <s v="Stationery"/>
    <s v="Notebook Set"/>
    <n v="2"/>
    <n v="199"/>
    <n v="398"/>
    <n v="5"/>
    <n v="19.899999999999999"/>
    <n v="378.1"/>
    <s v="Credit Card"/>
    <x v="0"/>
  </r>
  <r>
    <s v="ORD-2026873"/>
    <s v="27 Sat"/>
    <s v="Sep"/>
    <s v="2025"/>
    <s v="CUST-1099"/>
    <s v="Rahul Malhotra"/>
    <x v="1"/>
    <s v="Stationery"/>
    <s v="Gel Pen Pack"/>
    <n v="2"/>
    <n v="99"/>
    <n v="198"/>
    <n v="0"/>
    <n v="0"/>
    <n v="198"/>
    <s v="Debit Card"/>
    <x v="1"/>
  </r>
  <r>
    <s v="ORD-2026874"/>
    <s v="27 Sat"/>
    <s v="Sep"/>
    <s v="2025"/>
    <s v="CUST-1151"/>
    <s v="Aman Patel"/>
    <x v="3"/>
    <s v="Home &amp; Kitchen"/>
    <s v="LED Desk Lamp"/>
    <n v="4"/>
    <n v="799"/>
    <n v="3196"/>
    <n v="0"/>
    <n v="0"/>
    <n v="3196"/>
    <s v="UPI"/>
    <x v="0"/>
  </r>
  <r>
    <s v="ORD-2026875"/>
    <s v="27 Sat"/>
    <s v="Sep"/>
    <s v="2025"/>
    <s v="CUST-1059"/>
    <s v="Kunal Verma"/>
    <x v="0"/>
    <s v="Home &amp; Kitchen"/>
    <s v="Non-stick Pan Set"/>
    <n v="2"/>
    <n v="1299"/>
    <n v="2598"/>
    <n v="15"/>
    <n v="389.7"/>
    <n v="2208.3000000000002"/>
    <s v="Debit Card"/>
    <x v="0"/>
  </r>
  <r>
    <s v="ORD-2026876"/>
    <s v="27 Sat"/>
    <s v="Sep"/>
    <s v="2025"/>
    <s v="CUST-1262"/>
    <s v="Kunal Joshi"/>
    <x v="1"/>
    <s v="Beauty"/>
    <s v="Herbal Shampoo"/>
    <n v="2"/>
    <n v="249"/>
    <n v="498"/>
    <n v="0"/>
    <n v="0"/>
    <n v="498"/>
    <s v="Credit Card"/>
    <x v="0"/>
  </r>
  <r>
    <s v="ORD-2026877"/>
    <s v="27 Sat"/>
    <s v="Sep"/>
    <s v="2025"/>
    <s v="CUST-1149"/>
    <s v="Aarav Verma"/>
    <x v="4"/>
    <s v="Stationery"/>
    <s v="Notebook Set"/>
    <n v="1"/>
    <n v="199"/>
    <n v="199"/>
    <n v="0"/>
    <n v="0"/>
    <n v="199"/>
    <s v="UPI"/>
    <x v="1"/>
  </r>
  <r>
    <s v="ORD-2026878"/>
    <s v="27 Sat"/>
    <s v="Sep"/>
    <s v="2025"/>
    <s v="CUST-1024"/>
    <s v="Tanya Singh"/>
    <x v="2"/>
    <s v="Groceries"/>
    <s v="Basmati Rice 5kg"/>
    <n v="1"/>
    <n v="549"/>
    <n v="549"/>
    <n v="5"/>
    <n v="27.45"/>
    <n v="521.54999999999995"/>
    <s v="Credit Card"/>
    <x v="0"/>
  </r>
  <r>
    <s v="ORD-2026879"/>
    <s v="27 Sat"/>
    <s v="Sep"/>
    <s v="2025"/>
    <s v="CUST-1072"/>
    <s v="Tanya Sharma"/>
    <x v="1"/>
    <s v="Electronics"/>
    <s v="Bluetooth Headphones"/>
    <n v="1"/>
    <n v="1799"/>
    <n v="1799"/>
    <n v="10"/>
    <n v="179.9"/>
    <n v="1619.1"/>
    <s v="Credit Card"/>
    <x v="0"/>
  </r>
  <r>
    <s v="ORD-2026880"/>
    <s v="27 Sat"/>
    <s v="Sep"/>
    <s v="2025"/>
    <s v="CUST-1296"/>
    <s v="Vivaan Kapoor"/>
    <x v="1"/>
    <s v="Electronics"/>
    <s v="Wireless Mouse"/>
    <n v="1"/>
    <n v="599"/>
    <n v="599"/>
    <n v="0"/>
    <n v="0"/>
    <n v="599"/>
    <s v="Net Banking"/>
    <x v="1"/>
  </r>
  <r>
    <s v="ORD-2026881"/>
    <s v="28 Sun"/>
    <s v="Sep"/>
    <s v="2025"/>
    <s v="CUST-1069"/>
    <s v="Kabir Joshi"/>
    <x v="1"/>
    <s v="Groceries"/>
    <s v="Basmati Rice 5kg"/>
    <n v="3"/>
    <n v="549"/>
    <n v="1647"/>
    <n v="15"/>
    <n v="247.05"/>
    <n v="1399.95"/>
    <s v="Credit Card"/>
    <x v="0"/>
  </r>
  <r>
    <s v="ORD-2026882"/>
    <s v="28 Sun"/>
    <s v="Sep"/>
    <s v="2025"/>
    <s v="CUST-1347"/>
    <s v="Ankit Joshi"/>
    <x v="0"/>
    <s v="Stationery"/>
    <s v="Notebook Set"/>
    <n v="1"/>
    <n v="199"/>
    <n v="199"/>
    <n v="0"/>
    <n v="0"/>
    <n v="199"/>
    <s v="Net Banking"/>
    <x v="0"/>
  </r>
  <r>
    <s v="ORD-2026883"/>
    <s v="28 Sun"/>
    <s v="Sep"/>
    <s v="2025"/>
    <s v="CUST-1016"/>
    <s v="Arjun Kapoor"/>
    <x v="3"/>
    <s v="Apparel"/>
    <s v="Formal Shirt"/>
    <n v="3"/>
    <n v="899"/>
    <n v="2697"/>
    <n v="20"/>
    <n v="539.4"/>
    <n v="2157.6"/>
    <s v="Credit Card"/>
    <x v="1"/>
  </r>
  <r>
    <s v="ORD-2026884"/>
    <s v="28 Sun"/>
    <s v="Sep"/>
    <s v="2025"/>
    <s v="CUST-1111"/>
    <s v="Swati Joshi"/>
    <x v="0"/>
    <s v="Home &amp; Kitchen"/>
    <s v="LED Desk Lamp"/>
    <n v="1"/>
    <n v="799"/>
    <n v="799"/>
    <n v="0"/>
    <n v="0"/>
    <n v="799"/>
    <s v="Debit Card"/>
    <x v="0"/>
  </r>
  <r>
    <s v="ORD-2026885"/>
    <s v="28 Sun"/>
    <s v="Sep"/>
    <s v="2025"/>
    <s v="CUST-1091"/>
    <s v="Kabir Gupta"/>
    <x v="1"/>
    <s v="Home &amp; Kitchen"/>
    <s v="Non-stick Pan Set"/>
    <n v="1"/>
    <n v="1299"/>
    <n v="1299"/>
    <n v="5"/>
    <n v="64.95"/>
    <n v="1234.05"/>
    <s v="Credit Card"/>
    <x v="1"/>
  </r>
  <r>
    <s v="ORD-2026886"/>
    <s v="28 Sun"/>
    <s v="Sep"/>
    <s v="2025"/>
    <s v="CUST-1064"/>
    <s v="Ankit Mehta"/>
    <x v="4"/>
    <s v="Electronics"/>
    <s v="Bluetooth Headphones"/>
    <n v="4"/>
    <n v="1799"/>
    <n v="7196"/>
    <n v="0"/>
    <n v="0"/>
    <n v="7196"/>
    <s v="Cash"/>
    <x v="1"/>
  </r>
  <r>
    <s v="ORD-2026887"/>
    <s v="28 Sun"/>
    <s v="Sep"/>
    <s v="2025"/>
    <s v="CUST-1205"/>
    <s v="Aman Sharma"/>
    <x v="1"/>
    <s v="Apparel"/>
    <s v="Formal Shirt"/>
    <n v="2"/>
    <n v="899"/>
    <n v="1798"/>
    <n v="20"/>
    <n v="359.6"/>
    <n v="1438.4"/>
    <s v="UPI"/>
    <x v="0"/>
  </r>
  <r>
    <s v="ORD-2026888"/>
    <s v="28 Sun"/>
    <s v="Sep"/>
    <s v="2025"/>
    <s v="CUST-1379"/>
    <s v="Divya Verma"/>
    <x v="1"/>
    <s v="Home &amp; Kitchen"/>
    <s v="LED Desk Lamp"/>
    <n v="2"/>
    <n v="799"/>
    <n v="1598"/>
    <n v="10"/>
    <n v="159.80000000000001"/>
    <n v="1438.2"/>
    <s v="Cash"/>
    <x v="1"/>
  </r>
  <r>
    <s v="ORD-2026889"/>
    <s v="28 Sun"/>
    <s v="Sep"/>
    <s v="2025"/>
    <s v="CUST-1245"/>
    <s v="Kunal Patel"/>
    <x v="1"/>
    <s v="Beauty"/>
    <s v="Herbal Shampoo"/>
    <n v="4"/>
    <n v="249"/>
    <n v="996"/>
    <n v="10"/>
    <n v="99.6"/>
    <n v="896.4"/>
    <s v="Cash"/>
    <x v="0"/>
  </r>
  <r>
    <s v="ORD-2026890"/>
    <s v="28 Sun"/>
    <s v="Sep"/>
    <s v="2025"/>
    <s v="CUST-1089"/>
    <s v="Arjun Verma"/>
    <x v="3"/>
    <s v="Electronics"/>
    <s v="Wireless Mouse"/>
    <n v="2"/>
    <n v="599"/>
    <n v="1198"/>
    <n v="0"/>
    <n v="0"/>
    <n v="1198"/>
    <s v="UPI"/>
    <x v="0"/>
  </r>
  <r>
    <s v="ORD-2026891"/>
    <s v="28 Sun"/>
    <s v="Sep"/>
    <s v="2025"/>
    <s v="CUST-1008"/>
    <s v="Meera Saxena"/>
    <x v="1"/>
    <s v="Electronics"/>
    <s v="Smartwatch"/>
    <n v="1"/>
    <n v="2999"/>
    <n v="2999"/>
    <n v="10"/>
    <n v="299.89999999999998"/>
    <n v="2699.1"/>
    <s v="UPI"/>
    <x v="0"/>
  </r>
  <r>
    <s v="ORD-2026892"/>
    <s v="28 Sun"/>
    <s v="Sep"/>
    <s v="2025"/>
    <s v="CUST-1300"/>
    <s v="Vivaan Mehta"/>
    <x v="0"/>
    <s v="Apparel"/>
    <s v="Formal Shirt"/>
    <n v="2"/>
    <n v="899"/>
    <n v="1798"/>
    <n v="0"/>
    <n v="0"/>
    <n v="1798"/>
    <s v="Debit Card"/>
    <x v="1"/>
  </r>
  <r>
    <s v="ORD-2026893"/>
    <s v="29 Mon"/>
    <s v="Sep"/>
    <s v="2025"/>
    <s v="CUST-1268"/>
    <s v="Aman Verma"/>
    <x v="0"/>
    <s v="Stationery"/>
    <s v="Gel Pen Pack"/>
    <n v="1"/>
    <n v="99"/>
    <n v="99"/>
    <n v="0"/>
    <n v="0"/>
    <n v="99"/>
    <s v="Credit Card"/>
    <x v="0"/>
  </r>
  <r>
    <s v="ORD-2026894"/>
    <s v="29 Mon"/>
    <s v="Sep"/>
    <s v="2025"/>
    <s v="CUST-1397"/>
    <s v="Aman Verma"/>
    <x v="4"/>
    <s v="Electronics"/>
    <s v="Wireless Mouse"/>
    <n v="1"/>
    <n v="599"/>
    <n v="599"/>
    <n v="0"/>
    <n v="0"/>
    <n v="599"/>
    <s v="Cash"/>
    <x v="0"/>
  </r>
  <r>
    <s v="ORD-2026895"/>
    <s v="29 Mon"/>
    <s v="Sep"/>
    <s v="2025"/>
    <s v="CUST-1067"/>
    <s v="Nandini Gupta"/>
    <x v="3"/>
    <s v="Sports"/>
    <s v="Cricket Bat"/>
    <n v="1"/>
    <n v="1499"/>
    <n v="1499"/>
    <n v="0"/>
    <n v="0"/>
    <n v="1499"/>
    <s v="Debit Card"/>
    <x v="1"/>
  </r>
  <r>
    <s v="ORD-2026896"/>
    <s v="29 Mon"/>
    <s v="Sep"/>
    <s v="2025"/>
    <s v="CUST-1025"/>
    <s v="Aditya Singh"/>
    <x v="0"/>
    <s v="Electronics"/>
    <s v="Bluetooth Headphones"/>
    <n v="1"/>
    <n v="1799"/>
    <n v="1799"/>
    <n v="0"/>
    <n v="0"/>
    <n v="1799"/>
    <s v="Debit Card"/>
    <x v="1"/>
  </r>
  <r>
    <s v="ORD-2026897"/>
    <s v="29 Mon"/>
    <s v="Sep"/>
    <s v="2025"/>
    <s v="CUST-1270"/>
    <s v="Nandini Verma"/>
    <x v="1"/>
    <s v="Beauty"/>
    <s v="Face Wash 100ml"/>
    <n v="5"/>
    <n v="299"/>
    <n v="1495"/>
    <n v="0"/>
    <n v="0"/>
    <n v="1495"/>
    <s v="UPI"/>
    <x v="0"/>
  </r>
  <r>
    <s v="ORD-2026898"/>
    <s v="29 Mon"/>
    <s v="Sep"/>
    <s v="2025"/>
    <s v="CUST-1316"/>
    <s v="Komal Saxena"/>
    <x v="2"/>
    <s v="Stationery"/>
    <s v="Notebook Set"/>
    <n v="3"/>
    <n v="199"/>
    <n v="597"/>
    <n v="15"/>
    <n v="89.55"/>
    <n v="507.45"/>
    <s v="Credit Card"/>
    <x v="0"/>
  </r>
  <r>
    <s v="ORD-2026899"/>
    <s v="29 Mon"/>
    <s v="Sep"/>
    <s v="2025"/>
    <s v="CUST-1393"/>
    <s v="Nandini Singh"/>
    <x v="4"/>
    <s v="Beauty"/>
    <s v="Herbal Shampoo"/>
    <n v="1"/>
    <n v="249"/>
    <n v="249"/>
    <n v="5"/>
    <n v="12.45"/>
    <n v="236.55"/>
    <s v="Debit Card"/>
    <x v="1"/>
  </r>
  <r>
    <s v="ORD-2026900"/>
    <s v="30 Tue"/>
    <s v="Sep"/>
    <s v="2025"/>
    <s v="CUST-1258"/>
    <s v="Muskan Joshi"/>
    <x v="0"/>
    <s v="Groceries"/>
    <s v="Basmati Rice 5kg"/>
    <n v="1"/>
    <n v="549"/>
    <n v="549"/>
    <n v="0"/>
    <n v="0"/>
    <n v="549"/>
    <s v="Credit Card"/>
    <x v="1"/>
  </r>
  <r>
    <s v="ORD-2026901"/>
    <s v="30 Tue"/>
    <s v="Sep"/>
    <s v="2025"/>
    <s v="CUST-1197"/>
    <s v="Rahul Verma"/>
    <x v="1"/>
    <s v="Electronics"/>
    <s v="Bluetooth Headphones"/>
    <n v="3"/>
    <n v="1799"/>
    <n v="5397"/>
    <n v="5"/>
    <n v="269.85000000000002"/>
    <n v="5127.1499999999996"/>
    <s v="Credit Card"/>
    <x v="0"/>
  </r>
  <r>
    <s v="ORD-2026902"/>
    <s v="30 Tue"/>
    <s v="Sep"/>
    <s v="2025"/>
    <s v="CUST-1120"/>
    <s v="Divya Kapoor"/>
    <x v="1"/>
    <s v="Beauty"/>
    <s v="Herbal Shampoo"/>
    <n v="3"/>
    <n v="249"/>
    <n v="747"/>
    <n v="15"/>
    <n v="112.05"/>
    <n v="634.95000000000005"/>
    <s v="Credit Card"/>
    <x v="1"/>
  </r>
  <r>
    <s v="ORD-2026903"/>
    <s v="30 Tue"/>
    <s v="Sep"/>
    <s v="2025"/>
    <s v="CUST-1325"/>
    <s v="Aarav Saxena"/>
    <x v="4"/>
    <s v="Home &amp; Kitchen"/>
    <s v="LED Desk Lamp"/>
    <n v="1"/>
    <n v="799"/>
    <n v="799"/>
    <n v="10"/>
    <n v="79.900000000000006"/>
    <n v="719.1"/>
    <s v="Credit Card"/>
    <x v="1"/>
  </r>
  <r>
    <s v="ORD-2026904"/>
    <s v="30 Tue"/>
    <s v="Sep"/>
    <s v="2025"/>
    <s v="CUST-1281"/>
    <s v="Nandini Saxena"/>
    <x v="2"/>
    <s v="Apparel"/>
    <s v="Formal Shirt"/>
    <n v="1"/>
    <n v="899"/>
    <n v="899"/>
    <n v="20"/>
    <n v="179.8"/>
    <n v="719.2"/>
    <s v="UPI"/>
    <x v="1"/>
  </r>
  <r>
    <s v="ORD-2026905"/>
    <s v="30 Tue"/>
    <s v="Sep"/>
    <s v="2025"/>
    <s v="CUST-1149"/>
    <s v="Aarav Verma"/>
    <x v="0"/>
    <s v="Electronics"/>
    <s v="Wireless Mouse"/>
    <n v="1"/>
    <n v="599"/>
    <n v="599"/>
    <n v="5"/>
    <n v="29.95"/>
    <n v="569.04999999999995"/>
    <s v="UPI"/>
    <x v="0"/>
  </r>
  <r>
    <s v="ORD-2026906"/>
    <s v="1 Wed"/>
    <s v="Oct"/>
    <s v="2025"/>
    <s v="CUST-1003"/>
    <s v="Tanya Singh"/>
    <x v="4"/>
    <s v="Electronics"/>
    <s v="Bluetooth Headphones"/>
    <n v="2"/>
    <n v="1799"/>
    <n v="3598"/>
    <n v="15"/>
    <n v="539.70000000000005"/>
    <n v="3058.3"/>
    <s v="UPI"/>
    <x v="0"/>
  </r>
  <r>
    <s v="ORD-2026907"/>
    <s v="1 Wed"/>
    <s v="Oct"/>
    <s v="2025"/>
    <s v="CUST-1164"/>
    <s v="Kabir Malhotra"/>
    <x v="3"/>
    <s v="Stationery"/>
    <s v="Notebook Set"/>
    <n v="1"/>
    <n v="199"/>
    <n v="199"/>
    <n v="30"/>
    <n v="59.7"/>
    <n v="139.30000000000001"/>
    <s v="UPI"/>
    <x v="1"/>
  </r>
  <r>
    <s v="ORD-2026908"/>
    <s v="1 Wed"/>
    <s v="Oct"/>
    <s v="2025"/>
    <s v="CUST-1234"/>
    <s v="Meera Sharma"/>
    <x v="1"/>
    <s v="Apparel"/>
    <s v="Denim Jacket"/>
    <n v="2"/>
    <n v="1999"/>
    <n v="3998"/>
    <n v="15"/>
    <n v="599.70000000000005"/>
    <n v="3398.3"/>
    <s v="Debit Card"/>
    <x v="1"/>
  </r>
  <r>
    <s v="ORD-2026909"/>
    <s v="1 Wed"/>
    <s v="Oct"/>
    <s v="2025"/>
    <s v="CUST-1241"/>
    <s v="Rahul Singh"/>
    <x v="4"/>
    <s v="Apparel"/>
    <s v="Denim Jacket"/>
    <n v="4"/>
    <n v="1999"/>
    <n v="7996"/>
    <n v="25"/>
    <n v="1999"/>
    <n v="5997"/>
    <s v="Credit Card"/>
    <x v="0"/>
  </r>
  <r>
    <s v="ORD-2026910"/>
    <s v="1 Wed"/>
    <s v="Oct"/>
    <s v="2025"/>
    <s v="CUST-1297"/>
    <s v="Sakshi Kapoor"/>
    <x v="3"/>
    <s v="Stationery"/>
    <s v="Gel Pen Pack"/>
    <n v="1"/>
    <n v="99"/>
    <n v="99"/>
    <n v="15"/>
    <n v="14.85"/>
    <n v="84.15"/>
    <s v="UPI"/>
    <x v="0"/>
  </r>
  <r>
    <s v="ORD-2026911"/>
    <s v="1 Wed"/>
    <s v="Oct"/>
    <s v="2025"/>
    <s v="CUST-1280"/>
    <s v="Muskan Kapoor"/>
    <x v="4"/>
    <s v="Groceries"/>
    <s v="Organic Honey 500g"/>
    <n v="1"/>
    <n v="349"/>
    <n v="349"/>
    <n v="15"/>
    <n v="52.35"/>
    <n v="296.64999999999998"/>
    <s v="Credit Card"/>
    <x v="0"/>
  </r>
  <r>
    <s v="ORD-2026912"/>
    <s v="1 Wed"/>
    <s v="Oct"/>
    <s v="2025"/>
    <s v="CUST-1116"/>
    <s v="Sakshi Mehta"/>
    <x v="0"/>
    <s v="Sports"/>
    <s v="Cricket Bat"/>
    <n v="1"/>
    <n v="1499"/>
    <n v="1499"/>
    <n v="30"/>
    <n v="449.7"/>
    <n v="1049.3"/>
    <s v="Debit Card"/>
    <x v="0"/>
  </r>
  <r>
    <s v="ORD-2026913"/>
    <s v="1 Wed"/>
    <s v="Oct"/>
    <s v="2025"/>
    <s v="CUST-1297"/>
    <s v="Sakshi Kapoor"/>
    <x v="3"/>
    <s v="Home &amp; Kitchen"/>
    <s v="LED Desk Lamp"/>
    <n v="2"/>
    <n v="799"/>
    <n v="1598"/>
    <n v="10"/>
    <n v="159.80000000000001"/>
    <n v="1438.2"/>
    <s v="Net Banking"/>
    <x v="1"/>
  </r>
  <r>
    <s v="ORD-2026914"/>
    <s v="2 Thu"/>
    <s v="Oct"/>
    <s v="2025"/>
    <s v="CUST-1392"/>
    <s v="Aarav Singh"/>
    <x v="3"/>
    <s v="Home &amp; Kitchen"/>
    <s v="LED Desk Lamp"/>
    <n v="1"/>
    <n v="799"/>
    <n v="799"/>
    <n v="5"/>
    <n v="39.950000000000003"/>
    <n v="759.05"/>
    <s v="Cash"/>
    <x v="1"/>
  </r>
  <r>
    <s v="ORD-2026915"/>
    <s v="2 Thu"/>
    <s v="Oct"/>
    <s v="2025"/>
    <s v="CUST-1041"/>
    <s v="Divya Malhotra"/>
    <x v="4"/>
    <s v="Beauty"/>
    <s v="Herbal Shampoo"/>
    <n v="1"/>
    <n v="249"/>
    <n v="249"/>
    <n v="0"/>
    <n v="0"/>
    <n v="249"/>
    <s v="Debit Card"/>
    <x v="1"/>
  </r>
  <r>
    <s v="ORD-2026916"/>
    <s v="2 Thu"/>
    <s v="Oct"/>
    <s v="2025"/>
    <s v="CUST-1122"/>
    <s v="Aditya Kapoor"/>
    <x v="3"/>
    <s v="Home &amp; Kitchen"/>
    <s v="Non-stick Pan Set"/>
    <n v="1"/>
    <n v="1299"/>
    <n v="1299"/>
    <n v="25"/>
    <n v="324.75"/>
    <n v="974.25"/>
    <s v="Net Banking"/>
    <x v="1"/>
  </r>
  <r>
    <s v="ORD-2026917"/>
    <s v="2 Thu"/>
    <s v="Oct"/>
    <s v="2025"/>
    <s v="CUST-1072"/>
    <s v="Tanya Sharma"/>
    <x v="4"/>
    <s v="Apparel"/>
    <s v="Denim Jacket"/>
    <n v="2"/>
    <n v="1999"/>
    <n v="3998"/>
    <n v="0"/>
    <n v="0"/>
    <n v="3998"/>
    <s v="Credit Card"/>
    <x v="1"/>
  </r>
  <r>
    <s v="ORD-2026918"/>
    <s v="2 Thu"/>
    <s v="Oct"/>
    <s v="2025"/>
    <s v="CUST-1331"/>
    <s v="Arjun Singh"/>
    <x v="0"/>
    <s v="Stationery"/>
    <s v="Gel Pen Pack"/>
    <n v="3"/>
    <n v="99"/>
    <n v="297"/>
    <n v="30"/>
    <n v="89.1"/>
    <n v="207.9"/>
    <s v="UPI"/>
    <x v="1"/>
  </r>
  <r>
    <s v="ORD-2026919"/>
    <s v="2 Thu"/>
    <s v="Oct"/>
    <s v="2025"/>
    <s v="CUST-1164"/>
    <s v="Kabir Malhotra"/>
    <x v="3"/>
    <s v="Stationery"/>
    <s v="Notebook Set"/>
    <n v="1"/>
    <n v="199"/>
    <n v="199"/>
    <n v="30"/>
    <n v="59.7"/>
    <n v="139.30000000000001"/>
    <s v="Debit Card"/>
    <x v="0"/>
  </r>
  <r>
    <s v="ORD-2026920"/>
    <s v="2 Thu"/>
    <s v="Oct"/>
    <s v="2025"/>
    <s v="CUST-1167"/>
    <s v="Nandini Verma"/>
    <x v="3"/>
    <s v="Sports"/>
    <s v="Yoga Mat"/>
    <n v="2"/>
    <n v="699"/>
    <n v="1398"/>
    <n v="25"/>
    <n v="349.5"/>
    <n v="1048.5"/>
    <s v="Debit Card"/>
    <x v="1"/>
  </r>
  <r>
    <s v="ORD-2026921"/>
    <s v="2 Thu"/>
    <s v="Oct"/>
    <s v="2025"/>
    <s v="CUST-1328"/>
    <s v="Arjun Verma"/>
    <x v="3"/>
    <s v="Apparel"/>
    <s v="Formal Shirt"/>
    <n v="1"/>
    <n v="899"/>
    <n v="899"/>
    <n v="20"/>
    <n v="179.8"/>
    <n v="719.2"/>
    <s v="Debit Card"/>
    <x v="0"/>
  </r>
  <r>
    <s v="ORD-2026922"/>
    <s v="2 Thu"/>
    <s v="Oct"/>
    <s v="2025"/>
    <s v="CUST-1309"/>
    <s v="Meera Verma"/>
    <x v="3"/>
    <s v="Home &amp; Kitchen"/>
    <s v="LED Desk Lamp"/>
    <n v="1"/>
    <n v="799"/>
    <n v="799"/>
    <n v="30"/>
    <n v="239.7"/>
    <n v="559.29999999999995"/>
    <s v="UPI"/>
    <x v="0"/>
  </r>
  <r>
    <s v="ORD-2026923"/>
    <s v="3 Fri"/>
    <s v="Oct"/>
    <s v="2025"/>
    <s v="CUST-1221"/>
    <s v="Kunal Singh"/>
    <x v="0"/>
    <s v="Sports"/>
    <s v="Cricket Bat"/>
    <n v="1"/>
    <n v="1499"/>
    <n v="1499"/>
    <n v="10"/>
    <n v="149.9"/>
    <n v="1349.1"/>
    <s v="Debit Card"/>
    <x v="0"/>
  </r>
  <r>
    <s v="ORD-2026924"/>
    <s v="3 Fri"/>
    <s v="Oct"/>
    <s v="2025"/>
    <s v="CUST-1281"/>
    <s v="Nandini Saxena"/>
    <x v="3"/>
    <s v="Sports"/>
    <s v="Yoga Mat"/>
    <n v="1"/>
    <n v="699"/>
    <n v="699"/>
    <n v="30"/>
    <n v="209.7"/>
    <n v="489.3"/>
    <s v="Cash"/>
    <x v="0"/>
  </r>
  <r>
    <s v="ORD-2026925"/>
    <s v="3 Fri"/>
    <s v="Oct"/>
    <s v="2025"/>
    <s v="CUST-1234"/>
    <s v="Meera Sharma"/>
    <x v="0"/>
    <s v="Stationery"/>
    <s v="Gel Pen Pack"/>
    <n v="1"/>
    <n v="99"/>
    <n v="99"/>
    <n v="10"/>
    <n v="9.9"/>
    <n v="89.1"/>
    <s v="Cash"/>
    <x v="0"/>
  </r>
  <r>
    <s v="ORD-2026926"/>
    <s v="3 Fri"/>
    <s v="Oct"/>
    <s v="2025"/>
    <s v="CUST-1315"/>
    <s v="Muskan Singh"/>
    <x v="0"/>
    <s v="Stationery"/>
    <s v="Gel Pen Pack"/>
    <n v="1"/>
    <n v="99"/>
    <n v="99"/>
    <n v="15"/>
    <n v="14.85"/>
    <n v="84.15"/>
    <s v="Net Banking"/>
    <x v="1"/>
  </r>
  <r>
    <s v="ORD-2026927"/>
    <s v="3 Fri"/>
    <s v="Oct"/>
    <s v="2025"/>
    <s v="CUST-1087"/>
    <s v="Kabir Verma"/>
    <x v="1"/>
    <s v="Electronics"/>
    <s v="Smartwatch"/>
    <n v="2"/>
    <n v="2999"/>
    <n v="5998"/>
    <n v="30"/>
    <n v="1799.4"/>
    <n v="4198.6000000000004"/>
    <s v="UPI"/>
    <x v="1"/>
  </r>
  <r>
    <s v="ORD-2026928"/>
    <s v="3 Fri"/>
    <s v="Oct"/>
    <s v="2025"/>
    <s v="CUST-1339"/>
    <s v="Aarav Patel"/>
    <x v="2"/>
    <s v="Electronics"/>
    <s v="Wireless Mouse"/>
    <n v="1"/>
    <n v="599"/>
    <n v="599"/>
    <n v="0"/>
    <n v="0"/>
    <n v="599"/>
    <s v="Debit Card"/>
    <x v="0"/>
  </r>
  <r>
    <s v="ORD-2026929"/>
    <s v="3 Fri"/>
    <s v="Oct"/>
    <s v="2025"/>
    <s v="CUST-1040"/>
    <s v="Aditya Malhotra"/>
    <x v="1"/>
    <s v="Sports"/>
    <s v="Yoga Mat"/>
    <n v="5"/>
    <n v="699"/>
    <n v="3495"/>
    <n v="5"/>
    <n v="174.75"/>
    <n v="3320.25"/>
    <s v="Cash"/>
    <x v="1"/>
  </r>
  <r>
    <s v="ORD-2026930"/>
    <s v="3 Fri"/>
    <s v="Oct"/>
    <s v="2025"/>
    <s v="CUST-1098"/>
    <s v="Rohan Patel"/>
    <x v="4"/>
    <s v="Home &amp; Kitchen"/>
    <s v="Non-stick Pan Set"/>
    <n v="1"/>
    <n v="1299"/>
    <n v="1299"/>
    <n v="0"/>
    <n v="0"/>
    <n v="1299"/>
    <s v="Credit Card"/>
    <x v="0"/>
  </r>
  <r>
    <s v="ORD-2026931"/>
    <s v="3 Fri"/>
    <s v="Oct"/>
    <s v="2025"/>
    <s v="CUST-1054"/>
    <s v="Kunal Patel"/>
    <x v="2"/>
    <s v="Apparel"/>
    <s v="Formal Shirt"/>
    <n v="1"/>
    <n v="899"/>
    <n v="899"/>
    <n v="10"/>
    <n v="89.9"/>
    <n v="809.1"/>
    <s v="Cash"/>
    <x v="1"/>
  </r>
  <r>
    <s v="ORD-2026932"/>
    <s v="3 Fri"/>
    <s v="Oct"/>
    <s v="2025"/>
    <s v="CUST-1251"/>
    <s v="Aarav Singh"/>
    <x v="3"/>
    <s v="Home &amp; Kitchen"/>
    <s v="Non-stick Pan Set"/>
    <n v="1"/>
    <n v="1299"/>
    <n v="1299"/>
    <n v="10"/>
    <n v="129.9"/>
    <n v="1169.0999999999999"/>
    <s v="UPI"/>
    <x v="0"/>
  </r>
  <r>
    <s v="ORD-2026933"/>
    <s v="3 Fri"/>
    <s v="Oct"/>
    <s v="2025"/>
    <s v="CUST-1063"/>
    <s v="Aman Sharma"/>
    <x v="0"/>
    <s v="Groceries"/>
    <s v="Basmati Rice 5kg"/>
    <n v="2"/>
    <n v="549"/>
    <n v="1098"/>
    <n v="25"/>
    <n v="274.5"/>
    <n v="823.5"/>
    <s v="Credit Card"/>
    <x v="1"/>
  </r>
  <r>
    <s v="ORD-2026934"/>
    <s v="3 Fri"/>
    <s v="Oct"/>
    <s v="2025"/>
    <s v="CUST-1069"/>
    <s v="Kabir Joshi"/>
    <x v="4"/>
    <s v="Stationery"/>
    <s v="Gel Pen Pack"/>
    <n v="1"/>
    <n v="99"/>
    <n v="99"/>
    <n v="10"/>
    <n v="9.9"/>
    <n v="89.1"/>
    <s v="Cash"/>
    <x v="0"/>
  </r>
  <r>
    <s v="ORD-2026935"/>
    <s v="3 Fri"/>
    <s v="Oct"/>
    <s v="2025"/>
    <s v="CUST-1008"/>
    <s v="Meera Saxena"/>
    <x v="2"/>
    <s v="Sports"/>
    <s v="Cricket Bat"/>
    <n v="3"/>
    <n v="1499"/>
    <n v="4497"/>
    <n v="30"/>
    <n v="1349.1"/>
    <n v="3147.9"/>
    <s v="Net Banking"/>
    <x v="0"/>
  </r>
  <r>
    <s v="ORD-2026936"/>
    <s v="4 Sat"/>
    <s v="Oct"/>
    <s v="2025"/>
    <s v="CUST-1134"/>
    <s v="Komal Patel"/>
    <x v="4"/>
    <s v="Sports"/>
    <s v="Yoga Mat"/>
    <n v="3"/>
    <n v="699"/>
    <n v="2097"/>
    <n v="5"/>
    <n v="104.85"/>
    <n v="1992.15"/>
    <s v="Cash"/>
    <x v="1"/>
  </r>
  <r>
    <s v="ORD-2026937"/>
    <s v="4 Sat"/>
    <s v="Oct"/>
    <s v="2025"/>
    <s v="CUST-1344"/>
    <s v="Nandini Saxena"/>
    <x v="2"/>
    <s v="Beauty"/>
    <s v="Herbal Shampoo"/>
    <n v="5"/>
    <n v="249"/>
    <n v="1245"/>
    <n v="30"/>
    <n v="373.5"/>
    <n v="871.5"/>
    <s v="Net Banking"/>
    <x v="0"/>
  </r>
  <r>
    <s v="ORD-2026938"/>
    <s v="4 Sat"/>
    <s v="Oct"/>
    <s v="2025"/>
    <s v="CUST-1391"/>
    <s v="Kunal Gupta"/>
    <x v="3"/>
    <s v="Sports"/>
    <s v="Cricket Bat"/>
    <n v="1"/>
    <n v="1499"/>
    <n v="1499"/>
    <n v="30"/>
    <n v="449.7"/>
    <n v="1049.3"/>
    <s v="Cash"/>
    <x v="1"/>
  </r>
  <r>
    <s v="ORD-2026939"/>
    <s v="4 Sat"/>
    <s v="Oct"/>
    <s v="2025"/>
    <s v="CUST-1126"/>
    <s v="Divya Sharma"/>
    <x v="4"/>
    <s v="Electronics"/>
    <s v="Wireless Mouse"/>
    <n v="3"/>
    <n v="599"/>
    <n v="1797"/>
    <n v="25"/>
    <n v="449.25"/>
    <n v="1347.75"/>
    <s v="Credit Card"/>
    <x v="1"/>
  </r>
  <r>
    <s v="ORD-2026940"/>
    <s v="4 Sat"/>
    <s v="Oct"/>
    <s v="2025"/>
    <s v="CUST-1023"/>
    <s v="Rohan Sharma"/>
    <x v="3"/>
    <s v="Apparel"/>
    <s v="Cotton T-Shirt"/>
    <n v="1"/>
    <n v="499"/>
    <n v="499"/>
    <n v="25"/>
    <n v="124.75"/>
    <n v="374.25"/>
    <s v="UPI"/>
    <x v="0"/>
  </r>
  <r>
    <s v="ORD-2026941"/>
    <s v="4 Sat"/>
    <s v="Oct"/>
    <s v="2025"/>
    <s v="CUST-1132"/>
    <s v="Shreya Sharma"/>
    <x v="3"/>
    <s v="Apparel"/>
    <s v="Cotton T-Shirt"/>
    <n v="1"/>
    <n v="499"/>
    <n v="499"/>
    <n v="20"/>
    <n v="99.8"/>
    <n v="399.2"/>
    <s v="Net Banking"/>
    <x v="0"/>
  </r>
  <r>
    <s v="ORD-2026942"/>
    <s v="4 Sat"/>
    <s v="Oct"/>
    <s v="2025"/>
    <s v="CUST-1308"/>
    <s v="Shreya Sharma"/>
    <x v="1"/>
    <s v="Apparel"/>
    <s v="Denim Jacket"/>
    <n v="1"/>
    <n v="1999"/>
    <n v="1999"/>
    <n v="30"/>
    <n v="599.70000000000005"/>
    <n v="1399.3"/>
    <s v="Credit Card"/>
    <x v="0"/>
  </r>
  <r>
    <s v="ORD-2026943"/>
    <s v="4 Sat"/>
    <s v="Oct"/>
    <s v="2025"/>
    <s v="CUST-1223"/>
    <s v="Meera Saxena"/>
    <x v="3"/>
    <s v="Stationery"/>
    <s v="Gel Pen Pack"/>
    <n v="3"/>
    <n v="99"/>
    <n v="297"/>
    <n v="25"/>
    <n v="74.25"/>
    <n v="222.75"/>
    <s v="Credit Card"/>
    <x v="0"/>
  </r>
  <r>
    <s v="ORD-2026944"/>
    <s v="4 Sat"/>
    <s v="Oct"/>
    <s v="2025"/>
    <s v="CUST-1184"/>
    <s v="Rahul Joshi"/>
    <x v="0"/>
    <s v="Apparel"/>
    <s v="Cotton T-Shirt"/>
    <n v="1"/>
    <n v="499"/>
    <n v="499"/>
    <n v="10"/>
    <n v="49.9"/>
    <n v="449.1"/>
    <s v="Debit Card"/>
    <x v="0"/>
  </r>
  <r>
    <s v="ORD-2026945"/>
    <s v="4 Sat"/>
    <s v="Oct"/>
    <s v="2025"/>
    <s v="CUST-1349"/>
    <s v="Rohan Mehta"/>
    <x v="1"/>
    <s v="Beauty"/>
    <s v="Herbal Shampoo"/>
    <n v="2"/>
    <n v="249"/>
    <n v="498"/>
    <n v="10"/>
    <n v="49.8"/>
    <n v="448.2"/>
    <s v="Credit Card"/>
    <x v="0"/>
  </r>
  <r>
    <s v="ORD-2026946"/>
    <s v="4 Sat"/>
    <s v="Oct"/>
    <s v="2025"/>
    <s v="CUST-1311"/>
    <s v="Muskan Joshi"/>
    <x v="1"/>
    <s v="Sports"/>
    <s v="Yoga Mat"/>
    <n v="1"/>
    <n v="699"/>
    <n v="699"/>
    <n v="5"/>
    <n v="34.950000000000003"/>
    <n v="664.05"/>
    <s v="Debit Card"/>
    <x v="1"/>
  </r>
  <r>
    <s v="ORD-2026947"/>
    <s v="5 Sun"/>
    <s v="Oct"/>
    <s v="2025"/>
    <s v="CUST-1321"/>
    <s v="Isha Mehta"/>
    <x v="4"/>
    <s v="Electronics"/>
    <s v="Wireless Mouse"/>
    <n v="2"/>
    <n v="599"/>
    <n v="1198"/>
    <n v="20"/>
    <n v="239.6"/>
    <n v="958.4"/>
    <s v="UPI"/>
    <x v="1"/>
  </r>
  <r>
    <s v="ORD-2026948"/>
    <s v="5 Sun"/>
    <s v="Oct"/>
    <s v="2025"/>
    <s v="CUST-1146"/>
    <s v="Tanya Patel"/>
    <x v="1"/>
    <s v="Beauty"/>
    <s v="Face Wash 100ml"/>
    <n v="1"/>
    <n v="299"/>
    <n v="299"/>
    <n v="10"/>
    <n v="29.9"/>
    <n v="269.10000000000002"/>
    <s v="Debit Card"/>
    <x v="0"/>
  </r>
  <r>
    <s v="ORD-2026949"/>
    <s v="5 Sun"/>
    <s v="Oct"/>
    <s v="2025"/>
    <s v="CUST-1015"/>
    <s v="Swati Joshi"/>
    <x v="0"/>
    <s v="Apparel"/>
    <s v="Formal Shirt"/>
    <n v="1"/>
    <n v="899"/>
    <n v="899"/>
    <n v="5"/>
    <n v="44.95"/>
    <n v="854.05"/>
    <s v="UPI"/>
    <x v="1"/>
  </r>
  <r>
    <s v="ORD-2026950"/>
    <s v="5 Sun"/>
    <s v="Oct"/>
    <s v="2025"/>
    <s v="CUST-1209"/>
    <s v="Meera Mehta"/>
    <x v="3"/>
    <s v="Sports"/>
    <s v="Yoga Mat"/>
    <n v="1"/>
    <n v="699"/>
    <n v="699"/>
    <n v="10"/>
    <n v="69.900000000000006"/>
    <n v="629.1"/>
    <s v="Credit Card"/>
    <x v="1"/>
  </r>
  <r>
    <s v="ORD-2026951"/>
    <s v="5 Sun"/>
    <s v="Oct"/>
    <s v="2025"/>
    <s v="CUST-1239"/>
    <s v="Rohan Malhotra"/>
    <x v="1"/>
    <s v="Home &amp; Kitchen"/>
    <s v="Non-stick Pan Set"/>
    <n v="1"/>
    <n v="1299"/>
    <n v="1299"/>
    <n v="5"/>
    <n v="64.95"/>
    <n v="1234.05"/>
    <s v="Cash"/>
    <x v="1"/>
  </r>
  <r>
    <s v="ORD-2026952"/>
    <s v="5 Sun"/>
    <s v="Oct"/>
    <s v="2025"/>
    <s v="CUST-1088"/>
    <s v="Arjun Patel"/>
    <x v="1"/>
    <s v="Electronics"/>
    <s v="Wireless Mouse"/>
    <n v="1"/>
    <n v="599"/>
    <n v="599"/>
    <n v="20"/>
    <n v="119.8"/>
    <n v="479.2"/>
    <s v="Credit Card"/>
    <x v="1"/>
  </r>
  <r>
    <s v="ORD-2026953"/>
    <s v="5 Sun"/>
    <s v="Oct"/>
    <s v="2025"/>
    <s v="CUST-1334"/>
    <s v="Kunal Singh"/>
    <x v="2"/>
    <s v="Electronics"/>
    <s v="Wireless Mouse"/>
    <n v="1"/>
    <n v="599"/>
    <n v="599"/>
    <n v="10"/>
    <n v="59.9"/>
    <n v="539.1"/>
    <s v="Credit Card"/>
    <x v="0"/>
  </r>
  <r>
    <s v="ORD-2026954"/>
    <s v="5 Sun"/>
    <s v="Oct"/>
    <s v="2025"/>
    <s v="CUST-1208"/>
    <s v="Arjun Singh"/>
    <x v="1"/>
    <s v="Home &amp; Kitchen"/>
    <s v="LED Desk Lamp"/>
    <n v="2"/>
    <n v="799"/>
    <n v="1598"/>
    <n v="0"/>
    <n v="0"/>
    <n v="1598"/>
    <s v="UPI"/>
    <x v="0"/>
  </r>
  <r>
    <s v="ORD-2026955"/>
    <s v="5 Sun"/>
    <s v="Oct"/>
    <s v="2025"/>
    <s v="CUST-1004"/>
    <s v="Tanya Malhotra"/>
    <x v="0"/>
    <s v="Stationery"/>
    <s v="Notebook Set"/>
    <n v="2"/>
    <n v="199"/>
    <n v="398"/>
    <n v="10"/>
    <n v="39.799999999999997"/>
    <n v="358.2"/>
    <s v="Debit Card"/>
    <x v="1"/>
  </r>
  <r>
    <s v="ORD-2026956"/>
    <s v="5 Sun"/>
    <s v="Oct"/>
    <s v="2025"/>
    <s v="CUST-1261"/>
    <s v="Shreya Patel"/>
    <x v="1"/>
    <s v="Sports"/>
    <s v="Yoga Mat"/>
    <n v="1"/>
    <n v="699"/>
    <n v="699"/>
    <n v="25"/>
    <n v="174.75"/>
    <n v="524.25"/>
    <s v="UPI"/>
    <x v="0"/>
  </r>
  <r>
    <s v="ORD-2026957"/>
    <s v="6 Mon"/>
    <s v="Oct"/>
    <s v="2025"/>
    <s v="CUST-1087"/>
    <s v="Kabir Verma"/>
    <x v="3"/>
    <s v="Apparel"/>
    <s v="Formal Shirt"/>
    <n v="1"/>
    <n v="899"/>
    <n v="899"/>
    <n v="25"/>
    <n v="224.75"/>
    <n v="674.25"/>
    <s v="Net Banking"/>
    <x v="0"/>
  </r>
  <r>
    <s v="ORD-2026958"/>
    <s v="6 Mon"/>
    <s v="Oct"/>
    <s v="2025"/>
    <s v="CUST-1039"/>
    <s v="Aarav Joshi"/>
    <x v="1"/>
    <s v="Electronics"/>
    <s v="Smartwatch"/>
    <n v="2"/>
    <n v="2999"/>
    <n v="5998"/>
    <n v="25"/>
    <n v="1499.5"/>
    <n v="4498.5"/>
    <s v="Cash"/>
    <x v="0"/>
  </r>
  <r>
    <s v="ORD-2026959"/>
    <s v="6 Mon"/>
    <s v="Oct"/>
    <s v="2025"/>
    <s v="CUST-1315"/>
    <s v="Muskan Singh"/>
    <x v="4"/>
    <s v="Sports"/>
    <s v="Yoga Mat"/>
    <n v="1"/>
    <n v="699"/>
    <n v="699"/>
    <n v="5"/>
    <n v="34.950000000000003"/>
    <n v="664.05"/>
    <s v="Credit Card"/>
    <x v="0"/>
  </r>
  <r>
    <s v="ORD-2026960"/>
    <s v="6 Mon"/>
    <s v="Oct"/>
    <s v="2025"/>
    <s v="CUST-1245"/>
    <s v="Kunal Patel"/>
    <x v="0"/>
    <s v="Groceries"/>
    <s v="Basmati Rice 5kg"/>
    <n v="4"/>
    <n v="549"/>
    <n v="2196"/>
    <n v="5"/>
    <n v="109.8"/>
    <n v="2086.1999999999998"/>
    <s v="Credit Card"/>
    <x v="1"/>
  </r>
  <r>
    <s v="ORD-2026961"/>
    <s v="6 Mon"/>
    <s v="Oct"/>
    <s v="2025"/>
    <s v="CUST-1296"/>
    <s v="Vivaan Kapoor"/>
    <x v="3"/>
    <s v="Sports"/>
    <s v="Cricket Bat"/>
    <n v="1"/>
    <n v="1499"/>
    <n v="1499"/>
    <n v="25"/>
    <n v="374.75"/>
    <n v="1124.25"/>
    <s v="UPI"/>
    <x v="0"/>
  </r>
  <r>
    <s v="ORD-2026962"/>
    <s v="6 Mon"/>
    <s v="Oct"/>
    <s v="2025"/>
    <s v="CUST-1263"/>
    <s v="Tanya Mehta"/>
    <x v="0"/>
    <s v="Electronics"/>
    <s v="Smartwatch"/>
    <n v="2"/>
    <n v="2999"/>
    <n v="5998"/>
    <n v="5"/>
    <n v="299.89999999999998"/>
    <n v="5698.1"/>
    <s v="Debit Card"/>
    <x v="0"/>
  </r>
  <r>
    <s v="ORD-2026963"/>
    <s v="6 Mon"/>
    <s v="Oct"/>
    <s v="2025"/>
    <s v="CUST-1297"/>
    <s v="Sakshi Kapoor"/>
    <x v="0"/>
    <s v="Groceries"/>
    <s v="Basmati Rice 5kg"/>
    <n v="2"/>
    <n v="549"/>
    <n v="1098"/>
    <n v="25"/>
    <n v="274.5"/>
    <n v="823.5"/>
    <s v="Credit Card"/>
    <x v="0"/>
  </r>
  <r>
    <s v="ORD-2026964"/>
    <s v="6 Mon"/>
    <s v="Oct"/>
    <s v="2025"/>
    <s v="CUST-1325"/>
    <s v="Aarav Saxena"/>
    <x v="4"/>
    <s v="Stationery"/>
    <s v="Gel Pen Pack"/>
    <n v="1"/>
    <n v="99"/>
    <n v="99"/>
    <n v="0"/>
    <n v="0"/>
    <n v="99"/>
    <s v="UPI"/>
    <x v="1"/>
  </r>
  <r>
    <s v="ORD-2026965"/>
    <s v="6 Mon"/>
    <s v="Oct"/>
    <s v="2025"/>
    <s v="CUST-1080"/>
    <s v="Kabir Sharma"/>
    <x v="4"/>
    <s v="Beauty"/>
    <s v="Herbal Shampoo"/>
    <n v="5"/>
    <n v="249"/>
    <n v="1245"/>
    <n v="0"/>
    <n v="0"/>
    <n v="1245"/>
    <s v="Debit Card"/>
    <x v="1"/>
  </r>
  <r>
    <s v="ORD-2026966"/>
    <s v="6 Mon"/>
    <s v="Oct"/>
    <s v="2025"/>
    <s v="CUST-1331"/>
    <s v="Arjun Singh"/>
    <x v="2"/>
    <s v="Groceries"/>
    <s v="Organic Honey 500g"/>
    <n v="2"/>
    <n v="349"/>
    <n v="698"/>
    <n v="5"/>
    <n v="34.9"/>
    <n v="663.1"/>
    <s v="Cash"/>
    <x v="1"/>
  </r>
  <r>
    <s v="ORD-2026967"/>
    <s v="6 Mon"/>
    <s v="Oct"/>
    <s v="2025"/>
    <s v="CUST-1235"/>
    <s v="Meera Verma"/>
    <x v="3"/>
    <s v="Sports"/>
    <s v="Cricket Bat"/>
    <n v="1"/>
    <n v="1499"/>
    <n v="1499"/>
    <n v="25"/>
    <n v="374.75"/>
    <n v="1124.25"/>
    <s v="Credit Card"/>
    <x v="0"/>
  </r>
  <r>
    <s v="ORD-2026968"/>
    <s v="6 Mon"/>
    <s v="Oct"/>
    <s v="2025"/>
    <s v="CUST-1040"/>
    <s v="Aditya Malhotra"/>
    <x v="2"/>
    <s v="Groceries"/>
    <s v="Basmati Rice 5kg"/>
    <n v="1"/>
    <n v="549"/>
    <n v="549"/>
    <n v="15"/>
    <n v="82.35"/>
    <n v="466.65"/>
    <s v="Debit Card"/>
    <x v="0"/>
  </r>
  <r>
    <s v="ORD-2026969"/>
    <s v="7 Tue"/>
    <s v="Oct"/>
    <s v="2025"/>
    <s v="CUST-1113"/>
    <s v="Swati Saxena"/>
    <x v="1"/>
    <s v="Home &amp; Kitchen"/>
    <s v="LED Desk Lamp"/>
    <n v="2"/>
    <n v="799"/>
    <n v="1598"/>
    <n v="25"/>
    <n v="399.5"/>
    <n v="1198.5"/>
    <s v="Cash"/>
    <x v="1"/>
  </r>
  <r>
    <s v="ORD-2026970"/>
    <s v="7 Tue"/>
    <s v="Oct"/>
    <s v="2025"/>
    <s v="CUST-1274"/>
    <s v="Muskan Singh"/>
    <x v="3"/>
    <s v="Apparel"/>
    <s v="Cotton T-Shirt"/>
    <n v="1"/>
    <n v="499"/>
    <n v="499"/>
    <n v="0"/>
    <n v="0"/>
    <n v="499"/>
    <s v="Cash"/>
    <x v="0"/>
  </r>
  <r>
    <s v="ORD-2026971"/>
    <s v="7 Tue"/>
    <s v="Oct"/>
    <s v="2025"/>
    <s v="CUST-1030"/>
    <s v="Rahul Kapoor"/>
    <x v="4"/>
    <s v="Stationery"/>
    <s v="Notebook Set"/>
    <n v="1"/>
    <n v="199"/>
    <n v="199"/>
    <n v="20"/>
    <n v="39.799999999999997"/>
    <n v="159.19999999999999"/>
    <s v="Debit Card"/>
    <x v="0"/>
  </r>
  <r>
    <s v="ORD-2026972"/>
    <s v="7 Tue"/>
    <s v="Oct"/>
    <s v="2025"/>
    <s v="CUST-1221"/>
    <s v="Kunal Singh"/>
    <x v="3"/>
    <s v="Home &amp; Kitchen"/>
    <s v="Non-stick Pan Set"/>
    <n v="3"/>
    <n v="1299"/>
    <n v="3897"/>
    <n v="0"/>
    <n v="0"/>
    <n v="3897"/>
    <s v="UPI"/>
    <x v="0"/>
  </r>
  <r>
    <s v="ORD-2026973"/>
    <s v="7 Tue"/>
    <s v="Oct"/>
    <s v="2025"/>
    <s v="CUST-1145"/>
    <s v="Kunal Joshi"/>
    <x v="0"/>
    <s v="Electronics"/>
    <s v="Bluetooth Headphones"/>
    <n v="1"/>
    <n v="1799"/>
    <n v="1799"/>
    <n v="30"/>
    <n v="539.70000000000005"/>
    <n v="1259.3"/>
    <s v="Credit Card"/>
    <x v="0"/>
  </r>
  <r>
    <s v="ORD-2026974"/>
    <s v="7 Tue"/>
    <s v="Oct"/>
    <s v="2025"/>
    <s v="CUST-1306"/>
    <s v="Sakshi Malhotra"/>
    <x v="0"/>
    <s v="Home &amp; Kitchen"/>
    <s v="LED Desk Lamp"/>
    <n v="2"/>
    <n v="799"/>
    <n v="1598"/>
    <n v="10"/>
    <n v="159.80000000000001"/>
    <n v="1438.2"/>
    <s v="UPI"/>
    <x v="0"/>
  </r>
  <r>
    <s v="ORD-2026975"/>
    <s v="7 Tue"/>
    <s v="Oct"/>
    <s v="2025"/>
    <s v="CUST-1033"/>
    <s v="Meera Joshi"/>
    <x v="0"/>
    <s v="Home &amp; Kitchen"/>
    <s v="LED Desk Lamp"/>
    <n v="1"/>
    <n v="799"/>
    <n v="799"/>
    <n v="20"/>
    <n v="159.80000000000001"/>
    <n v="639.20000000000005"/>
    <s v="UPI"/>
    <x v="0"/>
  </r>
  <r>
    <s v="ORD-2026976"/>
    <s v="7 Tue"/>
    <s v="Oct"/>
    <s v="2025"/>
    <s v="CUST-1294"/>
    <s v="Kabir Joshi"/>
    <x v="4"/>
    <s v="Sports"/>
    <s v="Yoga Mat"/>
    <n v="2"/>
    <n v="699"/>
    <n v="1398"/>
    <n v="15"/>
    <n v="209.7"/>
    <n v="1188.3"/>
    <s v="Net Banking"/>
    <x v="1"/>
  </r>
  <r>
    <s v="ORD-2026977"/>
    <s v="7 Tue"/>
    <s v="Oct"/>
    <s v="2025"/>
    <s v="CUST-1135"/>
    <s v="Shreya Joshi"/>
    <x v="0"/>
    <s v="Sports"/>
    <s v="Cricket Bat"/>
    <n v="2"/>
    <n v="1499"/>
    <n v="2998"/>
    <n v="10"/>
    <n v="299.8"/>
    <n v="2698.2"/>
    <s v="UPI"/>
    <x v="0"/>
  </r>
  <r>
    <s v="ORD-2026978"/>
    <s v="7 Tue"/>
    <s v="Oct"/>
    <s v="2025"/>
    <s v="CUST-1183"/>
    <s v="Arjun Mehta"/>
    <x v="2"/>
    <s v="Stationery"/>
    <s v="Gel Pen Pack"/>
    <n v="3"/>
    <n v="99"/>
    <n v="297"/>
    <n v="5"/>
    <n v="14.85"/>
    <n v="282.14999999999998"/>
    <s v="Debit Card"/>
    <x v="0"/>
  </r>
  <r>
    <s v="ORD-2026979"/>
    <s v="7 Tue"/>
    <s v="Oct"/>
    <s v="2025"/>
    <s v="CUST-1355"/>
    <s v="Aditya Joshi"/>
    <x v="1"/>
    <s v="Home &amp; Kitchen"/>
    <s v="LED Desk Lamp"/>
    <n v="1"/>
    <n v="799"/>
    <n v="799"/>
    <n v="5"/>
    <n v="39.950000000000003"/>
    <n v="759.05"/>
    <s v="UPI"/>
    <x v="1"/>
  </r>
  <r>
    <s v="ORD-2026980"/>
    <s v="8 Wed"/>
    <s v="Oct"/>
    <s v="2025"/>
    <s v="CUST-1047"/>
    <s v="Isha Kapoor"/>
    <x v="1"/>
    <s v="Stationery"/>
    <s v="Gel Pen Pack"/>
    <n v="1"/>
    <n v="99"/>
    <n v="99"/>
    <n v="0"/>
    <n v="0"/>
    <n v="99"/>
    <s v="UPI"/>
    <x v="1"/>
  </r>
  <r>
    <s v="ORD-2026981"/>
    <s v="8 Wed"/>
    <s v="Oct"/>
    <s v="2025"/>
    <s v="CUST-1118"/>
    <s v="Sakshi Malhotra"/>
    <x v="2"/>
    <s v="Apparel"/>
    <s v="Cotton T-Shirt"/>
    <n v="1"/>
    <n v="499"/>
    <n v="499"/>
    <n v="15"/>
    <n v="74.849999999999994"/>
    <n v="424.15"/>
    <s v="Net Banking"/>
    <x v="1"/>
  </r>
  <r>
    <s v="ORD-2026982"/>
    <s v="8 Wed"/>
    <s v="Oct"/>
    <s v="2025"/>
    <s v="CUST-1217"/>
    <s v="Ankit Patel"/>
    <x v="3"/>
    <s v="Electronics"/>
    <s v="Smartwatch"/>
    <n v="1"/>
    <n v="2999"/>
    <n v="2999"/>
    <n v="25"/>
    <n v="749.75"/>
    <n v="2249.25"/>
    <s v="Credit Card"/>
    <x v="0"/>
  </r>
  <r>
    <s v="ORD-2026983"/>
    <s v="8 Wed"/>
    <s v="Oct"/>
    <s v="2025"/>
    <s v="CUST-1323"/>
    <s v="Muskan Verma"/>
    <x v="0"/>
    <s v="Sports"/>
    <s v="Cricket Bat"/>
    <n v="4"/>
    <n v="1499"/>
    <n v="5996"/>
    <n v="5"/>
    <n v="299.8"/>
    <n v="5696.2"/>
    <s v="Debit Card"/>
    <x v="0"/>
  </r>
  <r>
    <s v="ORD-2026984"/>
    <s v="8 Wed"/>
    <s v="Oct"/>
    <s v="2025"/>
    <s v="CUST-1308"/>
    <s v="Shreya Sharma"/>
    <x v="2"/>
    <s v="Sports"/>
    <s v="Yoga Mat"/>
    <n v="1"/>
    <n v="699"/>
    <n v="699"/>
    <n v="0"/>
    <n v="0"/>
    <n v="699"/>
    <s v="Debit Card"/>
    <x v="1"/>
  </r>
  <r>
    <s v="ORD-2026985"/>
    <s v="8 Wed"/>
    <s v="Oct"/>
    <s v="2025"/>
    <s v="CUST-1335"/>
    <s v="Divya Saxena"/>
    <x v="1"/>
    <s v="Sports"/>
    <s v="Cricket Bat"/>
    <n v="1"/>
    <n v="1499"/>
    <n v="1499"/>
    <n v="0"/>
    <n v="0"/>
    <n v="1499"/>
    <s v="Debit Card"/>
    <x v="1"/>
  </r>
  <r>
    <s v="ORD-2026986"/>
    <s v="9 Thu"/>
    <s v="Oct"/>
    <s v="2025"/>
    <s v="CUST-1186"/>
    <s v="Meera Verma"/>
    <x v="0"/>
    <s v="Apparel"/>
    <s v="Cotton T-Shirt"/>
    <n v="1"/>
    <n v="499"/>
    <n v="499"/>
    <n v="10"/>
    <n v="49.9"/>
    <n v="449.1"/>
    <s v="Cash"/>
    <x v="0"/>
  </r>
  <r>
    <s v="ORD-2026987"/>
    <s v="9 Thu"/>
    <s v="Oct"/>
    <s v="2025"/>
    <s v="CUST-1029"/>
    <s v="Swati Patel"/>
    <x v="3"/>
    <s v="Stationery"/>
    <s v="Gel Pen Pack"/>
    <n v="2"/>
    <n v="99"/>
    <n v="198"/>
    <n v="0"/>
    <n v="0"/>
    <n v="198"/>
    <s v="Debit Card"/>
    <x v="0"/>
  </r>
  <r>
    <s v="ORD-2026988"/>
    <s v="9 Thu"/>
    <s v="Oct"/>
    <s v="2025"/>
    <s v="CUST-1307"/>
    <s v="Swati Kapoor"/>
    <x v="2"/>
    <s v="Electronics"/>
    <s v="Bluetooth Headphones"/>
    <n v="2"/>
    <n v="1799"/>
    <n v="3598"/>
    <n v="30"/>
    <n v="1079.4000000000001"/>
    <n v="2518.6"/>
    <s v="Credit Card"/>
    <x v="0"/>
  </r>
  <r>
    <s v="ORD-2026989"/>
    <s v="9 Thu"/>
    <s v="Oct"/>
    <s v="2025"/>
    <s v="CUST-1384"/>
    <s v="Vivaan Singh"/>
    <x v="2"/>
    <s v="Home &amp; Kitchen"/>
    <s v="Non-stick Pan Set"/>
    <n v="5"/>
    <n v="1299"/>
    <n v="6495"/>
    <n v="15"/>
    <n v="974.25"/>
    <n v="5520.75"/>
    <s v="Debit Card"/>
    <x v="1"/>
  </r>
  <r>
    <s v="ORD-2026990"/>
    <s v="9 Thu"/>
    <s v="Oct"/>
    <s v="2025"/>
    <s v="CUST-1375"/>
    <s v="Kunal Joshi"/>
    <x v="1"/>
    <s v="Stationery"/>
    <s v="Notebook Set"/>
    <n v="2"/>
    <n v="199"/>
    <n v="398"/>
    <n v="20"/>
    <n v="79.599999999999994"/>
    <n v="318.39999999999998"/>
    <s v="Cash"/>
    <x v="0"/>
  </r>
  <r>
    <s v="ORD-2026991"/>
    <s v="9 Thu"/>
    <s v="Oct"/>
    <s v="2025"/>
    <s v="CUST-1368"/>
    <s v="Isha Patel"/>
    <x v="1"/>
    <s v="Electronics"/>
    <s v="Wireless Mouse"/>
    <n v="1"/>
    <n v="599"/>
    <n v="599"/>
    <n v="20"/>
    <n v="119.8"/>
    <n v="479.2"/>
    <s v="UPI"/>
    <x v="0"/>
  </r>
  <r>
    <s v="ORD-2026992"/>
    <s v="9 Thu"/>
    <s v="Oct"/>
    <s v="2025"/>
    <s v="CUST-1258"/>
    <s v="Muskan Joshi"/>
    <x v="4"/>
    <s v="Stationery"/>
    <s v="Gel Pen Pack"/>
    <n v="1"/>
    <n v="99"/>
    <n v="99"/>
    <n v="20"/>
    <n v="19.8"/>
    <n v="79.2"/>
    <s v="UPI"/>
    <x v="0"/>
  </r>
  <r>
    <s v="ORD-2026993"/>
    <s v="9 Thu"/>
    <s v="Oct"/>
    <s v="2025"/>
    <s v="CUST-1041"/>
    <s v="Divya Malhotra"/>
    <x v="4"/>
    <s v="Stationery"/>
    <s v="Notebook Set"/>
    <n v="1"/>
    <n v="199"/>
    <n v="199"/>
    <n v="10"/>
    <n v="19.899999999999999"/>
    <n v="179.1"/>
    <s v="Net Banking"/>
    <x v="0"/>
  </r>
  <r>
    <s v="ORD-2026994"/>
    <s v="9 Thu"/>
    <s v="Oct"/>
    <s v="2025"/>
    <s v="CUST-1003"/>
    <s v="Tanya Singh"/>
    <x v="1"/>
    <s v="Sports"/>
    <s v="Yoga Mat"/>
    <n v="3"/>
    <n v="699"/>
    <n v="2097"/>
    <n v="10"/>
    <n v="209.7"/>
    <n v="1887.3"/>
    <s v="Net Banking"/>
    <x v="1"/>
  </r>
  <r>
    <s v="ORD-2026995"/>
    <s v="9 Thu"/>
    <s v="Oct"/>
    <s v="2025"/>
    <s v="CUST-1204"/>
    <s v="Meera Mehta"/>
    <x v="4"/>
    <s v="Electronics"/>
    <s v="Wireless Mouse"/>
    <n v="2"/>
    <n v="599"/>
    <n v="1198"/>
    <n v="15"/>
    <n v="179.7"/>
    <n v="1018.3"/>
    <s v="UPI"/>
    <x v="0"/>
  </r>
  <r>
    <s v="ORD-2026996"/>
    <s v="9 Thu"/>
    <s v="Oct"/>
    <s v="2025"/>
    <s v="CUST-1089"/>
    <s v="Arjun Verma"/>
    <x v="0"/>
    <s v="Home &amp; Kitchen"/>
    <s v="Non-stick Pan Set"/>
    <n v="1"/>
    <n v="1299"/>
    <n v="1299"/>
    <n v="5"/>
    <n v="64.95"/>
    <n v="1234.05"/>
    <s v="UPI"/>
    <x v="0"/>
  </r>
  <r>
    <s v="ORD-2026997"/>
    <s v="9 Thu"/>
    <s v="Oct"/>
    <s v="2025"/>
    <s v="CUST-1076"/>
    <s v="Tanya Saxena"/>
    <x v="3"/>
    <s v="Home &amp; Kitchen"/>
    <s v="Non-stick Pan Set"/>
    <n v="2"/>
    <n v="1299"/>
    <n v="2598"/>
    <n v="30"/>
    <n v="779.4"/>
    <n v="1818.6"/>
    <s v="Cash"/>
    <x v="0"/>
  </r>
  <r>
    <s v="ORD-2026998"/>
    <s v="9 Thu"/>
    <s v="Oct"/>
    <s v="2025"/>
    <s v="CUST-1298"/>
    <s v="Aarav Singh"/>
    <x v="2"/>
    <s v="Sports"/>
    <s v="Yoga Mat"/>
    <n v="3"/>
    <n v="699"/>
    <n v="2097"/>
    <n v="10"/>
    <n v="209.7"/>
    <n v="1887.3"/>
    <s v="UPI"/>
    <x v="0"/>
  </r>
  <r>
    <s v="ORD-2026999"/>
    <s v="10 Fri"/>
    <s v="Oct"/>
    <s v="2025"/>
    <s v="CUST-1375"/>
    <s v="Kunal Joshi"/>
    <x v="2"/>
    <s v="Groceries"/>
    <s v="Basmati Rice 5kg"/>
    <n v="4"/>
    <n v="549"/>
    <n v="2196"/>
    <n v="15"/>
    <n v="329.4"/>
    <n v="1866.6"/>
    <s v="Cash"/>
    <x v="0"/>
  </r>
  <r>
    <s v="ORD-2027000"/>
    <s v="10 Fri"/>
    <s v="Oct"/>
    <s v="2025"/>
    <s v="CUST-1313"/>
    <s v="Kunal Joshi"/>
    <x v="2"/>
    <s v="Stationery"/>
    <s v="Gel Pen Pack"/>
    <n v="1"/>
    <n v="99"/>
    <n v="99"/>
    <n v="0"/>
    <n v="0"/>
    <n v="99"/>
    <s v="Net Banking"/>
    <x v="0"/>
  </r>
  <r>
    <s v="ORD-2027001"/>
    <s v="10 Fri"/>
    <s v="Oct"/>
    <s v="2025"/>
    <s v="CUST-1213"/>
    <s v="Ankit Patel"/>
    <x v="1"/>
    <s v="Apparel"/>
    <s v="Formal Shirt"/>
    <n v="3"/>
    <n v="899"/>
    <n v="2697"/>
    <n v="10"/>
    <n v="269.7"/>
    <n v="2427.3000000000002"/>
    <s v="Credit Card"/>
    <x v="0"/>
  </r>
  <r>
    <s v="ORD-2027002"/>
    <s v="10 Fri"/>
    <s v="Oct"/>
    <s v="2025"/>
    <s v="CUST-1262"/>
    <s v="Kunal Joshi"/>
    <x v="0"/>
    <s v="Home &amp; Kitchen"/>
    <s v="LED Desk Lamp"/>
    <n v="1"/>
    <n v="799"/>
    <n v="799"/>
    <n v="10"/>
    <n v="79.900000000000006"/>
    <n v="719.1"/>
    <s v="Debit Card"/>
    <x v="1"/>
  </r>
  <r>
    <s v="ORD-2027003"/>
    <s v="10 Fri"/>
    <s v="Oct"/>
    <s v="2025"/>
    <s v="CUST-1017"/>
    <s v="Aarav Verma"/>
    <x v="4"/>
    <s v="Electronics"/>
    <s v="Wireless Mouse"/>
    <n v="1"/>
    <n v="599"/>
    <n v="599"/>
    <n v="0"/>
    <n v="0"/>
    <n v="599"/>
    <s v="Debit Card"/>
    <x v="0"/>
  </r>
  <r>
    <s v="ORD-2027004"/>
    <s v="10 Fri"/>
    <s v="Oct"/>
    <s v="2025"/>
    <s v="CUST-1305"/>
    <s v="Muskan Joshi"/>
    <x v="4"/>
    <s v="Electronics"/>
    <s v="Wireless Mouse"/>
    <n v="5"/>
    <n v="599"/>
    <n v="2995"/>
    <n v="15"/>
    <n v="449.25"/>
    <n v="2545.75"/>
    <s v="Debit Card"/>
    <x v="0"/>
  </r>
  <r>
    <s v="ORD-2027005"/>
    <s v="10 Fri"/>
    <s v="Oct"/>
    <s v="2025"/>
    <s v="CUST-1098"/>
    <s v="Rohan Patel"/>
    <x v="2"/>
    <s v="Beauty"/>
    <s v="Herbal Shampoo"/>
    <n v="5"/>
    <n v="249"/>
    <n v="1245"/>
    <n v="25"/>
    <n v="311.25"/>
    <n v="933.75"/>
    <s v="Cash"/>
    <x v="1"/>
  </r>
  <r>
    <s v="ORD-2027006"/>
    <s v="10 Fri"/>
    <s v="Oct"/>
    <s v="2025"/>
    <s v="CUST-1104"/>
    <s v="Nandini Saxena"/>
    <x v="4"/>
    <s v="Sports"/>
    <s v="Yoga Mat"/>
    <n v="1"/>
    <n v="699"/>
    <n v="699"/>
    <n v="15"/>
    <n v="104.85"/>
    <n v="594.15"/>
    <s v="Credit Card"/>
    <x v="1"/>
  </r>
  <r>
    <s v="ORD-2027007"/>
    <s v="11 Sat"/>
    <s v="Oct"/>
    <s v="2025"/>
    <s v="CUST-1356"/>
    <s v="Isha Verma"/>
    <x v="3"/>
    <s v="Beauty"/>
    <s v="Face Wash 100ml"/>
    <n v="3"/>
    <n v="299"/>
    <n v="897"/>
    <n v="10"/>
    <n v="89.7"/>
    <n v="807.3"/>
    <s v="UPI"/>
    <x v="0"/>
  </r>
  <r>
    <s v="ORD-2027008"/>
    <s v="11 Sat"/>
    <s v="Oct"/>
    <s v="2025"/>
    <s v="CUST-1191"/>
    <s v="Nandini Malhotra"/>
    <x v="1"/>
    <s v="Groceries"/>
    <s v="Organic Honey 500g"/>
    <n v="3"/>
    <n v="349"/>
    <n v="1047"/>
    <n v="0"/>
    <n v="0"/>
    <n v="1047"/>
    <s v="Net Banking"/>
    <x v="0"/>
  </r>
  <r>
    <s v="ORD-2027009"/>
    <s v="11 Sat"/>
    <s v="Oct"/>
    <s v="2025"/>
    <s v="CUST-1090"/>
    <s v="Aarav Joshi"/>
    <x v="0"/>
    <s v="Electronics"/>
    <s v="Wireless Mouse"/>
    <n v="2"/>
    <n v="599"/>
    <n v="1198"/>
    <n v="5"/>
    <n v="59.9"/>
    <n v="1138.0999999999999"/>
    <s v="Credit Card"/>
    <x v="0"/>
  </r>
  <r>
    <s v="ORD-2027010"/>
    <s v="11 Sat"/>
    <s v="Oct"/>
    <s v="2025"/>
    <s v="CUST-1253"/>
    <s v="Swati Malhotra"/>
    <x v="3"/>
    <s v="Stationery"/>
    <s v="Notebook Set"/>
    <n v="1"/>
    <n v="199"/>
    <n v="199"/>
    <n v="15"/>
    <n v="29.85"/>
    <n v="169.15"/>
    <s v="Debit Card"/>
    <x v="0"/>
  </r>
  <r>
    <s v="ORD-2027011"/>
    <s v="11 Sat"/>
    <s v="Oct"/>
    <s v="2025"/>
    <s v="CUST-1159"/>
    <s v="Isha Kapoor"/>
    <x v="3"/>
    <s v="Stationery"/>
    <s v="Notebook Set"/>
    <n v="3"/>
    <n v="199"/>
    <n v="597"/>
    <n v="10"/>
    <n v="59.7"/>
    <n v="537.29999999999995"/>
    <s v="Credit Card"/>
    <x v="0"/>
  </r>
  <r>
    <s v="ORD-2027012"/>
    <s v="11 Sat"/>
    <s v="Oct"/>
    <s v="2025"/>
    <s v="CUST-1137"/>
    <s v="Nandini Kapoor"/>
    <x v="3"/>
    <s v="Stationery"/>
    <s v="Notebook Set"/>
    <n v="2"/>
    <n v="199"/>
    <n v="398"/>
    <n v="15"/>
    <n v="59.7"/>
    <n v="338.3"/>
    <s v="Cash"/>
    <x v="1"/>
  </r>
  <r>
    <s v="ORD-2027013"/>
    <s v="11 Sat"/>
    <s v="Oct"/>
    <s v="2025"/>
    <s v="CUST-1118"/>
    <s v="Sakshi Malhotra"/>
    <x v="4"/>
    <s v="Stationery"/>
    <s v="Notebook Set"/>
    <n v="1"/>
    <n v="199"/>
    <n v="199"/>
    <n v="10"/>
    <n v="19.899999999999999"/>
    <n v="179.1"/>
    <s v="UPI"/>
    <x v="1"/>
  </r>
  <r>
    <s v="ORD-2027014"/>
    <s v="11 Sat"/>
    <s v="Oct"/>
    <s v="2025"/>
    <s v="CUST-1143"/>
    <s v="Muskan Saxena"/>
    <x v="2"/>
    <s v="Groceries"/>
    <s v="Basmati Rice 5kg"/>
    <n v="2"/>
    <n v="549"/>
    <n v="1098"/>
    <n v="25"/>
    <n v="274.5"/>
    <n v="823.5"/>
    <s v="Credit Card"/>
    <x v="0"/>
  </r>
  <r>
    <s v="ORD-2027015"/>
    <s v="11 Sat"/>
    <s v="Oct"/>
    <s v="2025"/>
    <s v="CUST-1155"/>
    <s v="Aman Saxena"/>
    <x v="1"/>
    <s v="Electronics"/>
    <s v="Smartwatch"/>
    <n v="2"/>
    <n v="2999"/>
    <n v="5998"/>
    <n v="10"/>
    <n v="599.79999999999995"/>
    <n v="5398.2"/>
    <s v="Cash"/>
    <x v="0"/>
  </r>
  <r>
    <s v="ORD-2027016"/>
    <s v="11 Sat"/>
    <s v="Oct"/>
    <s v="2025"/>
    <s v="CUST-1220"/>
    <s v="Aditya Kapoor"/>
    <x v="4"/>
    <s v="Electronics"/>
    <s v="Wireless Mouse"/>
    <n v="2"/>
    <n v="599"/>
    <n v="1198"/>
    <n v="20"/>
    <n v="239.6"/>
    <n v="958.4"/>
    <s v="Net Banking"/>
    <x v="0"/>
  </r>
  <r>
    <s v="ORD-2027017"/>
    <s v="12 Sun"/>
    <s v="Oct"/>
    <s v="2025"/>
    <s v="CUST-1260"/>
    <s v="Ankit Verma"/>
    <x v="2"/>
    <s v="Apparel"/>
    <s v="Cotton T-Shirt"/>
    <n v="4"/>
    <n v="499"/>
    <n v="1996"/>
    <n v="0"/>
    <n v="0"/>
    <n v="1996"/>
    <s v="Credit Card"/>
    <x v="1"/>
  </r>
  <r>
    <s v="ORD-2027018"/>
    <s v="12 Sun"/>
    <s v="Oct"/>
    <s v="2025"/>
    <s v="CUST-1069"/>
    <s v="Kabir Joshi"/>
    <x v="0"/>
    <s v="Sports"/>
    <s v="Yoga Mat"/>
    <n v="1"/>
    <n v="699"/>
    <n v="699"/>
    <n v="30"/>
    <n v="209.7"/>
    <n v="489.3"/>
    <s v="Debit Card"/>
    <x v="0"/>
  </r>
  <r>
    <s v="ORD-2027019"/>
    <s v="12 Sun"/>
    <s v="Oct"/>
    <s v="2025"/>
    <s v="CUST-1224"/>
    <s v="Swati Verma"/>
    <x v="4"/>
    <s v="Sports"/>
    <s v="Cricket Bat"/>
    <n v="1"/>
    <n v="1499"/>
    <n v="1499"/>
    <n v="30"/>
    <n v="449.7"/>
    <n v="1049.3"/>
    <s v="UPI"/>
    <x v="0"/>
  </r>
  <r>
    <s v="ORD-2027020"/>
    <s v="12 Sun"/>
    <s v="Oct"/>
    <s v="2025"/>
    <s v="CUST-1055"/>
    <s v="Rohan Saxena"/>
    <x v="0"/>
    <s v="Sports"/>
    <s v="Yoga Mat"/>
    <n v="1"/>
    <n v="699"/>
    <n v="699"/>
    <n v="0"/>
    <n v="0"/>
    <n v="699"/>
    <s v="Credit Card"/>
    <x v="0"/>
  </r>
  <r>
    <s v="ORD-2027021"/>
    <s v="12 Sun"/>
    <s v="Oct"/>
    <s v="2025"/>
    <s v="CUST-1204"/>
    <s v="Meera Mehta"/>
    <x v="3"/>
    <s v="Home &amp; Kitchen"/>
    <s v="LED Desk Lamp"/>
    <n v="1"/>
    <n v="799"/>
    <n v="799"/>
    <n v="30"/>
    <n v="239.7"/>
    <n v="559.29999999999995"/>
    <s v="Debit Card"/>
    <x v="1"/>
  </r>
  <r>
    <s v="ORD-2027022"/>
    <s v="12 Sun"/>
    <s v="Oct"/>
    <s v="2025"/>
    <s v="CUST-1152"/>
    <s v="Kabir Gupta"/>
    <x v="3"/>
    <s v="Apparel"/>
    <s v="Denim Jacket"/>
    <n v="2"/>
    <n v="1999"/>
    <n v="3998"/>
    <n v="0"/>
    <n v="0"/>
    <n v="3998"/>
    <s v="UPI"/>
    <x v="0"/>
  </r>
  <r>
    <s v="ORD-2027023"/>
    <s v="12 Sun"/>
    <s v="Oct"/>
    <s v="2025"/>
    <s v="CUST-1090"/>
    <s v="Aarav Joshi"/>
    <x v="0"/>
    <s v="Stationery"/>
    <s v="Notebook Set"/>
    <n v="2"/>
    <n v="199"/>
    <n v="398"/>
    <n v="30"/>
    <n v="119.4"/>
    <n v="278.60000000000002"/>
    <s v="Debit Card"/>
    <x v="0"/>
  </r>
  <r>
    <s v="ORD-2027024"/>
    <s v="12 Sun"/>
    <s v="Oct"/>
    <s v="2025"/>
    <s v="CUST-1336"/>
    <s v="Arjun Singh"/>
    <x v="1"/>
    <s v="Beauty"/>
    <s v="Herbal Shampoo"/>
    <n v="1"/>
    <n v="249"/>
    <n v="249"/>
    <n v="5"/>
    <n v="12.45"/>
    <n v="236.55"/>
    <s v="Debit Card"/>
    <x v="1"/>
  </r>
  <r>
    <s v="ORD-2027025"/>
    <s v="12 Sun"/>
    <s v="Oct"/>
    <s v="2025"/>
    <s v="CUST-1334"/>
    <s v="Kunal Singh"/>
    <x v="3"/>
    <s v="Home &amp; Kitchen"/>
    <s v="Non-stick Pan Set"/>
    <n v="4"/>
    <n v="1299"/>
    <n v="5196"/>
    <n v="15"/>
    <n v="779.4"/>
    <n v="4416.6000000000004"/>
    <s v="UPI"/>
    <x v="0"/>
  </r>
  <r>
    <s v="ORD-2027026"/>
    <s v="12 Sun"/>
    <s v="Oct"/>
    <s v="2025"/>
    <s v="CUST-1293"/>
    <s v="Sakshi Singh"/>
    <x v="4"/>
    <s v="Apparel"/>
    <s v="Cotton T-Shirt"/>
    <n v="3"/>
    <n v="499"/>
    <n v="1497"/>
    <n v="10"/>
    <n v="149.69999999999999"/>
    <n v="1347.3"/>
    <s v="Cash"/>
    <x v="0"/>
  </r>
  <r>
    <s v="ORD-2027027"/>
    <s v="12 Sun"/>
    <s v="Oct"/>
    <s v="2025"/>
    <s v="CUST-1153"/>
    <s v="Swati Verma"/>
    <x v="4"/>
    <s v="Electronics"/>
    <s v="Bluetooth Headphones"/>
    <n v="1"/>
    <n v="1799"/>
    <n v="1799"/>
    <n v="20"/>
    <n v="359.8"/>
    <n v="1439.2"/>
    <s v="Debit Card"/>
    <x v="0"/>
  </r>
  <r>
    <s v="ORD-2027028"/>
    <s v="12 Sun"/>
    <s v="Oct"/>
    <s v="2025"/>
    <s v="CUST-1178"/>
    <s v="Komal Sharma"/>
    <x v="2"/>
    <s v="Sports"/>
    <s v="Cricket Bat"/>
    <n v="1"/>
    <n v="1499"/>
    <n v="1499"/>
    <n v="10"/>
    <n v="149.9"/>
    <n v="1349.1"/>
    <s v="Debit Card"/>
    <x v="1"/>
  </r>
  <r>
    <s v="ORD-2027029"/>
    <s v="12 Sun"/>
    <s v="Oct"/>
    <s v="2025"/>
    <s v="CUST-1176"/>
    <s v="Meera Sharma"/>
    <x v="1"/>
    <s v="Apparel"/>
    <s v="Cotton T-Shirt"/>
    <n v="3"/>
    <n v="499"/>
    <n v="1497"/>
    <n v="0"/>
    <n v="0"/>
    <n v="1497"/>
    <s v="Debit Card"/>
    <x v="0"/>
  </r>
  <r>
    <s v="ORD-2027030"/>
    <s v="12 Sun"/>
    <s v="Oct"/>
    <s v="2025"/>
    <s v="CUST-1072"/>
    <s v="Tanya Sharma"/>
    <x v="4"/>
    <s v="Electronics"/>
    <s v="Bluetooth Headphones"/>
    <n v="4"/>
    <n v="1799"/>
    <n v="7196"/>
    <n v="10"/>
    <n v="719.6"/>
    <n v="6476.4"/>
    <s v="UPI"/>
    <x v="0"/>
  </r>
  <r>
    <s v="ORD-2027031"/>
    <s v="12 Sun"/>
    <s v="Oct"/>
    <s v="2025"/>
    <s v="CUST-1132"/>
    <s v="Shreya Sharma"/>
    <x v="3"/>
    <s v="Electronics"/>
    <s v="Bluetooth Headphones"/>
    <n v="1"/>
    <n v="1799"/>
    <n v="1799"/>
    <n v="25"/>
    <n v="449.75"/>
    <n v="1349.25"/>
    <s v="Debit Card"/>
    <x v="0"/>
  </r>
  <r>
    <s v="ORD-2027032"/>
    <s v="12 Sun"/>
    <s v="Oct"/>
    <s v="2025"/>
    <s v="CUST-1227"/>
    <s v="Rohan Joshi"/>
    <x v="4"/>
    <s v="Electronics"/>
    <s v="Smartwatch"/>
    <n v="1"/>
    <n v="2999"/>
    <n v="2999"/>
    <n v="25"/>
    <n v="749.75"/>
    <n v="2249.25"/>
    <s v="UPI"/>
    <x v="0"/>
  </r>
  <r>
    <s v="ORD-2027033"/>
    <s v="13 Mon"/>
    <s v="Oct"/>
    <s v="2025"/>
    <s v="CUST-1290"/>
    <s v="Kabir Mehta"/>
    <x v="0"/>
    <s v="Home &amp; Kitchen"/>
    <s v="LED Desk Lamp"/>
    <n v="2"/>
    <n v="799"/>
    <n v="1598"/>
    <n v="25"/>
    <n v="399.5"/>
    <n v="1198.5"/>
    <s v="Cash"/>
    <x v="1"/>
  </r>
  <r>
    <s v="ORD-2027034"/>
    <s v="13 Mon"/>
    <s v="Oct"/>
    <s v="2025"/>
    <s v="CUST-1175"/>
    <s v="Vivaan Kapoor"/>
    <x v="0"/>
    <s v="Apparel"/>
    <s v="Cotton T-Shirt"/>
    <n v="1"/>
    <n v="499"/>
    <n v="499"/>
    <n v="15"/>
    <n v="74.849999999999994"/>
    <n v="424.15"/>
    <s v="Credit Card"/>
    <x v="0"/>
  </r>
  <r>
    <s v="ORD-2027035"/>
    <s v="13 Mon"/>
    <s v="Oct"/>
    <s v="2025"/>
    <s v="CUST-1266"/>
    <s v="Vivaan Kapoor"/>
    <x v="3"/>
    <s v="Apparel"/>
    <s v="Formal Shirt"/>
    <n v="4"/>
    <n v="899"/>
    <n v="3596"/>
    <n v="20"/>
    <n v="719.2"/>
    <n v="2876.8"/>
    <s v="UPI"/>
    <x v="1"/>
  </r>
  <r>
    <s v="ORD-2027036"/>
    <s v="13 Mon"/>
    <s v="Oct"/>
    <s v="2025"/>
    <s v="CUST-1098"/>
    <s v="Rohan Patel"/>
    <x v="4"/>
    <s v="Apparel"/>
    <s v="Denim Jacket"/>
    <n v="1"/>
    <n v="1999"/>
    <n v="1999"/>
    <n v="25"/>
    <n v="499.75"/>
    <n v="1499.25"/>
    <s v="Debit Card"/>
    <x v="0"/>
  </r>
  <r>
    <s v="ORD-2027037"/>
    <s v="13 Mon"/>
    <s v="Oct"/>
    <s v="2025"/>
    <s v="CUST-1258"/>
    <s v="Muskan Joshi"/>
    <x v="1"/>
    <s v="Groceries"/>
    <s v="Basmati Rice 5kg"/>
    <n v="2"/>
    <n v="549"/>
    <n v="1098"/>
    <n v="10"/>
    <n v="109.8"/>
    <n v="988.2"/>
    <s v="UPI"/>
    <x v="0"/>
  </r>
  <r>
    <s v="ORD-2027038"/>
    <s v="13 Mon"/>
    <s v="Oct"/>
    <s v="2025"/>
    <s v="CUST-1381"/>
    <s v="Kabir Kapoor"/>
    <x v="0"/>
    <s v="Stationery"/>
    <s v="Gel Pen Pack"/>
    <n v="2"/>
    <n v="99"/>
    <n v="198"/>
    <n v="20"/>
    <n v="39.6"/>
    <n v="158.4"/>
    <s v="Credit Card"/>
    <x v="1"/>
  </r>
  <r>
    <s v="ORD-2027039"/>
    <s v="13 Mon"/>
    <s v="Oct"/>
    <s v="2025"/>
    <s v="CUST-1001"/>
    <s v="Rohan Patel"/>
    <x v="1"/>
    <s v="Beauty"/>
    <s v="Face Wash 100ml"/>
    <n v="3"/>
    <n v="299"/>
    <n v="897"/>
    <n v="0"/>
    <n v="0"/>
    <n v="897"/>
    <s v="Cash"/>
    <x v="1"/>
  </r>
  <r>
    <s v="ORD-2027040"/>
    <s v="13 Mon"/>
    <s v="Oct"/>
    <s v="2025"/>
    <s v="CUST-1240"/>
    <s v="Sakshi Patel"/>
    <x v="4"/>
    <s v="Sports"/>
    <s v="Yoga Mat"/>
    <n v="2"/>
    <n v="699"/>
    <n v="1398"/>
    <n v="5"/>
    <n v="69.900000000000006"/>
    <n v="1328.1"/>
    <s v="Debit Card"/>
    <x v="1"/>
  </r>
  <r>
    <s v="ORD-2027041"/>
    <s v="14 Tue"/>
    <s v="Oct"/>
    <s v="2025"/>
    <s v="CUST-1158"/>
    <s v="Shreya Singh"/>
    <x v="0"/>
    <s v="Stationery"/>
    <s v="Notebook Set"/>
    <n v="3"/>
    <n v="199"/>
    <n v="597"/>
    <n v="20"/>
    <n v="119.4"/>
    <n v="477.6"/>
    <s v="Credit Card"/>
    <x v="0"/>
  </r>
  <r>
    <s v="ORD-2027042"/>
    <s v="14 Tue"/>
    <s v="Oct"/>
    <s v="2025"/>
    <s v="CUST-1075"/>
    <s v="Divya Patel"/>
    <x v="2"/>
    <s v="Apparel"/>
    <s v="Denim Jacket"/>
    <n v="3"/>
    <n v="1999"/>
    <n v="5997"/>
    <n v="5"/>
    <n v="299.85000000000002"/>
    <n v="5697.15"/>
    <s v="Debit Card"/>
    <x v="1"/>
  </r>
  <r>
    <s v="ORD-2027043"/>
    <s v="14 Tue"/>
    <s v="Oct"/>
    <s v="2025"/>
    <s v="CUST-1330"/>
    <s v="Nandini Gupta"/>
    <x v="1"/>
    <s v="Home &amp; Kitchen"/>
    <s v="Non-stick Pan Set"/>
    <n v="1"/>
    <n v="1299"/>
    <n v="1299"/>
    <n v="0"/>
    <n v="0"/>
    <n v="1299"/>
    <s v="Debit Card"/>
    <x v="1"/>
  </r>
  <r>
    <s v="ORD-2027044"/>
    <s v="14 Tue"/>
    <s v="Oct"/>
    <s v="2025"/>
    <s v="CUST-1284"/>
    <s v="Arjun Kapoor"/>
    <x v="1"/>
    <s v="Apparel"/>
    <s v="Denim Jacket"/>
    <n v="2"/>
    <n v="1999"/>
    <n v="3998"/>
    <n v="30"/>
    <n v="1199.4000000000001"/>
    <n v="2798.6"/>
    <s v="UPI"/>
    <x v="1"/>
  </r>
  <r>
    <s v="ORD-2027045"/>
    <s v="14 Tue"/>
    <s v="Oct"/>
    <s v="2025"/>
    <s v="CUST-1066"/>
    <s v="Kunal Verma"/>
    <x v="4"/>
    <s v="Electronics"/>
    <s v="Smartwatch"/>
    <n v="2"/>
    <n v="2999"/>
    <n v="5998"/>
    <n v="20"/>
    <n v="1199.5999999999999"/>
    <n v="4798.3999999999996"/>
    <s v="Cash"/>
    <x v="0"/>
  </r>
  <r>
    <s v="ORD-2027046"/>
    <s v="14 Tue"/>
    <s v="Oct"/>
    <s v="2025"/>
    <s v="CUST-1280"/>
    <s v="Muskan Kapoor"/>
    <x v="3"/>
    <s v="Apparel"/>
    <s v="Formal Shirt"/>
    <n v="2"/>
    <n v="899"/>
    <n v="1798"/>
    <n v="10"/>
    <n v="179.8"/>
    <n v="1618.2"/>
    <s v="UPI"/>
    <x v="0"/>
  </r>
  <r>
    <s v="ORD-2027047"/>
    <s v="14 Tue"/>
    <s v="Oct"/>
    <s v="2025"/>
    <s v="CUST-1362"/>
    <s v="Shreya Malhotra"/>
    <x v="1"/>
    <s v="Sports"/>
    <s v="Yoga Mat"/>
    <n v="2"/>
    <n v="699"/>
    <n v="1398"/>
    <n v="15"/>
    <n v="209.7"/>
    <n v="1188.3"/>
    <s v="UPI"/>
    <x v="0"/>
  </r>
  <r>
    <s v="ORD-2027048"/>
    <s v="14 Tue"/>
    <s v="Oct"/>
    <s v="2025"/>
    <s v="CUST-1019"/>
    <s v="Aarav Joshi"/>
    <x v="0"/>
    <s v="Beauty"/>
    <s v="Face Wash 100ml"/>
    <n v="2"/>
    <n v="299"/>
    <n v="598"/>
    <n v="0"/>
    <n v="0"/>
    <n v="598"/>
    <s v="UPI"/>
    <x v="0"/>
  </r>
  <r>
    <s v="ORD-2027049"/>
    <s v="14 Tue"/>
    <s v="Oct"/>
    <s v="2025"/>
    <s v="CUST-1301"/>
    <s v="Shreya Sharma"/>
    <x v="3"/>
    <s v="Sports"/>
    <s v="Yoga Mat"/>
    <n v="1"/>
    <n v="699"/>
    <n v="699"/>
    <n v="0"/>
    <n v="0"/>
    <n v="699"/>
    <s v="UPI"/>
    <x v="1"/>
  </r>
  <r>
    <s v="ORD-2027050"/>
    <s v="14 Tue"/>
    <s v="Oct"/>
    <s v="2025"/>
    <s v="CUST-1285"/>
    <s v="Ankit Joshi"/>
    <x v="3"/>
    <s v="Electronics"/>
    <s v="Smartwatch"/>
    <n v="1"/>
    <n v="2999"/>
    <n v="2999"/>
    <n v="15"/>
    <n v="449.85"/>
    <n v="2549.15"/>
    <s v="Debit Card"/>
    <x v="0"/>
  </r>
  <r>
    <s v="ORD-2027051"/>
    <s v="14 Tue"/>
    <s v="Oct"/>
    <s v="2025"/>
    <s v="CUST-1264"/>
    <s v="Vivaan Malhotra"/>
    <x v="4"/>
    <s v="Beauty"/>
    <s v="Herbal Shampoo"/>
    <n v="1"/>
    <n v="249"/>
    <n v="249"/>
    <n v="10"/>
    <n v="24.9"/>
    <n v="224.1"/>
    <s v="Cash"/>
    <x v="1"/>
  </r>
  <r>
    <s v="ORD-2027052"/>
    <s v="14 Tue"/>
    <s v="Oct"/>
    <s v="2025"/>
    <s v="CUST-1067"/>
    <s v="Nandini Gupta"/>
    <x v="1"/>
    <s v="Electronics"/>
    <s v="Wireless Mouse"/>
    <n v="1"/>
    <n v="599"/>
    <n v="599"/>
    <n v="25"/>
    <n v="149.75"/>
    <n v="449.25"/>
    <s v="UPI"/>
    <x v="0"/>
  </r>
  <r>
    <s v="ORD-2027053"/>
    <s v="14 Tue"/>
    <s v="Oct"/>
    <s v="2025"/>
    <s v="CUST-1362"/>
    <s v="Shreya Malhotra"/>
    <x v="3"/>
    <s v="Apparel"/>
    <s v="Denim Jacket"/>
    <n v="1"/>
    <n v="1999"/>
    <n v="1999"/>
    <n v="5"/>
    <n v="99.95"/>
    <n v="1899.05"/>
    <s v="Credit Card"/>
    <x v="0"/>
  </r>
  <r>
    <s v="ORD-2027054"/>
    <s v="14 Tue"/>
    <s v="Oct"/>
    <s v="2025"/>
    <s v="CUST-1049"/>
    <s v="Kunal Gupta"/>
    <x v="4"/>
    <s v="Stationery"/>
    <s v="Gel Pen Pack"/>
    <n v="1"/>
    <n v="99"/>
    <n v="99"/>
    <n v="5"/>
    <n v="4.95"/>
    <n v="94.05"/>
    <s v="Credit Card"/>
    <x v="1"/>
  </r>
  <r>
    <s v="ORD-2027055"/>
    <s v="14 Tue"/>
    <s v="Oct"/>
    <s v="2025"/>
    <s v="CUST-1334"/>
    <s v="Kunal Singh"/>
    <x v="0"/>
    <s v="Electronics"/>
    <s v="Smartwatch"/>
    <n v="1"/>
    <n v="2999"/>
    <n v="2999"/>
    <n v="0"/>
    <n v="0"/>
    <n v="2999"/>
    <s v="UPI"/>
    <x v="0"/>
  </r>
  <r>
    <s v="ORD-2027056"/>
    <s v="14 Tue"/>
    <s v="Oct"/>
    <s v="2025"/>
    <s v="CUST-1106"/>
    <s v="Ankit Saxena"/>
    <x v="1"/>
    <s v="Electronics"/>
    <s v="Bluetooth Headphones"/>
    <n v="4"/>
    <n v="1799"/>
    <n v="7196"/>
    <n v="0"/>
    <n v="0"/>
    <n v="7196"/>
    <s v="Credit Card"/>
    <x v="0"/>
  </r>
  <r>
    <s v="ORD-2027057"/>
    <s v="15 Wed"/>
    <s v="Oct"/>
    <s v="2025"/>
    <s v="CUST-1011"/>
    <s v="Kunal Sharma"/>
    <x v="2"/>
    <s v="Home &amp; Kitchen"/>
    <s v="LED Desk Lamp"/>
    <n v="1"/>
    <n v="799"/>
    <n v="799"/>
    <n v="0"/>
    <n v="0"/>
    <n v="799"/>
    <s v="Credit Card"/>
    <x v="1"/>
  </r>
  <r>
    <s v="ORD-2027058"/>
    <s v="15 Wed"/>
    <s v="Oct"/>
    <s v="2025"/>
    <s v="CUST-1156"/>
    <s v="Nandini Joshi"/>
    <x v="1"/>
    <s v="Stationery"/>
    <s v="Notebook Set"/>
    <n v="1"/>
    <n v="199"/>
    <n v="199"/>
    <n v="0"/>
    <n v="0"/>
    <n v="199"/>
    <s v="Credit Card"/>
    <x v="0"/>
  </r>
  <r>
    <s v="ORD-2027059"/>
    <s v="15 Wed"/>
    <s v="Oct"/>
    <s v="2025"/>
    <s v="CUST-1328"/>
    <s v="Arjun Verma"/>
    <x v="4"/>
    <s v="Groceries"/>
    <s v="Basmati Rice 5kg"/>
    <n v="3"/>
    <n v="549"/>
    <n v="1647"/>
    <n v="25"/>
    <n v="411.75"/>
    <n v="1235.25"/>
    <s v="Credit Card"/>
    <x v="0"/>
  </r>
  <r>
    <s v="ORD-2027060"/>
    <s v="15 Wed"/>
    <s v="Oct"/>
    <s v="2025"/>
    <s v="CUST-1009"/>
    <s v="Shreya Gupta"/>
    <x v="3"/>
    <s v="Sports"/>
    <s v="Yoga Mat"/>
    <n v="2"/>
    <n v="699"/>
    <n v="1398"/>
    <n v="30"/>
    <n v="419.4"/>
    <n v="978.6"/>
    <s v="Net Banking"/>
    <x v="1"/>
  </r>
  <r>
    <s v="ORD-2027061"/>
    <s v="15 Wed"/>
    <s v="Oct"/>
    <s v="2025"/>
    <s v="CUST-1279"/>
    <s v="Tanya Kapoor"/>
    <x v="2"/>
    <s v="Home &amp; Kitchen"/>
    <s v="Non-stick Pan Set"/>
    <n v="2"/>
    <n v="1299"/>
    <n v="2598"/>
    <n v="0"/>
    <n v="0"/>
    <n v="2598"/>
    <s v="Credit Card"/>
    <x v="1"/>
  </r>
  <r>
    <s v="ORD-2027062"/>
    <s v="15 Wed"/>
    <s v="Oct"/>
    <s v="2025"/>
    <s v="CUST-1387"/>
    <s v="Rohan Patel"/>
    <x v="0"/>
    <s v="Apparel"/>
    <s v="Denim Jacket"/>
    <n v="1"/>
    <n v="1999"/>
    <n v="1999"/>
    <n v="25"/>
    <n v="499.75"/>
    <n v="1499.25"/>
    <s v="Debit Card"/>
    <x v="0"/>
  </r>
  <r>
    <s v="ORD-2027063"/>
    <s v="15 Wed"/>
    <s v="Oct"/>
    <s v="2025"/>
    <s v="CUST-1184"/>
    <s v="Rahul Joshi"/>
    <x v="3"/>
    <s v="Groceries"/>
    <s v="Basmati Rice 5kg"/>
    <n v="1"/>
    <n v="549"/>
    <n v="549"/>
    <n v="30"/>
    <n v="164.7"/>
    <n v="384.3"/>
    <s v="Credit Card"/>
    <x v="1"/>
  </r>
  <r>
    <s v="ORD-2027064"/>
    <s v="16 Thu"/>
    <s v="Oct"/>
    <s v="2025"/>
    <s v="CUST-1329"/>
    <s v="Swati Gupta"/>
    <x v="0"/>
    <s v="Stationery"/>
    <s v="Notebook Set"/>
    <n v="1"/>
    <n v="199"/>
    <n v="199"/>
    <n v="10"/>
    <n v="19.899999999999999"/>
    <n v="179.1"/>
    <s v="Net Banking"/>
    <x v="0"/>
  </r>
  <r>
    <s v="ORD-2027065"/>
    <s v="16 Thu"/>
    <s v="Oct"/>
    <s v="2025"/>
    <s v="CUST-1241"/>
    <s v="Rahul Singh"/>
    <x v="0"/>
    <s v="Beauty"/>
    <s v="Herbal Shampoo"/>
    <n v="2"/>
    <n v="249"/>
    <n v="498"/>
    <n v="10"/>
    <n v="49.8"/>
    <n v="448.2"/>
    <s v="Debit Card"/>
    <x v="0"/>
  </r>
  <r>
    <s v="ORD-2027066"/>
    <s v="16 Thu"/>
    <s v="Oct"/>
    <s v="2025"/>
    <s v="CUST-1028"/>
    <s v="Swati Joshi"/>
    <x v="0"/>
    <s v="Home &amp; Kitchen"/>
    <s v="LED Desk Lamp"/>
    <n v="2"/>
    <n v="799"/>
    <n v="1598"/>
    <n v="20"/>
    <n v="319.60000000000002"/>
    <n v="1278.4000000000001"/>
    <s v="UPI"/>
    <x v="0"/>
  </r>
  <r>
    <s v="ORD-2027067"/>
    <s v="16 Thu"/>
    <s v="Oct"/>
    <s v="2025"/>
    <s v="CUST-1168"/>
    <s v="Nandini Joshi"/>
    <x v="2"/>
    <s v="Beauty"/>
    <s v="Herbal Shampoo"/>
    <n v="1"/>
    <n v="249"/>
    <n v="249"/>
    <n v="15"/>
    <n v="37.35"/>
    <n v="211.65"/>
    <s v="Net Banking"/>
    <x v="1"/>
  </r>
  <r>
    <s v="ORD-2027068"/>
    <s v="16 Thu"/>
    <s v="Oct"/>
    <s v="2025"/>
    <s v="CUST-1016"/>
    <s v="Arjun Kapoor"/>
    <x v="1"/>
    <s v="Home &amp; Kitchen"/>
    <s v="Non-stick Pan Set"/>
    <n v="5"/>
    <n v="1299"/>
    <n v="6495"/>
    <n v="20"/>
    <n v="1299"/>
    <n v="5196"/>
    <s v="UPI"/>
    <x v="1"/>
  </r>
  <r>
    <s v="ORD-2027069"/>
    <s v="16 Thu"/>
    <s v="Oct"/>
    <s v="2025"/>
    <s v="CUST-1169"/>
    <s v="Nandini Patel"/>
    <x v="2"/>
    <s v="Beauty"/>
    <s v="Face Wash 100ml"/>
    <n v="4"/>
    <n v="299"/>
    <n v="1196"/>
    <n v="0"/>
    <n v="0"/>
    <n v="1196"/>
    <s v="Net Banking"/>
    <x v="0"/>
  </r>
  <r>
    <s v="ORD-2027070"/>
    <s v="16 Thu"/>
    <s v="Oct"/>
    <s v="2025"/>
    <s v="CUST-1310"/>
    <s v="Meera Patel"/>
    <x v="2"/>
    <s v="Stationery"/>
    <s v="Gel Pen Pack"/>
    <n v="2"/>
    <n v="99"/>
    <n v="198"/>
    <n v="10"/>
    <n v="19.8"/>
    <n v="178.2"/>
    <s v="Net Banking"/>
    <x v="0"/>
  </r>
  <r>
    <s v="ORD-2027071"/>
    <s v="16 Thu"/>
    <s v="Oct"/>
    <s v="2025"/>
    <s v="CUST-1247"/>
    <s v="Meera Malhotra"/>
    <x v="3"/>
    <s v="Apparel"/>
    <s v="Formal Shirt"/>
    <n v="1"/>
    <n v="899"/>
    <n v="899"/>
    <n v="0"/>
    <n v="0"/>
    <n v="899"/>
    <s v="Cash"/>
    <x v="1"/>
  </r>
  <r>
    <s v="ORD-2027072"/>
    <s v="16 Thu"/>
    <s v="Oct"/>
    <s v="2025"/>
    <s v="CUST-1190"/>
    <s v="Rahul Patel"/>
    <x v="2"/>
    <s v="Sports"/>
    <s v="Yoga Mat"/>
    <n v="1"/>
    <n v="699"/>
    <n v="699"/>
    <n v="15"/>
    <n v="104.85"/>
    <n v="594.15"/>
    <s v="Debit Card"/>
    <x v="1"/>
  </r>
  <r>
    <s v="ORD-2027073"/>
    <s v="16 Thu"/>
    <s v="Oct"/>
    <s v="2025"/>
    <s v="CUST-1148"/>
    <s v="Nandini Malhotra"/>
    <x v="1"/>
    <s v="Beauty"/>
    <s v="Face Wash 100ml"/>
    <n v="1"/>
    <n v="299"/>
    <n v="299"/>
    <n v="5"/>
    <n v="14.95"/>
    <n v="284.05"/>
    <s v="UPI"/>
    <x v="1"/>
  </r>
  <r>
    <s v="ORD-2027074"/>
    <s v="16 Thu"/>
    <s v="Oct"/>
    <s v="2025"/>
    <s v="CUST-1306"/>
    <s v="Sakshi Malhotra"/>
    <x v="2"/>
    <s v="Apparel"/>
    <s v="Formal Shirt"/>
    <n v="1"/>
    <n v="899"/>
    <n v="899"/>
    <n v="20"/>
    <n v="179.8"/>
    <n v="719.2"/>
    <s v="Credit Card"/>
    <x v="0"/>
  </r>
  <r>
    <s v="ORD-2027075"/>
    <s v="17 Fri"/>
    <s v="Oct"/>
    <s v="2025"/>
    <s v="CUST-1168"/>
    <s v="Nandini Joshi"/>
    <x v="1"/>
    <s v="Sports"/>
    <s v="Cricket Bat"/>
    <n v="1"/>
    <n v="1499"/>
    <n v="1499"/>
    <n v="5"/>
    <n v="74.95"/>
    <n v="1424.05"/>
    <s v="UPI"/>
    <x v="0"/>
  </r>
  <r>
    <s v="ORD-2027076"/>
    <s v="17 Fri"/>
    <s v="Oct"/>
    <s v="2025"/>
    <s v="CUST-1046"/>
    <s v="Rohan Kapoor"/>
    <x v="0"/>
    <s v="Groceries"/>
    <s v="Basmati Rice 5kg"/>
    <n v="3"/>
    <n v="549"/>
    <n v="1647"/>
    <n v="20"/>
    <n v="329.4"/>
    <n v="1317.6"/>
    <s v="UPI"/>
    <x v="0"/>
  </r>
  <r>
    <s v="ORD-2027077"/>
    <s v="17 Fri"/>
    <s v="Oct"/>
    <s v="2025"/>
    <s v="CUST-1320"/>
    <s v="Ankit Kapoor"/>
    <x v="2"/>
    <s v="Stationery"/>
    <s v="Gel Pen Pack"/>
    <n v="1"/>
    <n v="99"/>
    <n v="99"/>
    <n v="5"/>
    <n v="4.95"/>
    <n v="94.05"/>
    <s v="UPI"/>
    <x v="0"/>
  </r>
  <r>
    <s v="ORD-2027078"/>
    <s v="17 Fri"/>
    <s v="Oct"/>
    <s v="2025"/>
    <s v="CUST-1331"/>
    <s v="Arjun Singh"/>
    <x v="0"/>
    <s v="Stationery"/>
    <s v="Gel Pen Pack"/>
    <n v="1"/>
    <n v="99"/>
    <n v="99"/>
    <n v="20"/>
    <n v="19.8"/>
    <n v="79.2"/>
    <s v="Debit Card"/>
    <x v="0"/>
  </r>
  <r>
    <s v="ORD-2027079"/>
    <s v="17 Fri"/>
    <s v="Oct"/>
    <s v="2025"/>
    <s v="CUST-1111"/>
    <s v="Swati Joshi"/>
    <x v="2"/>
    <s v="Stationery"/>
    <s v="Notebook Set"/>
    <n v="1"/>
    <n v="199"/>
    <n v="199"/>
    <n v="10"/>
    <n v="19.899999999999999"/>
    <n v="179.1"/>
    <s v="Credit Card"/>
    <x v="0"/>
  </r>
  <r>
    <s v="ORD-2027080"/>
    <s v="17 Fri"/>
    <s v="Oct"/>
    <s v="2025"/>
    <s v="CUST-1349"/>
    <s v="Rohan Mehta"/>
    <x v="0"/>
    <s v="Electronics"/>
    <s v="Smartwatch"/>
    <n v="2"/>
    <n v="2999"/>
    <n v="5998"/>
    <n v="30"/>
    <n v="1799.4"/>
    <n v="4198.6000000000004"/>
    <s v="Cash"/>
    <x v="0"/>
  </r>
  <r>
    <s v="ORD-2027081"/>
    <s v="17 Fri"/>
    <s v="Oct"/>
    <s v="2025"/>
    <s v="CUST-1332"/>
    <s v="Rahul Malhotra"/>
    <x v="2"/>
    <s v="Sports"/>
    <s v="Yoga Mat"/>
    <n v="1"/>
    <n v="699"/>
    <n v="699"/>
    <n v="0"/>
    <n v="0"/>
    <n v="699"/>
    <s v="UPI"/>
    <x v="0"/>
  </r>
  <r>
    <s v="ORD-2027082"/>
    <s v="17 Fri"/>
    <s v="Oct"/>
    <s v="2025"/>
    <s v="CUST-1232"/>
    <s v="Aman Patel"/>
    <x v="3"/>
    <s v="Sports"/>
    <s v="Cricket Bat"/>
    <n v="1"/>
    <n v="1499"/>
    <n v="1499"/>
    <n v="25"/>
    <n v="374.75"/>
    <n v="1124.25"/>
    <s v="Net Banking"/>
    <x v="0"/>
  </r>
  <r>
    <s v="ORD-2027083"/>
    <s v="17 Fri"/>
    <s v="Oct"/>
    <s v="2025"/>
    <s v="CUST-1306"/>
    <s v="Sakshi Malhotra"/>
    <x v="4"/>
    <s v="Sports"/>
    <s v="Yoga Mat"/>
    <n v="2"/>
    <n v="699"/>
    <n v="1398"/>
    <n v="10"/>
    <n v="139.80000000000001"/>
    <n v="1258.2"/>
    <s v="Cash"/>
    <x v="1"/>
  </r>
  <r>
    <s v="ORD-2027084"/>
    <s v="17 Fri"/>
    <s v="Oct"/>
    <s v="2025"/>
    <s v="CUST-1168"/>
    <s v="Nandini Joshi"/>
    <x v="2"/>
    <s v="Beauty"/>
    <s v="Herbal Shampoo"/>
    <n v="1"/>
    <n v="249"/>
    <n v="249"/>
    <n v="30"/>
    <n v="74.7"/>
    <n v="174.3"/>
    <s v="Credit Card"/>
    <x v="0"/>
  </r>
  <r>
    <s v="ORD-2027085"/>
    <s v="17 Fri"/>
    <s v="Oct"/>
    <s v="2025"/>
    <s v="CUST-1185"/>
    <s v="Meera Sharma"/>
    <x v="0"/>
    <s v="Home &amp; Kitchen"/>
    <s v="LED Desk Lamp"/>
    <n v="1"/>
    <n v="799"/>
    <n v="799"/>
    <n v="30"/>
    <n v="239.7"/>
    <n v="559.29999999999995"/>
    <s v="Cash"/>
    <x v="1"/>
  </r>
  <r>
    <s v="ORD-2027086"/>
    <s v="17 Fri"/>
    <s v="Oct"/>
    <s v="2025"/>
    <s v="CUST-1062"/>
    <s v="Tanya Sharma"/>
    <x v="0"/>
    <s v="Sports"/>
    <s v="Yoga Mat"/>
    <n v="3"/>
    <n v="699"/>
    <n v="2097"/>
    <n v="5"/>
    <n v="104.85"/>
    <n v="1992.15"/>
    <s v="Cash"/>
    <x v="0"/>
  </r>
  <r>
    <s v="ORD-2027087"/>
    <s v="17 Fri"/>
    <s v="Oct"/>
    <s v="2025"/>
    <s v="CUST-1355"/>
    <s v="Aditya Joshi"/>
    <x v="3"/>
    <s v="Electronics"/>
    <s v="Smartwatch"/>
    <n v="3"/>
    <n v="2999"/>
    <n v="8997"/>
    <n v="20"/>
    <n v="1799.4"/>
    <n v="7197.6"/>
    <s v="UPI"/>
    <x v="1"/>
  </r>
  <r>
    <s v="ORD-2027088"/>
    <s v="18 Sat"/>
    <s v="Oct"/>
    <s v="2025"/>
    <s v="CUST-1252"/>
    <s v="Arjun Singh"/>
    <x v="1"/>
    <s v="Apparel"/>
    <s v="Formal Shirt"/>
    <n v="1"/>
    <n v="899"/>
    <n v="899"/>
    <n v="5"/>
    <n v="44.95"/>
    <n v="854.05"/>
    <s v="Credit Card"/>
    <x v="0"/>
  </r>
  <r>
    <s v="ORD-2027089"/>
    <s v="18 Sat"/>
    <s v="Oct"/>
    <s v="2025"/>
    <s v="CUST-1291"/>
    <s v="Arjun Saxena"/>
    <x v="1"/>
    <s v="Beauty"/>
    <s v="Herbal Shampoo"/>
    <n v="1"/>
    <n v="249"/>
    <n v="249"/>
    <n v="0"/>
    <n v="0"/>
    <n v="249"/>
    <s v="Cash"/>
    <x v="0"/>
  </r>
  <r>
    <s v="ORD-2027090"/>
    <s v="18 Sat"/>
    <s v="Oct"/>
    <s v="2025"/>
    <s v="CUST-1250"/>
    <s v="Shreya Saxena"/>
    <x v="1"/>
    <s v="Electronics"/>
    <s v="Smartwatch"/>
    <n v="2"/>
    <n v="2999"/>
    <n v="5998"/>
    <n v="5"/>
    <n v="299.89999999999998"/>
    <n v="5698.1"/>
    <s v="Debit Card"/>
    <x v="1"/>
  </r>
  <r>
    <s v="ORD-2027091"/>
    <s v="18 Sat"/>
    <s v="Oct"/>
    <s v="2025"/>
    <s v="CUST-1174"/>
    <s v="Rahul Singh"/>
    <x v="1"/>
    <s v="Stationery"/>
    <s v="Notebook Set"/>
    <n v="4"/>
    <n v="199"/>
    <n v="796"/>
    <n v="25"/>
    <n v="199"/>
    <n v="597"/>
    <s v="Cash"/>
    <x v="0"/>
  </r>
  <r>
    <s v="ORD-2027092"/>
    <s v="18 Sat"/>
    <s v="Oct"/>
    <s v="2025"/>
    <s v="CUST-1032"/>
    <s v="Shreya Mehta"/>
    <x v="0"/>
    <s v="Apparel"/>
    <s v="Denim Jacket"/>
    <n v="3"/>
    <n v="1999"/>
    <n v="5997"/>
    <n v="25"/>
    <n v="1499.25"/>
    <n v="4497.75"/>
    <s v="Debit Card"/>
    <x v="0"/>
  </r>
  <r>
    <s v="ORD-2027093"/>
    <s v="18 Sat"/>
    <s v="Oct"/>
    <s v="2025"/>
    <s v="CUST-1139"/>
    <s v="Aditya Sharma"/>
    <x v="2"/>
    <s v="Electronics"/>
    <s v="Bluetooth Headphones"/>
    <n v="2"/>
    <n v="1799"/>
    <n v="3598"/>
    <n v="0"/>
    <n v="0"/>
    <n v="3598"/>
    <s v="UPI"/>
    <x v="1"/>
  </r>
  <r>
    <s v="ORD-2027094"/>
    <s v="18 Sat"/>
    <s v="Oct"/>
    <s v="2025"/>
    <s v="CUST-1263"/>
    <s v="Tanya Mehta"/>
    <x v="4"/>
    <s v="Home &amp; Kitchen"/>
    <s v="Non-stick Pan Set"/>
    <n v="3"/>
    <n v="1299"/>
    <n v="3897"/>
    <n v="5"/>
    <n v="194.85"/>
    <n v="3702.15"/>
    <s v="Credit Card"/>
    <x v="1"/>
  </r>
  <r>
    <s v="ORD-2027095"/>
    <s v="18 Sat"/>
    <s v="Oct"/>
    <s v="2025"/>
    <s v="CUST-1162"/>
    <s v="Aarav Kapoor"/>
    <x v="3"/>
    <s v="Stationery"/>
    <s v="Gel Pen Pack"/>
    <n v="3"/>
    <n v="99"/>
    <n v="297"/>
    <n v="20"/>
    <n v="59.4"/>
    <n v="237.6"/>
    <s v="Debit Card"/>
    <x v="0"/>
  </r>
  <r>
    <s v="ORD-2027096"/>
    <s v="18 Sat"/>
    <s v="Oct"/>
    <s v="2025"/>
    <s v="CUST-1359"/>
    <s v="Arjun Mehta"/>
    <x v="3"/>
    <s v="Electronics"/>
    <s v="Wireless Mouse"/>
    <n v="1"/>
    <n v="599"/>
    <n v="599"/>
    <n v="25"/>
    <n v="149.75"/>
    <n v="449.25"/>
    <s v="Debit Card"/>
    <x v="0"/>
  </r>
  <r>
    <s v="ORD-2027097"/>
    <s v="18 Sat"/>
    <s v="Oct"/>
    <s v="2025"/>
    <s v="CUST-1115"/>
    <s v="Divya Kapoor"/>
    <x v="3"/>
    <s v="Home &amp; Kitchen"/>
    <s v="Non-stick Pan Set"/>
    <n v="2"/>
    <n v="1299"/>
    <n v="2598"/>
    <n v="15"/>
    <n v="389.7"/>
    <n v="2208.3000000000002"/>
    <s v="Debit Card"/>
    <x v="1"/>
  </r>
  <r>
    <s v="ORD-2027098"/>
    <s v="18 Sat"/>
    <s v="Oct"/>
    <s v="2025"/>
    <s v="CUST-1328"/>
    <s v="Arjun Verma"/>
    <x v="2"/>
    <s v="Stationery"/>
    <s v="Notebook Set"/>
    <n v="1"/>
    <n v="199"/>
    <n v="199"/>
    <n v="5"/>
    <n v="9.9499999999999993"/>
    <n v="189.05"/>
    <s v="UPI"/>
    <x v="0"/>
  </r>
  <r>
    <s v="ORD-2027099"/>
    <s v="19 Sun"/>
    <s v="Oct"/>
    <s v="2025"/>
    <s v="CUST-1367"/>
    <s v="Aman Saxena"/>
    <x v="4"/>
    <s v="Sports"/>
    <s v="Yoga Mat"/>
    <n v="1"/>
    <n v="699"/>
    <n v="699"/>
    <n v="0"/>
    <n v="0"/>
    <n v="699"/>
    <s v="Net Banking"/>
    <x v="0"/>
  </r>
  <r>
    <s v="ORD-2027100"/>
    <s v="19 Sun"/>
    <s v="Oct"/>
    <s v="2025"/>
    <s v="CUST-1172"/>
    <s v="Nandini Saxena"/>
    <x v="2"/>
    <s v="Groceries"/>
    <s v="Basmati Rice 5kg"/>
    <n v="2"/>
    <n v="549"/>
    <n v="1098"/>
    <n v="0"/>
    <n v="0"/>
    <n v="1098"/>
    <s v="Net Banking"/>
    <x v="1"/>
  </r>
  <r>
    <s v="ORD-2027101"/>
    <s v="19 Sun"/>
    <s v="Oct"/>
    <s v="2025"/>
    <s v="CUST-1174"/>
    <s v="Rahul Singh"/>
    <x v="2"/>
    <s v="Electronics"/>
    <s v="Wireless Mouse"/>
    <n v="1"/>
    <n v="599"/>
    <n v="599"/>
    <n v="15"/>
    <n v="89.85"/>
    <n v="509.15"/>
    <s v="Net Banking"/>
    <x v="0"/>
  </r>
  <r>
    <s v="ORD-2027102"/>
    <s v="19 Sun"/>
    <s v="Oct"/>
    <s v="2025"/>
    <s v="CUST-1244"/>
    <s v="Meera Gupta"/>
    <x v="4"/>
    <s v="Sports"/>
    <s v="Cricket Bat"/>
    <n v="1"/>
    <n v="1499"/>
    <n v="1499"/>
    <n v="10"/>
    <n v="149.9"/>
    <n v="1349.1"/>
    <s v="Debit Card"/>
    <x v="1"/>
  </r>
  <r>
    <s v="ORD-2027103"/>
    <s v="19 Sun"/>
    <s v="Oct"/>
    <s v="2025"/>
    <s v="CUST-1316"/>
    <s v="Komal Saxena"/>
    <x v="1"/>
    <s v="Beauty"/>
    <s v="Herbal Shampoo"/>
    <n v="4"/>
    <n v="249"/>
    <n v="996"/>
    <n v="20"/>
    <n v="199.2"/>
    <n v="796.8"/>
    <s v="UPI"/>
    <x v="0"/>
  </r>
  <r>
    <s v="ORD-2027104"/>
    <s v="19 Sun"/>
    <s v="Oct"/>
    <s v="2025"/>
    <s v="CUST-1350"/>
    <s v="Isha Kapoor"/>
    <x v="0"/>
    <s v="Home &amp; Kitchen"/>
    <s v="LED Desk Lamp"/>
    <n v="4"/>
    <n v="799"/>
    <n v="3196"/>
    <n v="10"/>
    <n v="319.60000000000002"/>
    <n v="2876.4"/>
    <s v="Credit Card"/>
    <x v="0"/>
  </r>
  <r>
    <s v="ORD-2027105"/>
    <s v="19 Sun"/>
    <s v="Oct"/>
    <s v="2025"/>
    <s v="CUST-1209"/>
    <s v="Meera Mehta"/>
    <x v="1"/>
    <s v="Electronics"/>
    <s v="Bluetooth Headphones"/>
    <n v="1"/>
    <n v="1799"/>
    <n v="1799"/>
    <n v="10"/>
    <n v="179.9"/>
    <n v="1619.1"/>
    <s v="Cash"/>
    <x v="1"/>
  </r>
  <r>
    <s v="ORD-2027106"/>
    <s v="19 Sun"/>
    <s v="Oct"/>
    <s v="2025"/>
    <s v="CUST-1353"/>
    <s v="Vivaan Gupta"/>
    <x v="0"/>
    <s v="Apparel"/>
    <s v="Denim Jacket"/>
    <n v="1"/>
    <n v="1999"/>
    <n v="1999"/>
    <n v="15"/>
    <n v="299.85000000000002"/>
    <n v="1699.15"/>
    <s v="Credit Card"/>
    <x v="1"/>
  </r>
  <r>
    <s v="ORD-2027107"/>
    <s v="19 Sun"/>
    <s v="Oct"/>
    <s v="2025"/>
    <s v="CUST-1342"/>
    <s v="Vivaan Saxena"/>
    <x v="1"/>
    <s v="Electronics"/>
    <s v="Wireless Mouse"/>
    <n v="1"/>
    <n v="599"/>
    <n v="599"/>
    <n v="10"/>
    <n v="59.9"/>
    <n v="539.1"/>
    <s v="Debit Card"/>
    <x v="1"/>
  </r>
  <r>
    <s v="ORD-2027108"/>
    <s v="19 Sun"/>
    <s v="Oct"/>
    <s v="2025"/>
    <s v="CUST-1147"/>
    <s v="Aman Saxena"/>
    <x v="0"/>
    <s v="Groceries"/>
    <s v="Organic Honey 500g"/>
    <n v="1"/>
    <n v="349"/>
    <n v="349"/>
    <n v="0"/>
    <n v="0"/>
    <n v="349"/>
    <s v="Debit Card"/>
    <x v="0"/>
  </r>
  <r>
    <s v="ORD-2027109"/>
    <s v="19 Sun"/>
    <s v="Oct"/>
    <s v="2025"/>
    <s v="CUST-1114"/>
    <s v="Vivaan Malhotra"/>
    <x v="2"/>
    <s v="Apparel"/>
    <s v="Cotton T-Shirt"/>
    <n v="2"/>
    <n v="499"/>
    <n v="998"/>
    <n v="5"/>
    <n v="49.9"/>
    <n v="948.1"/>
    <s v="Net Banking"/>
    <x v="0"/>
  </r>
  <r>
    <s v="ORD-2027110"/>
    <s v="20 Mon"/>
    <s v="Oct"/>
    <s v="2025"/>
    <s v="CUST-1046"/>
    <s v="Rohan Kapoor"/>
    <x v="1"/>
    <s v="Apparel"/>
    <s v="Denim Jacket"/>
    <n v="5"/>
    <n v="1999"/>
    <n v="9995"/>
    <n v="10"/>
    <n v="999.5"/>
    <n v="8995.5"/>
    <s v="Cash"/>
    <x v="0"/>
  </r>
  <r>
    <s v="ORD-2027111"/>
    <s v="20 Mon"/>
    <s v="Oct"/>
    <s v="2025"/>
    <s v="CUST-1142"/>
    <s v="Divya Singh"/>
    <x v="1"/>
    <s v="Beauty"/>
    <s v="Face Wash 100ml"/>
    <n v="4"/>
    <n v="299"/>
    <n v="1196"/>
    <n v="10"/>
    <n v="119.6"/>
    <n v="1076.4000000000001"/>
    <s v="UPI"/>
    <x v="0"/>
  </r>
  <r>
    <s v="ORD-2027112"/>
    <s v="20 Mon"/>
    <s v="Oct"/>
    <s v="2025"/>
    <s v="CUST-1333"/>
    <s v="Aarav Gupta"/>
    <x v="0"/>
    <s v="Beauty"/>
    <s v="Herbal Shampoo"/>
    <n v="2"/>
    <n v="249"/>
    <n v="498"/>
    <n v="20"/>
    <n v="99.6"/>
    <n v="398.4"/>
    <s v="Net Banking"/>
    <x v="1"/>
  </r>
  <r>
    <s v="ORD-2027113"/>
    <s v="20 Mon"/>
    <s v="Oct"/>
    <s v="2025"/>
    <s v="CUST-1392"/>
    <s v="Aarav Singh"/>
    <x v="1"/>
    <s v="Home &amp; Kitchen"/>
    <s v="Non-stick Pan Set"/>
    <n v="1"/>
    <n v="1299"/>
    <n v="1299"/>
    <n v="5"/>
    <n v="64.95"/>
    <n v="1234.05"/>
    <s v="Credit Card"/>
    <x v="0"/>
  </r>
  <r>
    <s v="ORD-2027114"/>
    <s v="20 Mon"/>
    <s v="Oct"/>
    <s v="2025"/>
    <s v="CUST-1376"/>
    <s v="Kunal Kapoor"/>
    <x v="4"/>
    <s v="Sports"/>
    <s v="Yoga Mat"/>
    <n v="1"/>
    <n v="699"/>
    <n v="699"/>
    <n v="25"/>
    <n v="174.75"/>
    <n v="524.25"/>
    <s v="Credit Card"/>
    <x v="0"/>
  </r>
  <r>
    <s v="ORD-2027115"/>
    <s v="20 Mon"/>
    <s v="Oct"/>
    <s v="2025"/>
    <s v="CUST-1279"/>
    <s v="Tanya Kapoor"/>
    <x v="3"/>
    <s v="Apparel"/>
    <s v="Denim Jacket"/>
    <n v="1"/>
    <n v="1999"/>
    <n v="1999"/>
    <n v="5"/>
    <n v="99.95"/>
    <n v="1899.05"/>
    <s v="UPI"/>
    <x v="1"/>
  </r>
  <r>
    <s v="ORD-2027116"/>
    <s v="20 Mon"/>
    <s v="Oct"/>
    <s v="2025"/>
    <s v="CUST-1301"/>
    <s v="Shreya Sharma"/>
    <x v="3"/>
    <s v="Beauty"/>
    <s v="Herbal Shampoo"/>
    <n v="1"/>
    <n v="249"/>
    <n v="249"/>
    <n v="0"/>
    <n v="0"/>
    <n v="249"/>
    <s v="Cash"/>
    <x v="0"/>
  </r>
  <r>
    <s v="ORD-2027117"/>
    <s v="20 Mon"/>
    <s v="Oct"/>
    <s v="2025"/>
    <s v="CUST-1233"/>
    <s v="Rahul Joshi"/>
    <x v="4"/>
    <s v="Beauty"/>
    <s v="Face Wash 100ml"/>
    <n v="2"/>
    <n v="299"/>
    <n v="598"/>
    <n v="5"/>
    <n v="29.9"/>
    <n v="568.1"/>
    <s v="UPI"/>
    <x v="0"/>
  </r>
  <r>
    <s v="ORD-2027118"/>
    <s v="20 Mon"/>
    <s v="Oct"/>
    <s v="2025"/>
    <s v="CUST-1031"/>
    <s v="Kabir Malhotra"/>
    <x v="2"/>
    <s v="Home &amp; Kitchen"/>
    <s v="Non-stick Pan Set"/>
    <n v="3"/>
    <n v="1299"/>
    <n v="3897"/>
    <n v="0"/>
    <n v="0"/>
    <n v="3897"/>
    <s v="Cash"/>
    <x v="1"/>
  </r>
  <r>
    <s v="ORD-2027119"/>
    <s v="20 Mon"/>
    <s v="Oct"/>
    <s v="2025"/>
    <s v="CUST-1071"/>
    <s v="Kabir Malhotra"/>
    <x v="4"/>
    <s v="Stationery"/>
    <s v="Notebook Set"/>
    <n v="1"/>
    <n v="199"/>
    <n v="199"/>
    <n v="10"/>
    <n v="19.899999999999999"/>
    <n v="179.1"/>
    <s v="UPI"/>
    <x v="0"/>
  </r>
  <r>
    <s v="ORD-2027120"/>
    <s v="20 Mon"/>
    <s v="Oct"/>
    <s v="2025"/>
    <s v="CUST-1180"/>
    <s v="Muskan Joshi"/>
    <x v="1"/>
    <s v="Home &amp; Kitchen"/>
    <s v="Non-stick Pan Set"/>
    <n v="1"/>
    <n v="1299"/>
    <n v="1299"/>
    <n v="10"/>
    <n v="129.9"/>
    <n v="1169.0999999999999"/>
    <s v="Cash"/>
    <x v="1"/>
  </r>
  <r>
    <s v="ORD-2027121"/>
    <s v="20 Mon"/>
    <s v="Oct"/>
    <s v="2025"/>
    <s v="CUST-1010"/>
    <s v="Kabir Singh"/>
    <x v="2"/>
    <s v="Groceries"/>
    <s v="Basmati Rice 5kg"/>
    <n v="1"/>
    <n v="549"/>
    <n v="549"/>
    <n v="20"/>
    <n v="109.8"/>
    <n v="439.2"/>
    <s v="Debit Card"/>
    <x v="1"/>
  </r>
  <r>
    <s v="ORD-2027122"/>
    <s v="21 Tue"/>
    <s v="Oct"/>
    <s v="2025"/>
    <s v="CUST-1258"/>
    <s v="Muskan Joshi"/>
    <x v="1"/>
    <s v="Home &amp; Kitchen"/>
    <s v="LED Desk Lamp"/>
    <n v="4"/>
    <n v="799"/>
    <n v="3196"/>
    <n v="20"/>
    <n v="639.20000000000005"/>
    <n v="2556.8000000000002"/>
    <s v="UPI"/>
    <x v="1"/>
  </r>
  <r>
    <s v="ORD-2027123"/>
    <s v="21 Tue"/>
    <s v="Oct"/>
    <s v="2025"/>
    <s v="CUST-1079"/>
    <s v="Komal Mehta"/>
    <x v="4"/>
    <s v="Apparel"/>
    <s v="Formal Shirt"/>
    <n v="3"/>
    <n v="899"/>
    <n v="2697"/>
    <n v="15"/>
    <n v="404.55"/>
    <n v="2292.4499999999998"/>
    <s v="Debit Card"/>
    <x v="0"/>
  </r>
  <r>
    <s v="ORD-2027124"/>
    <s v="21 Tue"/>
    <s v="Oct"/>
    <s v="2025"/>
    <s v="CUST-1010"/>
    <s v="Kabir Singh"/>
    <x v="3"/>
    <s v="Stationery"/>
    <s v="Notebook Set"/>
    <n v="1"/>
    <n v="199"/>
    <n v="199"/>
    <n v="30"/>
    <n v="59.7"/>
    <n v="139.30000000000001"/>
    <s v="Cash"/>
    <x v="0"/>
  </r>
  <r>
    <s v="ORD-2027125"/>
    <s v="21 Tue"/>
    <s v="Oct"/>
    <s v="2025"/>
    <s v="CUST-1248"/>
    <s v="Meera Saxena"/>
    <x v="0"/>
    <s v="Beauty"/>
    <s v="Herbal Shampoo"/>
    <n v="2"/>
    <n v="249"/>
    <n v="498"/>
    <n v="30"/>
    <n v="149.4"/>
    <n v="348.6"/>
    <s v="Debit Card"/>
    <x v="1"/>
  </r>
  <r>
    <s v="ORD-2027126"/>
    <s v="21 Tue"/>
    <s v="Oct"/>
    <s v="2025"/>
    <s v="CUST-1258"/>
    <s v="Muskan Joshi"/>
    <x v="1"/>
    <s v="Electronics"/>
    <s v="Wireless Mouse"/>
    <n v="1"/>
    <n v="599"/>
    <n v="599"/>
    <n v="0"/>
    <n v="0"/>
    <n v="599"/>
    <s v="UPI"/>
    <x v="0"/>
  </r>
  <r>
    <s v="ORD-2027127"/>
    <s v="21 Tue"/>
    <s v="Oct"/>
    <s v="2025"/>
    <s v="CUST-1398"/>
    <s v="Sakshi Patel"/>
    <x v="3"/>
    <s v="Electronics"/>
    <s v="Wireless Mouse"/>
    <n v="2"/>
    <n v="599"/>
    <n v="1198"/>
    <n v="30"/>
    <n v="359.4"/>
    <n v="838.6"/>
    <s v="UPI"/>
    <x v="0"/>
  </r>
  <r>
    <s v="ORD-2027128"/>
    <s v="21 Tue"/>
    <s v="Oct"/>
    <s v="2025"/>
    <s v="CUST-1355"/>
    <s v="Aditya Joshi"/>
    <x v="2"/>
    <s v="Stationery"/>
    <s v="Notebook Set"/>
    <n v="1"/>
    <n v="199"/>
    <n v="199"/>
    <n v="5"/>
    <n v="9.9499999999999993"/>
    <n v="189.05"/>
    <s v="UPI"/>
    <x v="0"/>
  </r>
  <r>
    <s v="ORD-2027129"/>
    <s v="21 Tue"/>
    <s v="Oct"/>
    <s v="2025"/>
    <s v="CUST-1319"/>
    <s v="Rohan Sharma"/>
    <x v="4"/>
    <s v="Electronics"/>
    <s v="Bluetooth Headphones"/>
    <n v="4"/>
    <n v="1799"/>
    <n v="7196"/>
    <n v="0"/>
    <n v="0"/>
    <n v="7196"/>
    <s v="Credit Card"/>
    <x v="1"/>
  </r>
  <r>
    <s v="ORD-2027130"/>
    <s v="22 Wed"/>
    <s v="Oct"/>
    <s v="2025"/>
    <s v="CUST-1341"/>
    <s v="Meera Patel"/>
    <x v="3"/>
    <s v="Stationery"/>
    <s v="Gel Pen Pack"/>
    <n v="1"/>
    <n v="99"/>
    <n v="99"/>
    <n v="5"/>
    <n v="4.95"/>
    <n v="94.05"/>
    <s v="Credit Card"/>
    <x v="1"/>
  </r>
  <r>
    <s v="ORD-2027131"/>
    <s v="22 Wed"/>
    <s v="Oct"/>
    <s v="2025"/>
    <s v="CUST-1022"/>
    <s v="Tanya Verma"/>
    <x v="3"/>
    <s v="Groceries"/>
    <s v="Basmati Rice 5kg"/>
    <n v="3"/>
    <n v="549"/>
    <n v="1647"/>
    <n v="30"/>
    <n v="494.1"/>
    <n v="1152.9000000000001"/>
    <s v="Net Banking"/>
    <x v="0"/>
  </r>
  <r>
    <s v="ORD-2027132"/>
    <s v="22 Wed"/>
    <s v="Oct"/>
    <s v="2025"/>
    <s v="CUST-1057"/>
    <s v="Tanya Malhotra"/>
    <x v="3"/>
    <s v="Sports"/>
    <s v="Yoga Mat"/>
    <n v="1"/>
    <n v="699"/>
    <n v="699"/>
    <n v="5"/>
    <n v="34.950000000000003"/>
    <n v="664.05"/>
    <s v="UPI"/>
    <x v="0"/>
  </r>
  <r>
    <s v="ORD-2027133"/>
    <s v="22 Wed"/>
    <s v="Oct"/>
    <s v="2025"/>
    <s v="CUST-1038"/>
    <s v="Rohan Joshi"/>
    <x v="4"/>
    <s v="Apparel"/>
    <s v="Formal Shirt"/>
    <n v="1"/>
    <n v="899"/>
    <n v="899"/>
    <n v="15"/>
    <n v="134.85"/>
    <n v="764.15"/>
    <s v="UPI"/>
    <x v="0"/>
  </r>
  <r>
    <s v="ORD-2027134"/>
    <s v="22 Wed"/>
    <s v="Oct"/>
    <s v="2025"/>
    <s v="CUST-1114"/>
    <s v="Vivaan Malhotra"/>
    <x v="1"/>
    <s v="Groceries"/>
    <s v="Basmati Rice 5kg"/>
    <n v="2"/>
    <n v="549"/>
    <n v="1098"/>
    <n v="15"/>
    <n v="164.7"/>
    <n v="933.3"/>
    <s v="Cash"/>
    <x v="0"/>
  </r>
  <r>
    <s v="ORD-2027135"/>
    <s v="22 Wed"/>
    <s v="Oct"/>
    <s v="2025"/>
    <s v="CUST-1132"/>
    <s v="Shreya Sharma"/>
    <x v="1"/>
    <s v="Sports"/>
    <s v="Yoga Mat"/>
    <n v="1"/>
    <n v="699"/>
    <n v="699"/>
    <n v="0"/>
    <n v="0"/>
    <n v="699"/>
    <s v="Credit Card"/>
    <x v="0"/>
  </r>
  <r>
    <s v="ORD-2027136"/>
    <s v="22 Wed"/>
    <s v="Oct"/>
    <s v="2025"/>
    <s v="CUST-1263"/>
    <s v="Tanya Mehta"/>
    <x v="1"/>
    <s v="Groceries"/>
    <s v="Organic Honey 500g"/>
    <n v="1"/>
    <n v="349"/>
    <n v="349"/>
    <n v="30"/>
    <n v="104.7"/>
    <n v="244.3"/>
    <s v="Credit Card"/>
    <x v="0"/>
  </r>
  <r>
    <s v="ORD-2027137"/>
    <s v="22 Wed"/>
    <s v="Oct"/>
    <s v="2025"/>
    <s v="CUST-1182"/>
    <s v="Swati Verma"/>
    <x v="3"/>
    <s v="Apparel"/>
    <s v="Cotton T-Shirt"/>
    <n v="2"/>
    <n v="499"/>
    <n v="998"/>
    <n v="25"/>
    <n v="249.5"/>
    <n v="748.5"/>
    <s v="Credit Card"/>
    <x v="1"/>
  </r>
  <r>
    <s v="ORD-2027138"/>
    <s v="22 Wed"/>
    <s v="Oct"/>
    <s v="2025"/>
    <s v="CUST-1358"/>
    <s v="Aman Patel"/>
    <x v="1"/>
    <s v="Stationery"/>
    <s v="Notebook Set"/>
    <n v="1"/>
    <n v="199"/>
    <n v="199"/>
    <n v="0"/>
    <n v="0"/>
    <n v="199"/>
    <s v="Credit Card"/>
    <x v="0"/>
  </r>
  <r>
    <s v="ORD-2027139"/>
    <s v="23 Thu"/>
    <s v="Oct"/>
    <s v="2025"/>
    <s v="CUST-1303"/>
    <s v="Sakshi Sharma"/>
    <x v="1"/>
    <s v="Sports"/>
    <s v="Yoga Mat"/>
    <n v="1"/>
    <n v="699"/>
    <n v="699"/>
    <n v="20"/>
    <n v="139.80000000000001"/>
    <n v="559.20000000000005"/>
    <s v="UPI"/>
    <x v="0"/>
  </r>
  <r>
    <s v="ORD-2027140"/>
    <s v="23 Thu"/>
    <s v="Oct"/>
    <s v="2025"/>
    <s v="CUST-1128"/>
    <s v="Sakshi Malhotra"/>
    <x v="1"/>
    <s v="Electronics"/>
    <s v="Wireless Mouse"/>
    <n v="2"/>
    <n v="599"/>
    <n v="1198"/>
    <n v="10"/>
    <n v="119.8"/>
    <n v="1078.2"/>
    <s v="Net Banking"/>
    <x v="0"/>
  </r>
  <r>
    <s v="ORD-2027141"/>
    <s v="23 Thu"/>
    <s v="Oct"/>
    <s v="2025"/>
    <s v="CUST-1236"/>
    <s v="Divya Mehta"/>
    <x v="2"/>
    <s v="Home &amp; Kitchen"/>
    <s v="LED Desk Lamp"/>
    <n v="2"/>
    <n v="799"/>
    <n v="1598"/>
    <n v="15"/>
    <n v="239.7"/>
    <n v="1358.3"/>
    <s v="UPI"/>
    <x v="0"/>
  </r>
  <r>
    <s v="ORD-2027142"/>
    <s v="23 Thu"/>
    <s v="Oct"/>
    <s v="2025"/>
    <s v="CUST-1290"/>
    <s v="Kabir Mehta"/>
    <x v="3"/>
    <s v="Electronics"/>
    <s v="Smartwatch"/>
    <n v="3"/>
    <n v="2999"/>
    <n v="8997"/>
    <n v="25"/>
    <n v="2249.25"/>
    <n v="6747.75"/>
    <s v="Cash"/>
    <x v="1"/>
  </r>
  <r>
    <s v="ORD-2027143"/>
    <s v="23 Thu"/>
    <s v="Oct"/>
    <s v="2025"/>
    <s v="CUST-1014"/>
    <s v="Vivaan Kapoor"/>
    <x v="3"/>
    <s v="Home &amp; Kitchen"/>
    <s v="Non-stick Pan Set"/>
    <n v="1"/>
    <n v="1299"/>
    <n v="1299"/>
    <n v="25"/>
    <n v="324.75"/>
    <n v="974.25"/>
    <s v="Debit Card"/>
    <x v="1"/>
  </r>
  <r>
    <s v="ORD-2027144"/>
    <s v="23 Thu"/>
    <s v="Oct"/>
    <s v="2025"/>
    <s v="CUST-1097"/>
    <s v="Rohan Verma"/>
    <x v="3"/>
    <s v="Beauty"/>
    <s v="Face Wash 100ml"/>
    <n v="1"/>
    <n v="299"/>
    <n v="299"/>
    <n v="0"/>
    <n v="0"/>
    <n v="299"/>
    <s v="Cash"/>
    <x v="1"/>
  </r>
  <r>
    <s v="ORD-2027145"/>
    <s v="23 Thu"/>
    <s v="Oct"/>
    <s v="2025"/>
    <s v="CUST-1320"/>
    <s v="Ankit Kapoor"/>
    <x v="0"/>
    <s v="Beauty"/>
    <s v="Herbal Shampoo"/>
    <n v="1"/>
    <n v="249"/>
    <n v="249"/>
    <n v="0"/>
    <n v="0"/>
    <n v="249"/>
    <s v="UPI"/>
    <x v="0"/>
  </r>
  <r>
    <s v="ORD-2027146"/>
    <s v="23 Thu"/>
    <s v="Oct"/>
    <s v="2025"/>
    <s v="CUST-1063"/>
    <s v="Aman Sharma"/>
    <x v="2"/>
    <s v="Home &amp; Kitchen"/>
    <s v="LED Desk Lamp"/>
    <n v="1"/>
    <n v="799"/>
    <n v="799"/>
    <n v="25"/>
    <n v="199.75"/>
    <n v="599.25"/>
    <s v="Net Banking"/>
    <x v="1"/>
  </r>
  <r>
    <s v="ORD-2027147"/>
    <s v="23 Thu"/>
    <s v="Oct"/>
    <s v="2025"/>
    <s v="CUST-1020"/>
    <s v="Rohan Malhotra"/>
    <x v="2"/>
    <s v="Beauty"/>
    <s v="Face Wash 100ml"/>
    <n v="1"/>
    <n v="299"/>
    <n v="299"/>
    <n v="0"/>
    <n v="0"/>
    <n v="299"/>
    <s v="Net Banking"/>
    <x v="1"/>
  </r>
  <r>
    <s v="ORD-2027148"/>
    <s v="23 Thu"/>
    <s v="Oct"/>
    <s v="2025"/>
    <s v="CUST-1278"/>
    <s v="Meera Verma"/>
    <x v="4"/>
    <s v="Stationery"/>
    <s v="Gel Pen Pack"/>
    <n v="4"/>
    <n v="99"/>
    <n v="396"/>
    <n v="10"/>
    <n v="39.6"/>
    <n v="356.4"/>
    <s v="Cash"/>
    <x v="0"/>
  </r>
  <r>
    <s v="ORD-2027149"/>
    <s v="23 Thu"/>
    <s v="Oct"/>
    <s v="2025"/>
    <s v="CUST-1247"/>
    <s v="Meera Malhotra"/>
    <x v="1"/>
    <s v="Apparel"/>
    <s v="Denim Jacket"/>
    <n v="1"/>
    <n v="1999"/>
    <n v="1999"/>
    <n v="30"/>
    <n v="599.70000000000005"/>
    <n v="1399.3"/>
    <s v="Cash"/>
    <x v="1"/>
  </r>
  <r>
    <s v="ORD-2027150"/>
    <s v="23 Thu"/>
    <s v="Oct"/>
    <s v="2025"/>
    <s v="CUST-1169"/>
    <s v="Nandini Patel"/>
    <x v="2"/>
    <s v="Electronics"/>
    <s v="Wireless Mouse"/>
    <n v="1"/>
    <n v="599"/>
    <n v="599"/>
    <n v="10"/>
    <n v="59.9"/>
    <n v="539.1"/>
    <s v="Cash"/>
    <x v="0"/>
  </r>
  <r>
    <s v="ORD-2027151"/>
    <s v="23 Thu"/>
    <s v="Oct"/>
    <s v="2025"/>
    <s v="CUST-1078"/>
    <s v="Kabir Malhotra"/>
    <x v="3"/>
    <s v="Apparel"/>
    <s v="Denim Jacket"/>
    <n v="4"/>
    <n v="1999"/>
    <n v="7996"/>
    <n v="5"/>
    <n v="399.8"/>
    <n v="7596.2"/>
    <s v="Cash"/>
    <x v="1"/>
  </r>
  <r>
    <s v="ORD-2027152"/>
    <s v="23 Thu"/>
    <s v="Oct"/>
    <s v="2025"/>
    <s v="CUST-1052"/>
    <s v="Meera Verma"/>
    <x v="3"/>
    <s v="Apparel"/>
    <s v="Formal Shirt"/>
    <n v="4"/>
    <n v="899"/>
    <n v="3596"/>
    <n v="20"/>
    <n v="719.2"/>
    <n v="2876.8"/>
    <s v="Credit Card"/>
    <x v="0"/>
  </r>
  <r>
    <s v="ORD-2027153"/>
    <s v="23 Thu"/>
    <s v="Oct"/>
    <s v="2025"/>
    <s v="CUST-1233"/>
    <s v="Rahul Joshi"/>
    <x v="1"/>
    <s v="Groceries"/>
    <s v="Basmati Rice 5kg"/>
    <n v="2"/>
    <n v="549"/>
    <n v="1098"/>
    <n v="15"/>
    <n v="164.7"/>
    <n v="933.3"/>
    <s v="UPI"/>
    <x v="0"/>
  </r>
  <r>
    <s v="ORD-2027154"/>
    <s v="24 Fri"/>
    <s v="Oct"/>
    <s v="2025"/>
    <s v="CUST-1055"/>
    <s v="Rohan Saxena"/>
    <x v="1"/>
    <s v="Apparel"/>
    <s v="Denim Jacket"/>
    <n v="2"/>
    <n v="1999"/>
    <n v="3998"/>
    <n v="25"/>
    <n v="999.5"/>
    <n v="2998.5"/>
    <s v="Net Banking"/>
    <x v="0"/>
  </r>
  <r>
    <s v="ORD-2027155"/>
    <s v="24 Fri"/>
    <s v="Oct"/>
    <s v="2025"/>
    <s v="CUST-1362"/>
    <s v="Shreya Malhotra"/>
    <x v="4"/>
    <s v="Electronics"/>
    <s v="Smartwatch"/>
    <n v="1"/>
    <n v="2999"/>
    <n v="2999"/>
    <n v="15"/>
    <n v="449.85"/>
    <n v="2549.15"/>
    <s v="Debit Card"/>
    <x v="1"/>
  </r>
  <r>
    <s v="ORD-2027156"/>
    <s v="24 Fri"/>
    <s v="Oct"/>
    <s v="2025"/>
    <s v="CUST-1007"/>
    <s v="Aarav Sharma"/>
    <x v="3"/>
    <s v="Home &amp; Kitchen"/>
    <s v="Non-stick Pan Set"/>
    <n v="3"/>
    <n v="1299"/>
    <n v="3897"/>
    <n v="5"/>
    <n v="194.85"/>
    <n v="3702.15"/>
    <s v="Debit Card"/>
    <x v="1"/>
  </r>
  <r>
    <s v="ORD-2027157"/>
    <s v="24 Fri"/>
    <s v="Oct"/>
    <s v="2025"/>
    <s v="CUST-1227"/>
    <s v="Rohan Joshi"/>
    <x v="3"/>
    <s v="Home &amp; Kitchen"/>
    <s v="LED Desk Lamp"/>
    <n v="1"/>
    <n v="799"/>
    <n v="799"/>
    <n v="25"/>
    <n v="199.75"/>
    <n v="599.25"/>
    <s v="Cash"/>
    <x v="1"/>
  </r>
  <r>
    <s v="ORD-2027158"/>
    <s v="24 Fri"/>
    <s v="Oct"/>
    <s v="2025"/>
    <s v="CUST-1113"/>
    <s v="Swati Saxena"/>
    <x v="0"/>
    <s v="Sports"/>
    <s v="Yoga Mat"/>
    <n v="1"/>
    <n v="699"/>
    <n v="699"/>
    <n v="25"/>
    <n v="174.75"/>
    <n v="524.25"/>
    <s v="Cash"/>
    <x v="0"/>
  </r>
  <r>
    <s v="ORD-2027159"/>
    <s v="24 Fri"/>
    <s v="Oct"/>
    <s v="2025"/>
    <s v="CUST-1090"/>
    <s v="Aarav Joshi"/>
    <x v="1"/>
    <s v="Stationery"/>
    <s v="Notebook Set"/>
    <n v="1"/>
    <n v="199"/>
    <n v="199"/>
    <n v="5"/>
    <n v="9.9499999999999993"/>
    <n v="189.05"/>
    <s v="Net Banking"/>
    <x v="0"/>
  </r>
  <r>
    <s v="ORD-2027160"/>
    <s v="24 Fri"/>
    <s v="Oct"/>
    <s v="2025"/>
    <s v="CUST-1397"/>
    <s v="Aman Verma"/>
    <x v="4"/>
    <s v="Apparel"/>
    <s v="Denim Jacket"/>
    <n v="2"/>
    <n v="1999"/>
    <n v="3998"/>
    <n v="30"/>
    <n v="1199.4000000000001"/>
    <n v="2798.6"/>
    <s v="UPI"/>
    <x v="0"/>
  </r>
  <r>
    <s v="ORD-2027161"/>
    <s v="24 Fri"/>
    <s v="Oct"/>
    <s v="2025"/>
    <s v="CUST-1372"/>
    <s v="Vivaan Singh"/>
    <x v="0"/>
    <s v="Beauty"/>
    <s v="Face Wash 100ml"/>
    <n v="2"/>
    <n v="299"/>
    <n v="598"/>
    <n v="30"/>
    <n v="179.4"/>
    <n v="418.6"/>
    <s v="Debit Card"/>
    <x v="1"/>
  </r>
  <r>
    <s v="ORD-2027162"/>
    <s v="24 Fri"/>
    <s v="Oct"/>
    <s v="2025"/>
    <s v="CUST-1099"/>
    <s v="Rahul Malhotra"/>
    <x v="0"/>
    <s v="Sports"/>
    <s v="Yoga Mat"/>
    <n v="1"/>
    <n v="699"/>
    <n v="699"/>
    <n v="15"/>
    <n v="104.85"/>
    <n v="594.15"/>
    <s v="Cash"/>
    <x v="0"/>
  </r>
  <r>
    <s v="ORD-2027163"/>
    <s v="24 Fri"/>
    <s v="Oct"/>
    <s v="2025"/>
    <s v="CUST-1033"/>
    <s v="Meera Joshi"/>
    <x v="0"/>
    <s v="Groceries"/>
    <s v="Organic Honey 500g"/>
    <n v="2"/>
    <n v="349"/>
    <n v="698"/>
    <n v="15"/>
    <n v="104.7"/>
    <n v="593.29999999999995"/>
    <s v="Credit Card"/>
    <x v="1"/>
  </r>
  <r>
    <s v="ORD-2027164"/>
    <s v="24 Fri"/>
    <s v="Oct"/>
    <s v="2025"/>
    <s v="CUST-1248"/>
    <s v="Meera Saxena"/>
    <x v="1"/>
    <s v="Groceries"/>
    <s v="Basmati Rice 5kg"/>
    <n v="1"/>
    <n v="549"/>
    <n v="549"/>
    <n v="30"/>
    <n v="164.7"/>
    <n v="384.3"/>
    <s v="Net Banking"/>
    <x v="0"/>
  </r>
  <r>
    <s v="ORD-2027165"/>
    <s v="24 Fri"/>
    <s v="Oct"/>
    <s v="2025"/>
    <s v="CUST-1058"/>
    <s v="Nandini Singh"/>
    <x v="2"/>
    <s v="Electronics"/>
    <s v="Bluetooth Headphones"/>
    <n v="1"/>
    <n v="1799"/>
    <n v="1799"/>
    <n v="10"/>
    <n v="179.9"/>
    <n v="1619.1"/>
    <s v="Cash"/>
    <x v="0"/>
  </r>
  <r>
    <s v="ORD-2027166"/>
    <s v="24 Fri"/>
    <s v="Oct"/>
    <s v="2025"/>
    <s v="CUST-1397"/>
    <s v="Aman Verma"/>
    <x v="1"/>
    <s v="Apparel"/>
    <s v="Cotton T-Shirt"/>
    <n v="5"/>
    <n v="499"/>
    <n v="2495"/>
    <n v="5"/>
    <n v="124.75"/>
    <n v="2370.25"/>
    <s v="Credit Card"/>
    <x v="1"/>
  </r>
  <r>
    <s v="ORD-2027167"/>
    <s v="24 Fri"/>
    <s v="Oct"/>
    <s v="2025"/>
    <s v="CUST-1052"/>
    <s v="Meera Verma"/>
    <x v="0"/>
    <s v="Beauty"/>
    <s v="Face Wash 100ml"/>
    <n v="1"/>
    <n v="299"/>
    <n v="299"/>
    <n v="30"/>
    <n v="89.7"/>
    <n v="209.3"/>
    <s v="Debit Card"/>
    <x v="1"/>
  </r>
  <r>
    <s v="ORD-2027168"/>
    <s v="24 Fri"/>
    <s v="Oct"/>
    <s v="2025"/>
    <s v="CUST-1025"/>
    <s v="Aditya Singh"/>
    <x v="4"/>
    <s v="Electronics"/>
    <s v="Wireless Mouse"/>
    <n v="1"/>
    <n v="599"/>
    <n v="599"/>
    <n v="10"/>
    <n v="59.9"/>
    <n v="539.1"/>
    <s v="Net Banking"/>
    <x v="0"/>
  </r>
  <r>
    <s v="ORD-2027169"/>
    <s v="25 Sat"/>
    <s v="Oct"/>
    <s v="2025"/>
    <s v="CUST-1185"/>
    <s v="Meera Sharma"/>
    <x v="2"/>
    <s v="Apparel"/>
    <s v="Denim Jacket"/>
    <n v="1"/>
    <n v="1999"/>
    <n v="1999"/>
    <n v="25"/>
    <n v="499.75"/>
    <n v="1499.25"/>
    <s v="Net Banking"/>
    <x v="0"/>
  </r>
  <r>
    <s v="ORD-2027170"/>
    <s v="25 Sat"/>
    <s v="Oct"/>
    <s v="2025"/>
    <s v="CUST-1284"/>
    <s v="Arjun Kapoor"/>
    <x v="0"/>
    <s v="Stationery"/>
    <s v="Gel Pen Pack"/>
    <n v="1"/>
    <n v="99"/>
    <n v="99"/>
    <n v="0"/>
    <n v="0"/>
    <n v="99"/>
    <s v="Credit Card"/>
    <x v="0"/>
  </r>
  <r>
    <s v="ORD-2027171"/>
    <s v="25 Sat"/>
    <s v="Oct"/>
    <s v="2025"/>
    <s v="CUST-1383"/>
    <s v="Aman Gupta"/>
    <x v="3"/>
    <s v="Electronics"/>
    <s v="Wireless Mouse"/>
    <n v="1"/>
    <n v="599"/>
    <n v="599"/>
    <n v="15"/>
    <n v="89.85"/>
    <n v="509.15"/>
    <s v="Debit Card"/>
    <x v="0"/>
  </r>
  <r>
    <s v="ORD-2027172"/>
    <s v="25 Sat"/>
    <s v="Oct"/>
    <s v="2025"/>
    <s v="CUST-1270"/>
    <s v="Nandini Verma"/>
    <x v="4"/>
    <s v="Electronics"/>
    <s v="Smartwatch"/>
    <n v="5"/>
    <n v="2999"/>
    <n v="14995"/>
    <n v="10"/>
    <n v="1499.5"/>
    <n v="13495.5"/>
    <s v="UPI"/>
    <x v="1"/>
  </r>
  <r>
    <s v="ORD-2027173"/>
    <s v="25 Sat"/>
    <s v="Oct"/>
    <s v="2025"/>
    <s v="CUST-1299"/>
    <s v="Kabir Mehta"/>
    <x v="4"/>
    <s v="Stationery"/>
    <s v="Gel Pen Pack"/>
    <n v="2"/>
    <n v="99"/>
    <n v="198"/>
    <n v="15"/>
    <n v="29.7"/>
    <n v="168.3"/>
    <s v="Credit Card"/>
    <x v="1"/>
  </r>
  <r>
    <s v="ORD-2027174"/>
    <s v="25 Sat"/>
    <s v="Oct"/>
    <s v="2025"/>
    <s v="CUST-1294"/>
    <s v="Kabir Joshi"/>
    <x v="0"/>
    <s v="Electronics"/>
    <s v="Bluetooth Headphones"/>
    <n v="1"/>
    <n v="1799"/>
    <n v="1799"/>
    <n v="5"/>
    <n v="89.95"/>
    <n v="1709.05"/>
    <s v="UPI"/>
    <x v="1"/>
  </r>
  <r>
    <s v="ORD-2027175"/>
    <s v="25 Sat"/>
    <s v="Oct"/>
    <s v="2025"/>
    <s v="CUST-1155"/>
    <s v="Aman Saxena"/>
    <x v="1"/>
    <s v="Home &amp; Kitchen"/>
    <s v="LED Desk Lamp"/>
    <n v="1"/>
    <n v="799"/>
    <n v="799"/>
    <n v="30"/>
    <n v="239.7"/>
    <n v="559.29999999999995"/>
    <s v="Debit Card"/>
    <x v="1"/>
  </r>
  <r>
    <s v="ORD-2027176"/>
    <s v="25 Sat"/>
    <s v="Oct"/>
    <s v="2025"/>
    <s v="CUST-1313"/>
    <s v="Kunal Joshi"/>
    <x v="2"/>
    <s v="Sports"/>
    <s v="Yoga Mat"/>
    <n v="1"/>
    <n v="699"/>
    <n v="699"/>
    <n v="0"/>
    <n v="0"/>
    <n v="699"/>
    <s v="Credit Card"/>
    <x v="1"/>
  </r>
  <r>
    <s v="ORD-2027177"/>
    <s v="25 Sat"/>
    <s v="Oct"/>
    <s v="2025"/>
    <s v="CUST-1035"/>
    <s v="Isha Joshi"/>
    <x v="2"/>
    <s v="Apparel"/>
    <s v="Denim Jacket"/>
    <n v="1"/>
    <n v="1999"/>
    <n v="1999"/>
    <n v="0"/>
    <n v="0"/>
    <n v="1999"/>
    <s v="Debit Card"/>
    <x v="1"/>
  </r>
  <r>
    <s v="ORD-2027178"/>
    <s v="25 Sat"/>
    <s v="Oct"/>
    <s v="2025"/>
    <s v="CUST-1259"/>
    <s v="Rahul Singh"/>
    <x v="3"/>
    <s v="Electronics"/>
    <s v="Smartwatch"/>
    <n v="1"/>
    <n v="2999"/>
    <n v="2999"/>
    <n v="20"/>
    <n v="599.79999999999995"/>
    <n v="2399.1999999999998"/>
    <s v="Net Banking"/>
    <x v="0"/>
  </r>
  <r>
    <s v="ORD-2027179"/>
    <s v="25 Sat"/>
    <s v="Oct"/>
    <s v="2025"/>
    <s v="CUST-1159"/>
    <s v="Isha Kapoor"/>
    <x v="0"/>
    <s v="Electronics"/>
    <s v="Bluetooth Headphones"/>
    <n v="2"/>
    <n v="1799"/>
    <n v="3598"/>
    <n v="25"/>
    <n v="899.5"/>
    <n v="2698.5"/>
    <s v="UPI"/>
    <x v="0"/>
  </r>
  <r>
    <s v="ORD-2027180"/>
    <s v="26 Sun"/>
    <s v="Oct"/>
    <s v="2025"/>
    <s v="CUST-1379"/>
    <s v="Divya Verma"/>
    <x v="1"/>
    <s v="Stationery"/>
    <s v="Notebook Set"/>
    <n v="1"/>
    <n v="199"/>
    <n v="199"/>
    <n v="30"/>
    <n v="59.7"/>
    <n v="139.30000000000001"/>
    <s v="Debit Card"/>
    <x v="0"/>
  </r>
  <r>
    <s v="ORD-2027181"/>
    <s v="26 Sun"/>
    <s v="Oct"/>
    <s v="2025"/>
    <s v="CUST-1152"/>
    <s v="Kabir Gupta"/>
    <x v="4"/>
    <s v="Apparel"/>
    <s v="Denim Jacket"/>
    <n v="1"/>
    <n v="1999"/>
    <n v="1999"/>
    <n v="30"/>
    <n v="599.70000000000005"/>
    <n v="1399.3"/>
    <s v="Debit Card"/>
    <x v="0"/>
  </r>
  <r>
    <s v="ORD-2027182"/>
    <s v="26 Sun"/>
    <s v="Oct"/>
    <s v="2025"/>
    <s v="CUST-1103"/>
    <s v="Muskan Gupta"/>
    <x v="1"/>
    <s v="Sports"/>
    <s v="Yoga Mat"/>
    <n v="2"/>
    <n v="699"/>
    <n v="1398"/>
    <n v="15"/>
    <n v="209.7"/>
    <n v="1188.3"/>
    <s v="Debit Card"/>
    <x v="0"/>
  </r>
  <r>
    <s v="ORD-2027183"/>
    <s v="26 Sun"/>
    <s v="Oct"/>
    <s v="2025"/>
    <s v="CUST-1207"/>
    <s v="Rohan Malhotra"/>
    <x v="0"/>
    <s v="Stationery"/>
    <s v="Notebook Set"/>
    <n v="1"/>
    <n v="199"/>
    <n v="199"/>
    <n v="5"/>
    <n v="9.9499999999999993"/>
    <n v="189.05"/>
    <s v="Debit Card"/>
    <x v="0"/>
  </r>
  <r>
    <s v="ORD-2027184"/>
    <s v="26 Sun"/>
    <s v="Oct"/>
    <s v="2025"/>
    <s v="CUST-1276"/>
    <s v="Swati Joshi"/>
    <x v="1"/>
    <s v="Home &amp; Kitchen"/>
    <s v="LED Desk Lamp"/>
    <n v="4"/>
    <n v="799"/>
    <n v="3196"/>
    <n v="5"/>
    <n v="159.80000000000001"/>
    <n v="3036.2"/>
    <s v="Net Banking"/>
    <x v="0"/>
  </r>
  <r>
    <s v="ORD-2027185"/>
    <s v="26 Sun"/>
    <s v="Oct"/>
    <s v="2025"/>
    <s v="CUST-1181"/>
    <s v="Kunal Sharma"/>
    <x v="3"/>
    <s v="Sports"/>
    <s v="Yoga Mat"/>
    <n v="1"/>
    <n v="699"/>
    <n v="699"/>
    <n v="10"/>
    <n v="69.900000000000006"/>
    <n v="629.1"/>
    <s v="UPI"/>
    <x v="0"/>
  </r>
  <r>
    <s v="ORD-2027186"/>
    <s v="26 Sun"/>
    <s v="Oct"/>
    <s v="2025"/>
    <s v="CUST-1296"/>
    <s v="Vivaan Kapoor"/>
    <x v="3"/>
    <s v="Apparel"/>
    <s v="Formal Shirt"/>
    <n v="1"/>
    <n v="899"/>
    <n v="899"/>
    <n v="30"/>
    <n v="269.7"/>
    <n v="629.29999999999995"/>
    <s v="Credit Card"/>
    <x v="0"/>
  </r>
  <r>
    <s v="ORD-2027187"/>
    <s v="26 Sun"/>
    <s v="Oct"/>
    <s v="2025"/>
    <s v="CUST-1056"/>
    <s v="Aarav Kapoor"/>
    <x v="3"/>
    <s v="Stationery"/>
    <s v="Gel Pen Pack"/>
    <n v="2"/>
    <n v="99"/>
    <n v="198"/>
    <n v="20"/>
    <n v="39.6"/>
    <n v="158.4"/>
    <s v="Debit Card"/>
    <x v="0"/>
  </r>
  <r>
    <s v="ORD-2027188"/>
    <s v="26 Sun"/>
    <s v="Oct"/>
    <s v="2025"/>
    <s v="CUST-1051"/>
    <s v="Rohan Patel"/>
    <x v="1"/>
    <s v="Beauty"/>
    <s v="Herbal Shampoo"/>
    <n v="1"/>
    <n v="249"/>
    <n v="249"/>
    <n v="20"/>
    <n v="49.8"/>
    <n v="199.2"/>
    <s v="Credit Card"/>
    <x v="1"/>
  </r>
  <r>
    <s v="ORD-2027189"/>
    <s v="26 Sun"/>
    <s v="Oct"/>
    <s v="2025"/>
    <s v="CUST-1039"/>
    <s v="Aarav Joshi"/>
    <x v="0"/>
    <s v="Groceries"/>
    <s v="Basmati Rice 5kg"/>
    <n v="2"/>
    <n v="549"/>
    <n v="1098"/>
    <n v="5"/>
    <n v="54.9"/>
    <n v="1043.0999999999999"/>
    <s v="Credit Card"/>
    <x v="0"/>
  </r>
  <r>
    <s v="ORD-2027190"/>
    <s v="26 Sun"/>
    <s v="Oct"/>
    <s v="2025"/>
    <s v="CUST-1239"/>
    <s v="Rohan Malhotra"/>
    <x v="0"/>
    <s v="Apparel"/>
    <s v="Formal Shirt"/>
    <n v="1"/>
    <n v="899"/>
    <n v="899"/>
    <n v="10"/>
    <n v="89.9"/>
    <n v="809.1"/>
    <s v="Net Banking"/>
    <x v="0"/>
  </r>
  <r>
    <s v="ORD-2027191"/>
    <s v="27 Mon"/>
    <s v="Oct"/>
    <s v="2025"/>
    <s v="CUST-1133"/>
    <s v="Kunal Mehta"/>
    <x v="4"/>
    <s v="Apparel"/>
    <s v="Cotton T-Shirt"/>
    <n v="2"/>
    <n v="499"/>
    <n v="998"/>
    <n v="15"/>
    <n v="149.69999999999999"/>
    <n v="848.3"/>
    <s v="Cash"/>
    <x v="1"/>
  </r>
  <r>
    <s v="ORD-2027192"/>
    <s v="27 Mon"/>
    <s v="Oct"/>
    <s v="2025"/>
    <s v="CUST-1347"/>
    <s v="Ankit Joshi"/>
    <x v="2"/>
    <s v="Beauty"/>
    <s v="Herbal Shampoo"/>
    <n v="1"/>
    <n v="249"/>
    <n v="249"/>
    <n v="0"/>
    <n v="0"/>
    <n v="249"/>
    <s v="Credit Card"/>
    <x v="0"/>
  </r>
  <r>
    <s v="ORD-2027193"/>
    <s v="27 Mon"/>
    <s v="Oct"/>
    <s v="2025"/>
    <s v="CUST-1044"/>
    <s v="Swati Saxena"/>
    <x v="4"/>
    <s v="Apparel"/>
    <s v="Formal Shirt"/>
    <n v="1"/>
    <n v="899"/>
    <n v="899"/>
    <n v="25"/>
    <n v="224.75"/>
    <n v="674.25"/>
    <s v="UPI"/>
    <x v="0"/>
  </r>
  <r>
    <s v="ORD-2027194"/>
    <s v="27 Mon"/>
    <s v="Oct"/>
    <s v="2025"/>
    <s v="CUST-1365"/>
    <s v="Meera Singh"/>
    <x v="1"/>
    <s v="Beauty"/>
    <s v="Face Wash 100ml"/>
    <n v="2"/>
    <n v="299"/>
    <n v="598"/>
    <n v="5"/>
    <n v="29.9"/>
    <n v="568.1"/>
    <s v="Debit Card"/>
    <x v="0"/>
  </r>
  <r>
    <s v="ORD-2027195"/>
    <s v="28 Tue"/>
    <s v="Oct"/>
    <s v="2025"/>
    <s v="CUST-1172"/>
    <s v="Nandini Saxena"/>
    <x v="0"/>
    <s v="Groceries"/>
    <s v="Basmati Rice 5kg"/>
    <n v="1"/>
    <n v="549"/>
    <n v="549"/>
    <n v="0"/>
    <n v="0"/>
    <n v="549"/>
    <s v="Credit Card"/>
    <x v="0"/>
  </r>
  <r>
    <s v="ORD-2027196"/>
    <s v="28 Tue"/>
    <s v="Oct"/>
    <s v="2025"/>
    <s v="CUST-1189"/>
    <s v="Vivaan Mehta"/>
    <x v="1"/>
    <s v="Home &amp; Kitchen"/>
    <s v="LED Desk Lamp"/>
    <n v="2"/>
    <n v="799"/>
    <n v="1598"/>
    <n v="25"/>
    <n v="399.5"/>
    <n v="1198.5"/>
    <s v="Credit Card"/>
    <x v="1"/>
  </r>
  <r>
    <s v="ORD-2027197"/>
    <s v="28 Tue"/>
    <s v="Oct"/>
    <s v="2025"/>
    <s v="CUST-1153"/>
    <s v="Swati Verma"/>
    <x v="1"/>
    <s v="Stationery"/>
    <s v="Notebook Set"/>
    <n v="2"/>
    <n v="199"/>
    <n v="398"/>
    <n v="10"/>
    <n v="39.799999999999997"/>
    <n v="358.2"/>
    <s v="Debit Card"/>
    <x v="0"/>
  </r>
  <r>
    <s v="ORD-2027198"/>
    <s v="28 Tue"/>
    <s v="Oct"/>
    <s v="2025"/>
    <s v="CUST-1074"/>
    <s v="Kabir Kapoor"/>
    <x v="4"/>
    <s v="Apparel"/>
    <s v="Cotton T-Shirt"/>
    <n v="3"/>
    <n v="499"/>
    <n v="1497"/>
    <n v="30"/>
    <n v="449.1"/>
    <n v="1047.9000000000001"/>
    <s v="Debit Card"/>
    <x v="1"/>
  </r>
  <r>
    <s v="ORD-2027199"/>
    <s v="28 Tue"/>
    <s v="Oct"/>
    <s v="2025"/>
    <s v="CUST-1235"/>
    <s v="Meera Verma"/>
    <x v="4"/>
    <s v="Home &amp; Kitchen"/>
    <s v="Non-stick Pan Set"/>
    <n v="1"/>
    <n v="1299"/>
    <n v="1299"/>
    <n v="10"/>
    <n v="129.9"/>
    <n v="1169.0999999999999"/>
    <s v="Cash"/>
    <x v="0"/>
  </r>
  <r>
    <s v="ORD-2027200"/>
    <s v="28 Tue"/>
    <s v="Oct"/>
    <s v="2025"/>
    <s v="CUST-1006"/>
    <s v="Sakshi Singh"/>
    <x v="1"/>
    <s v="Groceries"/>
    <s v="Basmati Rice 5kg"/>
    <n v="3"/>
    <n v="549"/>
    <n v="1647"/>
    <n v="5"/>
    <n v="82.35"/>
    <n v="1564.65"/>
    <s v="UPI"/>
    <x v="1"/>
  </r>
  <r>
    <s v="ORD-2027201"/>
    <s v="28 Tue"/>
    <s v="Oct"/>
    <s v="2025"/>
    <s v="CUST-1102"/>
    <s v="Aarav Patel"/>
    <x v="1"/>
    <s v="Groceries"/>
    <s v="Organic Honey 500g"/>
    <n v="2"/>
    <n v="349"/>
    <n v="698"/>
    <n v="10"/>
    <n v="69.8"/>
    <n v="628.20000000000005"/>
    <s v="UPI"/>
    <x v="1"/>
  </r>
  <r>
    <s v="ORD-2027202"/>
    <s v="28 Tue"/>
    <s v="Oct"/>
    <s v="2025"/>
    <s v="CUST-1165"/>
    <s v="Rahul Singh"/>
    <x v="1"/>
    <s v="Electronics"/>
    <s v="Wireless Mouse"/>
    <n v="1"/>
    <n v="599"/>
    <n v="599"/>
    <n v="15"/>
    <n v="89.85"/>
    <n v="509.15"/>
    <s v="Net Banking"/>
    <x v="0"/>
  </r>
  <r>
    <s v="ORD-2027203"/>
    <s v="28 Tue"/>
    <s v="Oct"/>
    <s v="2025"/>
    <s v="CUST-1261"/>
    <s v="Shreya Patel"/>
    <x v="2"/>
    <s v="Groceries"/>
    <s v="Organic Honey 500g"/>
    <n v="1"/>
    <n v="349"/>
    <n v="349"/>
    <n v="15"/>
    <n v="52.35"/>
    <n v="296.64999999999998"/>
    <s v="Cash"/>
    <x v="0"/>
  </r>
  <r>
    <s v="ORD-2027204"/>
    <s v="29 Wed"/>
    <s v="Oct"/>
    <s v="2025"/>
    <s v="CUST-1096"/>
    <s v="Kunal Saxena"/>
    <x v="3"/>
    <s v="Home &amp; Kitchen"/>
    <s v="Non-stick Pan Set"/>
    <n v="4"/>
    <n v="1299"/>
    <n v="5196"/>
    <n v="30"/>
    <n v="1558.8"/>
    <n v="3637.2"/>
    <s v="Credit Card"/>
    <x v="0"/>
  </r>
  <r>
    <s v="ORD-2027205"/>
    <s v="29 Wed"/>
    <s v="Oct"/>
    <s v="2025"/>
    <s v="CUST-1231"/>
    <s v="Divya Gupta"/>
    <x v="2"/>
    <s v="Beauty"/>
    <s v="Herbal Shampoo"/>
    <n v="1"/>
    <n v="249"/>
    <n v="249"/>
    <n v="5"/>
    <n v="12.45"/>
    <n v="236.55"/>
    <s v="Debit Card"/>
    <x v="0"/>
  </r>
  <r>
    <s v="ORD-2027206"/>
    <s v="29 Wed"/>
    <s v="Oct"/>
    <s v="2025"/>
    <s v="CUST-1390"/>
    <s v="Rahul Saxena"/>
    <x v="3"/>
    <s v="Sports"/>
    <s v="Yoga Mat"/>
    <n v="3"/>
    <n v="699"/>
    <n v="2097"/>
    <n v="0"/>
    <n v="0"/>
    <n v="2097"/>
    <s v="Debit Card"/>
    <x v="1"/>
  </r>
  <r>
    <s v="ORD-2027207"/>
    <s v="29 Wed"/>
    <s v="Oct"/>
    <s v="2025"/>
    <s v="CUST-1266"/>
    <s v="Vivaan Kapoor"/>
    <x v="2"/>
    <s v="Groceries"/>
    <s v="Basmati Rice 5kg"/>
    <n v="1"/>
    <n v="549"/>
    <n v="549"/>
    <n v="10"/>
    <n v="54.9"/>
    <n v="494.1"/>
    <s v="Credit Card"/>
    <x v="1"/>
  </r>
  <r>
    <s v="ORD-2027208"/>
    <s v="29 Wed"/>
    <s v="Oct"/>
    <s v="2025"/>
    <s v="CUST-1097"/>
    <s v="Rohan Verma"/>
    <x v="3"/>
    <s v="Apparel"/>
    <s v="Cotton T-Shirt"/>
    <n v="1"/>
    <n v="499"/>
    <n v="499"/>
    <n v="15"/>
    <n v="74.849999999999994"/>
    <n v="424.15"/>
    <s v="UPI"/>
    <x v="1"/>
  </r>
  <r>
    <s v="ORD-2027209"/>
    <s v="29 Wed"/>
    <s v="Oct"/>
    <s v="2025"/>
    <s v="CUST-1333"/>
    <s v="Aarav Gupta"/>
    <x v="3"/>
    <s v="Groceries"/>
    <s v="Basmati Rice 5kg"/>
    <n v="3"/>
    <n v="549"/>
    <n v="1647"/>
    <n v="15"/>
    <n v="247.05"/>
    <n v="1399.95"/>
    <s v="Net Banking"/>
    <x v="0"/>
  </r>
  <r>
    <s v="ORD-2027210"/>
    <s v="29 Wed"/>
    <s v="Oct"/>
    <s v="2025"/>
    <s v="CUST-1225"/>
    <s v="Aarav Kapoor"/>
    <x v="0"/>
    <s v="Apparel"/>
    <s v="Cotton T-Shirt"/>
    <n v="2"/>
    <n v="499"/>
    <n v="998"/>
    <n v="25"/>
    <n v="249.5"/>
    <n v="748.5"/>
    <s v="Credit Card"/>
    <x v="0"/>
  </r>
  <r>
    <s v="ORD-2027211"/>
    <s v="29 Wed"/>
    <s v="Oct"/>
    <s v="2025"/>
    <s v="CUST-1090"/>
    <s v="Aarav Joshi"/>
    <x v="0"/>
    <s v="Beauty"/>
    <s v="Herbal Shampoo"/>
    <n v="5"/>
    <n v="249"/>
    <n v="1245"/>
    <n v="20"/>
    <n v="249"/>
    <n v="996"/>
    <s v="Net Banking"/>
    <x v="1"/>
  </r>
  <r>
    <s v="ORD-2027212"/>
    <s v="29 Wed"/>
    <s v="Oct"/>
    <s v="2025"/>
    <s v="CUST-1105"/>
    <s v="Rohan Singh"/>
    <x v="1"/>
    <s v="Groceries"/>
    <s v="Basmati Rice 5kg"/>
    <n v="1"/>
    <n v="549"/>
    <n v="549"/>
    <n v="10"/>
    <n v="54.9"/>
    <n v="494.1"/>
    <s v="Credit Card"/>
    <x v="1"/>
  </r>
  <r>
    <s v="ORD-2027213"/>
    <s v="29 Wed"/>
    <s v="Oct"/>
    <s v="2025"/>
    <s v="CUST-1205"/>
    <s v="Aman Sharma"/>
    <x v="3"/>
    <s v="Electronics"/>
    <s v="Wireless Mouse"/>
    <n v="1"/>
    <n v="599"/>
    <n v="599"/>
    <n v="30"/>
    <n v="179.7"/>
    <n v="419.3"/>
    <s v="Credit Card"/>
    <x v="1"/>
  </r>
  <r>
    <s v="ORD-2027214"/>
    <s v="29 Wed"/>
    <s v="Oct"/>
    <s v="2025"/>
    <s v="CUST-1274"/>
    <s v="Muskan Singh"/>
    <x v="4"/>
    <s v="Sports"/>
    <s v="Yoga Mat"/>
    <n v="1"/>
    <n v="699"/>
    <n v="699"/>
    <n v="0"/>
    <n v="0"/>
    <n v="699"/>
    <s v="Credit Card"/>
    <x v="0"/>
  </r>
  <r>
    <s v="ORD-2027215"/>
    <s v="30 Thu"/>
    <s v="Oct"/>
    <s v="2025"/>
    <s v="CUST-1090"/>
    <s v="Aarav Joshi"/>
    <x v="3"/>
    <s v="Apparel"/>
    <s v="Denim Jacket"/>
    <n v="2"/>
    <n v="1999"/>
    <n v="3998"/>
    <n v="25"/>
    <n v="999.5"/>
    <n v="2998.5"/>
    <s v="Net Banking"/>
    <x v="0"/>
  </r>
  <r>
    <s v="ORD-2027216"/>
    <s v="30 Thu"/>
    <s v="Oct"/>
    <s v="2025"/>
    <s v="CUST-1371"/>
    <s v="Rahul Verma"/>
    <x v="3"/>
    <s v="Stationery"/>
    <s v="Notebook Set"/>
    <n v="5"/>
    <n v="199"/>
    <n v="995"/>
    <n v="30"/>
    <n v="298.5"/>
    <n v="696.5"/>
    <s v="Credit Card"/>
    <x v="0"/>
  </r>
  <r>
    <s v="ORD-2027217"/>
    <s v="30 Thu"/>
    <s v="Oct"/>
    <s v="2025"/>
    <s v="CUST-1131"/>
    <s v="Aarav Sharma"/>
    <x v="1"/>
    <s v="Sports"/>
    <s v="Cricket Bat"/>
    <n v="3"/>
    <n v="1499"/>
    <n v="4497"/>
    <n v="10"/>
    <n v="449.7"/>
    <n v="4047.3"/>
    <s v="Credit Card"/>
    <x v="0"/>
  </r>
  <r>
    <s v="ORD-2027218"/>
    <s v="30 Thu"/>
    <s v="Oct"/>
    <s v="2025"/>
    <s v="CUST-1030"/>
    <s v="Rahul Kapoor"/>
    <x v="4"/>
    <s v="Electronics"/>
    <s v="Smartwatch"/>
    <n v="1"/>
    <n v="2999"/>
    <n v="2999"/>
    <n v="0"/>
    <n v="0"/>
    <n v="2999"/>
    <s v="Debit Card"/>
    <x v="1"/>
  </r>
  <r>
    <s v="ORD-2027219"/>
    <s v="30 Thu"/>
    <s v="Oct"/>
    <s v="2025"/>
    <s v="CUST-1153"/>
    <s v="Swati Verma"/>
    <x v="0"/>
    <s v="Sports"/>
    <s v="Yoga Mat"/>
    <n v="2"/>
    <n v="699"/>
    <n v="1398"/>
    <n v="30"/>
    <n v="419.4"/>
    <n v="978.6"/>
    <s v="Credit Card"/>
    <x v="1"/>
  </r>
  <r>
    <s v="ORD-2027220"/>
    <s v="30 Thu"/>
    <s v="Oct"/>
    <s v="2025"/>
    <s v="CUST-1250"/>
    <s v="Shreya Saxena"/>
    <x v="4"/>
    <s v="Stationery"/>
    <s v="Notebook Set"/>
    <n v="1"/>
    <n v="199"/>
    <n v="199"/>
    <n v="0"/>
    <n v="0"/>
    <n v="199"/>
    <s v="UPI"/>
    <x v="0"/>
  </r>
  <r>
    <s v="ORD-2027221"/>
    <s v="30 Thu"/>
    <s v="Oct"/>
    <s v="2025"/>
    <s v="CUST-1270"/>
    <s v="Nandini Verma"/>
    <x v="0"/>
    <s v="Apparel"/>
    <s v="Denim Jacket"/>
    <n v="1"/>
    <n v="1999"/>
    <n v="1999"/>
    <n v="5"/>
    <n v="99.95"/>
    <n v="1899.05"/>
    <s v="Cash"/>
    <x v="0"/>
  </r>
  <r>
    <s v="ORD-2027222"/>
    <s v="30 Thu"/>
    <s v="Oct"/>
    <s v="2025"/>
    <s v="CUST-1268"/>
    <s v="Aman Verma"/>
    <x v="2"/>
    <s v="Apparel"/>
    <s v="Denim Jacket"/>
    <n v="1"/>
    <n v="1999"/>
    <n v="1999"/>
    <n v="30"/>
    <n v="599.70000000000005"/>
    <n v="1399.3"/>
    <s v="UPI"/>
    <x v="0"/>
  </r>
  <r>
    <s v="ORD-2027223"/>
    <s v="30 Thu"/>
    <s v="Oct"/>
    <s v="2025"/>
    <s v="CUST-1166"/>
    <s v="Divya Mehta"/>
    <x v="0"/>
    <s v="Home &amp; Kitchen"/>
    <s v="LED Desk Lamp"/>
    <n v="1"/>
    <n v="799"/>
    <n v="799"/>
    <n v="5"/>
    <n v="39.950000000000003"/>
    <n v="759.05"/>
    <s v="Credit Card"/>
    <x v="0"/>
  </r>
  <r>
    <s v="ORD-2027224"/>
    <s v="30 Thu"/>
    <s v="Oct"/>
    <s v="2025"/>
    <s v="CUST-1001"/>
    <s v="Rohan Patel"/>
    <x v="2"/>
    <s v="Electronics"/>
    <s v="Wireless Mouse"/>
    <n v="1"/>
    <n v="599"/>
    <n v="599"/>
    <n v="10"/>
    <n v="59.9"/>
    <n v="539.1"/>
    <s v="Net Banking"/>
    <x v="0"/>
  </r>
  <r>
    <s v="ORD-2027225"/>
    <s v="30 Thu"/>
    <s v="Oct"/>
    <s v="2025"/>
    <s v="CUST-1276"/>
    <s v="Swati Joshi"/>
    <x v="2"/>
    <s v="Sports"/>
    <s v="Yoga Mat"/>
    <n v="2"/>
    <n v="699"/>
    <n v="1398"/>
    <n v="30"/>
    <n v="419.4"/>
    <n v="978.6"/>
    <s v="Credit Card"/>
    <x v="1"/>
  </r>
  <r>
    <s v="ORD-2027226"/>
    <s v="30 Thu"/>
    <s v="Oct"/>
    <s v="2025"/>
    <s v="CUST-1377"/>
    <s v="Sakshi Patel"/>
    <x v="1"/>
    <s v="Sports"/>
    <s v="Yoga Mat"/>
    <n v="1"/>
    <n v="699"/>
    <n v="699"/>
    <n v="10"/>
    <n v="69.900000000000006"/>
    <n v="629.1"/>
    <s v="Cash"/>
    <x v="1"/>
  </r>
  <r>
    <s v="ORD-2027227"/>
    <s v="31 Fri"/>
    <s v="Oct"/>
    <s v="2025"/>
    <s v="CUST-1387"/>
    <s v="Rohan Patel"/>
    <x v="0"/>
    <s v="Groceries"/>
    <s v="Organic Honey 500g"/>
    <n v="1"/>
    <n v="349"/>
    <n v="349"/>
    <n v="25"/>
    <n v="87.25"/>
    <n v="261.75"/>
    <s v="Credit Card"/>
    <x v="0"/>
  </r>
  <r>
    <s v="ORD-2027228"/>
    <s v="31 Fri"/>
    <s v="Oct"/>
    <s v="2025"/>
    <s v="CUST-1388"/>
    <s v="Aarav Saxena"/>
    <x v="3"/>
    <s v="Home &amp; Kitchen"/>
    <s v="LED Desk Lamp"/>
    <n v="3"/>
    <n v="799"/>
    <n v="2397"/>
    <n v="5"/>
    <n v="119.85"/>
    <n v="2277.15"/>
    <s v="UPI"/>
    <x v="0"/>
  </r>
  <r>
    <s v="ORD-2027229"/>
    <s v="31 Fri"/>
    <s v="Oct"/>
    <s v="2025"/>
    <s v="CUST-1142"/>
    <s v="Divya Singh"/>
    <x v="2"/>
    <s v="Groceries"/>
    <s v="Organic Honey 500g"/>
    <n v="3"/>
    <n v="349"/>
    <n v="1047"/>
    <n v="15"/>
    <n v="157.05000000000001"/>
    <n v="889.95"/>
    <s v="UPI"/>
    <x v="1"/>
  </r>
  <r>
    <s v="ORD-2027230"/>
    <s v="31 Fri"/>
    <s v="Oct"/>
    <s v="2025"/>
    <s v="CUST-1150"/>
    <s v="Isha Singh"/>
    <x v="1"/>
    <s v="Apparel"/>
    <s v="Denim Jacket"/>
    <n v="2"/>
    <n v="1999"/>
    <n v="3998"/>
    <n v="30"/>
    <n v="1199.4000000000001"/>
    <n v="2798.6"/>
    <s v="Cash"/>
    <x v="0"/>
  </r>
  <r>
    <s v="ORD-2027231"/>
    <s v="31 Fri"/>
    <s v="Oct"/>
    <s v="2025"/>
    <s v="CUST-1315"/>
    <s v="Muskan Singh"/>
    <x v="1"/>
    <s v="Electronics"/>
    <s v="Wireless Mouse"/>
    <n v="1"/>
    <n v="599"/>
    <n v="599"/>
    <n v="25"/>
    <n v="149.75"/>
    <n v="449.25"/>
    <s v="UPI"/>
    <x v="1"/>
  </r>
  <r>
    <s v="ORD-2027232"/>
    <s v="31 Fri"/>
    <s v="Oct"/>
    <s v="2025"/>
    <s v="CUST-1186"/>
    <s v="Meera Verma"/>
    <x v="2"/>
    <s v="Sports"/>
    <s v="Cricket Bat"/>
    <n v="1"/>
    <n v="1499"/>
    <n v="1499"/>
    <n v="25"/>
    <n v="374.75"/>
    <n v="1124.25"/>
    <s v="Debit Card"/>
    <x v="0"/>
  </r>
  <r>
    <s v="ORD-2027233"/>
    <s v="31 Fri"/>
    <s v="Oct"/>
    <s v="2025"/>
    <s v="CUST-1044"/>
    <s v="Swati Saxena"/>
    <x v="0"/>
    <s v="Beauty"/>
    <s v="Herbal Shampoo"/>
    <n v="1"/>
    <n v="249"/>
    <n v="249"/>
    <n v="25"/>
    <n v="62.25"/>
    <n v="186.75"/>
    <s v="Credit Card"/>
    <x v="0"/>
  </r>
  <r>
    <s v="ORD-2027234"/>
    <s v="31 Fri"/>
    <s v="Oct"/>
    <s v="2025"/>
    <s v="CUST-1216"/>
    <s v="Meera Malhotra"/>
    <x v="2"/>
    <s v="Home &amp; Kitchen"/>
    <s v="Non-stick Pan Set"/>
    <n v="1"/>
    <n v="1299"/>
    <n v="1299"/>
    <n v="30"/>
    <n v="389.7"/>
    <n v="909.3"/>
    <s v="Debit Card"/>
    <x v="0"/>
  </r>
  <r>
    <s v="ORD-2027235"/>
    <s v="31 Fri"/>
    <s v="Oct"/>
    <s v="2025"/>
    <s v="CUST-1074"/>
    <s v="Kabir Kapoor"/>
    <x v="0"/>
    <s v="Stationery"/>
    <s v="Notebook Set"/>
    <n v="1"/>
    <n v="199"/>
    <n v="199"/>
    <n v="15"/>
    <n v="29.85"/>
    <n v="169.15"/>
    <s v="UPI"/>
    <x v="0"/>
  </r>
  <r>
    <s v="ORD-2027236"/>
    <s v="31 Fri"/>
    <s v="Oct"/>
    <s v="2025"/>
    <s v="CUST-1276"/>
    <s v="Swati Joshi"/>
    <x v="2"/>
    <s v="Sports"/>
    <s v="Yoga Mat"/>
    <n v="1"/>
    <n v="699"/>
    <n v="699"/>
    <n v="5"/>
    <n v="34.950000000000003"/>
    <n v="664.05"/>
    <s v="Debit Card"/>
    <x v="1"/>
  </r>
  <r>
    <s v="ORD-2027237"/>
    <s v="31 Fri"/>
    <s v="Oct"/>
    <s v="2025"/>
    <s v="CUST-1370"/>
    <s v="Shreya Malhotra"/>
    <x v="4"/>
    <s v="Stationery"/>
    <s v="Notebook Set"/>
    <n v="2"/>
    <n v="199"/>
    <n v="398"/>
    <n v="30"/>
    <n v="119.4"/>
    <n v="278.60000000000002"/>
    <s v="UPI"/>
    <x v="0"/>
  </r>
  <r>
    <s v="ORD-2027238"/>
    <s v="31 Fri"/>
    <s v="Oct"/>
    <s v="2025"/>
    <s v="CUST-1016"/>
    <s v="Arjun Kapoor"/>
    <x v="1"/>
    <s v="Stationery"/>
    <s v="Gel Pen Pack"/>
    <n v="1"/>
    <n v="99"/>
    <n v="99"/>
    <n v="25"/>
    <n v="24.75"/>
    <n v="74.25"/>
    <s v="UPI"/>
    <x v="1"/>
  </r>
  <r>
    <s v="ORD-2027239"/>
    <s v="1 Sat"/>
    <s v="Nov"/>
    <s v="2025"/>
    <s v="CUST-1084"/>
    <s v="Kunal Saxena"/>
    <x v="1"/>
    <s v="Beauty"/>
    <s v="Herbal Shampoo"/>
    <n v="1"/>
    <n v="249"/>
    <n v="249"/>
    <n v="15"/>
    <n v="37.35"/>
    <n v="211.65"/>
    <s v="Credit Card"/>
    <x v="0"/>
  </r>
  <r>
    <s v="ORD-2027240"/>
    <s v="1 Sat"/>
    <s v="Nov"/>
    <s v="2025"/>
    <s v="CUST-1130"/>
    <s v="Aditya Singh"/>
    <x v="0"/>
    <s v="Apparel"/>
    <s v="Cotton T-Shirt"/>
    <n v="1"/>
    <n v="499"/>
    <n v="499"/>
    <n v="20"/>
    <n v="99.8"/>
    <n v="399.2"/>
    <s v="Credit Card"/>
    <x v="1"/>
  </r>
  <r>
    <s v="ORD-2027241"/>
    <s v="1 Sat"/>
    <s v="Nov"/>
    <s v="2025"/>
    <s v="CUST-1325"/>
    <s v="Aarav Saxena"/>
    <x v="4"/>
    <s v="Groceries"/>
    <s v="Basmati Rice 5kg"/>
    <n v="2"/>
    <n v="549"/>
    <n v="1098"/>
    <n v="30"/>
    <n v="329.4"/>
    <n v="768.6"/>
    <s v="UPI"/>
    <x v="0"/>
  </r>
  <r>
    <s v="ORD-2027242"/>
    <s v="1 Sat"/>
    <s v="Nov"/>
    <s v="2025"/>
    <s v="CUST-1215"/>
    <s v="Arjun Singh"/>
    <x v="4"/>
    <s v="Groceries"/>
    <s v="Basmati Rice 5kg"/>
    <n v="1"/>
    <n v="549"/>
    <n v="549"/>
    <n v="10"/>
    <n v="54.9"/>
    <n v="494.1"/>
    <s v="Net Banking"/>
    <x v="1"/>
  </r>
  <r>
    <s v="ORD-2027243"/>
    <s v="1 Sat"/>
    <s v="Nov"/>
    <s v="2025"/>
    <s v="CUST-1284"/>
    <s v="Arjun Kapoor"/>
    <x v="1"/>
    <s v="Apparel"/>
    <s v="Formal Shirt"/>
    <n v="1"/>
    <n v="899"/>
    <n v="899"/>
    <n v="15"/>
    <n v="134.85"/>
    <n v="764.15"/>
    <s v="Debit Card"/>
    <x v="0"/>
  </r>
  <r>
    <s v="ORD-2027244"/>
    <s v="1 Sat"/>
    <s v="Nov"/>
    <s v="2025"/>
    <s v="CUST-1007"/>
    <s v="Aarav Sharma"/>
    <x v="3"/>
    <s v="Apparel"/>
    <s v="Denim Jacket"/>
    <n v="2"/>
    <n v="1999"/>
    <n v="3998"/>
    <n v="10"/>
    <n v="399.8"/>
    <n v="3598.2"/>
    <s v="Debit Card"/>
    <x v="0"/>
  </r>
  <r>
    <s v="ORD-2027245"/>
    <s v="1 Sat"/>
    <s v="Nov"/>
    <s v="2025"/>
    <s v="CUST-1244"/>
    <s v="Meera Gupta"/>
    <x v="2"/>
    <s v="Electronics"/>
    <s v="Bluetooth Headphones"/>
    <n v="1"/>
    <n v="1799"/>
    <n v="1799"/>
    <n v="10"/>
    <n v="179.9"/>
    <n v="1619.1"/>
    <s v="UPI"/>
    <x v="1"/>
  </r>
  <r>
    <s v="ORD-2027246"/>
    <s v="1 Sat"/>
    <s v="Nov"/>
    <s v="2025"/>
    <s v="CUST-1286"/>
    <s v="Arjun Singh"/>
    <x v="0"/>
    <s v="Groceries"/>
    <s v="Organic Honey 500g"/>
    <n v="2"/>
    <n v="349"/>
    <n v="698"/>
    <n v="10"/>
    <n v="69.8"/>
    <n v="628.20000000000005"/>
    <s v="Credit Card"/>
    <x v="0"/>
  </r>
  <r>
    <s v="ORD-2027247"/>
    <s v="1 Sat"/>
    <s v="Nov"/>
    <s v="2025"/>
    <s v="CUST-1271"/>
    <s v="Nandini Sharma"/>
    <x v="3"/>
    <s v="Apparel"/>
    <s v="Cotton T-Shirt"/>
    <n v="1"/>
    <n v="499"/>
    <n v="499"/>
    <n v="25"/>
    <n v="124.75"/>
    <n v="374.25"/>
    <s v="Cash"/>
    <x v="0"/>
  </r>
  <r>
    <s v="ORD-2027248"/>
    <s v="1 Sat"/>
    <s v="Nov"/>
    <s v="2025"/>
    <s v="CUST-1321"/>
    <s v="Isha Mehta"/>
    <x v="1"/>
    <s v="Stationery"/>
    <s v="Gel Pen Pack"/>
    <n v="3"/>
    <n v="99"/>
    <n v="297"/>
    <n v="25"/>
    <n v="74.25"/>
    <n v="222.75"/>
    <s v="Cash"/>
    <x v="0"/>
  </r>
  <r>
    <s v="ORD-2027249"/>
    <s v="1 Sat"/>
    <s v="Nov"/>
    <s v="2025"/>
    <s v="CUST-1364"/>
    <s v="Rahul Malhotra"/>
    <x v="4"/>
    <s v="Groceries"/>
    <s v="Organic Honey 500g"/>
    <n v="2"/>
    <n v="349"/>
    <n v="698"/>
    <n v="25"/>
    <n v="174.5"/>
    <n v="523.5"/>
    <s v="UPI"/>
    <x v="0"/>
  </r>
  <r>
    <s v="ORD-2027250"/>
    <s v="1 Sat"/>
    <s v="Nov"/>
    <s v="2025"/>
    <s v="CUST-1375"/>
    <s v="Kunal Joshi"/>
    <x v="1"/>
    <s v="Stationery"/>
    <s v="Notebook Set"/>
    <n v="2"/>
    <n v="199"/>
    <n v="398"/>
    <n v="30"/>
    <n v="119.4"/>
    <n v="278.60000000000002"/>
    <s v="Cash"/>
    <x v="0"/>
  </r>
  <r>
    <s v="ORD-2027251"/>
    <s v="1 Sat"/>
    <s v="Nov"/>
    <s v="2025"/>
    <s v="CUST-1054"/>
    <s v="Kunal Patel"/>
    <x v="0"/>
    <s v="Home &amp; Kitchen"/>
    <s v="LED Desk Lamp"/>
    <n v="1"/>
    <n v="799"/>
    <n v="799"/>
    <n v="15"/>
    <n v="119.85"/>
    <n v="679.15"/>
    <s v="Credit Card"/>
    <x v="1"/>
  </r>
  <r>
    <s v="ORD-2027252"/>
    <s v="1 Sat"/>
    <s v="Nov"/>
    <s v="2025"/>
    <s v="CUST-1087"/>
    <s v="Kabir Verma"/>
    <x v="2"/>
    <s v="Sports"/>
    <s v="Yoga Mat"/>
    <n v="1"/>
    <n v="699"/>
    <n v="699"/>
    <n v="25"/>
    <n v="174.75"/>
    <n v="524.25"/>
    <s v="UPI"/>
    <x v="0"/>
  </r>
  <r>
    <s v="ORD-2027253"/>
    <s v="1 Sat"/>
    <s v="Nov"/>
    <s v="2025"/>
    <s v="CUST-1182"/>
    <s v="Swati Verma"/>
    <x v="3"/>
    <s v="Apparel"/>
    <s v="Cotton T-Shirt"/>
    <n v="2"/>
    <n v="499"/>
    <n v="998"/>
    <n v="30"/>
    <n v="299.39999999999998"/>
    <n v="698.6"/>
    <s v="Credit Card"/>
    <x v="0"/>
  </r>
  <r>
    <s v="ORD-2027254"/>
    <s v="2 Sun"/>
    <s v="Nov"/>
    <s v="2025"/>
    <s v="CUST-1078"/>
    <s v="Kabir Malhotra"/>
    <x v="0"/>
    <s v="Beauty"/>
    <s v="Herbal Shampoo"/>
    <n v="2"/>
    <n v="249"/>
    <n v="498"/>
    <n v="20"/>
    <n v="99.6"/>
    <n v="398.4"/>
    <s v="UPI"/>
    <x v="1"/>
  </r>
  <r>
    <s v="ORD-2027255"/>
    <s v="2 Sun"/>
    <s v="Nov"/>
    <s v="2025"/>
    <s v="CUST-1006"/>
    <s v="Sakshi Singh"/>
    <x v="0"/>
    <s v="Apparel"/>
    <s v="Cotton T-Shirt"/>
    <n v="3"/>
    <n v="499"/>
    <n v="1497"/>
    <n v="25"/>
    <n v="374.25"/>
    <n v="1122.75"/>
    <s v="Debit Card"/>
    <x v="0"/>
  </r>
  <r>
    <s v="ORD-2027256"/>
    <s v="2 Sun"/>
    <s v="Nov"/>
    <s v="2025"/>
    <s v="CUST-1287"/>
    <s v="Divya Kapoor"/>
    <x v="4"/>
    <s v="Beauty"/>
    <s v="Face Wash 100ml"/>
    <n v="3"/>
    <n v="299"/>
    <n v="897"/>
    <n v="20"/>
    <n v="179.4"/>
    <n v="717.6"/>
    <s v="Credit Card"/>
    <x v="0"/>
  </r>
  <r>
    <s v="ORD-2027257"/>
    <s v="2 Sun"/>
    <s v="Nov"/>
    <s v="2025"/>
    <s v="CUST-1011"/>
    <s v="Kunal Sharma"/>
    <x v="4"/>
    <s v="Groceries"/>
    <s v="Basmati Rice 5kg"/>
    <n v="3"/>
    <n v="549"/>
    <n v="1647"/>
    <n v="15"/>
    <n v="247.05"/>
    <n v="1399.95"/>
    <s v="Net Banking"/>
    <x v="0"/>
  </r>
  <r>
    <s v="ORD-2027258"/>
    <s v="2 Sun"/>
    <s v="Nov"/>
    <s v="2025"/>
    <s v="CUST-1107"/>
    <s v="Isha Sharma"/>
    <x v="3"/>
    <s v="Stationery"/>
    <s v="Notebook Set"/>
    <n v="2"/>
    <n v="199"/>
    <n v="398"/>
    <n v="0"/>
    <n v="0"/>
    <n v="398"/>
    <s v="Debit Card"/>
    <x v="0"/>
  </r>
  <r>
    <s v="ORD-2027259"/>
    <s v="2 Sun"/>
    <s v="Nov"/>
    <s v="2025"/>
    <s v="CUST-1093"/>
    <s v="Kabir Mehta"/>
    <x v="3"/>
    <s v="Stationery"/>
    <s v="Gel Pen Pack"/>
    <n v="1"/>
    <n v="99"/>
    <n v="99"/>
    <n v="30"/>
    <n v="29.7"/>
    <n v="69.3"/>
    <s v="Cash"/>
    <x v="0"/>
  </r>
  <r>
    <s v="ORD-2027260"/>
    <s v="2 Sun"/>
    <s v="Nov"/>
    <s v="2025"/>
    <s v="CUST-1262"/>
    <s v="Kunal Joshi"/>
    <x v="1"/>
    <s v="Stationery"/>
    <s v="Gel Pen Pack"/>
    <n v="1"/>
    <n v="99"/>
    <n v="99"/>
    <n v="10"/>
    <n v="9.9"/>
    <n v="89.1"/>
    <s v="Credit Card"/>
    <x v="0"/>
  </r>
  <r>
    <s v="ORD-2027261"/>
    <s v="2 Sun"/>
    <s v="Nov"/>
    <s v="2025"/>
    <s v="CUST-1229"/>
    <s v="Vivaan Singh"/>
    <x v="3"/>
    <s v="Sports"/>
    <s v="Yoga Mat"/>
    <n v="2"/>
    <n v="699"/>
    <n v="1398"/>
    <n v="0"/>
    <n v="0"/>
    <n v="1398"/>
    <s v="UPI"/>
    <x v="0"/>
  </r>
  <r>
    <s v="ORD-2027262"/>
    <s v="2 Sun"/>
    <s v="Nov"/>
    <s v="2025"/>
    <s v="CUST-1040"/>
    <s v="Aditya Malhotra"/>
    <x v="0"/>
    <s v="Home &amp; Kitchen"/>
    <s v="Non-stick Pan Set"/>
    <n v="4"/>
    <n v="1299"/>
    <n v="5196"/>
    <n v="5"/>
    <n v="259.8"/>
    <n v="4936.2"/>
    <s v="Cash"/>
    <x v="1"/>
  </r>
  <r>
    <s v="ORD-2027263"/>
    <s v="2 Sun"/>
    <s v="Nov"/>
    <s v="2025"/>
    <s v="CUST-1388"/>
    <s v="Aarav Saxena"/>
    <x v="2"/>
    <s v="Beauty"/>
    <s v="Face Wash 100ml"/>
    <n v="1"/>
    <n v="299"/>
    <n v="299"/>
    <n v="30"/>
    <n v="89.7"/>
    <n v="209.3"/>
    <s v="UPI"/>
    <x v="0"/>
  </r>
  <r>
    <s v="ORD-2027264"/>
    <s v="2 Sun"/>
    <s v="Nov"/>
    <s v="2025"/>
    <s v="CUST-1091"/>
    <s v="Kabir Gupta"/>
    <x v="4"/>
    <s v="Electronics"/>
    <s v="Smartwatch"/>
    <n v="1"/>
    <n v="2999"/>
    <n v="2999"/>
    <n v="10"/>
    <n v="299.89999999999998"/>
    <n v="2699.1"/>
    <s v="Cash"/>
    <x v="1"/>
  </r>
  <r>
    <s v="ORD-2027265"/>
    <s v="2 Sun"/>
    <s v="Nov"/>
    <s v="2025"/>
    <s v="CUST-1079"/>
    <s v="Komal Mehta"/>
    <x v="4"/>
    <s v="Stationery"/>
    <s v="Gel Pen Pack"/>
    <n v="3"/>
    <n v="99"/>
    <n v="297"/>
    <n v="10"/>
    <n v="29.7"/>
    <n v="267.3"/>
    <s v="Cash"/>
    <x v="1"/>
  </r>
  <r>
    <s v="ORD-2027266"/>
    <s v="3 Mon"/>
    <s v="Nov"/>
    <s v="2025"/>
    <s v="CUST-1367"/>
    <s v="Aman Saxena"/>
    <x v="1"/>
    <s v="Electronics"/>
    <s v="Wireless Mouse"/>
    <n v="1"/>
    <n v="599"/>
    <n v="599"/>
    <n v="20"/>
    <n v="119.8"/>
    <n v="479.2"/>
    <s v="Net Banking"/>
    <x v="0"/>
  </r>
  <r>
    <s v="ORD-2027267"/>
    <s v="3 Mon"/>
    <s v="Nov"/>
    <s v="2025"/>
    <s v="CUST-1275"/>
    <s v="Tanya Singh"/>
    <x v="3"/>
    <s v="Apparel"/>
    <s v="Cotton T-Shirt"/>
    <n v="2"/>
    <n v="499"/>
    <n v="998"/>
    <n v="15"/>
    <n v="149.69999999999999"/>
    <n v="848.3"/>
    <s v="UPI"/>
    <x v="1"/>
  </r>
  <r>
    <s v="ORD-2027268"/>
    <s v="3 Mon"/>
    <s v="Nov"/>
    <s v="2025"/>
    <s v="CUST-1390"/>
    <s v="Rahul Saxena"/>
    <x v="2"/>
    <s v="Electronics"/>
    <s v="Smartwatch"/>
    <n v="3"/>
    <n v="2999"/>
    <n v="8997"/>
    <n v="0"/>
    <n v="0"/>
    <n v="8997"/>
    <s v="Net Banking"/>
    <x v="0"/>
  </r>
  <r>
    <s v="ORD-2027269"/>
    <s v="3 Mon"/>
    <s v="Nov"/>
    <s v="2025"/>
    <s v="CUST-1343"/>
    <s v="Tanya Sharma"/>
    <x v="1"/>
    <s v="Home &amp; Kitchen"/>
    <s v="LED Desk Lamp"/>
    <n v="1"/>
    <n v="799"/>
    <n v="799"/>
    <n v="15"/>
    <n v="119.85"/>
    <n v="679.15"/>
    <s v="Debit Card"/>
    <x v="0"/>
  </r>
  <r>
    <s v="ORD-2027270"/>
    <s v="3 Mon"/>
    <s v="Nov"/>
    <s v="2025"/>
    <s v="CUST-1057"/>
    <s v="Tanya Malhotra"/>
    <x v="2"/>
    <s v="Home &amp; Kitchen"/>
    <s v="Non-stick Pan Set"/>
    <n v="3"/>
    <n v="1299"/>
    <n v="3897"/>
    <n v="30"/>
    <n v="1169.0999999999999"/>
    <n v="2727.9"/>
    <s v="UPI"/>
    <x v="0"/>
  </r>
  <r>
    <s v="ORD-2027271"/>
    <s v="3 Mon"/>
    <s v="Nov"/>
    <s v="2025"/>
    <s v="CUST-1035"/>
    <s v="Isha Joshi"/>
    <x v="4"/>
    <s v="Apparel"/>
    <s v="Denim Jacket"/>
    <n v="1"/>
    <n v="1999"/>
    <n v="1999"/>
    <n v="0"/>
    <n v="0"/>
    <n v="1999"/>
    <s v="Credit Card"/>
    <x v="0"/>
  </r>
  <r>
    <s v="ORD-2027272"/>
    <s v="3 Mon"/>
    <s v="Nov"/>
    <s v="2025"/>
    <s v="CUST-1066"/>
    <s v="Kunal Verma"/>
    <x v="3"/>
    <s v="Apparel"/>
    <s v="Denim Jacket"/>
    <n v="1"/>
    <n v="1999"/>
    <n v="1999"/>
    <n v="15"/>
    <n v="299.85000000000002"/>
    <n v="1699.15"/>
    <s v="Cash"/>
    <x v="0"/>
  </r>
  <r>
    <s v="ORD-2027273"/>
    <s v="3 Mon"/>
    <s v="Nov"/>
    <s v="2025"/>
    <s v="CUST-1336"/>
    <s v="Arjun Singh"/>
    <x v="3"/>
    <s v="Sports"/>
    <s v="Cricket Bat"/>
    <n v="2"/>
    <n v="1499"/>
    <n v="2998"/>
    <n v="25"/>
    <n v="749.5"/>
    <n v="2248.5"/>
    <s v="UPI"/>
    <x v="1"/>
  </r>
  <r>
    <s v="ORD-2027274"/>
    <s v="3 Mon"/>
    <s v="Nov"/>
    <s v="2025"/>
    <s v="CUST-1264"/>
    <s v="Vivaan Malhotra"/>
    <x v="3"/>
    <s v="Sports"/>
    <s v="Yoga Mat"/>
    <n v="1"/>
    <n v="699"/>
    <n v="699"/>
    <n v="5"/>
    <n v="34.950000000000003"/>
    <n v="664.05"/>
    <s v="Net Banking"/>
    <x v="1"/>
  </r>
  <r>
    <s v="ORD-2027275"/>
    <s v="3 Mon"/>
    <s v="Nov"/>
    <s v="2025"/>
    <s v="CUST-1043"/>
    <s v="Divya Kapoor"/>
    <x v="4"/>
    <s v="Sports"/>
    <s v="Cricket Bat"/>
    <n v="2"/>
    <n v="1499"/>
    <n v="2998"/>
    <n v="25"/>
    <n v="749.5"/>
    <n v="2248.5"/>
    <s v="UPI"/>
    <x v="0"/>
  </r>
  <r>
    <s v="ORD-2027276"/>
    <s v="3 Mon"/>
    <s v="Nov"/>
    <s v="2025"/>
    <s v="CUST-1172"/>
    <s v="Nandini Saxena"/>
    <x v="4"/>
    <s v="Groceries"/>
    <s v="Basmati Rice 5kg"/>
    <n v="2"/>
    <n v="549"/>
    <n v="1098"/>
    <n v="5"/>
    <n v="54.9"/>
    <n v="1043.0999999999999"/>
    <s v="Credit Card"/>
    <x v="1"/>
  </r>
  <r>
    <s v="ORD-2027277"/>
    <s v="3 Mon"/>
    <s v="Nov"/>
    <s v="2025"/>
    <s v="CUST-1325"/>
    <s v="Aarav Saxena"/>
    <x v="2"/>
    <s v="Electronics"/>
    <s v="Wireless Mouse"/>
    <n v="1"/>
    <n v="599"/>
    <n v="599"/>
    <n v="25"/>
    <n v="149.75"/>
    <n v="449.25"/>
    <s v="UPI"/>
    <x v="0"/>
  </r>
  <r>
    <s v="ORD-2027278"/>
    <s v="3 Mon"/>
    <s v="Nov"/>
    <s v="2025"/>
    <s v="CUST-1110"/>
    <s v="Aman Malhotra"/>
    <x v="0"/>
    <s v="Electronics"/>
    <s v="Smartwatch"/>
    <n v="1"/>
    <n v="2999"/>
    <n v="2999"/>
    <n v="10"/>
    <n v="299.89999999999998"/>
    <n v="2699.1"/>
    <s v="UPI"/>
    <x v="0"/>
  </r>
  <r>
    <s v="ORD-2027279"/>
    <s v="3 Mon"/>
    <s v="Nov"/>
    <s v="2025"/>
    <s v="CUST-1020"/>
    <s v="Rohan Malhotra"/>
    <x v="0"/>
    <s v="Groceries"/>
    <s v="Organic Honey 500g"/>
    <n v="1"/>
    <n v="349"/>
    <n v="349"/>
    <n v="25"/>
    <n v="87.25"/>
    <n v="261.75"/>
    <s v="Debit Card"/>
    <x v="0"/>
  </r>
  <r>
    <s v="ORD-2027280"/>
    <s v="3 Mon"/>
    <s v="Nov"/>
    <s v="2025"/>
    <s v="CUST-1194"/>
    <s v="Muskan Sharma"/>
    <x v="4"/>
    <s v="Groceries"/>
    <s v="Organic Honey 500g"/>
    <n v="5"/>
    <n v="349"/>
    <n v="1745"/>
    <n v="0"/>
    <n v="0"/>
    <n v="1745"/>
    <s v="Net Banking"/>
    <x v="0"/>
  </r>
  <r>
    <s v="ORD-2027281"/>
    <s v="4 Tue"/>
    <s v="Nov"/>
    <s v="2025"/>
    <s v="CUST-1357"/>
    <s v="Kabir Mehta"/>
    <x v="1"/>
    <s v="Groceries"/>
    <s v="Organic Honey 500g"/>
    <n v="1"/>
    <n v="349"/>
    <n v="349"/>
    <n v="15"/>
    <n v="52.35"/>
    <n v="296.64999999999998"/>
    <s v="Debit Card"/>
    <x v="1"/>
  </r>
  <r>
    <s v="ORD-2027282"/>
    <s v="4 Tue"/>
    <s v="Nov"/>
    <s v="2025"/>
    <s v="CUST-1152"/>
    <s v="Kabir Gupta"/>
    <x v="4"/>
    <s v="Apparel"/>
    <s v="Denim Jacket"/>
    <n v="3"/>
    <n v="1999"/>
    <n v="5997"/>
    <n v="10"/>
    <n v="599.70000000000005"/>
    <n v="5397.3"/>
    <s v="Credit Card"/>
    <x v="0"/>
  </r>
  <r>
    <s v="ORD-2027283"/>
    <s v="4 Tue"/>
    <s v="Nov"/>
    <s v="2025"/>
    <s v="CUST-1107"/>
    <s v="Isha Sharma"/>
    <x v="3"/>
    <s v="Sports"/>
    <s v="Cricket Bat"/>
    <n v="1"/>
    <n v="1499"/>
    <n v="1499"/>
    <n v="5"/>
    <n v="74.95"/>
    <n v="1424.05"/>
    <s v="Cash"/>
    <x v="1"/>
  </r>
  <r>
    <s v="ORD-2027284"/>
    <s v="4 Tue"/>
    <s v="Nov"/>
    <s v="2025"/>
    <s v="CUST-1161"/>
    <s v="Ankit Gupta"/>
    <x v="3"/>
    <s v="Groceries"/>
    <s v="Organic Honey 500g"/>
    <n v="1"/>
    <n v="349"/>
    <n v="349"/>
    <n v="15"/>
    <n v="52.35"/>
    <n v="296.64999999999998"/>
    <s v="Net Banking"/>
    <x v="1"/>
  </r>
  <r>
    <s v="ORD-2027285"/>
    <s v="4 Tue"/>
    <s v="Nov"/>
    <s v="2025"/>
    <s v="CUST-1058"/>
    <s v="Nandini Singh"/>
    <x v="2"/>
    <s v="Apparel"/>
    <s v="Denim Jacket"/>
    <n v="1"/>
    <n v="1999"/>
    <n v="1999"/>
    <n v="0"/>
    <n v="0"/>
    <n v="1999"/>
    <s v="Credit Card"/>
    <x v="0"/>
  </r>
  <r>
    <s v="ORD-2027286"/>
    <s v="4 Tue"/>
    <s v="Nov"/>
    <s v="2025"/>
    <s v="CUST-1189"/>
    <s v="Vivaan Mehta"/>
    <x v="4"/>
    <s v="Sports"/>
    <s v="Cricket Bat"/>
    <n v="1"/>
    <n v="1499"/>
    <n v="1499"/>
    <n v="25"/>
    <n v="374.75"/>
    <n v="1124.25"/>
    <s v="Debit Card"/>
    <x v="1"/>
  </r>
  <r>
    <s v="ORD-2027287"/>
    <s v="4 Tue"/>
    <s v="Nov"/>
    <s v="2025"/>
    <s v="CUST-1107"/>
    <s v="Isha Sharma"/>
    <x v="4"/>
    <s v="Stationery"/>
    <s v="Gel Pen Pack"/>
    <n v="2"/>
    <n v="99"/>
    <n v="198"/>
    <n v="20"/>
    <n v="39.6"/>
    <n v="158.4"/>
    <s v="UPI"/>
    <x v="1"/>
  </r>
  <r>
    <s v="ORD-2027288"/>
    <s v="4 Tue"/>
    <s v="Nov"/>
    <s v="2025"/>
    <s v="CUST-1048"/>
    <s v="Divya Mehta"/>
    <x v="1"/>
    <s v="Apparel"/>
    <s v="Denim Jacket"/>
    <n v="2"/>
    <n v="1999"/>
    <n v="3998"/>
    <n v="15"/>
    <n v="599.70000000000005"/>
    <n v="3398.3"/>
    <s v="UPI"/>
    <x v="0"/>
  </r>
  <r>
    <s v="ORD-2027289"/>
    <s v="4 Tue"/>
    <s v="Nov"/>
    <s v="2025"/>
    <s v="CUST-1350"/>
    <s v="Isha Kapoor"/>
    <x v="1"/>
    <s v="Groceries"/>
    <s v="Organic Honey 500g"/>
    <n v="4"/>
    <n v="349"/>
    <n v="1396"/>
    <n v="15"/>
    <n v="209.4"/>
    <n v="1186.5999999999999"/>
    <s v="Net Banking"/>
    <x v="0"/>
  </r>
  <r>
    <s v="ORD-2027290"/>
    <s v="4 Tue"/>
    <s v="Nov"/>
    <s v="2025"/>
    <s v="CUST-1338"/>
    <s v="Komal Malhotra"/>
    <x v="1"/>
    <s v="Electronics"/>
    <s v="Bluetooth Headphones"/>
    <n v="3"/>
    <n v="1799"/>
    <n v="5397"/>
    <n v="20"/>
    <n v="1079.4000000000001"/>
    <n v="4317.6000000000004"/>
    <s v="Debit Card"/>
    <x v="0"/>
  </r>
  <r>
    <s v="ORD-2027291"/>
    <s v="5 Wed"/>
    <s v="Nov"/>
    <s v="2025"/>
    <s v="CUST-1152"/>
    <s v="Kabir Gupta"/>
    <x v="0"/>
    <s v="Groceries"/>
    <s v="Basmati Rice 5kg"/>
    <n v="1"/>
    <n v="549"/>
    <n v="549"/>
    <n v="5"/>
    <n v="27.45"/>
    <n v="521.54999999999995"/>
    <s v="Credit Card"/>
    <x v="1"/>
  </r>
  <r>
    <s v="ORD-2027292"/>
    <s v="5 Wed"/>
    <s v="Nov"/>
    <s v="2025"/>
    <s v="CUST-1219"/>
    <s v="Sakshi Patel"/>
    <x v="0"/>
    <s v="Home &amp; Kitchen"/>
    <s v="Non-stick Pan Set"/>
    <n v="2"/>
    <n v="1299"/>
    <n v="2598"/>
    <n v="30"/>
    <n v="779.4"/>
    <n v="1818.6"/>
    <s v="UPI"/>
    <x v="0"/>
  </r>
  <r>
    <s v="ORD-2027293"/>
    <s v="5 Wed"/>
    <s v="Nov"/>
    <s v="2025"/>
    <s v="CUST-1110"/>
    <s v="Aman Malhotra"/>
    <x v="0"/>
    <s v="Stationery"/>
    <s v="Gel Pen Pack"/>
    <n v="1"/>
    <n v="99"/>
    <n v="99"/>
    <n v="30"/>
    <n v="29.7"/>
    <n v="69.3"/>
    <s v="Debit Card"/>
    <x v="0"/>
  </r>
  <r>
    <s v="ORD-2027294"/>
    <s v="5 Wed"/>
    <s v="Nov"/>
    <s v="2025"/>
    <s v="CUST-1284"/>
    <s v="Arjun Kapoor"/>
    <x v="4"/>
    <s v="Apparel"/>
    <s v="Cotton T-Shirt"/>
    <n v="5"/>
    <n v="499"/>
    <n v="2495"/>
    <n v="0"/>
    <n v="0"/>
    <n v="2495"/>
    <s v="UPI"/>
    <x v="0"/>
  </r>
  <r>
    <s v="ORD-2027295"/>
    <s v="5 Wed"/>
    <s v="Nov"/>
    <s v="2025"/>
    <s v="CUST-1140"/>
    <s v="Tanya Verma"/>
    <x v="4"/>
    <s v="Stationery"/>
    <s v="Notebook Set"/>
    <n v="3"/>
    <n v="199"/>
    <n v="597"/>
    <n v="10"/>
    <n v="59.7"/>
    <n v="537.29999999999995"/>
    <s v="UPI"/>
    <x v="1"/>
  </r>
  <r>
    <s v="ORD-2027296"/>
    <s v="5 Wed"/>
    <s v="Nov"/>
    <s v="2025"/>
    <s v="CUST-1351"/>
    <s v="Tanya Mehta"/>
    <x v="2"/>
    <s v="Electronics"/>
    <s v="Bluetooth Headphones"/>
    <n v="1"/>
    <n v="1799"/>
    <n v="1799"/>
    <n v="25"/>
    <n v="449.75"/>
    <n v="1349.25"/>
    <s v="Debit Card"/>
    <x v="0"/>
  </r>
  <r>
    <s v="ORD-2027297"/>
    <s v="5 Wed"/>
    <s v="Nov"/>
    <s v="2025"/>
    <s v="CUST-1027"/>
    <s v="Aditya Gupta"/>
    <x v="1"/>
    <s v="Electronics"/>
    <s v="Bluetooth Headphones"/>
    <n v="4"/>
    <n v="1799"/>
    <n v="7196"/>
    <n v="10"/>
    <n v="719.6"/>
    <n v="6476.4"/>
    <s v="Credit Card"/>
    <x v="0"/>
  </r>
  <r>
    <s v="ORD-2027298"/>
    <s v="5 Wed"/>
    <s v="Nov"/>
    <s v="2025"/>
    <s v="CUST-1264"/>
    <s v="Vivaan Malhotra"/>
    <x v="0"/>
    <s v="Sports"/>
    <s v="Cricket Bat"/>
    <n v="2"/>
    <n v="1499"/>
    <n v="2998"/>
    <n v="15"/>
    <n v="449.7"/>
    <n v="2548.3000000000002"/>
    <s v="Credit Card"/>
    <x v="1"/>
  </r>
  <r>
    <s v="ORD-2027299"/>
    <s v="5 Wed"/>
    <s v="Nov"/>
    <s v="2025"/>
    <s v="CUST-1115"/>
    <s v="Divya Kapoor"/>
    <x v="1"/>
    <s v="Electronics"/>
    <s v="Wireless Mouse"/>
    <n v="1"/>
    <n v="599"/>
    <n v="599"/>
    <n v="20"/>
    <n v="119.8"/>
    <n v="479.2"/>
    <s v="Credit Card"/>
    <x v="0"/>
  </r>
  <r>
    <s v="ORD-2027300"/>
    <s v="6 Thu"/>
    <s v="Nov"/>
    <s v="2025"/>
    <s v="CUST-1045"/>
    <s v="Arjun Verma"/>
    <x v="3"/>
    <s v="Sports"/>
    <s v="Yoga Mat"/>
    <n v="2"/>
    <n v="699"/>
    <n v="1398"/>
    <n v="25"/>
    <n v="349.5"/>
    <n v="1048.5"/>
    <s v="UPI"/>
    <x v="0"/>
  </r>
  <r>
    <s v="ORD-2027301"/>
    <s v="6 Thu"/>
    <s v="Nov"/>
    <s v="2025"/>
    <s v="CUST-1284"/>
    <s v="Arjun Kapoor"/>
    <x v="2"/>
    <s v="Stationery"/>
    <s v="Gel Pen Pack"/>
    <n v="5"/>
    <n v="99"/>
    <n v="495"/>
    <n v="5"/>
    <n v="24.75"/>
    <n v="470.25"/>
    <s v="Cash"/>
    <x v="0"/>
  </r>
  <r>
    <s v="ORD-2027302"/>
    <s v="6 Thu"/>
    <s v="Nov"/>
    <s v="2025"/>
    <s v="CUST-1239"/>
    <s v="Rohan Malhotra"/>
    <x v="4"/>
    <s v="Electronics"/>
    <s v="Smartwatch"/>
    <n v="1"/>
    <n v="2999"/>
    <n v="2999"/>
    <n v="30"/>
    <n v="899.7"/>
    <n v="2099.3000000000002"/>
    <s v="UPI"/>
    <x v="1"/>
  </r>
  <r>
    <s v="ORD-2027303"/>
    <s v="6 Thu"/>
    <s v="Nov"/>
    <s v="2025"/>
    <s v="CUST-1387"/>
    <s v="Rohan Patel"/>
    <x v="1"/>
    <s v="Home &amp; Kitchen"/>
    <s v="LED Desk Lamp"/>
    <n v="2"/>
    <n v="799"/>
    <n v="1598"/>
    <n v="25"/>
    <n v="399.5"/>
    <n v="1198.5"/>
    <s v="Credit Card"/>
    <x v="0"/>
  </r>
  <r>
    <s v="ORD-2027304"/>
    <s v="6 Thu"/>
    <s v="Nov"/>
    <s v="2025"/>
    <s v="CUST-1208"/>
    <s v="Arjun Singh"/>
    <x v="4"/>
    <s v="Apparel"/>
    <s v="Formal Shirt"/>
    <n v="1"/>
    <n v="899"/>
    <n v="899"/>
    <n v="20"/>
    <n v="179.8"/>
    <n v="719.2"/>
    <s v="UPI"/>
    <x v="0"/>
  </r>
  <r>
    <s v="ORD-2027305"/>
    <s v="6 Thu"/>
    <s v="Nov"/>
    <s v="2025"/>
    <s v="CUST-1150"/>
    <s v="Isha Singh"/>
    <x v="2"/>
    <s v="Home &amp; Kitchen"/>
    <s v="Non-stick Pan Set"/>
    <n v="2"/>
    <n v="1299"/>
    <n v="2598"/>
    <n v="20"/>
    <n v="519.6"/>
    <n v="2078.4"/>
    <s v="UPI"/>
    <x v="1"/>
  </r>
  <r>
    <s v="ORD-2027306"/>
    <s v="6 Thu"/>
    <s v="Nov"/>
    <s v="2025"/>
    <s v="CUST-1318"/>
    <s v="Tanya Verma"/>
    <x v="4"/>
    <s v="Groceries"/>
    <s v="Organic Honey 500g"/>
    <n v="2"/>
    <n v="349"/>
    <n v="698"/>
    <n v="15"/>
    <n v="104.7"/>
    <n v="593.29999999999995"/>
    <s v="Credit Card"/>
    <x v="0"/>
  </r>
  <r>
    <s v="ORD-2027307"/>
    <s v="6 Thu"/>
    <s v="Nov"/>
    <s v="2025"/>
    <s v="CUST-1310"/>
    <s v="Meera Patel"/>
    <x v="4"/>
    <s v="Apparel"/>
    <s v="Denim Jacket"/>
    <n v="1"/>
    <n v="1999"/>
    <n v="1999"/>
    <n v="10"/>
    <n v="199.9"/>
    <n v="1799.1"/>
    <s v="Debit Card"/>
    <x v="0"/>
  </r>
  <r>
    <s v="ORD-2027308"/>
    <s v="6 Thu"/>
    <s v="Nov"/>
    <s v="2025"/>
    <s v="CUST-1175"/>
    <s v="Vivaan Kapoor"/>
    <x v="4"/>
    <s v="Beauty"/>
    <s v="Herbal Shampoo"/>
    <n v="1"/>
    <n v="249"/>
    <n v="249"/>
    <n v="30"/>
    <n v="74.7"/>
    <n v="174.3"/>
    <s v="Debit Card"/>
    <x v="0"/>
  </r>
  <r>
    <s v="ORD-2027309"/>
    <s v="6 Thu"/>
    <s v="Nov"/>
    <s v="2025"/>
    <s v="CUST-1030"/>
    <s v="Rahul Kapoor"/>
    <x v="3"/>
    <s v="Apparel"/>
    <s v="Formal Shirt"/>
    <n v="3"/>
    <n v="899"/>
    <n v="2697"/>
    <n v="25"/>
    <n v="674.25"/>
    <n v="2022.75"/>
    <s v="Debit Card"/>
    <x v="1"/>
  </r>
  <r>
    <s v="ORD-2027310"/>
    <s v="6 Thu"/>
    <s v="Nov"/>
    <s v="2025"/>
    <s v="CUST-1036"/>
    <s v="Nandini Mehta"/>
    <x v="2"/>
    <s v="Stationery"/>
    <s v="Gel Pen Pack"/>
    <n v="2"/>
    <n v="99"/>
    <n v="198"/>
    <n v="30"/>
    <n v="59.4"/>
    <n v="138.6"/>
    <s v="UPI"/>
    <x v="0"/>
  </r>
  <r>
    <s v="ORD-2027311"/>
    <s v="6 Thu"/>
    <s v="Nov"/>
    <s v="2025"/>
    <s v="CUST-1280"/>
    <s v="Muskan Kapoor"/>
    <x v="1"/>
    <s v="Groceries"/>
    <s v="Organic Honey 500g"/>
    <n v="1"/>
    <n v="349"/>
    <n v="349"/>
    <n v="0"/>
    <n v="0"/>
    <n v="349"/>
    <s v="Cash"/>
    <x v="0"/>
  </r>
  <r>
    <s v="ORD-2027312"/>
    <s v="7 Fri"/>
    <s v="Nov"/>
    <s v="2025"/>
    <s v="CUST-1083"/>
    <s v="Komal Kapoor"/>
    <x v="1"/>
    <s v="Home &amp; Kitchen"/>
    <s v="Non-stick Pan Set"/>
    <n v="5"/>
    <n v="1299"/>
    <n v="6495"/>
    <n v="30"/>
    <n v="1948.5"/>
    <n v="4546.5"/>
    <s v="Net Banking"/>
    <x v="0"/>
  </r>
  <r>
    <s v="ORD-2027313"/>
    <s v="7 Fri"/>
    <s v="Nov"/>
    <s v="2025"/>
    <s v="CUST-1121"/>
    <s v="Rahul Kapoor"/>
    <x v="0"/>
    <s v="Electronics"/>
    <s v="Bluetooth Headphones"/>
    <n v="1"/>
    <n v="1799"/>
    <n v="1799"/>
    <n v="25"/>
    <n v="449.75"/>
    <n v="1349.25"/>
    <s v="Cash"/>
    <x v="0"/>
  </r>
  <r>
    <s v="ORD-2027314"/>
    <s v="7 Fri"/>
    <s v="Nov"/>
    <s v="2025"/>
    <s v="CUST-1137"/>
    <s v="Nandini Kapoor"/>
    <x v="1"/>
    <s v="Sports"/>
    <s v="Yoga Mat"/>
    <n v="5"/>
    <n v="699"/>
    <n v="3495"/>
    <n v="0"/>
    <n v="0"/>
    <n v="3495"/>
    <s v="Debit Card"/>
    <x v="1"/>
  </r>
  <r>
    <s v="ORD-2027315"/>
    <s v="7 Fri"/>
    <s v="Nov"/>
    <s v="2025"/>
    <s v="CUST-1368"/>
    <s v="Isha Patel"/>
    <x v="2"/>
    <s v="Beauty"/>
    <s v="Face Wash 100ml"/>
    <n v="1"/>
    <n v="299"/>
    <n v="299"/>
    <n v="25"/>
    <n v="74.75"/>
    <n v="224.25"/>
    <s v="Credit Card"/>
    <x v="0"/>
  </r>
  <r>
    <s v="ORD-2027316"/>
    <s v="7 Fri"/>
    <s v="Nov"/>
    <s v="2025"/>
    <s v="CUST-1290"/>
    <s v="Kabir Mehta"/>
    <x v="1"/>
    <s v="Apparel"/>
    <s v="Denim Jacket"/>
    <n v="2"/>
    <n v="1999"/>
    <n v="3998"/>
    <n v="15"/>
    <n v="599.70000000000005"/>
    <n v="3398.3"/>
    <s v="Debit Card"/>
    <x v="1"/>
  </r>
  <r>
    <s v="ORD-2027317"/>
    <s v="7 Fri"/>
    <s v="Nov"/>
    <s v="2025"/>
    <s v="CUST-1329"/>
    <s v="Swati Gupta"/>
    <x v="4"/>
    <s v="Stationery"/>
    <s v="Notebook Set"/>
    <n v="1"/>
    <n v="199"/>
    <n v="199"/>
    <n v="15"/>
    <n v="29.85"/>
    <n v="169.15"/>
    <s v="UPI"/>
    <x v="0"/>
  </r>
  <r>
    <s v="ORD-2027318"/>
    <s v="7 Fri"/>
    <s v="Nov"/>
    <s v="2025"/>
    <s v="CUST-1169"/>
    <s v="Nandini Patel"/>
    <x v="1"/>
    <s v="Apparel"/>
    <s v="Denim Jacket"/>
    <n v="1"/>
    <n v="1999"/>
    <n v="1999"/>
    <n v="20"/>
    <n v="399.8"/>
    <n v="1599.2"/>
    <s v="Debit Card"/>
    <x v="1"/>
  </r>
  <r>
    <s v="ORD-2027319"/>
    <s v="7 Fri"/>
    <s v="Nov"/>
    <s v="2025"/>
    <s v="CUST-1048"/>
    <s v="Divya Mehta"/>
    <x v="0"/>
    <s v="Apparel"/>
    <s v="Formal Shirt"/>
    <n v="1"/>
    <n v="899"/>
    <n v="899"/>
    <n v="0"/>
    <n v="0"/>
    <n v="899"/>
    <s v="Net Banking"/>
    <x v="0"/>
  </r>
  <r>
    <s v="ORD-2027320"/>
    <s v="7 Fri"/>
    <s v="Nov"/>
    <s v="2025"/>
    <s v="CUST-1183"/>
    <s v="Arjun Mehta"/>
    <x v="3"/>
    <s v="Apparel"/>
    <s v="Cotton T-Shirt"/>
    <n v="1"/>
    <n v="499"/>
    <n v="499"/>
    <n v="25"/>
    <n v="124.75"/>
    <n v="374.25"/>
    <s v="UPI"/>
    <x v="0"/>
  </r>
  <r>
    <s v="ORD-2027321"/>
    <s v="8 Sat"/>
    <s v="Nov"/>
    <s v="2025"/>
    <s v="CUST-1138"/>
    <s v="Tanya Singh"/>
    <x v="3"/>
    <s v="Stationery"/>
    <s v="Notebook Set"/>
    <n v="3"/>
    <n v="199"/>
    <n v="597"/>
    <n v="0"/>
    <n v="0"/>
    <n v="597"/>
    <s v="Credit Card"/>
    <x v="0"/>
  </r>
  <r>
    <s v="ORD-2027322"/>
    <s v="8 Sat"/>
    <s v="Nov"/>
    <s v="2025"/>
    <s v="CUST-1136"/>
    <s v="Kunal Patel"/>
    <x v="4"/>
    <s v="Stationery"/>
    <s v="Notebook Set"/>
    <n v="4"/>
    <n v="199"/>
    <n v="796"/>
    <n v="15"/>
    <n v="119.4"/>
    <n v="676.6"/>
    <s v="Net Banking"/>
    <x v="0"/>
  </r>
  <r>
    <s v="ORD-2027323"/>
    <s v="8 Sat"/>
    <s v="Nov"/>
    <s v="2025"/>
    <s v="CUST-1027"/>
    <s v="Aditya Gupta"/>
    <x v="4"/>
    <s v="Stationery"/>
    <s v="Notebook Set"/>
    <n v="1"/>
    <n v="199"/>
    <n v="199"/>
    <n v="10"/>
    <n v="19.899999999999999"/>
    <n v="179.1"/>
    <s v="UPI"/>
    <x v="0"/>
  </r>
  <r>
    <s v="ORD-2027324"/>
    <s v="8 Sat"/>
    <s v="Nov"/>
    <s v="2025"/>
    <s v="CUST-1043"/>
    <s v="Divya Kapoor"/>
    <x v="3"/>
    <s v="Stationery"/>
    <s v="Gel Pen Pack"/>
    <n v="3"/>
    <n v="99"/>
    <n v="297"/>
    <n v="15"/>
    <n v="44.55"/>
    <n v="252.45"/>
    <s v="Debit Card"/>
    <x v="0"/>
  </r>
  <r>
    <s v="ORD-2027325"/>
    <s v="8 Sat"/>
    <s v="Nov"/>
    <s v="2025"/>
    <s v="CUST-1386"/>
    <s v="Swati Patel"/>
    <x v="2"/>
    <s v="Home &amp; Kitchen"/>
    <s v="LED Desk Lamp"/>
    <n v="1"/>
    <n v="799"/>
    <n v="799"/>
    <n v="10"/>
    <n v="79.900000000000006"/>
    <n v="719.1"/>
    <s v="Credit Card"/>
    <x v="0"/>
  </r>
  <r>
    <s v="ORD-2027326"/>
    <s v="8 Sat"/>
    <s v="Nov"/>
    <s v="2025"/>
    <s v="CUST-1266"/>
    <s v="Vivaan Kapoor"/>
    <x v="3"/>
    <s v="Beauty"/>
    <s v="Face Wash 100ml"/>
    <n v="2"/>
    <n v="299"/>
    <n v="598"/>
    <n v="10"/>
    <n v="59.8"/>
    <n v="538.20000000000005"/>
    <s v="Net Banking"/>
    <x v="0"/>
  </r>
  <r>
    <s v="ORD-2027327"/>
    <s v="8 Sat"/>
    <s v="Nov"/>
    <s v="2025"/>
    <s v="CUST-1226"/>
    <s v="Tanya Joshi"/>
    <x v="1"/>
    <s v="Electronics"/>
    <s v="Bluetooth Headphones"/>
    <n v="2"/>
    <n v="1799"/>
    <n v="3598"/>
    <n v="15"/>
    <n v="539.70000000000005"/>
    <n v="3058.3"/>
    <s v="Debit Card"/>
    <x v="0"/>
  </r>
  <r>
    <s v="ORD-2027328"/>
    <s v="8 Sat"/>
    <s v="Nov"/>
    <s v="2025"/>
    <s v="CUST-1269"/>
    <s v="Kunal Verma"/>
    <x v="3"/>
    <s v="Home &amp; Kitchen"/>
    <s v="LED Desk Lamp"/>
    <n v="3"/>
    <n v="799"/>
    <n v="2397"/>
    <n v="10"/>
    <n v="239.7"/>
    <n v="2157.3000000000002"/>
    <s v="Credit Card"/>
    <x v="0"/>
  </r>
  <r>
    <s v="ORD-2027329"/>
    <s v="8 Sat"/>
    <s v="Nov"/>
    <s v="2025"/>
    <s v="CUST-1182"/>
    <s v="Swati Verma"/>
    <x v="0"/>
    <s v="Electronics"/>
    <s v="Smartwatch"/>
    <n v="1"/>
    <n v="2999"/>
    <n v="2999"/>
    <n v="10"/>
    <n v="299.89999999999998"/>
    <n v="2699.1"/>
    <s v="Debit Card"/>
    <x v="0"/>
  </r>
  <r>
    <s v="ORD-2027330"/>
    <s v="8 Sat"/>
    <s v="Nov"/>
    <s v="2025"/>
    <s v="CUST-1012"/>
    <s v="Shreya Patel"/>
    <x v="2"/>
    <s v="Electronics"/>
    <s v="Smartwatch"/>
    <n v="1"/>
    <n v="2999"/>
    <n v="2999"/>
    <n v="15"/>
    <n v="449.85"/>
    <n v="2549.15"/>
    <s v="UPI"/>
    <x v="0"/>
  </r>
  <r>
    <s v="ORD-2027331"/>
    <s v="8 Sat"/>
    <s v="Nov"/>
    <s v="2025"/>
    <s v="CUST-1174"/>
    <s v="Rahul Singh"/>
    <x v="2"/>
    <s v="Home &amp; Kitchen"/>
    <s v="LED Desk Lamp"/>
    <n v="2"/>
    <n v="799"/>
    <n v="1598"/>
    <n v="25"/>
    <n v="399.5"/>
    <n v="1198.5"/>
    <s v="Net Banking"/>
    <x v="1"/>
  </r>
  <r>
    <s v="ORD-2027332"/>
    <s v="9 Sun"/>
    <s v="Nov"/>
    <s v="2025"/>
    <s v="CUST-1391"/>
    <s v="Kunal Gupta"/>
    <x v="4"/>
    <s v="Electronics"/>
    <s v="Smartwatch"/>
    <n v="1"/>
    <n v="2999"/>
    <n v="2999"/>
    <n v="10"/>
    <n v="299.89999999999998"/>
    <n v="2699.1"/>
    <s v="UPI"/>
    <x v="1"/>
  </r>
  <r>
    <s v="ORD-2027333"/>
    <s v="9 Sun"/>
    <s v="Nov"/>
    <s v="2025"/>
    <s v="CUST-1380"/>
    <s v="Meera Joshi"/>
    <x v="4"/>
    <s v="Groceries"/>
    <s v="Organic Honey 500g"/>
    <n v="1"/>
    <n v="349"/>
    <n v="349"/>
    <n v="5"/>
    <n v="17.45"/>
    <n v="331.55"/>
    <s v="UPI"/>
    <x v="0"/>
  </r>
  <r>
    <s v="ORD-2027334"/>
    <s v="9 Sun"/>
    <s v="Nov"/>
    <s v="2025"/>
    <s v="CUST-1015"/>
    <s v="Swati Joshi"/>
    <x v="2"/>
    <s v="Apparel"/>
    <s v="Cotton T-Shirt"/>
    <n v="1"/>
    <n v="499"/>
    <n v="499"/>
    <n v="25"/>
    <n v="124.75"/>
    <n v="374.25"/>
    <s v="UPI"/>
    <x v="1"/>
  </r>
  <r>
    <s v="ORD-2027335"/>
    <s v="9 Sun"/>
    <s v="Nov"/>
    <s v="2025"/>
    <s v="CUST-1288"/>
    <s v="Aditya Mehta"/>
    <x v="2"/>
    <s v="Beauty"/>
    <s v="Face Wash 100ml"/>
    <n v="2"/>
    <n v="299"/>
    <n v="598"/>
    <n v="5"/>
    <n v="29.9"/>
    <n v="568.1"/>
    <s v="UPI"/>
    <x v="0"/>
  </r>
  <r>
    <s v="ORD-2027336"/>
    <s v="9 Sun"/>
    <s v="Nov"/>
    <s v="2025"/>
    <s v="CUST-1280"/>
    <s v="Muskan Kapoor"/>
    <x v="3"/>
    <s v="Stationery"/>
    <s v="Gel Pen Pack"/>
    <n v="1"/>
    <n v="99"/>
    <n v="99"/>
    <n v="30"/>
    <n v="29.7"/>
    <n v="69.3"/>
    <s v="Credit Card"/>
    <x v="0"/>
  </r>
  <r>
    <s v="ORD-2027337"/>
    <s v="9 Sun"/>
    <s v="Nov"/>
    <s v="2025"/>
    <s v="CUST-1038"/>
    <s v="Rohan Joshi"/>
    <x v="2"/>
    <s v="Groceries"/>
    <s v="Organic Honey 500g"/>
    <n v="2"/>
    <n v="349"/>
    <n v="698"/>
    <n v="25"/>
    <n v="174.5"/>
    <n v="523.5"/>
    <s v="Debit Card"/>
    <x v="1"/>
  </r>
  <r>
    <s v="ORD-2027338"/>
    <s v="9 Sun"/>
    <s v="Nov"/>
    <s v="2025"/>
    <s v="CUST-1365"/>
    <s v="Meera Singh"/>
    <x v="4"/>
    <s v="Sports"/>
    <s v="Yoga Mat"/>
    <n v="1"/>
    <n v="699"/>
    <n v="699"/>
    <n v="25"/>
    <n v="174.75"/>
    <n v="524.25"/>
    <s v="Cash"/>
    <x v="1"/>
  </r>
  <r>
    <s v="ORD-2027339"/>
    <s v="9 Sun"/>
    <s v="Nov"/>
    <s v="2025"/>
    <s v="CUST-1037"/>
    <s v="Aarav Gupta"/>
    <x v="1"/>
    <s v="Stationery"/>
    <s v="Gel Pen Pack"/>
    <n v="1"/>
    <n v="99"/>
    <n v="99"/>
    <n v="5"/>
    <n v="4.95"/>
    <n v="94.05"/>
    <s v="Debit Card"/>
    <x v="0"/>
  </r>
  <r>
    <s v="ORD-2027340"/>
    <s v="9 Sun"/>
    <s v="Nov"/>
    <s v="2025"/>
    <s v="CUST-1261"/>
    <s v="Shreya Patel"/>
    <x v="2"/>
    <s v="Apparel"/>
    <s v="Denim Jacket"/>
    <n v="2"/>
    <n v="1999"/>
    <n v="3998"/>
    <n v="30"/>
    <n v="1199.4000000000001"/>
    <n v="2798.6"/>
    <s v="UPI"/>
    <x v="0"/>
  </r>
  <r>
    <s v="ORD-2027341"/>
    <s v="9 Sun"/>
    <s v="Nov"/>
    <s v="2025"/>
    <s v="CUST-1131"/>
    <s v="Aarav Sharma"/>
    <x v="0"/>
    <s v="Apparel"/>
    <s v="Cotton T-Shirt"/>
    <n v="3"/>
    <n v="499"/>
    <n v="1497"/>
    <n v="30"/>
    <n v="449.1"/>
    <n v="1047.9000000000001"/>
    <s v="Credit Card"/>
    <x v="1"/>
  </r>
  <r>
    <s v="ORD-2027342"/>
    <s v="9 Sun"/>
    <s v="Nov"/>
    <s v="2025"/>
    <s v="CUST-1164"/>
    <s v="Kabir Malhotra"/>
    <x v="1"/>
    <s v="Apparel"/>
    <s v="Denim Jacket"/>
    <n v="1"/>
    <n v="1999"/>
    <n v="1999"/>
    <n v="30"/>
    <n v="599.70000000000005"/>
    <n v="1399.3"/>
    <s v="UPI"/>
    <x v="0"/>
  </r>
  <r>
    <s v="ORD-2027343"/>
    <s v="10 Mon"/>
    <s v="Nov"/>
    <s v="2025"/>
    <s v="CUST-1040"/>
    <s v="Aditya Malhotra"/>
    <x v="4"/>
    <s v="Beauty"/>
    <s v="Herbal Shampoo"/>
    <n v="1"/>
    <n v="249"/>
    <n v="249"/>
    <n v="5"/>
    <n v="12.45"/>
    <n v="236.55"/>
    <s v="Credit Card"/>
    <x v="0"/>
  </r>
  <r>
    <s v="ORD-2027344"/>
    <s v="10 Mon"/>
    <s v="Nov"/>
    <s v="2025"/>
    <s v="CUST-1225"/>
    <s v="Aarav Kapoor"/>
    <x v="4"/>
    <s v="Home &amp; Kitchen"/>
    <s v="LED Desk Lamp"/>
    <n v="3"/>
    <n v="799"/>
    <n v="2397"/>
    <n v="30"/>
    <n v="719.1"/>
    <n v="1677.9"/>
    <s v="Credit Card"/>
    <x v="0"/>
  </r>
  <r>
    <s v="ORD-2027345"/>
    <s v="10 Mon"/>
    <s v="Nov"/>
    <s v="2025"/>
    <s v="CUST-1152"/>
    <s v="Kabir Gupta"/>
    <x v="3"/>
    <s v="Groceries"/>
    <s v="Organic Honey 500g"/>
    <n v="1"/>
    <n v="349"/>
    <n v="349"/>
    <n v="10"/>
    <n v="34.9"/>
    <n v="314.10000000000002"/>
    <s v="Credit Card"/>
    <x v="0"/>
  </r>
  <r>
    <s v="ORD-2027346"/>
    <s v="10 Mon"/>
    <s v="Nov"/>
    <s v="2025"/>
    <s v="CUST-1011"/>
    <s v="Kunal Sharma"/>
    <x v="4"/>
    <s v="Home &amp; Kitchen"/>
    <s v="LED Desk Lamp"/>
    <n v="1"/>
    <n v="799"/>
    <n v="799"/>
    <n v="15"/>
    <n v="119.85"/>
    <n v="679.15"/>
    <s v="UPI"/>
    <x v="0"/>
  </r>
  <r>
    <s v="ORD-2027347"/>
    <s v="10 Mon"/>
    <s v="Nov"/>
    <s v="2025"/>
    <s v="CUST-1106"/>
    <s v="Ankit Saxena"/>
    <x v="1"/>
    <s v="Apparel"/>
    <s v="Cotton T-Shirt"/>
    <n v="1"/>
    <n v="499"/>
    <n v="499"/>
    <n v="15"/>
    <n v="74.849999999999994"/>
    <n v="424.15"/>
    <s v="Net Banking"/>
    <x v="0"/>
  </r>
  <r>
    <s v="ORD-2027348"/>
    <s v="10 Mon"/>
    <s v="Nov"/>
    <s v="2025"/>
    <s v="CUST-1199"/>
    <s v="Sakshi Saxena"/>
    <x v="4"/>
    <s v="Electronics"/>
    <s v="Smartwatch"/>
    <n v="3"/>
    <n v="2999"/>
    <n v="8997"/>
    <n v="25"/>
    <n v="2249.25"/>
    <n v="6747.75"/>
    <s v="UPI"/>
    <x v="1"/>
  </r>
  <r>
    <s v="ORD-2027349"/>
    <s v="10 Mon"/>
    <s v="Nov"/>
    <s v="2025"/>
    <s v="CUST-1023"/>
    <s v="Rohan Sharma"/>
    <x v="4"/>
    <s v="Beauty"/>
    <s v="Herbal Shampoo"/>
    <n v="2"/>
    <n v="249"/>
    <n v="498"/>
    <n v="20"/>
    <n v="99.6"/>
    <n v="398.4"/>
    <s v="Credit Card"/>
    <x v="0"/>
  </r>
  <r>
    <s v="ORD-2027350"/>
    <s v="10 Mon"/>
    <s v="Nov"/>
    <s v="2025"/>
    <s v="CUST-1313"/>
    <s v="Kunal Joshi"/>
    <x v="2"/>
    <s v="Beauty"/>
    <s v="Herbal Shampoo"/>
    <n v="1"/>
    <n v="249"/>
    <n v="249"/>
    <n v="10"/>
    <n v="24.9"/>
    <n v="224.1"/>
    <s v="Cash"/>
    <x v="0"/>
  </r>
  <r>
    <s v="ORD-2027351"/>
    <s v="11 Tue"/>
    <s v="Nov"/>
    <s v="2025"/>
    <s v="CUST-1121"/>
    <s v="Rahul Kapoor"/>
    <x v="0"/>
    <s v="Electronics"/>
    <s v="Smartwatch"/>
    <n v="2"/>
    <n v="2999"/>
    <n v="5998"/>
    <n v="25"/>
    <n v="1499.5"/>
    <n v="4498.5"/>
    <s v="Net Banking"/>
    <x v="0"/>
  </r>
  <r>
    <s v="ORD-2027352"/>
    <s v="11 Tue"/>
    <s v="Nov"/>
    <s v="2025"/>
    <s v="CUST-1379"/>
    <s v="Divya Verma"/>
    <x v="0"/>
    <s v="Stationery"/>
    <s v="Gel Pen Pack"/>
    <n v="2"/>
    <n v="99"/>
    <n v="198"/>
    <n v="10"/>
    <n v="19.8"/>
    <n v="178.2"/>
    <s v="Credit Card"/>
    <x v="1"/>
  </r>
  <r>
    <s v="ORD-2027353"/>
    <s v="11 Tue"/>
    <s v="Nov"/>
    <s v="2025"/>
    <s v="CUST-1296"/>
    <s v="Vivaan Kapoor"/>
    <x v="0"/>
    <s v="Stationery"/>
    <s v="Gel Pen Pack"/>
    <n v="3"/>
    <n v="99"/>
    <n v="297"/>
    <n v="0"/>
    <n v="0"/>
    <n v="297"/>
    <s v="Credit Card"/>
    <x v="0"/>
  </r>
  <r>
    <s v="ORD-2027354"/>
    <s v="11 Tue"/>
    <s v="Nov"/>
    <s v="2025"/>
    <s v="CUST-1365"/>
    <s v="Meera Singh"/>
    <x v="4"/>
    <s v="Sports"/>
    <s v="Cricket Bat"/>
    <n v="1"/>
    <n v="1499"/>
    <n v="1499"/>
    <n v="25"/>
    <n v="374.75"/>
    <n v="1124.25"/>
    <s v="Credit Card"/>
    <x v="0"/>
  </r>
  <r>
    <s v="ORD-2027355"/>
    <s v="11 Tue"/>
    <s v="Nov"/>
    <s v="2025"/>
    <s v="CUST-1320"/>
    <s v="Ankit Kapoor"/>
    <x v="3"/>
    <s v="Home &amp; Kitchen"/>
    <s v="Non-stick Pan Set"/>
    <n v="2"/>
    <n v="1299"/>
    <n v="2598"/>
    <n v="25"/>
    <n v="649.5"/>
    <n v="1948.5"/>
    <s v="Debit Card"/>
    <x v="1"/>
  </r>
  <r>
    <s v="ORD-2027356"/>
    <s v="11 Tue"/>
    <s v="Nov"/>
    <s v="2025"/>
    <s v="CUST-1018"/>
    <s v="Aditya Gupta"/>
    <x v="3"/>
    <s v="Apparel"/>
    <s v="Denim Jacket"/>
    <n v="3"/>
    <n v="1999"/>
    <n v="5997"/>
    <n v="30"/>
    <n v="1799.1"/>
    <n v="4197.8999999999996"/>
    <s v="Cash"/>
    <x v="0"/>
  </r>
  <r>
    <s v="ORD-2027357"/>
    <s v="11 Tue"/>
    <s v="Nov"/>
    <s v="2025"/>
    <s v="CUST-1311"/>
    <s v="Muskan Joshi"/>
    <x v="0"/>
    <s v="Electronics"/>
    <s v="Bluetooth Headphones"/>
    <n v="1"/>
    <n v="1799"/>
    <n v="1799"/>
    <n v="30"/>
    <n v="539.70000000000005"/>
    <n v="1259.3"/>
    <s v="Credit Card"/>
    <x v="0"/>
  </r>
  <r>
    <s v="ORD-2027358"/>
    <s v="11 Tue"/>
    <s v="Nov"/>
    <s v="2025"/>
    <s v="CUST-1056"/>
    <s v="Aarav Kapoor"/>
    <x v="3"/>
    <s v="Sports"/>
    <s v="Yoga Mat"/>
    <n v="1"/>
    <n v="699"/>
    <n v="699"/>
    <n v="30"/>
    <n v="209.7"/>
    <n v="489.3"/>
    <s v="Net Banking"/>
    <x v="1"/>
  </r>
  <r>
    <s v="ORD-2027359"/>
    <s v="11 Tue"/>
    <s v="Nov"/>
    <s v="2025"/>
    <s v="CUST-1053"/>
    <s v="Vivaan Malhotra"/>
    <x v="0"/>
    <s v="Home &amp; Kitchen"/>
    <s v="Non-stick Pan Set"/>
    <n v="1"/>
    <n v="1299"/>
    <n v="1299"/>
    <n v="5"/>
    <n v="64.95"/>
    <n v="1234.05"/>
    <s v="Cash"/>
    <x v="0"/>
  </r>
  <r>
    <s v="ORD-2027360"/>
    <s v="12 Wed"/>
    <s v="Nov"/>
    <s v="2025"/>
    <s v="CUST-1344"/>
    <s v="Nandini Saxena"/>
    <x v="1"/>
    <s v="Electronics"/>
    <s v="Wireless Mouse"/>
    <n v="1"/>
    <n v="599"/>
    <n v="599"/>
    <n v="15"/>
    <n v="89.85"/>
    <n v="509.15"/>
    <s v="Debit Card"/>
    <x v="1"/>
  </r>
  <r>
    <s v="ORD-2027361"/>
    <s v="12 Wed"/>
    <s v="Nov"/>
    <s v="2025"/>
    <s v="CUST-1260"/>
    <s v="Ankit Verma"/>
    <x v="1"/>
    <s v="Electronics"/>
    <s v="Wireless Mouse"/>
    <n v="1"/>
    <n v="599"/>
    <n v="599"/>
    <n v="0"/>
    <n v="0"/>
    <n v="599"/>
    <s v="UPI"/>
    <x v="1"/>
  </r>
  <r>
    <s v="ORD-2027362"/>
    <s v="12 Wed"/>
    <s v="Nov"/>
    <s v="2025"/>
    <s v="CUST-1131"/>
    <s v="Aarav Sharma"/>
    <x v="2"/>
    <s v="Beauty"/>
    <s v="Herbal Shampoo"/>
    <n v="2"/>
    <n v="249"/>
    <n v="498"/>
    <n v="15"/>
    <n v="74.7"/>
    <n v="423.3"/>
    <s v="Debit Card"/>
    <x v="1"/>
  </r>
  <r>
    <s v="ORD-2027363"/>
    <s v="12 Wed"/>
    <s v="Nov"/>
    <s v="2025"/>
    <s v="CUST-1174"/>
    <s v="Rahul Singh"/>
    <x v="3"/>
    <s v="Apparel"/>
    <s v="Cotton T-Shirt"/>
    <n v="3"/>
    <n v="499"/>
    <n v="1497"/>
    <n v="15"/>
    <n v="224.55"/>
    <n v="1272.45"/>
    <s v="Credit Card"/>
    <x v="1"/>
  </r>
  <r>
    <s v="ORD-2027364"/>
    <s v="12 Wed"/>
    <s v="Nov"/>
    <s v="2025"/>
    <s v="CUST-1280"/>
    <s v="Muskan Kapoor"/>
    <x v="2"/>
    <s v="Electronics"/>
    <s v="Wireless Mouse"/>
    <n v="1"/>
    <n v="599"/>
    <n v="599"/>
    <n v="20"/>
    <n v="119.8"/>
    <n v="479.2"/>
    <s v="UPI"/>
    <x v="0"/>
  </r>
  <r>
    <s v="ORD-2027365"/>
    <s v="12 Wed"/>
    <s v="Nov"/>
    <s v="2025"/>
    <s v="CUST-1291"/>
    <s v="Arjun Saxena"/>
    <x v="1"/>
    <s v="Stationery"/>
    <s v="Notebook Set"/>
    <n v="1"/>
    <n v="199"/>
    <n v="199"/>
    <n v="15"/>
    <n v="29.85"/>
    <n v="169.15"/>
    <s v="UPI"/>
    <x v="0"/>
  </r>
  <r>
    <s v="ORD-2027366"/>
    <s v="12 Wed"/>
    <s v="Nov"/>
    <s v="2025"/>
    <s v="CUST-1211"/>
    <s v="Rohan Sharma"/>
    <x v="4"/>
    <s v="Home &amp; Kitchen"/>
    <s v="LED Desk Lamp"/>
    <n v="1"/>
    <n v="799"/>
    <n v="799"/>
    <n v="30"/>
    <n v="239.7"/>
    <n v="559.29999999999995"/>
    <s v="Net Banking"/>
    <x v="0"/>
  </r>
  <r>
    <s v="ORD-2027367"/>
    <s v="12 Wed"/>
    <s v="Nov"/>
    <s v="2025"/>
    <s v="CUST-1099"/>
    <s v="Rahul Malhotra"/>
    <x v="2"/>
    <s v="Electronics"/>
    <s v="Smartwatch"/>
    <n v="1"/>
    <n v="2999"/>
    <n v="2999"/>
    <n v="30"/>
    <n v="899.7"/>
    <n v="2099.3000000000002"/>
    <s v="Net Banking"/>
    <x v="1"/>
  </r>
  <r>
    <s v="ORD-2027368"/>
    <s v="12 Wed"/>
    <s v="Nov"/>
    <s v="2025"/>
    <s v="CUST-1348"/>
    <s v="Ankit Malhotra"/>
    <x v="3"/>
    <s v="Beauty"/>
    <s v="Herbal Shampoo"/>
    <n v="5"/>
    <n v="249"/>
    <n v="1245"/>
    <n v="25"/>
    <n v="311.25"/>
    <n v="933.75"/>
    <s v="Debit Card"/>
    <x v="0"/>
  </r>
  <r>
    <s v="ORD-2027369"/>
    <s v="12 Wed"/>
    <s v="Nov"/>
    <s v="2025"/>
    <s v="CUST-1373"/>
    <s v="Rahul Verma"/>
    <x v="0"/>
    <s v="Electronics"/>
    <s v="Bluetooth Headphones"/>
    <n v="2"/>
    <n v="1799"/>
    <n v="3598"/>
    <n v="10"/>
    <n v="359.8"/>
    <n v="3238.2"/>
    <s v="UPI"/>
    <x v="1"/>
  </r>
  <r>
    <s v="ORD-2027370"/>
    <s v="12 Wed"/>
    <s v="Nov"/>
    <s v="2025"/>
    <s v="CUST-1377"/>
    <s v="Sakshi Patel"/>
    <x v="2"/>
    <s v="Sports"/>
    <s v="Yoga Mat"/>
    <n v="1"/>
    <n v="699"/>
    <n v="699"/>
    <n v="15"/>
    <n v="104.85"/>
    <n v="594.15"/>
    <s v="UPI"/>
    <x v="0"/>
  </r>
  <r>
    <s v="ORD-2027371"/>
    <s v="12 Wed"/>
    <s v="Nov"/>
    <s v="2025"/>
    <s v="CUST-1328"/>
    <s v="Arjun Verma"/>
    <x v="3"/>
    <s v="Sports"/>
    <s v="Yoga Mat"/>
    <n v="2"/>
    <n v="699"/>
    <n v="1398"/>
    <n v="25"/>
    <n v="349.5"/>
    <n v="1048.5"/>
    <s v="UPI"/>
    <x v="0"/>
  </r>
  <r>
    <s v="ORD-2027372"/>
    <s v="13 Thu"/>
    <s v="Nov"/>
    <s v="2025"/>
    <s v="CUST-1050"/>
    <s v="Rohan Gupta"/>
    <x v="0"/>
    <s v="Electronics"/>
    <s v="Wireless Mouse"/>
    <n v="4"/>
    <n v="599"/>
    <n v="2396"/>
    <n v="25"/>
    <n v="599"/>
    <n v="1797"/>
    <s v="Cash"/>
    <x v="0"/>
  </r>
  <r>
    <s v="ORD-2027373"/>
    <s v="13 Thu"/>
    <s v="Nov"/>
    <s v="2025"/>
    <s v="CUST-1288"/>
    <s v="Aditya Mehta"/>
    <x v="2"/>
    <s v="Sports"/>
    <s v="Cricket Bat"/>
    <n v="3"/>
    <n v="1499"/>
    <n v="4497"/>
    <n v="30"/>
    <n v="1349.1"/>
    <n v="3147.9"/>
    <s v="Cash"/>
    <x v="0"/>
  </r>
  <r>
    <s v="ORD-2027374"/>
    <s v="13 Thu"/>
    <s v="Nov"/>
    <s v="2025"/>
    <s v="CUST-1085"/>
    <s v="Shreya Mehta"/>
    <x v="2"/>
    <s v="Electronics"/>
    <s v="Smartwatch"/>
    <n v="4"/>
    <n v="2999"/>
    <n v="11996"/>
    <n v="5"/>
    <n v="599.79999999999995"/>
    <n v="11396.2"/>
    <s v="Credit Card"/>
    <x v="0"/>
  </r>
  <r>
    <s v="ORD-2027375"/>
    <s v="13 Thu"/>
    <s v="Nov"/>
    <s v="2025"/>
    <s v="CUST-1308"/>
    <s v="Shreya Sharma"/>
    <x v="0"/>
    <s v="Sports"/>
    <s v="Cricket Bat"/>
    <n v="1"/>
    <n v="1499"/>
    <n v="1499"/>
    <n v="5"/>
    <n v="74.95"/>
    <n v="1424.05"/>
    <s v="Debit Card"/>
    <x v="0"/>
  </r>
  <r>
    <s v="ORD-2027376"/>
    <s v="13 Thu"/>
    <s v="Nov"/>
    <s v="2025"/>
    <s v="CUST-1061"/>
    <s v="Muskan Patel"/>
    <x v="1"/>
    <s v="Stationery"/>
    <s v="Notebook Set"/>
    <n v="2"/>
    <n v="199"/>
    <n v="398"/>
    <n v="5"/>
    <n v="19.899999999999999"/>
    <n v="378.1"/>
    <s v="Credit Card"/>
    <x v="1"/>
  </r>
  <r>
    <s v="ORD-2027377"/>
    <s v="13 Thu"/>
    <s v="Nov"/>
    <s v="2025"/>
    <s v="CUST-1371"/>
    <s v="Rahul Verma"/>
    <x v="2"/>
    <s v="Apparel"/>
    <s v="Formal Shirt"/>
    <n v="2"/>
    <n v="899"/>
    <n v="1798"/>
    <n v="5"/>
    <n v="89.9"/>
    <n v="1708.1"/>
    <s v="Debit Card"/>
    <x v="1"/>
  </r>
  <r>
    <s v="ORD-2027378"/>
    <s v="13 Thu"/>
    <s v="Nov"/>
    <s v="2025"/>
    <s v="CUST-1372"/>
    <s v="Vivaan Singh"/>
    <x v="1"/>
    <s v="Electronics"/>
    <s v="Wireless Mouse"/>
    <n v="1"/>
    <n v="599"/>
    <n v="599"/>
    <n v="25"/>
    <n v="149.75"/>
    <n v="449.25"/>
    <s v="Cash"/>
    <x v="0"/>
  </r>
  <r>
    <s v="ORD-2027379"/>
    <s v="13 Thu"/>
    <s v="Nov"/>
    <s v="2025"/>
    <s v="CUST-1151"/>
    <s v="Aman Patel"/>
    <x v="1"/>
    <s v="Sports"/>
    <s v="Cricket Bat"/>
    <n v="2"/>
    <n v="1499"/>
    <n v="2998"/>
    <n v="25"/>
    <n v="749.5"/>
    <n v="2248.5"/>
    <s v="Debit Card"/>
    <x v="1"/>
  </r>
  <r>
    <s v="ORD-2027380"/>
    <s v="13 Thu"/>
    <s v="Nov"/>
    <s v="2025"/>
    <s v="CUST-1246"/>
    <s v="Divya Verma"/>
    <x v="4"/>
    <s v="Groceries"/>
    <s v="Organic Honey 500g"/>
    <n v="2"/>
    <n v="349"/>
    <n v="698"/>
    <n v="10"/>
    <n v="69.8"/>
    <n v="628.20000000000005"/>
    <s v="Net Banking"/>
    <x v="1"/>
  </r>
  <r>
    <s v="ORD-2027381"/>
    <s v="13 Thu"/>
    <s v="Nov"/>
    <s v="2025"/>
    <s v="CUST-1169"/>
    <s v="Nandini Patel"/>
    <x v="1"/>
    <s v="Groceries"/>
    <s v="Organic Honey 500g"/>
    <n v="4"/>
    <n v="349"/>
    <n v="1396"/>
    <n v="0"/>
    <n v="0"/>
    <n v="1396"/>
    <s v="UPI"/>
    <x v="0"/>
  </r>
  <r>
    <s v="ORD-2027382"/>
    <s v="13 Thu"/>
    <s v="Nov"/>
    <s v="2025"/>
    <s v="CUST-1387"/>
    <s v="Rohan Patel"/>
    <x v="4"/>
    <s v="Electronics"/>
    <s v="Bluetooth Headphones"/>
    <n v="1"/>
    <n v="1799"/>
    <n v="1799"/>
    <n v="10"/>
    <n v="179.9"/>
    <n v="1619.1"/>
    <s v="Debit Card"/>
    <x v="0"/>
  </r>
  <r>
    <s v="ORD-2027383"/>
    <s v="13 Thu"/>
    <s v="Nov"/>
    <s v="2025"/>
    <s v="CUST-1347"/>
    <s v="Ankit Joshi"/>
    <x v="4"/>
    <s v="Apparel"/>
    <s v="Denim Jacket"/>
    <n v="2"/>
    <n v="1999"/>
    <n v="3998"/>
    <n v="25"/>
    <n v="999.5"/>
    <n v="2998.5"/>
    <s v="Credit Card"/>
    <x v="1"/>
  </r>
  <r>
    <s v="ORD-2027384"/>
    <s v="13 Thu"/>
    <s v="Nov"/>
    <s v="2025"/>
    <s v="CUST-1208"/>
    <s v="Arjun Singh"/>
    <x v="0"/>
    <s v="Beauty"/>
    <s v="Face Wash 100ml"/>
    <n v="3"/>
    <n v="299"/>
    <n v="897"/>
    <n v="5"/>
    <n v="44.85"/>
    <n v="852.15"/>
    <s v="Cash"/>
    <x v="0"/>
  </r>
  <r>
    <s v="ORD-2027385"/>
    <s v="14 Fri"/>
    <s v="Nov"/>
    <s v="2025"/>
    <s v="CUST-1061"/>
    <s v="Muskan Patel"/>
    <x v="3"/>
    <s v="Apparel"/>
    <s v="Cotton T-Shirt"/>
    <n v="2"/>
    <n v="499"/>
    <n v="998"/>
    <n v="25"/>
    <n v="249.5"/>
    <n v="748.5"/>
    <s v="Cash"/>
    <x v="0"/>
  </r>
  <r>
    <s v="ORD-2027386"/>
    <s v="14 Fri"/>
    <s v="Nov"/>
    <s v="2025"/>
    <s v="CUST-1077"/>
    <s v="Tanya Mehta"/>
    <x v="1"/>
    <s v="Groceries"/>
    <s v="Organic Honey 500g"/>
    <n v="2"/>
    <n v="349"/>
    <n v="698"/>
    <n v="30"/>
    <n v="209.4"/>
    <n v="488.6"/>
    <s v="Debit Card"/>
    <x v="0"/>
  </r>
  <r>
    <s v="ORD-2027387"/>
    <s v="14 Fri"/>
    <s v="Nov"/>
    <s v="2025"/>
    <s v="CUST-1358"/>
    <s v="Aman Patel"/>
    <x v="1"/>
    <s v="Home &amp; Kitchen"/>
    <s v="Non-stick Pan Set"/>
    <n v="2"/>
    <n v="1299"/>
    <n v="2598"/>
    <n v="20"/>
    <n v="519.6"/>
    <n v="2078.4"/>
    <s v="Net Banking"/>
    <x v="0"/>
  </r>
  <r>
    <s v="ORD-2027388"/>
    <s v="14 Fri"/>
    <s v="Nov"/>
    <s v="2025"/>
    <s v="CUST-1313"/>
    <s v="Kunal Joshi"/>
    <x v="2"/>
    <s v="Electronics"/>
    <s v="Bluetooth Headphones"/>
    <n v="4"/>
    <n v="1799"/>
    <n v="7196"/>
    <n v="25"/>
    <n v="1799"/>
    <n v="5397"/>
    <s v="Net Banking"/>
    <x v="0"/>
  </r>
  <r>
    <s v="ORD-2027389"/>
    <s v="14 Fri"/>
    <s v="Nov"/>
    <s v="2025"/>
    <s v="CUST-1184"/>
    <s v="Rahul Joshi"/>
    <x v="3"/>
    <s v="Groceries"/>
    <s v="Organic Honey 500g"/>
    <n v="1"/>
    <n v="349"/>
    <n v="349"/>
    <n v="10"/>
    <n v="34.9"/>
    <n v="314.10000000000002"/>
    <s v="UPI"/>
    <x v="1"/>
  </r>
  <r>
    <s v="ORD-2027390"/>
    <s v="14 Fri"/>
    <s v="Nov"/>
    <s v="2025"/>
    <s v="CUST-1083"/>
    <s v="Komal Kapoor"/>
    <x v="4"/>
    <s v="Apparel"/>
    <s v="Formal Shirt"/>
    <n v="1"/>
    <n v="899"/>
    <n v="899"/>
    <n v="10"/>
    <n v="89.9"/>
    <n v="809.1"/>
    <s v="Debit Card"/>
    <x v="1"/>
  </r>
  <r>
    <s v="ORD-2027391"/>
    <s v="14 Fri"/>
    <s v="Nov"/>
    <s v="2025"/>
    <s v="CUST-1299"/>
    <s v="Kabir Mehta"/>
    <x v="0"/>
    <s v="Apparel"/>
    <s v="Denim Jacket"/>
    <n v="1"/>
    <n v="1999"/>
    <n v="1999"/>
    <n v="30"/>
    <n v="599.70000000000005"/>
    <n v="1399.3"/>
    <s v="UPI"/>
    <x v="1"/>
  </r>
  <r>
    <s v="ORD-2027392"/>
    <s v="14 Fri"/>
    <s v="Nov"/>
    <s v="2025"/>
    <s v="CUST-1333"/>
    <s v="Aarav Gupta"/>
    <x v="0"/>
    <s v="Apparel"/>
    <s v="Formal Shirt"/>
    <n v="3"/>
    <n v="899"/>
    <n v="2697"/>
    <n v="0"/>
    <n v="0"/>
    <n v="2697"/>
    <s v="Credit Card"/>
    <x v="0"/>
  </r>
  <r>
    <s v="ORD-2027393"/>
    <s v="14 Fri"/>
    <s v="Nov"/>
    <s v="2025"/>
    <s v="CUST-1322"/>
    <s v="Rahul Sharma"/>
    <x v="3"/>
    <s v="Apparel"/>
    <s v="Denim Jacket"/>
    <n v="2"/>
    <n v="1999"/>
    <n v="3998"/>
    <n v="10"/>
    <n v="399.8"/>
    <n v="3598.2"/>
    <s v="Net Banking"/>
    <x v="1"/>
  </r>
  <r>
    <s v="ORD-2027394"/>
    <s v="14 Fri"/>
    <s v="Nov"/>
    <s v="2025"/>
    <s v="CUST-1203"/>
    <s v="Ankit Verma"/>
    <x v="3"/>
    <s v="Apparel"/>
    <s v="Denim Jacket"/>
    <n v="3"/>
    <n v="1999"/>
    <n v="5997"/>
    <n v="25"/>
    <n v="1499.25"/>
    <n v="4497.75"/>
    <s v="UPI"/>
    <x v="0"/>
  </r>
  <r>
    <s v="ORD-2027395"/>
    <s v="14 Fri"/>
    <s v="Nov"/>
    <s v="2025"/>
    <s v="CUST-1283"/>
    <s v="Aditya Mehta"/>
    <x v="4"/>
    <s v="Electronics"/>
    <s v="Wireless Mouse"/>
    <n v="1"/>
    <n v="599"/>
    <n v="599"/>
    <n v="25"/>
    <n v="149.75"/>
    <n v="449.25"/>
    <s v="UPI"/>
    <x v="0"/>
  </r>
  <r>
    <s v="ORD-2027396"/>
    <s v="14 Fri"/>
    <s v="Nov"/>
    <s v="2025"/>
    <s v="CUST-1048"/>
    <s v="Divya Mehta"/>
    <x v="1"/>
    <s v="Home &amp; Kitchen"/>
    <s v="LED Desk Lamp"/>
    <n v="2"/>
    <n v="799"/>
    <n v="1598"/>
    <n v="0"/>
    <n v="0"/>
    <n v="1598"/>
    <s v="UPI"/>
    <x v="0"/>
  </r>
  <r>
    <s v="ORD-2027397"/>
    <s v="14 Fri"/>
    <s v="Nov"/>
    <s v="2025"/>
    <s v="CUST-1369"/>
    <s v="Rohan Sharma"/>
    <x v="4"/>
    <s v="Electronics"/>
    <s v="Smartwatch"/>
    <n v="2"/>
    <n v="2999"/>
    <n v="5998"/>
    <n v="5"/>
    <n v="299.89999999999998"/>
    <n v="5698.1"/>
    <s v="Credit Card"/>
    <x v="0"/>
  </r>
  <r>
    <s v="ORD-2027398"/>
    <s v="14 Fri"/>
    <s v="Nov"/>
    <s v="2025"/>
    <s v="CUST-1209"/>
    <s v="Meera Mehta"/>
    <x v="1"/>
    <s v="Electronics"/>
    <s v="Bluetooth Headphones"/>
    <n v="4"/>
    <n v="1799"/>
    <n v="7196"/>
    <n v="10"/>
    <n v="719.6"/>
    <n v="6476.4"/>
    <s v="Credit Card"/>
    <x v="0"/>
  </r>
  <r>
    <s v="ORD-2027399"/>
    <s v="14 Fri"/>
    <s v="Nov"/>
    <s v="2025"/>
    <s v="CUST-1111"/>
    <s v="Swati Joshi"/>
    <x v="4"/>
    <s v="Sports"/>
    <s v="Cricket Bat"/>
    <n v="1"/>
    <n v="1499"/>
    <n v="1499"/>
    <n v="0"/>
    <n v="0"/>
    <n v="1499"/>
    <s v="Debit Card"/>
    <x v="0"/>
  </r>
  <r>
    <s v="ORD-2027400"/>
    <s v="15 Sat"/>
    <s v="Nov"/>
    <s v="2025"/>
    <s v="CUST-1353"/>
    <s v="Vivaan Gupta"/>
    <x v="2"/>
    <s v="Home &amp; Kitchen"/>
    <s v="LED Desk Lamp"/>
    <n v="1"/>
    <n v="799"/>
    <n v="799"/>
    <n v="30"/>
    <n v="239.7"/>
    <n v="559.29999999999995"/>
    <s v="Debit Card"/>
    <x v="0"/>
  </r>
  <r>
    <s v="ORD-2027401"/>
    <s v="15 Sat"/>
    <s v="Nov"/>
    <s v="2025"/>
    <s v="CUST-1264"/>
    <s v="Vivaan Malhotra"/>
    <x v="2"/>
    <s v="Apparel"/>
    <s v="Denim Jacket"/>
    <n v="2"/>
    <n v="1999"/>
    <n v="3998"/>
    <n v="15"/>
    <n v="599.70000000000005"/>
    <n v="3398.3"/>
    <s v="Cash"/>
    <x v="1"/>
  </r>
  <r>
    <s v="ORD-2027402"/>
    <s v="15 Sat"/>
    <s v="Nov"/>
    <s v="2025"/>
    <s v="CUST-1335"/>
    <s v="Divya Saxena"/>
    <x v="3"/>
    <s v="Home &amp; Kitchen"/>
    <s v="LED Desk Lamp"/>
    <n v="5"/>
    <n v="799"/>
    <n v="3995"/>
    <n v="10"/>
    <n v="399.5"/>
    <n v="3595.5"/>
    <s v="UPI"/>
    <x v="1"/>
  </r>
  <r>
    <s v="ORD-2027403"/>
    <s v="15 Sat"/>
    <s v="Nov"/>
    <s v="2025"/>
    <s v="CUST-1111"/>
    <s v="Swati Joshi"/>
    <x v="2"/>
    <s v="Electronics"/>
    <s v="Bluetooth Headphones"/>
    <n v="1"/>
    <n v="1799"/>
    <n v="1799"/>
    <n v="0"/>
    <n v="0"/>
    <n v="1799"/>
    <s v="UPI"/>
    <x v="0"/>
  </r>
  <r>
    <s v="ORD-2027404"/>
    <s v="15 Sat"/>
    <s v="Nov"/>
    <s v="2025"/>
    <s v="CUST-1318"/>
    <s v="Tanya Verma"/>
    <x v="1"/>
    <s v="Electronics"/>
    <s v="Bluetooth Headphones"/>
    <n v="4"/>
    <n v="1799"/>
    <n v="7196"/>
    <n v="10"/>
    <n v="719.6"/>
    <n v="6476.4"/>
    <s v="Cash"/>
    <x v="0"/>
  </r>
  <r>
    <s v="ORD-2027405"/>
    <s v="15 Sat"/>
    <s v="Nov"/>
    <s v="2025"/>
    <s v="CUST-1378"/>
    <s v="Rahul Mehta"/>
    <x v="4"/>
    <s v="Apparel"/>
    <s v="Formal Shirt"/>
    <n v="2"/>
    <n v="899"/>
    <n v="1798"/>
    <n v="5"/>
    <n v="89.9"/>
    <n v="1708.1"/>
    <s v="Net Banking"/>
    <x v="1"/>
  </r>
  <r>
    <s v="ORD-2027406"/>
    <s v="15 Sat"/>
    <s v="Nov"/>
    <s v="2025"/>
    <s v="CUST-1036"/>
    <s v="Nandini Mehta"/>
    <x v="2"/>
    <s v="Beauty"/>
    <s v="Face Wash 100ml"/>
    <n v="2"/>
    <n v="299"/>
    <n v="598"/>
    <n v="20"/>
    <n v="119.6"/>
    <n v="478.4"/>
    <s v="Debit Card"/>
    <x v="0"/>
  </r>
  <r>
    <s v="ORD-2027407"/>
    <s v="15 Sat"/>
    <s v="Nov"/>
    <s v="2025"/>
    <s v="CUST-1028"/>
    <s v="Swati Joshi"/>
    <x v="4"/>
    <s v="Sports"/>
    <s v="Yoga Mat"/>
    <n v="1"/>
    <n v="699"/>
    <n v="699"/>
    <n v="10"/>
    <n v="69.900000000000006"/>
    <n v="629.1"/>
    <s v="Debit Card"/>
    <x v="1"/>
  </r>
  <r>
    <s v="ORD-2027408"/>
    <s v="15 Sat"/>
    <s v="Nov"/>
    <s v="2025"/>
    <s v="CUST-1036"/>
    <s v="Nandini Mehta"/>
    <x v="0"/>
    <s v="Stationery"/>
    <s v="Gel Pen Pack"/>
    <n v="1"/>
    <n v="99"/>
    <n v="99"/>
    <n v="25"/>
    <n v="24.75"/>
    <n v="74.25"/>
    <s v="Debit Card"/>
    <x v="1"/>
  </r>
  <r>
    <s v="ORD-2027409"/>
    <s v="15 Sat"/>
    <s v="Nov"/>
    <s v="2025"/>
    <s v="CUST-1206"/>
    <s v="Aditya Gupta"/>
    <x v="3"/>
    <s v="Electronics"/>
    <s v="Wireless Mouse"/>
    <n v="2"/>
    <n v="599"/>
    <n v="1198"/>
    <n v="20"/>
    <n v="239.6"/>
    <n v="958.4"/>
    <s v="UPI"/>
    <x v="0"/>
  </r>
  <r>
    <s v="ORD-2027410"/>
    <s v="15 Sat"/>
    <s v="Nov"/>
    <s v="2025"/>
    <s v="CUST-1085"/>
    <s v="Shreya Mehta"/>
    <x v="3"/>
    <s v="Home &amp; Kitchen"/>
    <s v="LED Desk Lamp"/>
    <n v="1"/>
    <n v="799"/>
    <n v="799"/>
    <n v="0"/>
    <n v="0"/>
    <n v="799"/>
    <s v="Debit Card"/>
    <x v="0"/>
  </r>
  <r>
    <s v="ORD-2027411"/>
    <s v="15 Sat"/>
    <s v="Nov"/>
    <s v="2025"/>
    <s v="CUST-1182"/>
    <s v="Swati Verma"/>
    <x v="1"/>
    <s v="Groceries"/>
    <s v="Basmati Rice 5kg"/>
    <n v="1"/>
    <n v="549"/>
    <n v="549"/>
    <n v="5"/>
    <n v="27.45"/>
    <n v="521.54999999999995"/>
    <s v="Credit Card"/>
    <x v="0"/>
  </r>
  <r>
    <s v="ORD-2027412"/>
    <s v="16 Sun"/>
    <s v="Nov"/>
    <s v="2025"/>
    <s v="CUST-1313"/>
    <s v="Kunal Joshi"/>
    <x v="0"/>
    <s v="Groceries"/>
    <s v="Organic Honey 500g"/>
    <n v="3"/>
    <n v="349"/>
    <n v="1047"/>
    <n v="0"/>
    <n v="0"/>
    <n v="1047"/>
    <s v="Cash"/>
    <x v="0"/>
  </r>
  <r>
    <s v="ORD-2027413"/>
    <s v="16 Sun"/>
    <s v="Nov"/>
    <s v="2025"/>
    <s v="CUST-1079"/>
    <s v="Komal Mehta"/>
    <x v="0"/>
    <s v="Home &amp; Kitchen"/>
    <s v="Non-stick Pan Set"/>
    <n v="2"/>
    <n v="1299"/>
    <n v="2598"/>
    <n v="5"/>
    <n v="129.9"/>
    <n v="2468.1"/>
    <s v="Debit Card"/>
    <x v="0"/>
  </r>
  <r>
    <s v="ORD-2027414"/>
    <s v="16 Sun"/>
    <s v="Nov"/>
    <s v="2025"/>
    <s v="CUST-1099"/>
    <s v="Rahul Malhotra"/>
    <x v="4"/>
    <s v="Electronics"/>
    <s v="Bluetooth Headphones"/>
    <n v="3"/>
    <n v="1799"/>
    <n v="5397"/>
    <n v="10"/>
    <n v="539.70000000000005"/>
    <n v="4857.3"/>
    <s v="Credit Card"/>
    <x v="1"/>
  </r>
  <r>
    <s v="ORD-2027415"/>
    <s v="16 Sun"/>
    <s v="Nov"/>
    <s v="2025"/>
    <s v="CUST-1179"/>
    <s v="Nandini Saxena"/>
    <x v="1"/>
    <s v="Electronics"/>
    <s v="Wireless Mouse"/>
    <n v="3"/>
    <n v="599"/>
    <n v="1797"/>
    <n v="30"/>
    <n v="539.1"/>
    <n v="1257.9000000000001"/>
    <s v="Debit Card"/>
    <x v="1"/>
  </r>
  <r>
    <s v="ORD-2027416"/>
    <s v="16 Sun"/>
    <s v="Nov"/>
    <s v="2025"/>
    <s v="CUST-1118"/>
    <s v="Sakshi Malhotra"/>
    <x v="1"/>
    <s v="Beauty"/>
    <s v="Herbal Shampoo"/>
    <n v="3"/>
    <n v="249"/>
    <n v="747"/>
    <n v="10"/>
    <n v="74.7"/>
    <n v="672.3"/>
    <s v="UPI"/>
    <x v="0"/>
  </r>
  <r>
    <s v="ORD-2027417"/>
    <s v="16 Sun"/>
    <s v="Nov"/>
    <s v="2025"/>
    <s v="CUST-1360"/>
    <s v="Muskan Singh"/>
    <x v="3"/>
    <s v="Electronics"/>
    <s v="Wireless Mouse"/>
    <n v="1"/>
    <n v="599"/>
    <n v="599"/>
    <n v="25"/>
    <n v="149.75"/>
    <n v="449.25"/>
    <s v="Net Banking"/>
    <x v="0"/>
  </r>
  <r>
    <s v="ORD-2027418"/>
    <s v="16 Sun"/>
    <s v="Nov"/>
    <s v="2025"/>
    <s v="CUST-1302"/>
    <s v="Arjun Saxena"/>
    <x v="1"/>
    <s v="Apparel"/>
    <s v="Cotton T-Shirt"/>
    <n v="2"/>
    <n v="499"/>
    <n v="998"/>
    <n v="25"/>
    <n v="249.5"/>
    <n v="748.5"/>
    <s v="Credit Card"/>
    <x v="0"/>
  </r>
  <r>
    <s v="ORD-2027419"/>
    <s v="16 Sun"/>
    <s v="Nov"/>
    <s v="2025"/>
    <s v="CUST-1302"/>
    <s v="Arjun Saxena"/>
    <x v="2"/>
    <s v="Groceries"/>
    <s v="Basmati Rice 5kg"/>
    <n v="1"/>
    <n v="549"/>
    <n v="549"/>
    <n v="10"/>
    <n v="54.9"/>
    <n v="494.1"/>
    <s v="Cash"/>
    <x v="1"/>
  </r>
  <r>
    <s v="ORD-2027420"/>
    <s v="16 Sun"/>
    <s v="Nov"/>
    <s v="2025"/>
    <s v="CUST-1137"/>
    <s v="Nandini Kapoor"/>
    <x v="4"/>
    <s v="Beauty"/>
    <s v="Face Wash 100ml"/>
    <n v="3"/>
    <n v="299"/>
    <n v="897"/>
    <n v="25"/>
    <n v="224.25"/>
    <n v="672.75"/>
    <s v="Credit Card"/>
    <x v="1"/>
  </r>
  <r>
    <s v="ORD-2027421"/>
    <s v="16 Sun"/>
    <s v="Nov"/>
    <s v="2025"/>
    <s v="CUST-1381"/>
    <s v="Kabir Kapoor"/>
    <x v="0"/>
    <s v="Home &amp; Kitchen"/>
    <s v="LED Desk Lamp"/>
    <n v="2"/>
    <n v="799"/>
    <n v="1598"/>
    <n v="10"/>
    <n v="159.80000000000001"/>
    <n v="1438.2"/>
    <s v="Cash"/>
    <x v="0"/>
  </r>
  <r>
    <s v="ORD-2027422"/>
    <s v="16 Sun"/>
    <s v="Nov"/>
    <s v="2025"/>
    <s v="CUST-1054"/>
    <s v="Kunal Patel"/>
    <x v="4"/>
    <s v="Stationery"/>
    <s v="Notebook Set"/>
    <n v="1"/>
    <n v="199"/>
    <n v="199"/>
    <n v="0"/>
    <n v="0"/>
    <n v="199"/>
    <s v="Debit Card"/>
    <x v="0"/>
  </r>
  <r>
    <s v="ORD-2027423"/>
    <s v="16 Sun"/>
    <s v="Nov"/>
    <s v="2025"/>
    <s v="CUST-1312"/>
    <s v="Sakshi Saxena"/>
    <x v="1"/>
    <s v="Electronics"/>
    <s v="Wireless Mouse"/>
    <n v="1"/>
    <n v="599"/>
    <n v="599"/>
    <n v="10"/>
    <n v="59.9"/>
    <n v="539.1"/>
    <s v="Credit Card"/>
    <x v="1"/>
  </r>
  <r>
    <s v="ORD-2027424"/>
    <s v="16 Sun"/>
    <s v="Nov"/>
    <s v="2025"/>
    <s v="CUST-1244"/>
    <s v="Meera Gupta"/>
    <x v="1"/>
    <s v="Electronics"/>
    <s v="Wireless Mouse"/>
    <n v="3"/>
    <n v="599"/>
    <n v="1797"/>
    <n v="20"/>
    <n v="359.4"/>
    <n v="1437.6"/>
    <s v="Credit Card"/>
    <x v="1"/>
  </r>
  <r>
    <s v="ORD-2027425"/>
    <s v="17 Mon"/>
    <s v="Nov"/>
    <s v="2025"/>
    <s v="CUST-1247"/>
    <s v="Meera Malhotra"/>
    <x v="3"/>
    <s v="Beauty"/>
    <s v="Face Wash 100ml"/>
    <n v="1"/>
    <n v="299"/>
    <n v="299"/>
    <n v="15"/>
    <n v="44.85"/>
    <n v="254.15"/>
    <s v="Debit Card"/>
    <x v="0"/>
  </r>
  <r>
    <s v="ORD-2027426"/>
    <s v="17 Mon"/>
    <s v="Nov"/>
    <s v="2025"/>
    <s v="CUST-1043"/>
    <s v="Divya Kapoor"/>
    <x v="0"/>
    <s v="Electronics"/>
    <s v="Wireless Mouse"/>
    <n v="1"/>
    <n v="599"/>
    <n v="599"/>
    <n v="20"/>
    <n v="119.8"/>
    <n v="479.2"/>
    <s v="Credit Card"/>
    <x v="0"/>
  </r>
  <r>
    <s v="ORD-2027427"/>
    <s v="17 Mon"/>
    <s v="Nov"/>
    <s v="2025"/>
    <s v="CUST-1190"/>
    <s v="Rahul Patel"/>
    <x v="4"/>
    <s v="Beauty"/>
    <s v="Herbal Shampoo"/>
    <n v="2"/>
    <n v="249"/>
    <n v="498"/>
    <n v="0"/>
    <n v="0"/>
    <n v="498"/>
    <s v="Net Banking"/>
    <x v="0"/>
  </r>
  <r>
    <s v="ORD-2027428"/>
    <s v="17 Mon"/>
    <s v="Nov"/>
    <s v="2025"/>
    <s v="CUST-1308"/>
    <s v="Shreya Sharma"/>
    <x v="2"/>
    <s v="Home &amp; Kitchen"/>
    <s v="Non-stick Pan Set"/>
    <n v="2"/>
    <n v="1299"/>
    <n v="2598"/>
    <n v="15"/>
    <n v="389.7"/>
    <n v="2208.3000000000002"/>
    <s v="Debit Card"/>
    <x v="0"/>
  </r>
  <r>
    <s v="ORD-2027429"/>
    <s v="17 Mon"/>
    <s v="Nov"/>
    <s v="2025"/>
    <s v="CUST-1280"/>
    <s v="Muskan Kapoor"/>
    <x v="2"/>
    <s v="Home &amp; Kitchen"/>
    <s v="Non-stick Pan Set"/>
    <n v="3"/>
    <n v="1299"/>
    <n v="3897"/>
    <n v="5"/>
    <n v="194.85"/>
    <n v="3702.15"/>
    <s v="Credit Card"/>
    <x v="0"/>
  </r>
  <r>
    <s v="ORD-2027430"/>
    <s v="17 Mon"/>
    <s v="Nov"/>
    <s v="2025"/>
    <s v="CUST-1274"/>
    <s v="Muskan Singh"/>
    <x v="0"/>
    <s v="Electronics"/>
    <s v="Smartwatch"/>
    <n v="1"/>
    <n v="2999"/>
    <n v="2999"/>
    <n v="10"/>
    <n v="299.89999999999998"/>
    <n v="2699.1"/>
    <s v="Net Banking"/>
    <x v="1"/>
  </r>
  <r>
    <s v="ORD-2027431"/>
    <s v="17 Mon"/>
    <s v="Nov"/>
    <s v="2025"/>
    <s v="CUST-1253"/>
    <s v="Swati Malhotra"/>
    <x v="3"/>
    <s v="Home &amp; Kitchen"/>
    <s v="LED Desk Lamp"/>
    <n v="4"/>
    <n v="799"/>
    <n v="3196"/>
    <n v="5"/>
    <n v="159.80000000000001"/>
    <n v="3036.2"/>
    <s v="UPI"/>
    <x v="0"/>
  </r>
  <r>
    <s v="ORD-2027432"/>
    <s v="17 Mon"/>
    <s v="Nov"/>
    <s v="2025"/>
    <s v="CUST-1320"/>
    <s v="Ankit Kapoor"/>
    <x v="0"/>
    <s v="Apparel"/>
    <s v="Formal Shirt"/>
    <n v="2"/>
    <n v="899"/>
    <n v="1798"/>
    <n v="10"/>
    <n v="179.8"/>
    <n v="1618.2"/>
    <s v="Debit Card"/>
    <x v="0"/>
  </r>
  <r>
    <s v="ORD-2027433"/>
    <s v="17 Mon"/>
    <s v="Nov"/>
    <s v="2025"/>
    <s v="CUST-1227"/>
    <s v="Rohan Joshi"/>
    <x v="3"/>
    <s v="Electronics"/>
    <s v="Smartwatch"/>
    <n v="1"/>
    <n v="2999"/>
    <n v="2999"/>
    <n v="20"/>
    <n v="599.79999999999995"/>
    <n v="2399.1999999999998"/>
    <s v="Credit Card"/>
    <x v="0"/>
  </r>
  <r>
    <s v="ORD-2027434"/>
    <s v="17 Mon"/>
    <s v="Nov"/>
    <s v="2025"/>
    <s v="CUST-1283"/>
    <s v="Aditya Mehta"/>
    <x v="3"/>
    <s v="Groceries"/>
    <s v="Organic Honey 500g"/>
    <n v="2"/>
    <n v="349"/>
    <n v="698"/>
    <n v="10"/>
    <n v="69.8"/>
    <n v="628.20000000000005"/>
    <s v="Net Banking"/>
    <x v="0"/>
  </r>
  <r>
    <s v="ORD-2027435"/>
    <s v="18 Tue"/>
    <s v="Nov"/>
    <s v="2025"/>
    <s v="CUST-1322"/>
    <s v="Rahul Sharma"/>
    <x v="0"/>
    <s v="Stationery"/>
    <s v="Notebook Set"/>
    <n v="1"/>
    <n v="199"/>
    <n v="199"/>
    <n v="10"/>
    <n v="19.899999999999999"/>
    <n v="179.1"/>
    <s v="Debit Card"/>
    <x v="0"/>
  </r>
  <r>
    <s v="ORD-2027436"/>
    <s v="18 Tue"/>
    <s v="Nov"/>
    <s v="2025"/>
    <s v="CUST-1338"/>
    <s v="Komal Malhotra"/>
    <x v="0"/>
    <s v="Stationery"/>
    <s v="Gel Pen Pack"/>
    <n v="2"/>
    <n v="99"/>
    <n v="198"/>
    <n v="15"/>
    <n v="29.7"/>
    <n v="168.3"/>
    <s v="Credit Card"/>
    <x v="0"/>
  </r>
  <r>
    <s v="ORD-2027437"/>
    <s v="18 Tue"/>
    <s v="Nov"/>
    <s v="2025"/>
    <s v="CUST-1126"/>
    <s v="Divya Sharma"/>
    <x v="0"/>
    <s v="Electronics"/>
    <s v="Wireless Mouse"/>
    <n v="1"/>
    <n v="599"/>
    <n v="599"/>
    <n v="5"/>
    <n v="29.95"/>
    <n v="569.04999999999995"/>
    <s v="Debit Card"/>
    <x v="1"/>
  </r>
  <r>
    <s v="ORD-2027438"/>
    <s v="18 Tue"/>
    <s v="Nov"/>
    <s v="2025"/>
    <s v="CUST-1212"/>
    <s v="Komal Joshi"/>
    <x v="4"/>
    <s v="Electronics"/>
    <s v="Bluetooth Headphones"/>
    <n v="1"/>
    <n v="1799"/>
    <n v="1799"/>
    <n v="10"/>
    <n v="179.9"/>
    <n v="1619.1"/>
    <s v="Credit Card"/>
    <x v="0"/>
  </r>
  <r>
    <s v="ORD-2027439"/>
    <s v="18 Tue"/>
    <s v="Nov"/>
    <s v="2025"/>
    <s v="CUST-1145"/>
    <s v="Kunal Joshi"/>
    <x v="0"/>
    <s v="Home &amp; Kitchen"/>
    <s v="LED Desk Lamp"/>
    <n v="1"/>
    <n v="799"/>
    <n v="799"/>
    <n v="10"/>
    <n v="79.900000000000006"/>
    <n v="719.1"/>
    <s v="Debit Card"/>
    <x v="0"/>
  </r>
  <r>
    <s v="ORD-2027440"/>
    <s v="18 Tue"/>
    <s v="Nov"/>
    <s v="2025"/>
    <s v="CUST-1361"/>
    <s v="Vivaan Kapoor"/>
    <x v="3"/>
    <s v="Sports"/>
    <s v="Cricket Bat"/>
    <n v="5"/>
    <n v="1499"/>
    <n v="7495"/>
    <n v="10"/>
    <n v="749.5"/>
    <n v="6745.5"/>
    <s v="Cash"/>
    <x v="0"/>
  </r>
  <r>
    <s v="ORD-2027441"/>
    <s v="18 Tue"/>
    <s v="Nov"/>
    <s v="2025"/>
    <s v="CUST-1265"/>
    <s v="Muskan Singh"/>
    <x v="3"/>
    <s v="Beauty"/>
    <s v="Herbal Shampoo"/>
    <n v="1"/>
    <n v="249"/>
    <n v="249"/>
    <n v="15"/>
    <n v="37.35"/>
    <n v="211.65"/>
    <s v="Credit Card"/>
    <x v="0"/>
  </r>
  <r>
    <s v="ORD-2027442"/>
    <s v="18 Tue"/>
    <s v="Nov"/>
    <s v="2025"/>
    <s v="CUST-1299"/>
    <s v="Kabir Mehta"/>
    <x v="2"/>
    <s v="Apparel"/>
    <s v="Cotton T-Shirt"/>
    <n v="2"/>
    <n v="499"/>
    <n v="998"/>
    <n v="15"/>
    <n v="149.69999999999999"/>
    <n v="848.3"/>
    <s v="Debit Card"/>
    <x v="0"/>
  </r>
  <r>
    <s v="ORD-2027443"/>
    <s v="18 Tue"/>
    <s v="Nov"/>
    <s v="2025"/>
    <s v="CUST-1376"/>
    <s v="Kunal Kapoor"/>
    <x v="0"/>
    <s v="Beauty"/>
    <s v="Herbal Shampoo"/>
    <n v="1"/>
    <n v="249"/>
    <n v="249"/>
    <n v="0"/>
    <n v="0"/>
    <n v="249"/>
    <s v="Credit Card"/>
    <x v="0"/>
  </r>
  <r>
    <s v="ORD-2027444"/>
    <s v="18 Tue"/>
    <s v="Nov"/>
    <s v="2025"/>
    <s v="CUST-1129"/>
    <s v="Nandini Patel"/>
    <x v="4"/>
    <s v="Electronics"/>
    <s v="Smartwatch"/>
    <n v="2"/>
    <n v="2999"/>
    <n v="5998"/>
    <n v="20"/>
    <n v="1199.5999999999999"/>
    <n v="4798.3999999999996"/>
    <s v="Cash"/>
    <x v="0"/>
  </r>
  <r>
    <s v="ORD-2027445"/>
    <s v="18 Tue"/>
    <s v="Nov"/>
    <s v="2025"/>
    <s v="CUST-1265"/>
    <s v="Muskan Singh"/>
    <x v="3"/>
    <s v="Apparel"/>
    <s v="Formal Shirt"/>
    <n v="3"/>
    <n v="899"/>
    <n v="2697"/>
    <n v="15"/>
    <n v="404.55"/>
    <n v="2292.4499999999998"/>
    <s v="UPI"/>
    <x v="0"/>
  </r>
  <r>
    <s v="ORD-2027446"/>
    <s v="19 Wed"/>
    <s v="Nov"/>
    <s v="2025"/>
    <s v="CUST-1331"/>
    <s v="Arjun Singh"/>
    <x v="0"/>
    <s v="Apparel"/>
    <s v="Denim Jacket"/>
    <n v="4"/>
    <n v="1999"/>
    <n v="7996"/>
    <n v="15"/>
    <n v="1199.4000000000001"/>
    <n v="6796.6"/>
    <s v="Credit Card"/>
    <x v="0"/>
  </r>
  <r>
    <s v="ORD-2027447"/>
    <s v="19 Wed"/>
    <s v="Nov"/>
    <s v="2025"/>
    <s v="CUST-1127"/>
    <s v="Muskan Joshi"/>
    <x v="1"/>
    <s v="Groceries"/>
    <s v="Organic Honey 500g"/>
    <n v="1"/>
    <n v="349"/>
    <n v="349"/>
    <n v="20"/>
    <n v="69.8"/>
    <n v="279.2"/>
    <s v="Net Banking"/>
    <x v="0"/>
  </r>
  <r>
    <s v="ORD-2027448"/>
    <s v="19 Wed"/>
    <s v="Nov"/>
    <s v="2025"/>
    <s v="CUST-1170"/>
    <s v="Muskan Saxena"/>
    <x v="3"/>
    <s v="Beauty"/>
    <s v="Face Wash 100ml"/>
    <n v="1"/>
    <n v="299"/>
    <n v="299"/>
    <n v="5"/>
    <n v="14.95"/>
    <n v="284.05"/>
    <s v="UPI"/>
    <x v="0"/>
  </r>
  <r>
    <s v="ORD-2027449"/>
    <s v="19 Wed"/>
    <s v="Nov"/>
    <s v="2025"/>
    <s v="CUST-1332"/>
    <s v="Rahul Malhotra"/>
    <x v="0"/>
    <s v="Sports"/>
    <s v="Yoga Mat"/>
    <n v="1"/>
    <n v="699"/>
    <n v="699"/>
    <n v="30"/>
    <n v="209.7"/>
    <n v="489.3"/>
    <s v="Credit Card"/>
    <x v="0"/>
  </r>
  <r>
    <s v="ORD-2027450"/>
    <s v="19 Wed"/>
    <s v="Nov"/>
    <s v="2025"/>
    <s v="CUST-1054"/>
    <s v="Kunal Patel"/>
    <x v="3"/>
    <s v="Beauty"/>
    <s v="Face Wash 100ml"/>
    <n v="1"/>
    <n v="299"/>
    <n v="299"/>
    <n v="0"/>
    <n v="0"/>
    <n v="299"/>
    <s v="Credit Card"/>
    <x v="0"/>
  </r>
  <r>
    <s v="ORD-2027451"/>
    <s v="19 Wed"/>
    <s v="Nov"/>
    <s v="2025"/>
    <s v="CUST-1396"/>
    <s v="Shreya Patel"/>
    <x v="4"/>
    <s v="Stationery"/>
    <s v="Notebook Set"/>
    <n v="2"/>
    <n v="199"/>
    <n v="398"/>
    <n v="5"/>
    <n v="19.899999999999999"/>
    <n v="378.1"/>
    <s v="Net Banking"/>
    <x v="0"/>
  </r>
  <r>
    <s v="ORD-2027452"/>
    <s v="19 Wed"/>
    <s v="Nov"/>
    <s v="2025"/>
    <s v="CUST-1101"/>
    <s v="Sakshi Sharma"/>
    <x v="0"/>
    <s v="Apparel"/>
    <s v="Cotton T-Shirt"/>
    <n v="1"/>
    <n v="499"/>
    <n v="499"/>
    <n v="15"/>
    <n v="74.849999999999994"/>
    <n v="424.15"/>
    <s v="Debit Card"/>
    <x v="0"/>
  </r>
  <r>
    <s v="ORD-2027453"/>
    <s v="19 Wed"/>
    <s v="Nov"/>
    <s v="2025"/>
    <s v="CUST-1258"/>
    <s v="Muskan Joshi"/>
    <x v="2"/>
    <s v="Sports"/>
    <s v="Cricket Bat"/>
    <n v="3"/>
    <n v="1499"/>
    <n v="4497"/>
    <n v="15"/>
    <n v="674.55"/>
    <n v="3822.45"/>
    <s v="Cash"/>
    <x v="0"/>
  </r>
  <r>
    <s v="ORD-2027454"/>
    <s v="19 Wed"/>
    <s v="Nov"/>
    <s v="2025"/>
    <s v="CUST-1056"/>
    <s v="Aarav Kapoor"/>
    <x v="3"/>
    <s v="Electronics"/>
    <s v="Bluetooth Headphones"/>
    <n v="4"/>
    <n v="1799"/>
    <n v="7196"/>
    <n v="15"/>
    <n v="1079.4000000000001"/>
    <n v="6116.6"/>
    <s v="Debit Card"/>
    <x v="0"/>
  </r>
  <r>
    <s v="ORD-2027455"/>
    <s v="19 Wed"/>
    <s v="Nov"/>
    <s v="2025"/>
    <s v="CUST-1115"/>
    <s v="Divya Kapoor"/>
    <x v="0"/>
    <s v="Groceries"/>
    <s v="Basmati Rice 5kg"/>
    <n v="1"/>
    <n v="549"/>
    <n v="549"/>
    <n v="30"/>
    <n v="164.7"/>
    <n v="384.3"/>
    <s v="Credit Card"/>
    <x v="1"/>
  </r>
  <r>
    <s v="ORD-2027456"/>
    <s v="20 Thu"/>
    <s v="Nov"/>
    <s v="2025"/>
    <s v="CUST-1242"/>
    <s v="Sakshi Malhotra"/>
    <x v="0"/>
    <s v="Home &amp; Kitchen"/>
    <s v="Non-stick Pan Set"/>
    <n v="2"/>
    <n v="1299"/>
    <n v="2598"/>
    <n v="0"/>
    <n v="0"/>
    <n v="2598"/>
    <s v="Debit Card"/>
    <x v="0"/>
  </r>
  <r>
    <s v="ORD-2027457"/>
    <s v="20 Thu"/>
    <s v="Nov"/>
    <s v="2025"/>
    <s v="CUST-1354"/>
    <s v="Aman Saxena"/>
    <x v="1"/>
    <s v="Beauty"/>
    <s v="Herbal Shampoo"/>
    <n v="1"/>
    <n v="249"/>
    <n v="249"/>
    <n v="25"/>
    <n v="62.25"/>
    <n v="186.75"/>
    <s v="Credit Card"/>
    <x v="1"/>
  </r>
  <r>
    <s v="ORD-2027458"/>
    <s v="20 Thu"/>
    <s v="Nov"/>
    <s v="2025"/>
    <s v="CUST-1146"/>
    <s v="Tanya Patel"/>
    <x v="0"/>
    <s v="Beauty"/>
    <s v="Herbal Shampoo"/>
    <n v="1"/>
    <n v="249"/>
    <n v="249"/>
    <n v="5"/>
    <n v="12.45"/>
    <n v="236.55"/>
    <s v="Debit Card"/>
    <x v="0"/>
  </r>
  <r>
    <s v="ORD-2027459"/>
    <s v="20 Thu"/>
    <s v="Nov"/>
    <s v="2025"/>
    <s v="CUST-1339"/>
    <s v="Aarav Patel"/>
    <x v="0"/>
    <s v="Apparel"/>
    <s v="Cotton T-Shirt"/>
    <n v="2"/>
    <n v="499"/>
    <n v="998"/>
    <n v="10"/>
    <n v="99.8"/>
    <n v="898.2"/>
    <s v="Debit Card"/>
    <x v="0"/>
  </r>
  <r>
    <s v="ORD-2027460"/>
    <s v="20 Thu"/>
    <s v="Nov"/>
    <s v="2025"/>
    <s v="CUST-1076"/>
    <s v="Tanya Saxena"/>
    <x v="1"/>
    <s v="Groceries"/>
    <s v="Basmati Rice 5kg"/>
    <n v="1"/>
    <n v="549"/>
    <n v="549"/>
    <n v="10"/>
    <n v="54.9"/>
    <n v="494.1"/>
    <s v="Debit Card"/>
    <x v="0"/>
  </r>
  <r>
    <s v="ORD-2027461"/>
    <s v="20 Thu"/>
    <s v="Nov"/>
    <s v="2025"/>
    <s v="CUST-1139"/>
    <s v="Aditya Sharma"/>
    <x v="1"/>
    <s v="Apparel"/>
    <s v="Cotton T-Shirt"/>
    <n v="2"/>
    <n v="499"/>
    <n v="998"/>
    <n v="5"/>
    <n v="49.9"/>
    <n v="948.1"/>
    <s v="UPI"/>
    <x v="1"/>
  </r>
  <r>
    <s v="ORD-2027462"/>
    <s v="20 Thu"/>
    <s v="Nov"/>
    <s v="2025"/>
    <s v="CUST-1274"/>
    <s v="Muskan Singh"/>
    <x v="4"/>
    <s v="Apparel"/>
    <s v="Cotton T-Shirt"/>
    <n v="1"/>
    <n v="499"/>
    <n v="499"/>
    <n v="15"/>
    <n v="74.849999999999994"/>
    <n v="424.15"/>
    <s v="UPI"/>
    <x v="1"/>
  </r>
  <r>
    <s v="ORD-2027463"/>
    <s v="21 Fri"/>
    <s v="Nov"/>
    <s v="2025"/>
    <s v="CUST-1045"/>
    <s v="Arjun Verma"/>
    <x v="1"/>
    <s v="Home &amp; Kitchen"/>
    <s v="LED Desk Lamp"/>
    <n v="2"/>
    <n v="799"/>
    <n v="1598"/>
    <n v="0"/>
    <n v="0"/>
    <n v="1598"/>
    <s v="Debit Card"/>
    <x v="0"/>
  </r>
  <r>
    <s v="ORD-2027464"/>
    <s v="21 Fri"/>
    <s v="Nov"/>
    <s v="2025"/>
    <s v="CUST-1205"/>
    <s v="Aman Sharma"/>
    <x v="3"/>
    <s v="Stationery"/>
    <s v="Gel Pen Pack"/>
    <n v="2"/>
    <n v="99"/>
    <n v="198"/>
    <n v="20"/>
    <n v="39.6"/>
    <n v="158.4"/>
    <s v="UPI"/>
    <x v="0"/>
  </r>
  <r>
    <s v="ORD-2027465"/>
    <s v="21 Fri"/>
    <s v="Nov"/>
    <s v="2025"/>
    <s v="CUST-1185"/>
    <s v="Meera Sharma"/>
    <x v="1"/>
    <s v="Groceries"/>
    <s v="Basmati Rice 5kg"/>
    <n v="2"/>
    <n v="549"/>
    <n v="1098"/>
    <n v="30"/>
    <n v="329.4"/>
    <n v="768.6"/>
    <s v="Net Banking"/>
    <x v="1"/>
  </r>
  <r>
    <s v="ORD-2027466"/>
    <s v="21 Fri"/>
    <s v="Nov"/>
    <s v="2025"/>
    <s v="CUST-1068"/>
    <s v="Isha Verma"/>
    <x v="1"/>
    <s v="Groceries"/>
    <s v="Basmati Rice 5kg"/>
    <n v="1"/>
    <n v="549"/>
    <n v="549"/>
    <n v="20"/>
    <n v="109.8"/>
    <n v="439.2"/>
    <s v="Debit Card"/>
    <x v="0"/>
  </r>
  <r>
    <s v="ORD-2027467"/>
    <s v="21 Fri"/>
    <s v="Nov"/>
    <s v="2025"/>
    <s v="CUST-1023"/>
    <s v="Rohan Sharma"/>
    <x v="3"/>
    <s v="Apparel"/>
    <s v="Formal Shirt"/>
    <n v="1"/>
    <n v="899"/>
    <n v="899"/>
    <n v="0"/>
    <n v="0"/>
    <n v="899"/>
    <s v="UPI"/>
    <x v="1"/>
  </r>
  <r>
    <s v="ORD-2027468"/>
    <s v="21 Fri"/>
    <s v="Nov"/>
    <s v="2025"/>
    <s v="CUST-1346"/>
    <s v="Vivaan Gupta"/>
    <x v="1"/>
    <s v="Apparel"/>
    <s v="Formal Shirt"/>
    <n v="4"/>
    <n v="899"/>
    <n v="3596"/>
    <n v="15"/>
    <n v="539.4"/>
    <n v="3056.6"/>
    <s v="UPI"/>
    <x v="0"/>
  </r>
  <r>
    <s v="ORD-2027469"/>
    <s v="21 Fri"/>
    <s v="Nov"/>
    <s v="2025"/>
    <s v="CUST-1322"/>
    <s v="Rahul Sharma"/>
    <x v="1"/>
    <s v="Beauty"/>
    <s v="Herbal Shampoo"/>
    <n v="1"/>
    <n v="249"/>
    <n v="249"/>
    <n v="15"/>
    <n v="37.35"/>
    <n v="211.65"/>
    <s v="Credit Card"/>
    <x v="0"/>
  </r>
  <r>
    <s v="ORD-2027470"/>
    <s v="21 Fri"/>
    <s v="Nov"/>
    <s v="2025"/>
    <s v="CUST-1114"/>
    <s v="Vivaan Malhotra"/>
    <x v="4"/>
    <s v="Electronics"/>
    <s v="Smartwatch"/>
    <n v="1"/>
    <n v="2999"/>
    <n v="2999"/>
    <n v="20"/>
    <n v="599.79999999999995"/>
    <n v="2399.1999999999998"/>
    <s v="Net Banking"/>
    <x v="1"/>
  </r>
  <r>
    <s v="ORD-2027471"/>
    <s v="21 Fri"/>
    <s v="Nov"/>
    <s v="2025"/>
    <s v="CUST-1119"/>
    <s v="Rahul Gupta"/>
    <x v="4"/>
    <s v="Sports"/>
    <s v="Cricket Bat"/>
    <n v="2"/>
    <n v="1499"/>
    <n v="2998"/>
    <n v="10"/>
    <n v="299.8"/>
    <n v="2698.2"/>
    <s v="Cash"/>
    <x v="0"/>
  </r>
  <r>
    <s v="ORD-2027472"/>
    <s v="21 Fri"/>
    <s v="Nov"/>
    <s v="2025"/>
    <s v="CUST-1247"/>
    <s v="Meera Malhotra"/>
    <x v="2"/>
    <s v="Groceries"/>
    <s v="Basmati Rice 5kg"/>
    <n v="3"/>
    <n v="549"/>
    <n v="1647"/>
    <n v="20"/>
    <n v="329.4"/>
    <n v="1317.6"/>
    <s v="UPI"/>
    <x v="1"/>
  </r>
  <r>
    <s v="ORD-2027473"/>
    <s v="21 Fri"/>
    <s v="Nov"/>
    <s v="2025"/>
    <s v="CUST-1017"/>
    <s v="Aarav Verma"/>
    <x v="2"/>
    <s v="Electronics"/>
    <s v="Bluetooth Headphones"/>
    <n v="4"/>
    <n v="1799"/>
    <n v="7196"/>
    <n v="10"/>
    <n v="719.6"/>
    <n v="6476.4"/>
    <s v="Credit Card"/>
    <x v="0"/>
  </r>
  <r>
    <s v="ORD-2027474"/>
    <s v="21 Fri"/>
    <s v="Nov"/>
    <s v="2025"/>
    <s v="CUST-1231"/>
    <s v="Divya Gupta"/>
    <x v="2"/>
    <s v="Electronics"/>
    <s v="Wireless Mouse"/>
    <n v="1"/>
    <n v="599"/>
    <n v="599"/>
    <n v="10"/>
    <n v="59.9"/>
    <n v="539.1"/>
    <s v="Credit Card"/>
    <x v="1"/>
  </r>
  <r>
    <s v="ORD-2027475"/>
    <s v="21 Fri"/>
    <s v="Nov"/>
    <s v="2025"/>
    <s v="CUST-1305"/>
    <s v="Muskan Joshi"/>
    <x v="4"/>
    <s v="Groceries"/>
    <s v="Basmati Rice 5kg"/>
    <n v="1"/>
    <n v="549"/>
    <n v="549"/>
    <n v="20"/>
    <n v="109.8"/>
    <n v="439.2"/>
    <s v="Cash"/>
    <x v="0"/>
  </r>
  <r>
    <s v="ORD-2027476"/>
    <s v="22 Sat"/>
    <s v="Nov"/>
    <s v="2025"/>
    <s v="CUST-1188"/>
    <s v="Shreya Malhotra"/>
    <x v="3"/>
    <s v="Electronics"/>
    <s v="Wireless Mouse"/>
    <n v="2"/>
    <n v="599"/>
    <n v="1198"/>
    <n v="20"/>
    <n v="239.6"/>
    <n v="958.4"/>
    <s v="Credit Card"/>
    <x v="1"/>
  </r>
  <r>
    <s v="ORD-2027477"/>
    <s v="22 Sat"/>
    <s v="Nov"/>
    <s v="2025"/>
    <s v="CUST-1384"/>
    <s v="Vivaan Singh"/>
    <x v="3"/>
    <s v="Stationery"/>
    <s v="Gel Pen Pack"/>
    <n v="1"/>
    <n v="99"/>
    <n v="99"/>
    <n v="25"/>
    <n v="24.75"/>
    <n v="74.25"/>
    <s v="UPI"/>
    <x v="1"/>
  </r>
  <r>
    <s v="ORD-2027478"/>
    <s v="22 Sat"/>
    <s v="Nov"/>
    <s v="2025"/>
    <s v="CUST-1276"/>
    <s v="Swati Joshi"/>
    <x v="4"/>
    <s v="Groceries"/>
    <s v="Organic Honey 500g"/>
    <n v="4"/>
    <n v="349"/>
    <n v="1396"/>
    <n v="20"/>
    <n v="279.2"/>
    <n v="1116.8"/>
    <s v="Net Banking"/>
    <x v="0"/>
  </r>
  <r>
    <s v="ORD-2027479"/>
    <s v="22 Sat"/>
    <s v="Nov"/>
    <s v="2025"/>
    <s v="CUST-1124"/>
    <s v="Aditya Gupta"/>
    <x v="3"/>
    <s v="Beauty"/>
    <s v="Herbal Shampoo"/>
    <n v="1"/>
    <n v="249"/>
    <n v="249"/>
    <n v="30"/>
    <n v="74.7"/>
    <n v="174.3"/>
    <s v="UPI"/>
    <x v="1"/>
  </r>
  <r>
    <s v="ORD-2027480"/>
    <s v="22 Sat"/>
    <s v="Nov"/>
    <s v="2025"/>
    <s v="CUST-1300"/>
    <s v="Vivaan Mehta"/>
    <x v="0"/>
    <s v="Apparel"/>
    <s v="Denim Jacket"/>
    <n v="3"/>
    <n v="1999"/>
    <n v="5997"/>
    <n v="5"/>
    <n v="299.85000000000002"/>
    <n v="5697.15"/>
    <s v="Credit Card"/>
    <x v="0"/>
  </r>
  <r>
    <s v="ORD-2027481"/>
    <s v="22 Sat"/>
    <s v="Nov"/>
    <s v="2025"/>
    <s v="CUST-1032"/>
    <s v="Shreya Mehta"/>
    <x v="0"/>
    <s v="Electronics"/>
    <s v="Smartwatch"/>
    <n v="2"/>
    <n v="2999"/>
    <n v="5998"/>
    <n v="25"/>
    <n v="1499.5"/>
    <n v="4498.5"/>
    <s v="UPI"/>
    <x v="0"/>
  </r>
  <r>
    <s v="ORD-2027482"/>
    <s v="22 Sat"/>
    <s v="Nov"/>
    <s v="2025"/>
    <s v="CUST-1167"/>
    <s v="Nandini Verma"/>
    <x v="4"/>
    <s v="Groceries"/>
    <s v="Basmati Rice 5kg"/>
    <n v="1"/>
    <n v="549"/>
    <n v="549"/>
    <n v="30"/>
    <n v="164.7"/>
    <n v="384.3"/>
    <s v="Cash"/>
    <x v="0"/>
  </r>
  <r>
    <s v="ORD-2027483"/>
    <s v="22 Sat"/>
    <s v="Nov"/>
    <s v="2025"/>
    <s v="CUST-1335"/>
    <s v="Divya Saxena"/>
    <x v="2"/>
    <s v="Home &amp; Kitchen"/>
    <s v="Non-stick Pan Set"/>
    <n v="2"/>
    <n v="1299"/>
    <n v="2598"/>
    <n v="30"/>
    <n v="779.4"/>
    <n v="1818.6"/>
    <s v="Net Banking"/>
    <x v="0"/>
  </r>
  <r>
    <s v="ORD-2027484"/>
    <s v="22 Sat"/>
    <s v="Nov"/>
    <s v="2025"/>
    <s v="CUST-1078"/>
    <s v="Kabir Malhotra"/>
    <x v="3"/>
    <s v="Groceries"/>
    <s v="Organic Honey 500g"/>
    <n v="1"/>
    <n v="349"/>
    <n v="349"/>
    <n v="25"/>
    <n v="87.25"/>
    <n v="261.75"/>
    <s v="UPI"/>
    <x v="0"/>
  </r>
  <r>
    <s v="ORD-2027485"/>
    <s v="22 Sat"/>
    <s v="Nov"/>
    <s v="2025"/>
    <s v="CUST-1323"/>
    <s v="Muskan Verma"/>
    <x v="1"/>
    <s v="Electronics"/>
    <s v="Wireless Mouse"/>
    <n v="1"/>
    <n v="599"/>
    <n v="599"/>
    <n v="25"/>
    <n v="149.75"/>
    <n v="449.25"/>
    <s v="Credit Card"/>
    <x v="0"/>
  </r>
  <r>
    <s v="ORD-2027486"/>
    <s v="22 Sat"/>
    <s v="Nov"/>
    <s v="2025"/>
    <s v="CUST-1396"/>
    <s v="Shreya Patel"/>
    <x v="2"/>
    <s v="Apparel"/>
    <s v="Formal Shirt"/>
    <n v="1"/>
    <n v="899"/>
    <n v="899"/>
    <n v="15"/>
    <n v="134.85"/>
    <n v="764.15"/>
    <s v="Debit Card"/>
    <x v="1"/>
  </r>
  <r>
    <s v="ORD-2027487"/>
    <s v="22 Sat"/>
    <s v="Nov"/>
    <s v="2025"/>
    <s v="CUST-1099"/>
    <s v="Rahul Malhotra"/>
    <x v="1"/>
    <s v="Sports"/>
    <s v="Cricket Bat"/>
    <n v="2"/>
    <n v="1499"/>
    <n v="2998"/>
    <n v="20"/>
    <n v="599.6"/>
    <n v="2398.4"/>
    <s v="UPI"/>
    <x v="0"/>
  </r>
  <r>
    <s v="ORD-2027488"/>
    <s v="23 Sun"/>
    <s v="Nov"/>
    <s v="2025"/>
    <s v="CUST-1127"/>
    <s v="Muskan Joshi"/>
    <x v="1"/>
    <s v="Apparel"/>
    <s v="Denim Jacket"/>
    <n v="1"/>
    <n v="1999"/>
    <n v="1999"/>
    <n v="30"/>
    <n v="599.70000000000005"/>
    <n v="1399.3"/>
    <s v="Credit Card"/>
    <x v="0"/>
  </r>
  <r>
    <s v="ORD-2027489"/>
    <s v="23 Sun"/>
    <s v="Nov"/>
    <s v="2025"/>
    <s v="CUST-1238"/>
    <s v="Nandini Verma"/>
    <x v="4"/>
    <s v="Electronics"/>
    <s v="Bluetooth Headphones"/>
    <n v="1"/>
    <n v="1799"/>
    <n v="1799"/>
    <n v="15"/>
    <n v="269.85000000000002"/>
    <n v="1529.15"/>
    <s v="UPI"/>
    <x v="0"/>
  </r>
  <r>
    <s v="ORD-2027490"/>
    <s v="23 Sun"/>
    <s v="Nov"/>
    <s v="2025"/>
    <s v="CUST-1147"/>
    <s v="Aman Saxena"/>
    <x v="2"/>
    <s v="Groceries"/>
    <s v="Organic Honey 500g"/>
    <n v="4"/>
    <n v="349"/>
    <n v="1396"/>
    <n v="25"/>
    <n v="349"/>
    <n v="1047"/>
    <s v="Debit Card"/>
    <x v="0"/>
  </r>
  <r>
    <s v="ORD-2027491"/>
    <s v="23 Sun"/>
    <s v="Nov"/>
    <s v="2025"/>
    <s v="CUST-1283"/>
    <s v="Aditya Mehta"/>
    <x v="1"/>
    <s v="Sports"/>
    <s v="Yoga Mat"/>
    <n v="2"/>
    <n v="699"/>
    <n v="1398"/>
    <n v="15"/>
    <n v="209.7"/>
    <n v="1188.3"/>
    <s v="Credit Card"/>
    <x v="0"/>
  </r>
  <r>
    <s v="ORD-2027492"/>
    <s v="23 Sun"/>
    <s v="Nov"/>
    <s v="2025"/>
    <s v="CUST-1075"/>
    <s v="Divya Patel"/>
    <x v="0"/>
    <s v="Sports"/>
    <s v="Cricket Bat"/>
    <n v="2"/>
    <n v="1499"/>
    <n v="2998"/>
    <n v="25"/>
    <n v="749.5"/>
    <n v="2248.5"/>
    <s v="UPI"/>
    <x v="0"/>
  </r>
  <r>
    <s v="ORD-2027493"/>
    <s v="23 Sun"/>
    <s v="Nov"/>
    <s v="2025"/>
    <s v="CUST-1210"/>
    <s v="Meera Sharma"/>
    <x v="2"/>
    <s v="Groceries"/>
    <s v="Organic Honey 500g"/>
    <n v="3"/>
    <n v="349"/>
    <n v="1047"/>
    <n v="20"/>
    <n v="209.4"/>
    <n v="837.6"/>
    <s v="Credit Card"/>
    <x v="0"/>
  </r>
  <r>
    <s v="ORD-2027494"/>
    <s v="23 Sun"/>
    <s v="Nov"/>
    <s v="2025"/>
    <s v="CUST-1359"/>
    <s v="Arjun Mehta"/>
    <x v="0"/>
    <s v="Beauty"/>
    <s v="Herbal Shampoo"/>
    <n v="1"/>
    <n v="249"/>
    <n v="249"/>
    <n v="25"/>
    <n v="62.25"/>
    <n v="186.75"/>
    <s v="Debit Card"/>
    <x v="1"/>
  </r>
  <r>
    <s v="ORD-2027495"/>
    <s v="23 Sun"/>
    <s v="Nov"/>
    <s v="2025"/>
    <s v="CUST-1125"/>
    <s v="Muskan Malhotra"/>
    <x v="0"/>
    <s v="Apparel"/>
    <s v="Denim Jacket"/>
    <n v="2"/>
    <n v="1999"/>
    <n v="3998"/>
    <n v="0"/>
    <n v="0"/>
    <n v="3998"/>
    <s v="Credit Card"/>
    <x v="1"/>
  </r>
  <r>
    <s v="ORD-2027496"/>
    <s v="23 Sun"/>
    <s v="Nov"/>
    <s v="2025"/>
    <s v="CUST-1018"/>
    <s v="Aditya Gupta"/>
    <x v="1"/>
    <s v="Beauty"/>
    <s v="Herbal Shampoo"/>
    <n v="1"/>
    <n v="249"/>
    <n v="249"/>
    <n v="0"/>
    <n v="0"/>
    <n v="249"/>
    <s v="Debit Card"/>
    <x v="0"/>
  </r>
  <r>
    <s v="ORD-2027497"/>
    <s v="23 Sun"/>
    <s v="Nov"/>
    <s v="2025"/>
    <s v="CUST-1199"/>
    <s v="Sakshi Saxena"/>
    <x v="4"/>
    <s v="Beauty"/>
    <s v="Face Wash 100ml"/>
    <n v="3"/>
    <n v="299"/>
    <n v="897"/>
    <n v="25"/>
    <n v="224.25"/>
    <n v="672.75"/>
    <s v="Debit Card"/>
    <x v="0"/>
  </r>
  <r>
    <s v="ORD-2027498"/>
    <s v="24 Mon"/>
    <s v="Nov"/>
    <s v="2025"/>
    <s v="CUST-1345"/>
    <s v="Tanya Verma"/>
    <x v="0"/>
    <s v="Electronics"/>
    <s v="Wireless Mouse"/>
    <n v="2"/>
    <n v="599"/>
    <n v="1198"/>
    <n v="25"/>
    <n v="299.5"/>
    <n v="898.5"/>
    <s v="UPI"/>
    <x v="1"/>
  </r>
  <r>
    <s v="ORD-2027499"/>
    <s v="24 Mon"/>
    <s v="Nov"/>
    <s v="2025"/>
    <s v="CUST-1275"/>
    <s v="Tanya Singh"/>
    <x v="2"/>
    <s v="Electronics"/>
    <s v="Smartwatch"/>
    <n v="3"/>
    <n v="2999"/>
    <n v="8997"/>
    <n v="25"/>
    <n v="2249.25"/>
    <n v="6747.75"/>
    <s v="Cash"/>
    <x v="0"/>
  </r>
  <r>
    <s v="ORD-2027500"/>
    <s v="24 Mon"/>
    <s v="Nov"/>
    <s v="2025"/>
    <s v="CUST-1291"/>
    <s v="Arjun Saxena"/>
    <x v="3"/>
    <s v="Sports"/>
    <s v="Cricket Bat"/>
    <n v="3"/>
    <n v="1499"/>
    <n v="4497"/>
    <n v="15"/>
    <n v="674.55"/>
    <n v="3822.45"/>
    <s v="Credit Card"/>
    <x v="0"/>
  </r>
  <r>
    <s v="ORD-2027501"/>
    <s v="24 Mon"/>
    <s v="Nov"/>
    <s v="2025"/>
    <s v="CUST-1206"/>
    <s v="Aditya Gupta"/>
    <x v="2"/>
    <s v="Apparel"/>
    <s v="Formal Shirt"/>
    <n v="1"/>
    <n v="899"/>
    <n v="899"/>
    <n v="5"/>
    <n v="44.95"/>
    <n v="854.05"/>
    <s v="Debit Card"/>
    <x v="0"/>
  </r>
  <r>
    <s v="ORD-2027502"/>
    <s v="24 Mon"/>
    <s v="Nov"/>
    <s v="2025"/>
    <s v="CUST-1120"/>
    <s v="Divya Kapoor"/>
    <x v="0"/>
    <s v="Home &amp; Kitchen"/>
    <s v="Non-stick Pan Set"/>
    <n v="1"/>
    <n v="1299"/>
    <n v="1299"/>
    <n v="20"/>
    <n v="259.8"/>
    <n v="1039.2"/>
    <s v="Credit Card"/>
    <x v="0"/>
  </r>
  <r>
    <s v="ORD-2027503"/>
    <s v="24 Mon"/>
    <s v="Nov"/>
    <s v="2025"/>
    <s v="CUST-1320"/>
    <s v="Ankit Kapoor"/>
    <x v="1"/>
    <s v="Electronics"/>
    <s v="Smartwatch"/>
    <n v="1"/>
    <n v="2999"/>
    <n v="2999"/>
    <n v="25"/>
    <n v="749.75"/>
    <n v="2249.25"/>
    <s v="UPI"/>
    <x v="0"/>
  </r>
  <r>
    <s v="ORD-2027504"/>
    <s v="24 Mon"/>
    <s v="Nov"/>
    <s v="2025"/>
    <s v="CUST-1254"/>
    <s v="Meera Malhotra"/>
    <x v="3"/>
    <s v="Groceries"/>
    <s v="Organic Honey 500g"/>
    <n v="4"/>
    <n v="349"/>
    <n v="1396"/>
    <n v="10"/>
    <n v="139.6"/>
    <n v="1256.4000000000001"/>
    <s v="UPI"/>
    <x v="0"/>
  </r>
  <r>
    <s v="ORD-2027505"/>
    <s v="25 Tue"/>
    <s v="Nov"/>
    <s v="2025"/>
    <s v="CUST-1380"/>
    <s v="Meera Joshi"/>
    <x v="4"/>
    <s v="Electronics"/>
    <s v="Bluetooth Headphones"/>
    <n v="2"/>
    <n v="1799"/>
    <n v="3598"/>
    <n v="30"/>
    <n v="1079.4000000000001"/>
    <n v="2518.6"/>
    <s v="Debit Card"/>
    <x v="0"/>
  </r>
  <r>
    <s v="ORD-2027506"/>
    <s v="25 Tue"/>
    <s v="Nov"/>
    <s v="2025"/>
    <s v="CUST-1134"/>
    <s v="Komal Patel"/>
    <x v="4"/>
    <s v="Apparel"/>
    <s v="Denim Jacket"/>
    <n v="1"/>
    <n v="1999"/>
    <n v="1999"/>
    <n v="10"/>
    <n v="199.9"/>
    <n v="1799.1"/>
    <s v="Credit Card"/>
    <x v="1"/>
  </r>
  <r>
    <s v="ORD-2027507"/>
    <s v="25 Tue"/>
    <s v="Nov"/>
    <s v="2025"/>
    <s v="CUST-1257"/>
    <s v="Shreya Saxena"/>
    <x v="4"/>
    <s v="Stationery"/>
    <s v="Gel Pen Pack"/>
    <n v="2"/>
    <n v="99"/>
    <n v="198"/>
    <n v="5"/>
    <n v="9.9"/>
    <n v="188.1"/>
    <s v="Debit Card"/>
    <x v="0"/>
  </r>
  <r>
    <s v="ORD-2027508"/>
    <s v="25 Tue"/>
    <s v="Nov"/>
    <s v="2025"/>
    <s v="CUST-1019"/>
    <s v="Aarav Joshi"/>
    <x v="3"/>
    <s v="Stationery"/>
    <s v="Notebook Set"/>
    <n v="2"/>
    <n v="199"/>
    <n v="398"/>
    <n v="25"/>
    <n v="99.5"/>
    <n v="298.5"/>
    <s v="Debit Card"/>
    <x v="0"/>
  </r>
  <r>
    <s v="ORD-2027509"/>
    <s v="25 Tue"/>
    <s v="Nov"/>
    <s v="2025"/>
    <s v="CUST-1342"/>
    <s v="Vivaan Saxena"/>
    <x v="3"/>
    <s v="Beauty"/>
    <s v="Face Wash 100ml"/>
    <n v="2"/>
    <n v="299"/>
    <n v="598"/>
    <n v="30"/>
    <n v="179.4"/>
    <n v="418.6"/>
    <s v="Debit Card"/>
    <x v="1"/>
  </r>
  <r>
    <s v="ORD-2027510"/>
    <s v="25 Tue"/>
    <s v="Nov"/>
    <s v="2025"/>
    <s v="CUST-1014"/>
    <s v="Vivaan Kapoor"/>
    <x v="1"/>
    <s v="Electronics"/>
    <s v="Wireless Mouse"/>
    <n v="2"/>
    <n v="599"/>
    <n v="1198"/>
    <n v="15"/>
    <n v="179.7"/>
    <n v="1018.3"/>
    <s v="Debit Card"/>
    <x v="0"/>
  </r>
  <r>
    <s v="ORD-2027511"/>
    <s v="25 Tue"/>
    <s v="Nov"/>
    <s v="2025"/>
    <s v="CUST-1168"/>
    <s v="Nandini Joshi"/>
    <x v="4"/>
    <s v="Groceries"/>
    <s v="Basmati Rice 5kg"/>
    <n v="3"/>
    <n v="549"/>
    <n v="1647"/>
    <n v="5"/>
    <n v="82.35"/>
    <n v="1564.65"/>
    <s v="UPI"/>
    <x v="0"/>
  </r>
  <r>
    <s v="ORD-2027512"/>
    <s v="25 Tue"/>
    <s v="Nov"/>
    <s v="2025"/>
    <s v="CUST-1184"/>
    <s v="Rahul Joshi"/>
    <x v="2"/>
    <s v="Electronics"/>
    <s v="Smartwatch"/>
    <n v="1"/>
    <n v="2999"/>
    <n v="2999"/>
    <n v="10"/>
    <n v="299.89999999999998"/>
    <n v="2699.1"/>
    <s v="Credit Card"/>
    <x v="0"/>
  </r>
  <r>
    <s v="ORD-2027513"/>
    <s v="25 Tue"/>
    <s v="Nov"/>
    <s v="2025"/>
    <s v="CUST-1051"/>
    <s v="Rohan Patel"/>
    <x v="0"/>
    <s v="Beauty"/>
    <s v="Herbal Shampoo"/>
    <n v="1"/>
    <n v="249"/>
    <n v="249"/>
    <n v="20"/>
    <n v="49.8"/>
    <n v="199.2"/>
    <s v="Cash"/>
    <x v="0"/>
  </r>
  <r>
    <s v="ORD-2027514"/>
    <s v="26 Wed"/>
    <s v="Nov"/>
    <s v="2025"/>
    <s v="CUST-1341"/>
    <s v="Meera Patel"/>
    <x v="3"/>
    <s v="Apparel"/>
    <s v="Denim Jacket"/>
    <n v="2"/>
    <n v="1999"/>
    <n v="3998"/>
    <n v="25"/>
    <n v="999.5"/>
    <n v="2998.5"/>
    <s v="Credit Card"/>
    <x v="0"/>
  </r>
  <r>
    <s v="ORD-2027515"/>
    <s v="26 Wed"/>
    <s v="Nov"/>
    <s v="2025"/>
    <s v="CUST-1155"/>
    <s v="Aman Saxena"/>
    <x v="4"/>
    <s v="Sports"/>
    <s v="Cricket Bat"/>
    <n v="1"/>
    <n v="1499"/>
    <n v="1499"/>
    <n v="30"/>
    <n v="449.7"/>
    <n v="1049.3"/>
    <s v="UPI"/>
    <x v="0"/>
  </r>
  <r>
    <s v="ORD-2027516"/>
    <s v="26 Wed"/>
    <s v="Nov"/>
    <s v="2025"/>
    <s v="CUST-1290"/>
    <s v="Kabir Mehta"/>
    <x v="3"/>
    <s v="Electronics"/>
    <s v="Smartwatch"/>
    <n v="1"/>
    <n v="2999"/>
    <n v="2999"/>
    <n v="20"/>
    <n v="599.79999999999995"/>
    <n v="2399.1999999999998"/>
    <s v="Debit Card"/>
    <x v="0"/>
  </r>
  <r>
    <s v="ORD-2027517"/>
    <s v="26 Wed"/>
    <s v="Nov"/>
    <s v="2025"/>
    <s v="CUST-1177"/>
    <s v="Aditya Malhotra"/>
    <x v="3"/>
    <s v="Stationery"/>
    <s v="Notebook Set"/>
    <n v="1"/>
    <n v="199"/>
    <n v="199"/>
    <n v="10"/>
    <n v="19.899999999999999"/>
    <n v="179.1"/>
    <s v="Net Banking"/>
    <x v="1"/>
  </r>
  <r>
    <s v="ORD-2027518"/>
    <s v="26 Wed"/>
    <s v="Nov"/>
    <s v="2025"/>
    <s v="CUST-1169"/>
    <s v="Nandini Patel"/>
    <x v="3"/>
    <s v="Groceries"/>
    <s v="Organic Honey 500g"/>
    <n v="1"/>
    <n v="349"/>
    <n v="349"/>
    <n v="0"/>
    <n v="0"/>
    <n v="349"/>
    <s v="Debit Card"/>
    <x v="0"/>
  </r>
  <r>
    <s v="ORD-2027519"/>
    <s v="26 Wed"/>
    <s v="Nov"/>
    <s v="2025"/>
    <s v="CUST-1077"/>
    <s v="Tanya Mehta"/>
    <x v="2"/>
    <s v="Apparel"/>
    <s v="Denim Jacket"/>
    <n v="1"/>
    <n v="1999"/>
    <n v="1999"/>
    <n v="5"/>
    <n v="99.95"/>
    <n v="1899.05"/>
    <s v="Net Banking"/>
    <x v="0"/>
  </r>
  <r>
    <s v="ORD-2027520"/>
    <s v="26 Wed"/>
    <s v="Nov"/>
    <s v="2025"/>
    <s v="CUST-1370"/>
    <s v="Shreya Malhotra"/>
    <x v="0"/>
    <s v="Groceries"/>
    <s v="Basmati Rice 5kg"/>
    <n v="1"/>
    <n v="549"/>
    <n v="549"/>
    <n v="10"/>
    <n v="54.9"/>
    <n v="494.1"/>
    <s v="Credit Card"/>
    <x v="0"/>
  </r>
  <r>
    <s v="ORD-2027521"/>
    <s v="26 Wed"/>
    <s v="Nov"/>
    <s v="2025"/>
    <s v="CUST-1040"/>
    <s v="Aditya Malhotra"/>
    <x v="0"/>
    <s v="Electronics"/>
    <s v="Wireless Mouse"/>
    <n v="3"/>
    <n v="599"/>
    <n v="1797"/>
    <n v="15"/>
    <n v="269.55"/>
    <n v="1527.45"/>
    <s v="Credit Card"/>
    <x v="0"/>
  </r>
  <r>
    <s v="ORD-2027522"/>
    <s v="26 Wed"/>
    <s v="Nov"/>
    <s v="2025"/>
    <s v="CUST-1037"/>
    <s v="Aarav Gupta"/>
    <x v="4"/>
    <s v="Sports"/>
    <s v="Yoga Mat"/>
    <n v="2"/>
    <n v="699"/>
    <n v="1398"/>
    <n v="10"/>
    <n v="139.80000000000001"/>
    <n v="1258.2"/>
    <s v="Net Banking"/>
    <x v="0"/>
  </r>
  <r>
    <s v="ORD-2027523"/>
    <s v="26 Wed"/>
    <s v="Nov"/>
    <s v="2025"/>
    <s v="CUST-1141"/>
    <s v="Tanya Kapoor"/>
    <x v="1"/>
    <s v="Sports"/>
    <s v="Yoga Mat"/>
    <n v="1"/>
    <n v="699"/>
    <n v="699"/>
    <n v="30"/>
    <n v="209.7"/>
    <n v="489.3"/>
    <s v="Debit Card"/>
    <x v="0"/>
  </r>
  <r>
    <s v="ORD-2027524"/>
    <s v="26 Wed"/>
    <s v="Nov"/>
    <s v="2025"/>
    <s v="CUST-1259"/>
    <s v="Rahul Singh"/>
    <x v="2"/>
    <s v="Groceries"/>
    <s v="Basmati Rice 5kg"/>
    <n v="1"/>
    <n v="549"/>
    <n v="549"/>
    <n v="0"/>
    <n v="0"/>
    <n v="549"/>
    <s v="Net Banking"/>
    <x v="1"/>
  </r>
  <r>
    <s v="ORD-2027525"/>
    <s v="26 Wed"/>
    <s v="Nov"/>
    <s v="2025"/>
    <s v="CUST-1164"/>
    <s v="Kabir Malhotra"/>
    <x v="3"/>
    <s v="Beauty"/>
    <s v="Face Wash 100ml"/>
    <n v="1"/>
    <n v="299"/>
    <n v="299"/>
    <n v="0"/>
    <n v="0"/>
    <n v="299"/>
    <s v="UPI"/>
    <x v="0"/>
  </r>
  <r>
    <s v="ORD-2027526"/>
    <s v="26 Wed"/>
    <s v="Nov"/>
    <s v="2025"/>
    <s v="CUST-1173"/>
    <s v="Ankit Gupta"/>
    <x v="0"/>
    <s v="Beauty"/>
    <s v="Herbal Shampoo"/>
    <n v="3"/>
    <n v="249"/>
    <n v="747"/>
    <n v="5"/>
    <n v="37.35"/>
    <n v="709.65"/>
    <s v="Credit Card"/>
    <x v="1"/>
  </r>
  <r>
    <s v="ORD-2027527"/>
    <s v="27 Thu"/>
    <s v="Nov"/>
    <s v="2025"/>
    <s v="CUST-1385"/>
    <s v="Aman Kapoor"/>
    <x v="4"/>
    <s v="Sports"/>
    <s v="Yoga Mat"/>
    <n v="2"/>
    <n v="699"/>
    <n v="1398"/>
    <n v="25"/>
    <n v="349.5"/>
    <n v="1048.5"/>
    <s v="Credit Card"/>
    <x v="0"/>
  </r>
  <r>
    <s v="ORD-2027528"/>
    <s v="27 Thu"/>
    <s v="Nov"/>
    <s v="2025"/>
    <s v="CUST-1330"/>
    <s v="Nandini Gupta"/>
    <x v="2"/>
    <s v="Groceries"/>
    <s v="Basmati Rice 5kg"/>
    <n v="4"/>
    <n v="549"/>
    <n v="2196"/>
    <n v="10"/>
    <n v="219.6"/>
    <n v="1976.4"/>
    <s v="Cash"/>
    <x v="0"/>
  </r>
  <r>
    <s v="ORD-2027529"/>
    <s v="27 Thu"/>
    <s v="Nov"/>
    <s v="2025"/>
    <s v="CUST-1262"/>
    <s v="Kunal Joshi"/>
    <x v="0"/>
    <s v="Electronics"/>
    <s v="Wireless Mouse"/>
    <n v="4"/>
    <n v="599"/>
    <n v="2396"/>
    <n v="25"/>
    <n v="599"/>
    <n v="1797"/>
    <s v="UPI"/>
    <x v="0"/>
  </r>
  <r>
    <s v="ORD-2027530"/>
    <s v="27 Thu"/>
    <s v="Nov"/>
    <s v="2025"/>
    <s v="CUST-1044"/>
    <s v="Swati Saxena"/>
    <x v="0"/>
    <s v="Electronics"/>
    <s v="Bluetooth Headphones"/>
    <n v="2"/>
    <n v="1799"/>
    <n v="3598"/>
    <n v="30"/>
    <n v="1079.4000000000001"/>
    <n v="2518.6"/>
    <s v="UPI"/>
    <x v="0"/>
  </r>
  <r>
    <s v="ORD-2027531"/>
    <s v="27 Thu"/>
    <s v="Nov"/>
    <s v="2025"/>
    <s v="CUST-1374"/>
    <s v="Isha Sharma"/>
    <x v="4"/>
    <s v="Home &amp; Kitchen"/>
    <s v="Non-stick Pan Set"/>
    <n v="1"/>
    <n v="1299"/>
    <n v="1299"/>
    <n v="10"/>
    <n v="129.9"/>
    <n v="1169.0999999999999"/>
    <s v="Debit Card"/>
    <x v="0"/>
  </r>
  <r>
    <s v="ORD-2027532"/>
    <s v="27 Thu"/>
    <s v="Nov"/>
    <s v="2025"/>
    <s v="CUST-1331"/>
    <s v="Arjun Singh"/>
    <x v="4"/>
    <s v="Electronics"/>
    <s v="Bluetooth Headphones"/>
    <n v="1"/>
    <n v="1799"/>
    <n v="1799"/>
    <n v="20"/>
    <n v="359.8"/>
    <n v="1439.2"/>
    <s v="UPI"/>
    <x v="0"/>
  </r>
  <r>
    <s v="ORD-2027533"/>
    <s v="27 Thu"/>
    <s v="Nov"/>
    <s v="2025"/>
    <s v="CUST-1240"/>
    <s v="Sakshi Patel"/>
    <x v="1"/>
    <s v="Apparel"/>
    <s v="Cotton T-Shirt"/>
    <n v="1"/>
    <n v="499"/>
    <n v="499"/>
    <n v="15"/>
    <n v="74.849999999999994"/>
    <n v="424.15"/>
    <s v="Credit Card"/>
    <x v="1"/>
  </r>
  <r>
    <s v="ORD-2027534"/>
    <s v="27 Thu"/>
    <s v="Nov"/>
    <s v="2025"/>
    <s v="CUST-1193"/>
    <s v="Komal Saxena"/>
    <x v="0"/>
    <s v="Apparel"/>
    <s v="Cotton T-Shirt"/>
    <n v="3"/>
    <n v="499"/>
    <n v="1497"/>
    <n v="30"/>
    <n v="449.1"/>
    <n v="1047.9000000000001"/>
    <s v="Debit Card"/>
    <x v="0"/>
  </r>
  <r>
    <s v="ORD-2027535"/>
    <s v="27 Thu"/>
    <s v="Nov"/>
    <s v="2025"/>
    <s v="CUST-1317"/>
    <s v="Aditya Kapoor"/>
    <x v="4"/>
    <s v="Apparel"/>
    <s v="Formal Shirt"/>
    <n v="1"/>
    <n v="899"/>
    <n v="899"/>
    <n v="20"/>
    <n v="179.8"/>
    <n v="719.2"/>
    <s v="Credit Card"/>
    <x v="0"/>
  </r>
  <r>
    <s v="ORD-2027536"/>
    <s v="27 Thu"/>
    <s v="Nov"/>
    <s v="2025"/>
    <s v="CUST-1015"/>
    <s v="Swati Joshi"/>
    <x v="0"/>
    <s v="Electronics"/>
    <s v="Wireless Mouse"/>
    <n v="1"/>
    <n v="599"/>
    <n v="599"/>
    <n v="5"/>
    <n v="29.95"/>
    <n v="569.04999999999995"/>
    <s v="Credit Card"/>
    <x v="0"/>
  </r>
  <r>
    <s v="ORD-2027537"/>
    <s v="27 Thu"/>
    <s v="Nov"/>
    <s v="2025"/>
    <s v="CUST-1229"/>
    <s v="Vivaan Singh"/>
    <x v="0"/>
    <s v="Apparel"/>
    <s v="Denim Jacket"/>
    <n v="3"/>
    <n v="1999"/>
    <n v="5997"/>
    <n v="10"/>
    <n v="599.70000000000005"/>
    <n v="5397.3"/>
    <s v="UPI"/>
    <x v="1"/>
  </r>
  <r>
    <s v="ORD-2027538"/>
    <s v="27 Thu"/>
    <s v="Nov"/>
    <s v="2025"/>
    <s v="CUST-1061"/>
    <s v="Muskan Patel"/>
    <x v="3"/>
    <s v="Sports"/>
    <s v="Cricket Bat"/>
    <n v="1"/>
    <n v="1499"/>
    <n v="1499"/>
    <n v="15"/>
    <n v="224.85"/>
    <n v="1274.1500000000001"/>
    <s v="Debit Card"/>
    <x v="0"/>
  </r>
  <r>
    <s v="ORD-2027539"/>
    <s v="28 Fri"/>
    <s v="Nov"/>
    <s v="2025"/>
    <s v="CUST-1293"/>
    <s v="Sakshi Singh"/>
    <x v="3"/>
    <s v="Sports"/>
    <s v="Cricket Bat"/>
    <n v="1"/>
    <n v="1499"/>
    <n v="1499"/>
    <n v="5"/>
    <n v="74.95"/>
    <n v="1424.05"/>
    <s v="Debit Card"/>
    <x v="1"/>
  </r>
  <r>
    <s v="ORD-2027540"/>
    <s v="28 Fri"/>
    <s v="Nov"/>
    <s v="2025"/>
    <s v="CUST-1294"/>
    <s v="Kabir Joshi"/>
    <x v="2"/>
    <s v="Home &amp; Kitchen"/>
    <s v="LED Desk Lamp"/>
    <n v="1"/>
    <n v="799"/>
    <n v="799"/>
    <n v="0"/>
    <n v="0"/>
    <n v="799"/>
    <s v="Cash"/>
    <x v="0"/>
  </r>
  <r>
    <s v="ORD-2027541"/>
    <s v="28 Fri"/>
    <s v="Nov"/>
    <s v="2025"/>
    <s v="CUST-1115"/>
    <s v="Divya Kapoor"/>
    <x v="3"/>
    <s v="Apparel"/>
    <s v="Denim Jacket"/>
    <n v="3"/>
    <n v="1999"/>
    <n v="5997"/>
    <n v="10"/>
    <n v="599.70000000000005"/>
    <n v="5397.3"/>
    <s v="Cash"/>
    <x v="0"/>
  </r>
  <r>
    <s v="ORD-2027542"/>
    <s v="28 Fri"/>
    <s v="Nov"/>
    <s v="2025"/>
    <s v="CUST-1153"/>
    <s v="Swati Verma"/>
    <x v="1"/>
    <s v="Apparel"/>
    <s v="Formal Shirt"/>
    <n v="1"/>
    <n v="899"/>
    <n v="899"/>
    <n v="15"/>
    <n v="134.85"/>
    <n v="764.15"/>
    <s v="Cash"/>
    <x v="0"/>
  </r>
  <r>
    <s v="ORD-2027543"/>
    <s v="28 Fri"/>
    <s v="Nov"/>
    <s v="2025"/>
    <s v="CUST-1183"/>
    <s v="Arjun Mehta"/>
    <x v="2"/>
    <s v="Groceries"/>
    <s v="Organic Honey 500g"/>
    <n v="1"/>
    <n v="349"/>
    <n v="349"/>
    <n v="20"/>
    <n v="69.8"/>
    <n v="279.2"/>
    <s v="Debit Card"/>
    <x v="0"/>
  </r>
  <r>
    <s v="ORD-2027544"/>
    <s v="28 Fri"/>
    <s v="Nov"/>
    <s v="2025"/>
    <s v="CUST-1302"/>
    <s v="Arjun Saxena"/>
    <x v="1"/>
    <s v="Apparel"/>
    <s v="Cotton T-Shirt"/>
    <n v="1"/>
    <n v="499"/>
    <n v="499"/>
    <n v="0"/>
    <n v="0"/>
    <n v="499"/>
    <s v="Cash"/>
    <x v="1"/>
  </r>
  <r>
    <s v="ORD-2027545"/>
    <s v="28 Fri"/>
    <s v="Nov"/>
    <s v="2025"/>
    <s v="CUST-1029"/>
    <s v="Swati Patel"/>
    <x v="4"/>
    <s v="Sports"/>
    <s v="Cricket Bat"/>
    <n v="1"/>
    <n v="1499"/>
    <n v="1499"/>
    <n v="15"/>
    <n v="224.85"/>
    <n v="1274.1500000000001"/>
    <s v="Debit Card"/>
    <x v="1"/>
  </r>
  <r>
    <s v="ORD-2027546"/>
    <s v="28 Fri"/>
    <s v="Nov"/>
    <s v="2025"/>
    <s v="CUST-1181"/>
    <s v="Kunal Sharma"/>
    <x v="0"/>
    <s v="Stationery"/>
    <s v="Gel Pen Pack"/>
    <n v="2"/>
    <n v="99"/>
    <n v="198"/>
    <n v="20"/>
    <n v="39.6"/>
    <n v="158.4"/>
    <s v="Cash"/>
    <x v="0"/>
  </r>
  <r>
    <s v="ORD-2027547"/>
    <s v="28 Fri"/>
    <s v="Nov"/>
    <s v="2025"/>
    <s v="CUST-1001"/>
    <s v="Rohan Patel"/>
    <x v="1"/>
    <s v="Groceries"/>
    <s v="Basmati Rice 5kg"/>
    <n v="2"/>
    <n v="549"/>
    <n v="1098"/>
    <n v="0"/>
    <n v="0"/>
    <n v="1098"/>
    <s v="UPI"/>
    <x v="0"/>
  </r>
  <r>
    <s v="ORD-2027548"/>
    <s v="28 Fri"/>
    <s v="Nov"/>
    <s v="2025"/>
    <s v="CUST-1268"/>
    <s v="Aman Verma"/>
    <x v="1"/>
    <s v="Electronics"/>
    <s v="Smartwatch"/>
    <n v="1"/>
    <n v="2999"/>
    <n v="2999"/>
    <n v="30"/>
    <n v="899.7"/>
    <n v="2099.3000000000002"/>
    <s v="Debit Card"/>
    <x v="1"/>
  </r>
  <r>
    <s v="ORD-2027549"/>
    <s v="29 Sat"/>
    <s v="Nov"/>
    <s v="2025"/>
    <s v="CUST-1004"/>
    <s v="Tanya Malhotra"/>
    <x v="3"/>
    <s v="Home &amp; Kitchen"/>
    <s v="Non-stick Pan Set"/>
    <n v="1"/>
    <n v="1299"/>
    <n v="1299"/>
    <n v="20"/>
    <n v="259.8"/>
    <n v="1039.2"/>
    <s v="Debit Card"/>
    <x v="1"/>
  </r>
  <r>
    <s v="ORD-2027550"/>
    <s v="29 Sat"/>
    <s v="Nov"/>
    <s v="2025"/>
    <s v="CUST-1036"/>
    <s v="Nandini Mehta"/>
    <x v="4"/>
    <s v="Home &amp; Kitchen"/>
    <s v="LED Desk Lamp"/>
    <n v="1"/>
    <n v="799"/>
    <n v="799"/>
    <n v="5"/>
    <n v="39.950000000000003"/>
    <n v="759.05"/>
    <s v="Credit Card"/>
    <x v="1"/>
  </r>
  <r>
    <s v="ORD-2027551"/>
    <s v="29 Sat"/>
    <s v="Nov"/>
    <s v="2025"/>
    <s v="CUST-1120"/>
    <s v="Divya Kapoor"/>
    <x v="4"/>
    <s v="Sports"/>
    <s v="Cricket Bat"/>
    <n v="3"/>
    <n v="1499"/>
    <n v="4497"/>
    <n v="25"/>
    <n v="1124.25"/>
    <n v="3372.75"/>
    <s v="Cash"/>
    <x v="1"/>
  </r>
  <r>
    <s v="ORD-2027552"/>
    <s v="29 Sat"/>
    <s v="Nov"/>
    <s v="2025"/>
    <s v="CUST-1374"/>
    <s v="Isha Sharma"/>
    <x v="1"/>
    <s v="Electronics"/>
    <s v="Wireless Mouse"/>
    <n v="1"/>
    <n v="599"/>
    <n v="599"/>
    <n v="20"/>
    <n v="119.8"/>
    <n v="479.2"/>
    <s v="Credit Card"/>
    <x v="1"/>
  </r>
  <r>
    <s v="ORD-2027553"/>
    <s v="29 Sat"/>
    <s v="Nov"/>
    <s v="2025"/>
    <s v="CUST-1042"/>
    <s v="Kunal Saxena"/>
    <x v="3"/>
    <s v="Electronics"/>
    <s v="Bluetooth Headphones"/>
    <n v="1"/>
    <n v="1799"/>
    <n v="1799"/>
    <n v="0"/>
    <n v="0"/>
    <n v="1799"/>
    <s v="UPI"/>
    <x v="1"/>
  </r>
  <r>
    <s v="ORD-2027554"/>
    <s v="29 Sat"/>
    <s v="Nov"/>
    <s v="2025"/>
    <s v="CUST-1305"/>
    <s v="Muskan Joshi"/>
    <x v="1"/>
    <s v="Beauty"/>
    <s v="Herbal Shampoo"/>
    <n v="5"/>
    <n v="249"/>
    <n v="1245"/>
    <n v="20"/>
    <n v="249"/>
    <n v="996"/>
    <s v="Net Banking"/>
    <x v="0"/>
  </r>
  <r>
    <s v="ORD-2027555"/>
    <s v="29 Sat"/>
    <s v="Nov"/>
    <s v="2025"/>
    <s v="CUST-1381"/>
    <s v="Kabir Kapoor"/>
    <x v="2"/>
    <s v="Electronics"/>
    <s v="Wireless Mouse"/>
    <n v="1"/>
    <n v="599"/>
    <n v="599"/>
    <n v="15"/>
    <n v="89.85"/>
    <n v="509.15"/>
    <s v="Debit Card"/>
    <x v="1"/>
  </r>
  <r>
    <s v="ORD-2027556"/>
    <s v="29 Sat"/>
    <s v="Nov"/>
    <s v="2025"/>
    <s v="CUST-1166"/>
    <s v="Divya Mehta"/>
    <x v="1"/>
    <s v="Sports"/>
    <s v="Yoga Mat"/>
    <n v="1"/>
    <n v="699"/>
    <n v="699"/>
    <n v="20"/>
    <n v="139.80000000000001"/>
    <n v="559.20000000000005"/>
    <s v="UPI"/>
    <x v="1"/>
  </r>
  <r>
    <s v="ORD-2027557"/>
    <s v="29 Sat"/>
    <s v="Nov"/>
    <s v="2025"/>
    <s v="CUST-1157"/>
    <s v="Arjun Verma"/>
    <x v="3"/>
    <s v="Apparel"/>
    <s v="Denim Jacket"/>
    <n v="3"/>
    <n v="1999"/>
    <n v="5997"/>
    <n v="15"/>
    <n v="899.55"/>
    <n v="5097.45"/>
    <s v="Debit Card"/>
    <x v="1"/>
  </r>
  <r>
    <s v="ORD-2027558"/>
    <s v="29 Sat"/>
    <s v="Nov"/>
    <s v="2025"/>
    <s v="CUST-1104"/>
    <s v="Nandini Saxena"/>
    <x v="2"/>
    <s v="Beauty"/>
    <s v="Face Wash 100ml"/>
    <n v="3"/>
    <n v="299"/>
    <n v="897"/>
    <n v="10"/>
    <n v="89.7"/>
    <n v="807.3"/>
    <s v="Debit Card"/>
    <x v="0"/>
  </r>
  <r>
    <s v="ORD-2027559"/>
    <s v="29 Sat"/>
    <s v="Nov"/>
    <s v="2025"/>
    <s v="CUST-1206"/>
    <s v="Aditya Gupta"/>
    <x v="4"/>
    <s v="Sports"/>
    <s v="Yoga Mat"/>
    <n v="3"/>
    <n v="699"/>
    <n v="2097"/>
    <n v="25"/>
    <n v="524.25"/>
    <n v="1572.75"/>
    <s v="Credit Card"/>
    <x v="0"/>
  </r>
  <r>
    <s v="ORD-2027560"/>
    <s v="29 Sat"/>
    <s v="Nov"/>
    <s v="2025"/>
    <s v="CUST-1166"/>
    <s v="Divya Mehta"/>
    <x v="3"/>
    <s v="Sports"/>
    <s v="Yoga Mat"/>
    <n v="1"/>
    <n v="699"/>
    <n v="699"/>
    <n v="25"/>
    <n v="174.75"/>
    <n v="524.25"/>
    <s v="Credit Card"/>
    <x v="0"/>
  </r>
  <r>
    <s v="ORD-2027561"/>
    <s v="29 Sat"/>
    <s v="Nov"/>
    <s v="2025"/>
    <s v="CUST-1242"/>
    <s v="Sakshi Malhotra"/>
    <x v="2"/>
    <s v="Groceries"/>
    <s v="Organic Honey 500g"/>
    <n v="2"/>
    <n v="349"/>
    <n v="698"/>
    <n v="15"/>
    <n v="104.7"/>
    <n v="593.29999999999995"/>
    <s v="Net Banking"/>
    <x v="1"/>
  </r>
  <r>
    <s v="ORD-2027562"/>
    <s v="30 Sun"/>
    <s v="Nov"/>
    <s v="2025"/>
    <s v="CUST-1175"/>
    <s v="Vivaan Kapoor"/>
    <x v="2"/>
    <s v="Beauty"/>
    <s v="Face Wash 100ml"/>
    <n v="1"/>
    <n v="299"/>
    <n v="299"/>
    <n v="5"/>
    <n v="14.95"/>
    <n v="284.05"/>
    <s v="Credit Card"/>
    <x v="1"/>
  </r>
  <r>
    <s v="ORD-2027563"/>
    <s v="30 Sun"/>
    <s v="Nov"/>
    <s v="2025"/>
    <s v="CUST-1342"/>
    <s v="Vivaan Saxena"/>
    <x v="4"/>
    <s v="Stationery"/>
    <s v="Gel Pen Pack"/>
    <n v="1"/>
    <n v="99"/>
    <n v="99"/>
    <n v="5"/>
    <n v="4.95"/>
    <n v="94.05"/>
    <s v="Net Banking"/>
    <x v="0"/>
  </r>
  <r>
    <s v="ORD-2027564"/>
    <s v="30 Sun"/>
    <s v="Nov"/>
    <s v="2025"/>
    <s v="CUST-1061"/>
    <s v="Muskan Patel"/>
    <x v="1"/>
    <s v="Groceries"/>
    <s v="Organic Honey 500g"/>
    <n v="1"/>
    <n v="349"/>
    <n v="349"/>
    <n v="30"/>
    <n v="104.7"/>
    <n v="244.3"/>
    <s v="Cash"/>
    <x v="1"/>
  </r>
  <r>
    <s v="ORD-2027565"/>
    <s v="30 Sun"/>
    <s v="Nov"/>
    <s v="2025"/>
    <s v="CUST-1189"/>
    <s v="Vivaan Mehta"/>
    <x v="4"/>
    <s v="Sports"/>
    <s v="Cricket Bat"/>
    <n v="3"/>
    <n v="1499"/>
    <n v="4497"/>
    <n v="25"/>
    <n v="1124.25"/>
    <n v="3372.75"/>
    <s v="Debit Card"/>
    <x v="0"/>
  </r>
  <r>
    <s v="ORD-2027566"/>
    <s v="30 Sun"/>
    <s v="Nov"/>
    <s v="2025"/>
    <s v="CUST-1083"/>
    <s v="Komal Kapoor"/>
    <x v="3"/>
    <s v="Apparel"/>
    <s v="Formal Shirt"/>
    <n v="1"/>
    <n v="899"/>
    <n v="899"/>
    <n v="25"/>
    <n v="224.75"/>
    <n v="674.25"/>
    <s v="UPI"/>
    <x v="0"/>
  </r>
  <r>
    <s v="ORD-2027567"/>
    <s v="30 Sun"/>
    <s v="Nov"/>
    <s v="2025"/>
    <s v="CUST-1318"/>
    <s v="Tanya Verma"/>
    <x v="4"/>
    <s v="Sports"/>
    <s v="Cricket Bat"/>
    <n v="1"/>
    <n v="1499"/>
    <n v="1499"/>
    <n v="25"/>
    <n v="374.75"/>
    <n v="1124.25"/>
    <s v="UPI"/>
    <x v="1"/>
  </r>
  <r>
    <s v="ORD-2027568"/>
    <s v="30 Sun"/>
    <s v="Nov"/>
    <s v="2025"/>
    <s v="CUST-1322"/>
    <s v="Rahul Sharma"/>
    <x v="0"/>
    <s v="Stationery"/>
    <s v="Notebook Set"/>
    <n v="1"/>
    <n v="199"/>
    <n v="199"/>
    <n v="30"/>
    <n v="59.7"/>
    <n v="139.30000000000001"/>
    <s v="UPI"/>
    <x v="0"/>
  </r>
  <r>
    <s v="ORD-2027569"/>
    <s v="30 Sun"/>
    <s v="Nov"/>
    <s v="2025"/>
    <s v="CUST-1098"/>
    <s v="Rohan Patel"/>
    <x v="4"/>
    <s v="Groceries"/>
    <s v="Basmati Rice 5kg"/>
    <n v="2"/>
    <n v="549"/>
    <n v="1098"/>
    <n v="0"/>
    <n v="0"/>
    <n v="1098"/>
    <s v="Credit Card"/>
    <x v="1"/>
  </r>
  <r>
    <s v="ORD-2027570"/>
    <s v="30 Sun"/>
    <s v="Nov"/>
    <s v="2025"/>
    <s v="CUST-1143"/>
    <s v="Muskan Saxena"/>
    <x v="2"/>
    <s v="Home &amp; Kitchen"/>
    <s v="LED Desk Lamp"/>
    <n v="1"/>
    <n v="799"/>
    <n v="799"/>
    <n v="5"/>
    <n v="39.950000000000003"/>
    <n v="759.05"/>
    <s v="UPI"/>
    <x v="0"/>
  </r>
  <r>
    <s v="ORD-2027571"/>
    <s v="30 Sun"/>
    <s v="Nov"/>
    <s v="2025"/>
    <s v="CUST-1220"/>
    <s v="Aditya Kapoor"/>
    <x v="0"/>
    <s v="Apparel"/>
    <s v="Cotton T-Shirt"/>
    <n v="1"/>
    <n v="499"/>
    <n v="499"/>
    <n v="15"/>
    <n v="74.849999999999994"/>
    <n v="424.15"/>
    <s v="UPI"/>
    <x v="1"/>
  </r>
  <r>
    <s v="ORD-2027572"/>
    <s v="30 Sun"/>
    <s v="Nov"/>
    <s v="2025"/>
    <s v="CUST-1202"/>
    <s v="Isha Verma"/>
    <x v="0"/>
    <s v="Stationery"/>
    <s v="Gel Pen Pack"/>
    <n v="1"/>
    <n v="99"/>
    <n v="99"/>
    <n v="20"/>
    <n v="19.8"/>
    <n v="79.2"/>
    <s v="Credit Card"/>
    <x v="1"/>
  </r>
  <r>
    <s v="ORD-2027573"/>
    <s v="30 Sun"/>
    <s v="Nov"/>
    <s v="2025"/>
    <s v="CUST-1236"/>
    <s v="Divya Mehta"/>
    <x v="0"/>
    <s v="Groceries"/>
    <s v="Organic Honey 500g"/>
    <n v="1"/>
    <n v="349"/>
    <n v="349"/>
    <n v="10"/>
    <n v="34.9"/>
    <n v="314.10000000000002"/>
    <s v="UPI"/>
    <x v="0"/>
  </r>
  <r>
    <s v="ORD-2027574"/>
    <s v="30 Sun"/>
    <s v="Nov"/>
    <s v="2025"/>
    <s v="CUST-1030"/>
    <s v="Rahul Kapoor"/>
    <x v="1"/>
    <s v="Sports"/>
    <s v="Yoga Mat"/>
    <n v="2"/>
    <n v="699"/>
    <n v="1398"/>
    <n v="30"/>
    <n v="419.4"/>
    <n v="978.6"/>
    <s v="Credit Card"/>
    <x v="1"/>
  </r>
  <r>
    <s v="ORD-2027575"/>
    <s v="30 Sun"/>
    <s v="Nov"/>
    <s v="2025"/>
    <s v="CUST-1139"/>
    <s v="Aditya Sharma"/>
    <x v="2"/>
    <s v="Electronics"/>
    <s v="Smartwatch"/>
    <n v="4"/>
    <n v="2999"/>
    <n v="11996"/>
    <n v="0"/>
    <n v="0"/>
    <n v="11996"/>
    <s v="Debit Card"/>
    <x v="1"/>
  </r>
  <r>
    <s v="ORD-2027576"/>
    <s v="30 Sun"/>
    <s v="Nov"/>
    <s v="2025"/>
    <s v="CUST-1271"/>
    <s v="Nandini Sharma"/>
    <x v="1"/>
    <s v="Beauty"/>
    <s v="Face Wash 100ml"/>
    <n v="3"/>
    <n v="299"/>
    <n v="897"/>
    <n v="0"/>
    <n v="0"/>
    <n v="897"/>
    <s v="Debit Card"/>
    <x v="0"/>
  </r>
  <r>
    <s v="ORD-2027577"/>
    <s v="30 Sun"/>
    <s v="Nov"/>
    <s v="2025"/>
    <s v="CUST-1020"/>
    <s v="Rohan Malhotra"/>
    <x v="1"/>
    <s v="Groceries"/>
    <s v="Basmati Rice 5kg"/>
    <n v="2"/>
    <n v="549"/>
    <n v="1098"/>
    <n v="0"/>
    <n v="0"/>
    <n v="1098"/>
    <s v="Credit Card"/>
    <x v="0"/>
  </r>
  <r>
    <s v="ORD-2027578"/>
    <s v="1 Mon"/>
    <s v="Dec"/>
    <s v="2025"/>
    <s v="CUST-1295"/>
    <s v="Tanya Singh"/>
    <x v="1"/>
    <s v="Apparel"/>
    <s v="Cotton T-Shirt"/>
    <n v="1"/>
    <n v="499"/>
    <n v="499"/>
    <n v="0"/>
    <n v="0"/>
    <n v="499"/>
    <s v="Cash"/>
    <x v="0"/>
  </r>
  <r>
    <s v="ORD-2027579"/>
    <s v="1 Mon"/>
    <s v="Dec"/>
    <s v="2025"/>
    <s v="CUST-1328"/>
    <s v="Arjun Verma"/>
    <x v="2"/>
    <s v="Sports"/>
    <s v="Yoga Mat"/>
    <n v="1"/>
    <n v="699"/>
    <n v="699"/>
    <n v="0"/>
    <n v="0"/>
    <n v="699"/>
    <s v="Credit Card"/>
    <x v="0"/>
  </r>
  <r>
    <s v="ORD-2027580"/>
    <s v="1 Mon"/>
    <s v="Dec"/>
    <s v="2025"/>
    <s v="CUST-1321"/>
    <s v="Isha Mehta"/>
    <x v="3"/>
    <s v="Electronics"/>
    <s v="Smartwatch"/>
    <n v="1"/>
    <n v="2999"/>
    <n v="2999"/>
    <n v="20"/>
    <n v="599.79999999999995"/>
    <n v="2399.1999999999998"/>
    <s v="UPI"/>
    <x v="1"/>
  </r>
  <r>
    <s v="ORD-2027581"/>
    <s v="1 Mon"/>
    <s v="Dec"/>
    <s v="2025"/>
    <s v="CUST-1294"/>
    <s v="Kabir Joshi"/>
    <x v="2"/>
    <s v="Electronics"/>
    <s v="Smartwatch"/>
    <n v="2"/>
    <n v="2999"/>
    <n v="5998"/>
    <n v="30"/>
    <n v="1799.4"/>
    <n v="4198.6000000000004"/>
    <s v="Net Banking"/>
    <x v="1"/>
  </r>
  <r>
    <s v="ORD-2027582"/>
    <s v="1 Mon"/>
    <s v="Dec"/>
    <s v="2025"/>
    <s v="CUST-1138"/>
    <s v="Tanya Singh"/>
    <x v="1"/>
    <s v="Groceries"/>
    <s v="Basmati Rice 5kg"/>
    <n v="2"/>
    <n v="549"/>
    <n v="1098"/>
    <n v="20"/>
    <n v="219.6"/>
    <n v="878.4"/>
    <s v="Net Banking"/>
    <x v="1"/>
  </r>
  <r>
    <s v="ORD-2027583"/>
    <s v="1 Mon"/>
    <s v="Dec"/>
    <s v="2025"/>
    <s v="CUST-1076"/>
    <s v="Tanya Saxena"/>
    <x v="4"/>
    <s v="Sports"/>
    <s v="Cricket Bat"/>
    <n v="1"/>
    <n v="1499"/>
    <n v="1499"/>
    <n v="25"/>
    <n v="374.75"/>
    <n v="1124.25"/>
    <s v="Net Banking"/>
    <x v="0"/>
  </r>
  <r>
    <s v="ORD-2027584"/>
    <s v="1 Mon"/>
    <s v="Dec"/>
    <s v="2025"/>
    <s v="CUST-1328"/>
    <s v="Arjun Verma"/>
    <x v="1"/>
    <s v="Apparel"/>
    <s v="Formal Shirt"/>
    <n v="5"/>
    <n v="899"/>
    <n v="4495"/>
    <n v="25"/>
    <n v="1123.75"/>
    <n v="3371.25"/>
    <s v="Credit Card"/>
    <x v="0"/>
  </r>
  <r>
    <s v="ORD-2027585"/>
    <s v="1 Mon"/>
    <s v="Dec"/>
    <s v="2025"/>
    <s v="CUST-1149"/>
    <s v="Aarav Verma"/>
    <x v="3"/>
    <s v="Electronics"/>
    <s v="Wireless Mouse"/>
    <n v="2"/>
    <n v="599"/>
    <n v="1198"/>
    <n v="10"/>
    <n v="119.8"/>
    <n v="1078.2"/>
    <s v="UPI"/>
    <x v="0"/>
  </r>
  <r>
    <s v="ORD-2027586"/>
    <s v="1 Mon"/>
    <s v="Dec"/>
    <s v="2025"/>
    <s v="CUST-1052"/>
    <s v="Meera Verma"/>
    <x v="4"/>
    <s v="Beauty"/>
    <s v="Face Wash 100ml"/>
    <n v="1"/>
    <n v="299"/>
    <n v="299"/>
    <n v="10"/>
    <n v="29.9"/>
    <n v="269.10000000000002"/>
    <s v="Net Banking"/>
    <x v="0"/>
  </r>
  <r>
    <s v="ORD-2027587"/>
    <s v="1 Mon"/>
    <s v="Dec"/>
    <s v="2025"/>
    <s v="CUST-1388"/>
    <s v="Aarav Saxena"/>
    <x v="3"/>
    <s v="Beauty"/>
    <s v="Herbal Shampoo"/>
    <n v="3"/>
    <n v="249"/>
    <n v="747"/>
    <n v="5"/>
    <n v="37.35"/>
    <n v="709.65"/>
    <s v="Credit Card"/>
    <x v="1"/>
  </r>
  <r>
    <s v="ORD-2027588"/>
    <s v="1 Mon"/>
    <s v="Dec"/>
    <s v="2025"/>
    <s v="CUST-1096"/>
    <s v="Kunal Saxena"/>
    <x v="3"/>
    <s v="Stationery"/>
    <s v="Gel Pen Pack"/>
    <n v="1"/>
    <n v="99"/>
    <n v="99"/>
    <n v="30"/>
    <n v="29.7"/>
    <n v="69.3"/>
    <s v="Credit Card"/>
    <x v="0"/>
  </r>
  <r>
    <s v="ORD-2027589"/>
    <s v="1 Mon"/>
    <s v="Dec"/>
    <s v="2025"/>
    <s v="CUST-1109"/>
    <s v="Kabir Mehta"/>
    <x v="1"/>
    <s v="Electronics"/>
    <s v="Wireless Mouse"/>
    <n v="1"/>
    <n v="599"/>
    <n v="599"/>
    <n v="30"/>
    <n v="179.7"/>
    <n v="419.3"/>
    <s v="UPI"/>
    <x v="1"/>
  </r>
  <r>
    <s v="ORD-2027590"/>
    <s v="1 Mon"/>
    <s v="Dec"/>
    <s v="2025"/>
    <s v="CUST-1076"/>
    <s v="Tanya Saxena"/>
    <x v="1"/>
    <s v="Sports"/>
    <s v="Cricket Bat"/>
    <n v="1"/>
    <n v="1499"/>
    <n v="1499"/>
    <n v="30"/>
    <n v="449.7"/>
    <n v="1049.3"/>
    <s v="Debit Card"/>
    <x v="0"/>
  </r>
  <r>
    <s v="ORD-2027591"/>
    <s v="1 Mon"/>
    <s v="Dec"/>
    <s v="2025"/>
    <s v="CUST-1179"/>
    <s v="Nandini Saxena"/>
    <x v="4"/>
    <s v="Stationery"/>
    <s v="Notebook Set"/>
    <n v="1"/>
    <n v="199"/>
    <n v="199"/>
    <n v="25"/>
    <n v="49.75"/>
    <n v="149.25"/>
    <s v="Net Banking"/>
    <x v="0"/>
  </r>
  <r>
    <s v="ORD-2027592"/>
    <s v="1 Mon"/>
    <s v="Dec"/>
    <s v="2025"/>
    <s v="CUST-1159"/>
    <s v="Isha Kapoor"/>
    <x v="1"/>
    <s v="Groceries"/>
    <s v="Organic Honey 500g"/>
    <n v="1"/>
    <n v="349"/>
    <n v="349"/>
    <n v="15"/>
    <n v="52.35"/>
    <n v="296.64999999999998"/>
    <s v="Credit Card"/>
    <x v="0"/>
  </r>
  <r>
    <s v="ORD-2027593"/>
    <s v="2 Tue"/>
    <s v="Dec"/>
    <s v="2025"/>
    <s v="CUST-1149"/>
    <s v="Aarav Verma"/>
    <x v="0"/>
    <s v="Stationery"/>
    <s v="Notebook Set"/>
    <n v="2"/>
    <n v="199"/>
    <n v="398"/>
    <n v="0"/>
    <n v="0"/>
    <n v="398"/>
    <s v="Net Banking"/>
    <x v="0"/>
  </r>
  <r>
    <s v="ORD-2027594"/>
    <s v="2 Tue"/>
    <s v="Dec"/>
    <s v="2025"/>
    <s v="CUST-1250"/>
    <s v="Shreya Saxena"/>
    <x v="0"/>
    <s v="Groceries"/>
    <s v="Organic Honey 500g"/>
    <n v="1"/>
    <n v="349"/>
    <n v="349"/>
    <n v="20"/>
    <n v="69.8"/>
    <n v="279.2"/>
    <s v="UPI"/>
    <x v="1"/>
  </r>
  <r>
    <s v="ORD-2027595"/>
    <s v="2 Tue"/>
    <s v="Dec"/>
    <s v="2025"/>
    <s v="CUST-1371"/>
    <s v="Rahul Verma"/>
    <x v="3"/>
    <s v="Sports"/>
    <s v="Yoga Mat"/>
    <n v="4"/>
    <n v="699"/>
    <n v="2796"/>
    <n v="15"/>
    <n v="419.4"/>
    <n v="2376.6"/>
    <s v="UPI"/>
    <x v="0"/>
  </r>
  <r>
    <s v="ORD-2027596"/>
    <s v="2 Tue"/>
    <s v="Dec"/>
    <s v="2025"/>
    <s v="CUST-1202"/>
    <s v="Isha Verma"/>
    <x v="0"/>
    <s v="Groceries"/>
    <s v="Organic Honey 500g"/>
    <n v="2"/>
    <n v="349"/>
    <n v="698"/>
    <n v="15"/>
    <n v="104.7"/>
    <n v="593.29999999999995"/>
    <s v="UPI"/>
    <x v="0"/>
  </r>
  <r>
    <s v="ORD-2027597"/>
    <s v="2 Tue"/>
    <s v="Dec"/>
    <s v="2025"/>
    <s v="CUST-1287"/>
    <s v="Divya Kapoor"/>
    <x v="3"/>
    <s v="Apparel"/>
    <s v="Denim Jacket"/>
    <n v="3"/>
    <n v="1999"/>
    <n v="5997"/>
    <n v="20"/>
    <n v="1199.4000000000001"/>
    <n v="4797.6000000000004"/>
    <s v="Net Banking"/>
    <x v="1"/>
  </r>
  <r>
    <s v="ORD-2027598"/>
    <s v="2 Tue"/>
    <s v="Dec"/>
    <s v="2025"/>
    <s v="CUST-1012"/>
    <s v="Shreya Patel"/>
    <x v="3"/>
    <s v="Sports"/>
    <s v="Yoga Mat"/>
    <n v="1"/>
    <n v="699"/>
    <n v="699"/>
    <n v="25"/>
    <n v="174.75"/>
    <n v="524.25"/>
    <s v="Credit Card"/>
    <x v="0"/>
  </r>
  <r>
    <s v="ORD-2027599"/>
    <s v="3 Wed"/>
    <s v="Dec"/>
    <s v="2025"/>
    <s v="CUST-1207"/>
    <s v="Rohan Malhotra"/>
    <x v="2"/>
    <s v="Apparel"/>
    <s v="Denim Jacket"/>
    <n v="5"/>
    <n v="1999"/>
    <n v="9995"/>
    <n v="15"/>
    <n v="1499.25"/>
    <n v="8495.75"/>
    <s v="Debit Card"/>
    <x v="0"/>
  </r>
  <r>
    <s v="ORD-2027600"/>
    <s v="3 Wed"/>
    <s v="Dec"/>
    <s v="2025"/>
    <s v="CUST-1178"/>
    <s v="Komal Sharma"/>
    <x v="0"/>
    <s v="Stationery"/>
    <s v="Gel Pen Pack"/>
    <n v="2"/>
    <n v="99"/>
    <n v="198"/>
    <n v="30"/>
    <n v="59.4"/>
    <n v="138.6"/>
    <s v="Net Banking"/>
    <x v="1"/>
  </r>
  <r>
    <s v="ORD-2027601"/>
    <s v="3 Wed"/>
    <s v="Dec"/>
    <s v="2025"/>
    <s v="CUST-1267"/>
    <s v="Komal Joshi"/>
    <x v="4"/>
    <s v="Beauty"/>
    <s v="Herbal Shampoo"/>
    <n v="4"/>
    <n v="249"/>
    <n v="996"/>
    <n v="30"/>
    <n v="298.8"/>
    <n v="697.2"/>
    <s v="UPI"/>
    <x v="0"/>
  </r>
  <r>
    <s v="ORD-2027602"/>
    <s v="3 Wed"/>
    <s v="Dec"/>
    <s v="2025"/>
    <s v="CUST-1378"/>
    <s v="Rahul Mehta"/>
    <x v="1"/>
    <s v="Apparel"/>
    <s v="Denim Jacket"/>
    <n v="1"/>
    <n v="1999"/>
    <n v="1999"/>
    <n v="10"/>
    <n v="199.9"/>
    <n v="1799.1"/>
    <s v="Credit Card"/>
    <x v="0"/>
  </r>
  <r>
    <s v="ORD-2027603"/>
    <s v="3 Wed"/>
    <s v="Dec"/>
    <s v="2025"/>
    <s v="CUST-1261"/>
    <s v="Shreya Patel"/>
    <x v="0"/>
    <s v="Home &amp; Kitchen"/>
    <s v="LED Desk Lamp"/>
    <n v="2"/>
    <n v="799"/>
    <n v="1598"/>
    <n v="20"/>
    <n v="319.60000000000002"/>
    <n v="1278.4000000000001"/>
    <s v="UPI"/>
    <x v="1"/>
  </r>
  <r>
    <s v="ORD-2027604"/>
    <s v="3 Wed"/>
    <s v="Dec"/>
    <s v="2025"/>
    <s v="CUST-1300"/>
    <s v="Vivaan Mehta"/>
    <x v="3"/>
    <s v="Electronics"/>
    <s v="Smartwatch"/>
    <n v="2"/>
    <n v="2999"/>
    <n v="5998"/>
    <n v="30"/>
    <n v="1799.4"/>
    <n v="4198.6000000000004"/>
    <s v="Cash"/>
    <x v="1"/>
  </r>
  <r>
    <s v="ORD-2027605"/>
    <s v="3 Wed"/>
    <s v="Dec"/>
    <s v="2025"/>
    <s v="CUST-1287"/>
    <s v="Divya Kapoor"/>
    <x v="0"/>
    <s v="Beauty"/>
    <s v="Herbal Shampoo"/>
    <n v="4"/>
    <n v="249"/>
    <n v="996"/>
    <n v="10"/>
    <n v="99.6"/>
    <n v="896.4"/>
    <s v="Credit Card"/>
    <x v="0"/>
  </r>
  <r>
    <s v="ORD-2027606"/>
    <s v="3 Wed"/>
    <s v="Dec"/>
    <s v="2025"/>
    <s v="CUST-1276"/>
    <s v="Swati Joshi"/>
    <x v="2"/>
    <s v="Beauty"/>
    <s v="Face Wash 100ml"/>
    <n v="1"/>
    <n v="299"/>
    <n v="299"/>
    <n v="15"/>
    <n v="44.85"/>
    <n v="254.15"/>
    <s v="Credit Card"/>
    <x v="0"/>
  </r>
  <r>
    <s v="ORD-2027607"/>
    <s v="3 Wed"/>
    <s v="Dec"/>
    <s v="2025"/>
    <s v="CUST-1019"/>
    <s v="Aarav Joshi"/>
    <x v="4"/>
    <s v="Groceries"/>
    <s v="Organic Honey 500g"/>
    <n v="2"/>
    <n v="349"/>
    <n v="698"/>
    <n v="25"/>
    <n v="174.5"/>
    <n v="523.5"/>
    <s v="UPI"/>
    <x v="0"/>
  </r>
  <r>
    <s v="ORD-2027608"/>
    <s v="3 Wed"/>
    <s v="Dec"/>
    <s v="2025"/>
    <s v="CUST-1263"/>
    <s v="Tanya Mehta"/>
    <x v="4"/>
    <s v="Sports"/>
    <s v="Yoga Mat"/>
    <n v="1"/>
    <n v="699"/>
    <n v="699"/>
    <n v="15"/>
    <n v="104.85"/>
    <n v="594.15"/>
    <s v="UPI"/>
    <x v="0"/>
  </r>
  <r>
    <s v="ORD-2027609"/>
    <s v="3 Wed"/>
    <s v="Dec"/>
    <s v="2025"/>
    <s v="CUST-1178"/>
    <s v="Komal Sharma"/>
    <x v="1"/>
    <s v="Apparel"/>
    <s v="Formal Shirt"/>
    <n v="1"/>
    <n v="899"/>
    <n v="899"/>
    <n v="10"/>
    <n v="89.9"/>
    <n v="809.1"/>
    <s v="Debit Card"/>
    <x v="0"/>
  </r>
  <r>
    <s v="ORD-2027610"/>
    <s v="3 Wed"/>
    <s v="Dec"/>
    <s v="2025"/>
    <s v="CUST-1247"/>
    <s v="Meera Malhotra"/>
    <x v="2"/>
    <s v="Apparel"/>
    <s v="Formal Shirt"/>
    <n v="4"/>
    <n v="899"/>
    <n v="3596"/>
    <n v="5"/>
    <n v="179.8"/>
    <n v="3416.2"/>
    <s v="Credit Card"/>
    <x v="0"/>
  </r>
  <r>
    <s v="ORD-2027611"/>
    <s v="3 Wed"/>
    <s v="Dec"/>
    <s v="2025"/>
    <s v="CUST-1234"/>
    <s v="Meera Sharma"/>
    <x v="3"/>
    <s v="Apparel"/>
    <s v="Denim Jacket"/>
    <n v="2"/>
    <n v="1999"/>
    <n v="3998"/>
    <n v="15"/>
    <n v="599.70000000000005"/>
    <n v="3398.3"/>
    <s v="UPI"/>
    <x v="0"/>
  </r>
  <r>
    <s v="ORD-2027612"/>
    <s v="3 Wed"/>
    <s v="Dec"/>
    <s v="2025"/>
    <s v="CUST-1365"/>
    <s v="Meera Singh"/>
    <x v="4"/>
    <s v="Home &amp; Kitchen"/>
    <s v="Non-stick Pan Set"/>
    <n v="2"/>
    <n v="1299"/>
    <n v="2598"/>
    <n v="15"/>
    <n v="389.7"/>
    <n v="2208.3000000000002"/>
    <s v="Cash"/>
    <x v="0"/>
  </r>
  <r>
    <s v="ORD-2027613"/>
    <s v="3 Wed"/>
    <s v="Dec"/>
    <s v="2025"/>
    <s v="CUST-1126"/>
    <s v="Divya Sharma"/>
    <x v="2"/>
    <s v="Stationery"/>
    <s v="Gel Pen Pack"/>
    <n v="4"/>
    <n v="99"/>
    <n v="396"/>
    <n v="30"/>
    <n v="118.8"/>
    <n v="277.2"/>
    <s v="UPI"/>
    <x v="0"/>
  </r>
  <r>
    <s v="ORD-2027614"/>
    <s v="3 Wed"/>
    <s v="Dec"/>
    <s v="2025"/>
    <s v="CUST-1231"/>
    <s v="Divya Gupta"/>
    <x v="0"/>
    <s v="Apparel"/>
    <s v="Cotton T-Shirt"/>
    <n v="5"/>
    <n v="499"/>
    <n v="2495"/>
    <n v="30"/>
    <n v="748.5"/>
    <n v="1746.5"/>
    <s v="Debit Card"/>
    <x v="0"/>
  </r>
  <r>
    <s v="ORD-2027615"/>
    <s v="4 Thu"/>
    <s v="Dec"/>
    <s v="2025"/>
    <s v="CUST-1089"/>
    <s v="Arjun Verma"/>
    <x v="2"/>
    <s v="Apparel"/>
    <s v="Denim Jacket"/>
    <n v="2"/>
    <n v="1999"/>
    <n v="3998"/>
    <n v="20"/>
    <n v="799.6"/>
    <n v="3198.4"/>
    <s v="UPI"/>
    <x v="1"/>
  </r>
  <r>
    <s v="ORD-2027616"/>
    <s v="4 Thu"/>
    <s v="Dec"/>
    <s v="2025"/>
    <s v="CUST-1063"/>
    <s v="Aman Sharma"/>
    <x v="1"/>
    <s v="Beauty"/>
    <s v="Face Wash 100ml"/>
    <n v="4"/>
    <n v="299"/>
    <n v="1196"/>
    <n v="30"/>
    <n v="358.8"/>
    <n v="837.2"/>
    <s v="Cash"/>
    <x v="0"/>
  </r>
  <r>
    <s v="ORD-2027617"/>
    <s v="4 Thu"/>
    <s v="Dec"/>
    <s v="2025"/>
    <s v="CUST-1361"/>
    <s v="Vivaan Kapoor"/>
    <x v="3"/>
    <s v="Sports"/>
    <s v="Yoga Mat"/>
    <n v="2"/>
    <n v="699"/>
    <n v="1398"/>
    <n v="30"/>
    <n v="419.4"/>
    <n v="978.6"/>
    <s v="Credit Card"/>
    <x v="0"/>
  </r>
  <r>
    <s v="ORD-2027618"/>
    <s v="4 Thu"/>
    <s v="Dec"/>
    <s v="2025"/>
    <s v="CUST-1130"/>
    <s v="Aditya Singh"/>
    <x v="0"/>
    <s v="Beauty"/>
    <s v="Face Wash 100ml"/>
    <n v="2"/>
    <n v="299"/>
    <n v="598"/>
    <n v="30"/>
    <n v="179.4"/>
    <n v="418.6"/>
    <s v="Net Banking"/>
    <x v="0"/>
  </r>
  <r>
    <s v="ORD-2027619"/>
    <s v="4 Thu"/>
    <s v="Dec"/>
    <s v="2025"/>
    <s v="CUST-1168"/>
    <s v="Nandini Joshi"/>
    <x v="1"/>
    <s v="Apparel"/>
    <s v="Formal Shirt"/>
    <n v="1"/>
    <n v="899"/>
    <n v="899"/>
    <n v="5"/>
    <n v="44.95"/>
    <n v="854.05"/>
    <s v="Cash"/>
    <x v="0"/>
  </r>
  <r>
    <s v="ORD-2027620"/>
    <s v="4 Thu"/>
    <s v="Dec"/>
    <s v="2025"/>
    <s v="CUST-1050"/>
    <s v="Rohan Gupta"/>
    <x v="3"/>
    <s v="Stationery"/>
    <s v="Notebook Set"/>
    <n v="2"/>
    <n v="199"/>
    <n v="398"/>
    <n v="10"/>
    <n v="39.799999999999997"/>
    <n v="358.2"/>
    <s v="UPI"/>
    <x v="0"/>
  </r>
  <r>
    <s v="ORD-2027621"/>
    <s v="4 Thu"/>
    <s v="Dec"/>
    <s v="2025"/>
    <s v="CUST-1018"/>
    <s v="Aditya Gupta"/>
    <x v="4"/>
    <s v="Stationery"/>
    <s v="Notebook Set"/>
    <n v="2"/>
    <n v="199"/>
    <n v="398"/>
    <n v="10"/>
    <n v="39.799999999999997"/>
    <n v="358.2"/>
    <s v="Credit Card"/>
    <x v="0"/>
  </r>
  <r>
    <s v="ORD-2027622"/>
    <s v="4 Thu"/>
    <s v="Dec"/>
    <s v="2025"/>
    <s v="CUST-1041"/>
    <s v="Divya Malhotra"/>
    <x v="0"/>
    <s v="Apparel"/>
    <s v="Formal Shirt"/>
    <n v="3"/>
    <n v="899"/>
    <n v="2697"/>
    <n v="10"/>
    <n v="269.7"/>
    <n v="2427.3000000000002"/>
    <s v="UPI"/>
    <x v="1"/>
  </r>
  <r>
    <s v="ORD-2027623"/>
    <s v="4 Thu"/>
    <s v="Dec"/>
    <s v="2025"/>
    <s v="CUST-1185"/>
    <s v="Meera Sharma"/>
    <x v="2"/>
    <s v="Groceries"/>
    <s v="Organic Honey 500g"/>
    <n v="1"/>
    <n v="349"/>
    <n v="349"/>
    <n v="25"/>
    <n v="87.25"/>
    <n v="261.75"/>
    <s v="Cash"/>
    <x v="0"/>
  </r>
  <r>
    <s v="ORD-2027624"/>
    <s v="4 Thu"/>
    <s v="Dec"/>
    <s v="2025"/>
    <s v="CUST-1356"/>
    <s v="Isha Verma"/>
    <x v="4"/>
    <s v="Sports"/>
    <s v="Cricket Bat"/>
    <n v="2"/>
    <n v="1499"/>
    <n v="2998"/>
    <n v="10"/>
    <n v="299.8"/>
    <n v="2698.2"/>
    <s v="Credit Card"/>
    <x v="0"/>
  </r>
  <r>
    <s v="ORD-2027625"/>
    <s v="4 Thu"/>
    <s v="Dec"/>
    <s v="2025"/>
    <s v="CUST-1005"/>
    <s v="Rohan Malhotra"/>
    <x v="4"/>
    <s v="Apparel"/>
    <s v="Formal Shirt"/>
    <n v="4"/>
    <n v="899"/>
    <n v="3596"/>
    <n v="5"/>
    <n v="179.8"/>
    <n v="3416.2"/>
    <s v="Debit Card"/>
    <x v="0"/>
  </r>
  <r>
    <s v="ORD-2027626"/>
    <s v="4 Thu"/>
    <s v="Dec"/>
    <s v="2025"/>
    <s v="CUST-1145"/>
    <s v="Kunal Joshi"/>
    <x v="1"/>
    <s v="Groceries"/>
    <s v="Organic Honey 500g"/>
    <n v="3"/>
    <n v="349"/>
    <n v="1047"/>
    <n v="20"/>
    <n v="209.4"/>
    <n v="837.6"/>
    <s v="UPI"/>
    <x v="1"/>
  </r>
  <r>
    <s v="ORD-2027627"/>
    <s v="4 Thu"/>
    <s v="Dec"/>
    <s v="2025"/>
    <s v="CUST-1145"/>
    <s v="Kunal Joshi"/>
    <x v="2"/>
    <s v="Apparel"/>
    <s v="Denim Jacket"/>
    <n v="2"/>
    <n v="1999"/>
    <n v="3998"/>
    <n v="30"/>
    <n v="1199.4000000000001"/>
    <n v="2798.6"/>
    <s v="UPI"/>
    <x v="0"/>
  </r>
  <r>
    <s v="ORD-2027628"/>
    <s v="4 Thu"/>
    <s v="Dec"/>
    <s v="2025"/>
    <s v="CUST-1284"/>
    <s v="Arjun Kapoor"/>
    <x v="4"/>
    <s v="Sports"/>
    <s v="Yoga Mat"/>
    <n v="1"/>
    <n v="699"/>
    <n v="699"/>
    <n v="5"/>
    <n v="34.950000000000003"/>
    <n v="664.05"/>
    <s v="Debit Card"/>
    <x v="0"/>
  </r>
  <r>
    <s v="ORD-2027629"/>
    <s v="4 Thu"/>
    <s v="Dec"/>
    <s v="2025"/>
    <s v="CUST-1202"/>
    <s v="Isha Verma"/>
    <x v="2"/>
    <s v="Groceries"/>
    <s v="Basmati Rice 5kg"/>
    <n v="3"/>
    <n v="549"/>
    <n v="1647"/>
    <n v="15"/>
    <n v="247.05"/>
    <n v="1399.95"/>
    <s v="Debit Card"/>
    <x v="0"/>
  </r>
  <r>
    <s v="ORD-2027630"/>
    <s v="5 Fri"/>
    <s v="Dec"/>
    <s v="2025"/>
    <s v="CUST-1235"/>
    <s v="Meera Verma"/>
    <x v="3"/>
    <s v="Apparel"/>
    <s v="Denim Jacket"/>
    <n v="3"/>
    <n v="1999"/>
    <n v="5997"/>
    <n v="0"/>
    <n v="0"/>
    <n v="5997"/>
    <s v="Debit Card"/>
    <x v="0"/>
  </r>
  <r>
    <s v="ORD-2027631"/>
    <s v="5 Fri"/>
    <s v="Dec"/>
    <s v="2025"/>
    <s v="CUST-1323"/>
    <s v="Muskan Verma"/>
    <x v="4"/>
    <s v="Groceries"/>
    <s v="Basmati Rice 5kg"/>
    <n v="1"/>
    <n v="549"/>
    <n v="549"/>
    <n v="15"/>
    <n v="82.35"/>
    <n v="466.65"/>
    <s v="Credit Card"/>
    <x v="1"/>
  </r>
  <r>
    <s v="ORD-2027632"/>
    <s v="5 Fri"/>
    <s v="Dec"/>
    <s v="2025"/>
    <s v="CUST-1367"/>
    <s v="Aman Saxena"/>
    <x v="2"/>
    <s v="Home &amp; Kitchen"/>
    <s v="LED Desk Lamp"/>
    <n v="1"/>
    <n v="799"/>
    <n v="799"/>
    <n v="20"/>
    <n v="159.80000000000001"/>
    <n v="639.20000000000005"/>
    <s v="Debit Card"/>
    <x v="0"/>
  </r>
  <r>
    <s v="ORD-2027633"/>
    <s v="5 Fri"/>
    <s v="Dec"/>
    <s v="2025"/>
    <s v="CUST-1131"/>
    <s v="Aarav Sharma"/>
    <x v="3"/>
    <s v="Apparel"/>
    <s v="Denim Jacket"/>
    <n v="1"/>
    <n v="1999"/>
    <n v="1999"/>
    <n v="0"/>
    <n v="0"/>
    <n v="1999"/>
    <s v="Net Banking"/>
    <x v="0"/>
  </r>
  <r>
    <s v="ORD-2027634"/>
    <s v="5 Fri"/>
    <s v="Dec"/>
    <s v="2025"/>
    <s v="CUST-1282"/>
    <s v="Muskan Saxena"/>
    <x v="4"/>
    <s v="Beauty"/>
    <s v="Face Wash 100ml"/>
    <n v="3"/>
    <n v="299"/>
    <n v="897"/>
    <n v="0"/>
    <n v="0"/>
    <n v="897"/>
    <s v="Credit Card"/>
    <x v="1"/>
  </r>
  <r>
    <s v="ORD-2027635"/>
    <s v="5 Fri"/>
    <s v="Dec"/>
    <s v="2025"/>
    <s v="CUST-1116"/>
    <s v="Sakshi Mehta"/>
    <x v="3"/>
    <s v="Beauty"/>
    <s v="Herbal Shampoo"/>
    <n v="2"/>
    <n v="249"/>
    <n v="498"/>
    <n v="25"/>
    <n v="124.5"/>
    <n v="373.5"/>
    <s v="UPI"/>
    <x v="0"/>
  </r>
  <r>
    <s v="ORD-2027636"/>
    <s v="5 Fri"/>
    <s v="Dec"/>
    <s v="2025"/>
    <s v="CUST-1167"/>
    <s v="Nandini Verma"/>
    <x v="4"/>
    <s v="Home &amp; Kitchen"/>
    <s v="Non-stick Pan Set"/>
    <n v="3"/>
    <n v="1299"/>
    <n v="3897"/>
    <n v="25"/>
    <n v="974.25"/>
    <n v="2922.75"/>
    <s v="UPI"/>
    <x v="0"/>
  </r>
  <r>
    <s v="ORD-2027637"/>
    <s v="5 Fri"/>
    <s v="Dec"/>
    <s v="2025"/>
    <s v="CUST-1303"/>
    <s v="Sakshi Sharma"/>
    <x v="4"/>
    <s v="Sports"/>
    <s v="Cricket Bat"/>
    <n v="1"/>
    <n v="1499"/>
    <n v="1499"/>
    <n v="0"/>
    <n v="0"/>
    <n v="1499"/>
    <s v="Net Banking"/>
    <x v="1"/>
  </r>
  <r>
    <s v="ORD-2027638"/>
    <s v="5 Fri"/>
    <s v="Dec"/>
    <s v="2025"/>
    <s v="CUST-1107"/>
    <s v="Isha Sharma"/>
    <x v="3"/>
    <s v="Beauty"/>
    <s v="Herbal Shampoo"/>
    <n v="1"/>
    <n v="249"/>
    <n v="249"/>
    <n v="5"/>
    <n v="12.45"/>
    <n v="236.55"/>
    <s v="Cash"/>
    <x v="0"/>
  </r>
  <r>
    <s v="ORD-2027639"/>
    <s v="5 Fri"/>
    <s v="Dec"/>
    <s v="2025"/>
    <s v="CUST-1358"/>
    <s v="Aman Patel"/>
    <x v="0"/>
    <s v="Beauty"/>
    <s v="Face Wash 100ml"/>
    <n v="1"/>
    <n v="299"/>
    <n v="299"/>
    <n v="30"/>
    <n v="89.7"/>
    <n v="209.3"/>
    <s v="Credit Card"/>
    <x v="0"/>
  </r>
  <r>
    <s v="ORD-2027640"/>
    <s v="5 Fri"/>
    <s v="Dec"/>
    <s v="2025"/>
    <s v="CUST-1006"/>
    <s v="Sakshi Singh"/>
    <x v="3"/>
    <s v="Apparel"/>
    <s v="Formal Shirt"/>
    <n v="2"/>
    <n v="899"/>
    <n v="1798"/>
    <n v="25"/>
    <n v="449.5"/>
    <n v="1348.5"/>
    <s v="Net Banking"/>
    <x v="0"/>
  </r>
  <r>
    <s v="ORD-2027641"/>
    <s v="5 Fri"/>
    <s v="Dec"/>
    <s v="2025"/>
    <s v="CUST-1350"/>
    <s v="Isha Kapoor"/>
    <x v="0"/>
    <s v="Home &amp; Kitchen"/>
    <s v="LED Desk Lamp"/>
    <n v="2"/>
    <n v="799"/>
    <n v="1598"/>
    <n v="5"/>
    <n v="79.900000000000006"/>
    <n v="1518.1"/>
    <s v="Debit Card"/>
    <x v="0"/>
  </r>
  <r>
    <s v="ORD-2027642"/>
    <s v="5 Fri"/>
    <s v="Dec"/>
    <s v="2025"/>
    <s v="CUST-1096"/>
    <s v="Kunal Saxena"/>
    <x v="1"/>
    <s v="Stationery"/>
    <s v="Gel Pen Pack"/>
    <n v="1"/>
    <n v="99"/>
    <n v="99"/>
    <n v="5"/>
    <n v="4.95"/>
    <n v="94.05"/>
    <s v="Net Banking"/>
    <x v="0"/>
  </r>
  <r>
    <s v="ORD-2027643"/>
    <s v="5 Fri"/>
    <s v="Dec"/>
    <s v="2025"/>
    <s v="CUST-1030"/>
    <s v="Rahul Kapoor"/>
    <x v="1"/>
    <s v="Home &amp; Kitchen"/>
    <s v="Non-stick Pan Set"/>
    <n v="1"/>
    <n v="1299"/>
    <n v="1299"/>
    <n v="15"/>
    <n v="194.85"/>
    <n v="1104.1500000000001"/>
    <s v="UPI"/>
    <x v="0"/>
  </r>
  <r>
    <s v="ORD-2027644"/>
    <s v="5 Fri"/>
    <s v="Dec"/>
    <s v="2025"/>
    <s v="CUST-1088"/>
    <s v="Arjun Patel"/>
    <x v="2"/>
    <s v="Electronics"/>
    <s v="Smartwatch"/>
    <n v="2"/>
    <n v="2999"/>
    <n v="5998"/>
    <n v="20"/>
    <n v="1199.5999999999999"/>
    <n v="4798.3999999999996"/>
    <s v="Debit Card"/>
    <x v="1"/>
  </r>
  <r>
    <s v="ORD-2027645"/>
    <s v="5 Fri"/>
    <s v="Dec"/>
    <s v="2025"/>
    <s v="CUST-1110"/>
    <s v="Aman Malhotra"/>
    <x v="4"/>
    <s v="Sports"/>
    <s v="Yoga Mat"/>
    <n v="2"/>
    <n v="699"/>
    <n v="1398"/>
    <n v="15"/>
    <n v="209.7"/>
    <n v="1188.3"/>
    <s v="UPI"/>
    <x v="0"/>
  </r>
  <r>
    <s v="ORD-2027646"/>
    <s v="6 Sat"/>
    <s v="Dec"/>
    <s v="2025"/>
    <s v="CUST-1007"/>
    <s v="Aarav Sharma"/>
    <x v="2"/>
    <s v="Home &amp; Kitchen"/>
    <s v="LED Desk Lamp"/>
    <n v="1"/>
    <n v="799"/>
    <n v="799"/>
    <n v="30"/>
    <n v="239.7"/>
    <n v="559.29999999999995"/>
    <s v="Cash"/>
    <x v="1"/>
  </r>
  <r>
    <s v="ORD-2027647"/>
    <s v="6 Sat"/>
    <s v="Dec"/>
    <s v="2025"/>
    <s v="CUST-1384"/>
    <s v="Vivaan Singh"/>
    <x v="2"/>
    <s v="Sports"/>
    <s v="Cricket Bat"/>
    <n v="3"/>
    <n v="1499"/>
    <n v="4497"/>
    <n v="10"/>
    <n v="449.7"/>
    <n v="4047.3"/>
    <s v="Net Banking"/>
    <x v="1"/>
  </r>
  <r>
    <s v="ORD-2027648"/>
    <s v="6 Sat"/>
    <s v="Dec"/>
    <s v="2025"/>
    <s v="CUST-1064"/>
    <s v="Ankit Mehta"/>
    <x v="2"/>
    <s v="Apparel"/>
    <s v="Cotton T-Shirt"/>
    <n v="1"/>
    <n v="499"/>
    <n v="499"/>
    <n v="0"/>
    <n v="0"/>
    <n v="499"/>
    <s v="UPI"/>
    <x v="1"/>
  </r>
  <r>
    <s v="ORD-2027649"/>
    <s v="6 Sat"/>
    <s v="Dec"/>
    <s v="2025"/>
    <s v="CUST-1274"/>
    <s v="Muskan Singh"/>
    <x v="1"/>
    <s v="Stationery"/>
    <s v="Gel Pen Pack"/>
    <n v="4"/>
    <n v="99"/>
    <n v="396"/>
    <n v="10"/>
    <n v="39.6"/>
    <n v="356.4"/>
    <s v="Debit Card"/>
    <x v="1"/>
  </r>
  <r>
    <s v="ORD-2027650"/>
    <s v="6 Sat"/>
    <s v="Dec"/>
    <s v="2025"/>
    <s v="CUST-1377"/>
    <s v="Sakshi Patel"/>
    <x v="1"/>
    <s v="Apparel"/>
    <s v="Formal Shirt"/>
    <n v="2"/>
    <n v="899"/>
    <n v="1798"/>
    <n v="0"/>
    <n v="0"/>
    <n v="1798"/>
    <s v="Debit Card"/>
    <x v="1"/>
  </r>
  <r>
    <s v="ORD-2027651"/>
    <s v="6 Sat"/>
    <s v="Dec"/>
    <s v="2025"/>
    <s v="CUST-1157"/>
    <s v="Arjun Verma"/>
    <x v="1"/>
    <s v="Home &amp; Kitchen"/>
    <s v="LED Desk Lamp"/>
    <n v="1"/>
    <n v="799"/>
    <n v="799"/>
    <n v="25"/>
    <n v="199.75"/>
    <n v="599.25"/>
    <s v="Credit Card"/>
    <x v="0"/>
  </r>
  <r>
    <s v="ORD-2027652"/>
    <s v="6 Sat"/>
    <s v="Dec"/>
    <s v="2025"/>
    <s v="CUST-1283"/>
    <s v="Aditya Mehta"/>
    <x v="0"/>
    <s v="Electronics"/>
    <s v="Smartwatch"/>
    <n v="1"/>
    <n v="2999"/>
    <n v="2999"/>
    <n v="20"/>
    <n v="599.79999999999995"/>
    <n v="2399.1999999999998"/>
    <s v="Credit Card"/>
    <x v="0"/>
  </r>
  <r>
    <s v="ORD-2027653"/>
    <s v="6 Sat"/>
    <s v="Dec"/>
    <s v="2025"/>
    <s v="CUST-1042"/>
    <s v="Kunal Saxena"/>
    <x v="2"/>
    <s v="Electronics"/>
    <s v="Smartwatch"/>
    <n v="2"/>
    <n v="2999"/>
    <n v="5998"/>
    <n v="0"/>
    <n v="0"/>
    <n v="5998"/>
    <s v="UPI"/>
    <x v="1"/>
  </r>
  <r>
    <s v="ORD-2027654"/>
    <s v="6 Sat"/>
    <s v="Dec"/>
    <s v="2025"/>
    <s v="CUST-1236"/>
    <s v="Divya Mehta"/>
    <x v="2"/>
    <s v="Apparel"/>
    <s v="Formal Shirt"/>
    <n v="1"/>
    <n v="899"/>
    <n v="899"/>
    <n v="0"/>
    <n v="0"/>
    <n v="899"/>
    <s v="Debit Card"/>
    <x v="0"/>
  </r>
  <r>
    <s v="ORD-2027655"/>
    <s v="6 Sat"/>
    <s v="Dec"/>
    <s v="2025"/>
    <s v="CUST-1230"/>
    <s v="Divya Malhotra"/>
    <x v="3"/>
    <s v="Groceries"/>
    <s v="Organic Honey 500g"/>
    <n v="2"/>
    <n v="349"/>
    <n v="698"/>
    <n v="0"/>
    <n v="0"/>
    <n v="698"/>
    <s v="Cash"/>
    <x v="1"/>
  </r>
  <r>
    <s v="ORD-2027656"/>
    <s v="6 Sat"/>
    <s v="Dec"/>
    <s v="2025"/>
    <s v="CUST-1081"/>
    <s v="Nandini Verma"/>
    <x v="2"/>
    <s v="Apparel"/>
    <s v="Formal Shirt"/>
    <n v="1"/>
    <n v="899"/>
    <n v="899"/>
    <n v="30"/>
    <n v="269.7"/>
    <n v="629.29999999999995"/>
    <s v="Cash"/>
    <x v="0"/>
  </r>
  <r>
    <s v="ORD-2027657"/>
    <s v="6 Sat"/>
    <s v="Dec"/>
    <s v="2025"/>
    <s v="CUST-1081"/>
    <s v="Nandini Verma"/>
    <x v="4"/>
    <s v="Apparel"/>
    <s v="Cotton T-Shirt"/>
    <n v="1"/>
    <n v="499"/>
    <n v="499"/>
    <n v="30"/>
    <n v="149.69999999999999"/>
    <n v="349.3"/>
    <s v="UPI"/>
    <x v="1"/>
  </r>
  <r>
    <s v="ORD-2027658"/>
    <s v="7 Sun"/>
    <s v="Dec"/>
    <s v="2025"/>
    <s v="CUST-1178"/>
    <s v="Komal Sharma"/>
    <x v="3"/>
    <s v="Beauty"/>
    <s v="Face Wash 100ml"/>
    <n v="2"/>
    <n v="299"/>
    <n v="598"/>
    <n v="20"/>
    <n v="119.6"/>
    <n v="478.4"/>
    <s v="UPI"/>
    <x v="1"/>
  </r>
  <r>
    <s v="ORD-2027659"/>
    <s v="7 Sun"/>
    <s v="Dec"/>
    <s v="2025"/>
    <s v="CUST-1381"/>
    <s v="Kabir Kapoor"/>
    <x v="2"/>
    <s v="Apparel"/>
    <s v="Formal Shirt"/>
    <n v="1"/>
    <n v="899"/>
    <n v="899"/>
    <n v="30"/>
    <n v="269.7"/>
    <n v="629.29999999999995"/>
    <s v="UPI"/>
    <x v="0"/>
  </r>
  <r>
    <s v="ORD-2027660"/>
    <s v="7 Sun"/>
    <s v="Dec"/>
    <s v="2025"/>
    <s v="CUST-1275"/>
    <s v="Tanya Singh"/>
    <x v="2"/>
    <s v="Sports"/>
    <s v="Cricket Bat"/>
    <n v="1"/>
    <n v="1499"/>
    <n v="1499"/>
    <n v="30"/>
    <n v="449.7"/>
    <n v="1049.3"/>
    <s v="Credit Card"/>
    <x v="0"/>
  </r>
  <r>
    <s v="ORD-2027661"/>
    <s v="7 Sun"/>
    <s v="Dec"/>
    <s v="2025"/>
    <s v="CUST-1101"/>
    <s v="Sakshi Sharma"/>
    <x v="1"/>
    <s v="Groceries"/>
    <s v="Basmati Rice 5kg"/>
    <n v="1"/>
    <n v="549"/>
    <n v="549"/>
    <n v="0"/>
    <n v="0"/>
    <n v="549"/>
    <s v="Debit Card"/>
    <x v="0"/>
  </r>
  <r>
    <s v="ORD-2027662"/>
    <s v="7 Sun"/>
    <s v="Dec"/>
    <s v="2025"/>
    <s v="CUST-1276"/>
    <s v="Swati Joshi"/>
    <x v="3"/>
    <s v="Apparel"/>
    <s v="Cotton T-Shirt"/>
    <n v="3"/>
    <n v="499"/>
    <n v="1497"/>
    <n v="15"/>
    <n v="224.55"/>
    <n v="1272.45"/>
    <s v="UPI"/>
    <x v="0"/>
  </r>
  <r>
    <s v="ORD-2027663"/>
    <s v="7 Sun"/>
    <s v="Dec"/>
    <s v="2025"/>
    <s v="CUST-1050"/>
    <s v="Rohan Gupta"/>
    <x v="2"/>
    <s v="Stationery"/>
    <s v="Notebook Set"/>
    <n v="4"/>
    <n v="199"/>
    <n v="796"/>
    <n v="10"/>
    <n v="79.599999999999994"/>
    <n v="716.4"/>
    <s v="Debit Card"/>
    <x v="0"/>
  </r>
  <r>
    <s v="ORD-2027664"/>
    <s v="7 Sun"/>
    <s v="Dec"/>
    <s v="2025"/>
    <s v="CUST-1207"/>
    <s v="Rohan Malhotra"/>
    <x v="1"/>
    <s v="Sports"/>
    <s v="Cricket Bat"/>
    <n v="2"/>
    <n v="1499"/>
    <n v="2998"/>
    <n v="10"/>
    <n v="299.8"/>
    <n v="2698.2"/>
    <s v="Credit Card"/>
    <x v="0"/>
  </r>
  <r>
    <s v="ORD-2027665"/>
    <s v="7 Sun"/>
    <s v="Dec"/>
    <s v="2025"/>
    <s v="CUST-1196"/>
    <s v="Aditya Patel"/>
    <x v="1"/>
    <s v="Sports"/>
    <s v="Yoga Mat"/>
    <n v="1"/>
    <n v="699"/>
    <n v="699"/>
    <n v="20"/>
    <n v="139.80000000000001"/>
    <n v="559.20000000000005"/>
    <s v="Debit Card"/>
    <x v="1"/>
  </r>
  <r>
    <s v="ORD-2027666"/>
    <s v="7 Sun"/>
    <s v="Dec"/>
    <s v="2025"/>
    <s v="CUST-1281"/>
    <s v="Nandini Saxena"/>
    <x v="3"/>
    <s v="Apparel"/>
    <s v="Formal Shirt"/>
    <n v="3"/>
    <n v="899"/>
    <n v="2697"/>
    <n v="25"/>
    <n v="674.25"/>
    <n v="2022.75"/>
    <s v="UPI"/>
    <x v="0"/>
  </r>
  <r>
    <s v="ORD-2027667"/>
    <s v="7 Sun"/>
    <s v="Dec"/>
    <s v="2025"/>
    <s v="CUST-1263"/>
    <s v="Tanya Mehta"/>
    <x v="1"/>
    <s v="Apparel"/>
    <s v="Formal Shirt"/>
    <n v="3"/>
    <n v="899"/>
    <n v="2697"/>
    <n v="15"/>
    <n v="404.55"/>
    <n v="2292.4499999999998"/>
    <s v="Credit Card"/>
    <x v="0"/>
  </r>
  <r>
    <s v="ORD-2027668"/>
    <s v="7 Sun"/>
    <s v="Dec"/>
    <s v="2025"/>
    <s v="CUST-1202"/>
    <s v="Isha Verma"/>
    <x v="4"/>
    <s v="Apparel"/>
    <s v="Cotton T-Shirt"/>
    <n v="1"/>
    <n v="499"/>
    <n v="499"/>
    <n v="5"/>
    <n v="24.95"/>
    <n v="474.05"/>
    <s v="Cash"/>
    <x v="1"/>
  </r>
  <r>
    <s v="ORD-2027669"/>
    <s v="7 Sun"/>
    <s v="Dec"/>
    <s v="2025"/>
    <s v="CUST-1276"/>
    <s v="Swati Joshi"/>
    <x v="2"/>
    <s v="Apparel"/>
    <s v="Denim Jacket"/>
    <n v="1"/>
    <n v="1999"/>
    <n v="1999"/>
    <n v="15"/>
    <n v="299.85000000000002"/>
    <n v="1699.15"/>
    <s v="Net Banking"/>
    <x v="0"/>
  </r>
  <r>
    <s v="ORD-2027670"/>
    <s v="7 Sun"/>
    <s v="Dec"/>
    <s v="2025"/>
    <s v="CUST-1035"/>
    <s v="Isha Joshi"/>
    <x v="4"/>
    <s v="Sports"/>
    <s v="Cricket Bat"/>
    <n v="2"/>
    <n v="1499"/>
    <n v="2998"/>
    <n v="0"/>
    <n v="0"/>
    <n v="2998"/>
    <s v="Debit Card"/>
    <x v="1"/>
  </r>
  <r>
    <s v="ORD-2027671"/>
    <s v="7 Sun"/>
    <s v="Dec"/>
    <s v="2025"/>
    <s v="CUST-1331"/>
    <s v="Arjun Singh"/>
    <x v="4"/>
    <s v="Beauty"/>
    <s v="Face Wash 100ml"/>
    <n v="5"/>
    <n v="299"/>
    <n v="1495"/>
    <n v="10"/>
    <n v="149.5"/>
    <n v="1345.5"/>
    <s v="Credit Card"/>
    <x v="0"/>
  </r>
  <r>
    <s v="ORD-2027672"/>
    <s v="7 Sun"/>
    <s v="Dec"/>
    <s v="2025"/>
    <s v="CUST-1026"/>
    <s v="Rahul Saxena"/>
    <x v="4"/>
    <s v="Stationery"/>
    <s v="Notebook Set"/>
    <n v="1"/>
    <n v="199"/>
    <n v="199"/>
    <n v="5"/>
    <n v="9.9499999999999993"/>
    <n v="189.05"/>
    <s v="Credit Card"/>
    <x v="0"/>
  </r>
  <r>
    <s v="ORD-2027673"/>
    <s v="7 Sun"/>
    <s v="Dec"/>
    <s v="2025"/>
    <s v="CUST-1001"/>
    <s v="Rohan Patel"/>
    <x v="1"/>
    <s v="Stationery"/>
    <s v="Notebook Set"/>
    <n v="5"/>
    <n v="199"/>
    <n v="995"/>
    <n v="15"/>
    <n v="149.25"/>
    <n v="845.75"/>
    <s v="Net Banking"/>
    <x v="0"/>
  </r>
  <r>
    <s v="ORD-2027674"/>
    <s v="8 Mon"/>
    <s v="Dec"/>
    <s v="2025"/>
    <s v="CUST-1126"/>
    <s v="Divya Sharma"/>
    <x v="3"/>
    <s v="Apparel"/>
    <s v="Formal Shirt"/>
    <n v="4"/>
    <n v="899"/>
    <n v="3596"/>
    <n v="30"/>
    <n v="1078.8"/>
    <n v="2517.1999999999998"/>
    <s v="UPI"/>
    <x v="0"/>
  </r>
  <r>
    <s v="ORD-2027675"/>
    <s v="8 Mon"/>
    <s v="Dec"/>
    <s v="2025"/>
    <s v="CUST-1392"/>
    <s v="Aarav Singh"/>
    <x v="1"/>
    <s v="Electronics"/>
    <s v="Wireless Mouse"/>
    <n v="1"/>
    <n v="599"/>
    <n v="599"/>
    <n v="20"/>
    <n v="119.8"/>
    <n v="479.2"/>
    <s v="Cash"/>
    <x v="1"/>
  </r>
  <r>
    <s v="ORD-2027676"/>
    <s v="8 Mon"/>
    <s v="Dec"/>
    <s v="2025"/>
    <s v="CUST-1191"/>
    <s v="Nandini Malhotra"/>
    <x v="4"/>
    <s v="Electronics"/>
    <s v="Wireless Mouse"/>
    <n v="3"/>
    <n v="599"/>
    <n v="1797"/>
    <n v="15"/>
    <n v="269.55"/>
    <n v="1527.45"/>
    <s v="UPI"/>
    <x v="0"/>
  </r>
  <r>
    <s v="ORD-2027677"/>
    <s v="8 Mon"/>
    <s v="Dec"/>
    <s v="2025"/>
    <s v="CUST-1264"/>
    <s v="Vivaan Malhotra"/>
    <x v="0"/>
    <s v="Stationery"/>
    <s v="Notebook Set"/>
    <n v="4"/>
    <n v="199"/>
    <n v="796"/>
    <n v="30"/>
    <n v="238.8"/>
    <n v="557.20000000000005"/>
    <s v="Debit Card"/>
    <x v="0"/>
  </r>
  <r>
    <s v="ORD-2027678"/>
    <s v="8 Mon"/>
    <s v="Dec"/>
    <s v="2025"/>
    <s v="CUST-1002"/>
    <s v="Shreya Mehta"/>
    <x v="0"/>
    <s v="Electronics"/>
    <s v="Bluetooth Headphones"/>
    <n v="1"/>
    <n v="1799"/>
    <n v="1799"/>
    <n v="15"/>
    <n v="269.85000000000002"/>
    <n v="1529.15"/>
    <s v="Net Banking"/>
    <x v="0"/>
  </r>
  <r>
    <s v="ORD-2027679"/>
    <s v="8 Mon"/>
    <s v="Dec"/>
    <s v="2025"/>
    <s v="CUST-1107"/>
    <s v="Isha Sharma"/>
    <x v="1"/>
    <s v="Stationery"/>
    <s v="Gel Pen Pack"/>
    <n v="1"/>
    <n v="99"/>
    <n v="99"/>
    <n v="20"/>
    <n v="19.8"/>
    <n v="79.2"/>
    <s v="Cash"/>
    <x v="0"/>
  </r>
  <r>
    <s v="ORD-2027680"/>
    <s v="8 Mon"/>
    <s v="Dec"/>
    <s v="2025"/>
    <s v="CUST-1031"/>
    <s v="Kabir Malhotra"/>
    <x v="3"/>
    <s v="Electronics"/>
    <s v="Wireless Mouse"/>
    <n v="1"/>
    <n v="599"/>
    <n v="599"/>
    <n v="25"/>
    <n v="149.75"/>
    <n v="449.25"/>
    <s v="Debit Card"/>
    <x v="0"/>
  </r>
  <r>
    <s v="ORD-2027681"/>
    <s v="8 Mon"/>
    <s v="Dec"/>
    <s v="2025"/>
    <s v="CUST-1043"/>
    <s v="Divya Kapoor"/>
    <x v="1"/>
    <s v="Beauty"/>
    <s v="Herbal Shampoo"/>
    <n v="4"/>
    <n v="249"/>
    <n v="996"/>
    <n v="5"/>
    <n v="49.8"/>
    <n v="946.2"/>
    <s v="Cash"/>
    <x v="0"/>
  </r>
  <r>
    <s v="ORD-2027682"/>
    <s v="8 Mon"/>
    <s v="Dec"/>
    <s v="2025"/>
    <s v="CUST-1127"/>
    <s v="Muskan Joshi"/>
    <x v="3"/>
    <s v="Electronics"/>
    <s v="Wireless Mouse"/>
    <n v="5"/>
    <n v="599"/>
    <n v="2995"/>
    <n v="5"/>
    <n v="149.75"/>
    <n v="2845.25"/>
    <s v="Debit Card"/>
    <x v="0"/>
  </r>
  <r>
    <s v="ORD-2027683"/>
    <s v="8 Mon"/>
    <s v="Dec"/>
    <s v="2025"/>
    <s v="CUST-1220"/>
    <s v="Aditya Kapoor"/>
    <x v="4"/>
    <s v="Stationery"/>
    <s v="Gel Pen Pack"/>
    <n v="5"/>
    <n v="99"/>
    <n v="495"/>
    <n v="15"/>
    <n v="74.25"/>
    <n v="420.75"/>
    <s v="Debit Card"/>
    <x v="1"/>
  </r>
  <r>
    <s v="ORD-2027684"/>
    <s v="8 Mon"/>
    <s v="Dec"/>
    <s v="2025"/>
    <s v="CUST-1104"/>
    <s v="Nandini Saxena"/>
    <x v="0"/>
    <s v="Apparel"/>
    <s v="Cotton T-Shirt"/>
    <n v="3"/>
    <n v="499"/>
    <n v="1497"/>
    <n v="30"/>
    <n v="449.1"/>
    <n v="1047.9000000000001"/>
    <s v="Net Banking"/>
    <x v="0"/>
  </r>
  <r>
    <s v="ORD-2027685"/>
    <s v="8 Mon"/>
    <s v="Dec"/>
    <s v="2025"/>
    <s v="CUST-1015"/>
    <s v="Swati Joshi"/>
    <x v="0"/>
    <s v="Apparel"/>
    <s v="Formal Shirt"/>
    <n v="4"/>
    <n v="899"/>
    <n v="3596"/>
    <n v="10"/>
    <n v="359.6"/>
    <n v="3236.4"/>
    <s v="Credit Card"/>
    <x v="0"/>
  </r>
  <r>
    <s v="ORD-2027686"/>
    <s v="8 Mon"/>
    <s v="Dec"/>
    <s v="2025"/>
    <s v="CUST-1297"/>
    <s v="Sakshi Kapoor"/>
    <x v="0"/>
    <s v="Home &amp; Kitchen"/>
    <s v="Non-stick Pan Set"/>
    <n v="2"/>
    <n v="1299"/>
    <n v="2598"/>
    <n v="25"/>
    <n v="649.5"/>
    <n v="1948.5"/>
    <s v="Credit Card"/>
    <x v="1"/>
  </r>
  <r>
    <s v="ORD-2027687"/>
    <s v="8 Mon"/>
    <s v="Dec"/>
    <s v="2025"/>
    <s v="CUST-1105"/>
    <s v="Rohan Singh"/>
    <x v="0"/>
    <s v="Home &amp; Kitchen"/>
    <s v="LED Desk Lamp"/>
    <n v="2"/>
    <n v="799"/>
    <n v="1598"/>
    <n v="30"/>
    <n v="479.4"/>
    <n v="1118.5999999999999"/>
    <s v="UPI"/>
    <x v="0"/>
  </r>
  <r>
    <s v="ORD-2027688"/>
    <s v="8 Mon"/>
    <s v="Dec"/>
    <s v="2025"/>
    <s v="CUST-1280"/>
    <s v="Muskan Kapoor"/>
    <x v="1"/>
    <s v="Beauty"/>
    <s v="Face Wash 100ml"/>
    <n v="3"/>
    <n v="299"/>
    <n v="897"/>
    <n v="15"/>
    <n v="134.55000000000001"/>
    <n v="762.45"/>
    <s v="Debit Card"/>
    <x v="0"/>
  </r>
  <r>
    <s v="ORD-2027689"/>
    <s v="8 Mon"/>
    <s v="Dec"/>
    <s v="2025"/>
    <s v="CUST-1181"/>
    <s v="Kunal Sharma"/>
    <x v="0"/>
    <s v="Stationery"/>
    <s v="Gel Pen Pack"/>
    <n v="3"/>
    <n v="99"/>
    <n v="297"/>
    <n v="30"/>
    <n v="89.1"/>
    <n v="207.9"/>
    <s v="Debit Card"/>
    <x v="0"/>
  </r>
  <r>
    <s v="ORD-2027690"/>
    <s v="8 Mon"/>
    <s v="Dec"/>
    <s v="2025"/>
    <s v="CUST-1359"/>
    <s v="Arjun Mehta"/>
    <x v="2"/>
    <s v="Groceries"/>
    <s v="Organic Honey 500g"/>
    <n v="2"/>
    <n v="349"/>
    <n v="698"/>
    <n v="25"/>
    <n v="174.5"/>
    <n v="523.5"/>
    <s v="Debit Card"/>
    <x v="1"/>
  </r>
  <r>
    <s v="ORD-2027691"/>
    <s v="8 Mon"/>
    <s v="Dec"/>
    <s v="2025"/>
    <s v="CUST-1288"/>
    <s v="Aditya Mehta"/>
    <x v="0"/>
    <s v="Groceries"/>
    <s v="Organic Honey 500g"/>
    <n v="1"/>
    <n v="349"/>
    <n v="349"/>
    <n v="20"/>
    <n v="69.8"/>
    <n v="279.2"/>
    <s v="Debit Card"/>
    <x v="0"/>
  </r>
  <r>
    <s v="ORD-2027692"/>
    <s v="9 Tue"/>
    <s v="Dec"/>
    <s v="2025"/>
    <s v="CUST-1200"/>
    <s v="Swati Saxena"/>
    <x v="1"/>
    <s v="Groceries"/>
    <s v="Basmati Rice 5kg"/>
    <n v="1"/>
    <n v="549"/>
    <n v="549"/>
    <n v="10"/>
    <n v="54.9"/>
    <n v="494.1"/>
    <s v="Debit Card"/>
    <x v="0"/>
  </r>
  <r>
    <s v="ORD-2027693"/>
    <s v="9 Tue"/>
    <s v="Dec"/>
    <s v="2025"/>
    <s v="CUST-1338"/>
    <s v="Komal Malhotra"/>
    <x v="4"/>
    <s v="Electronics"/>
    <s v="Wireless Mouse"/>
    <n v="1"/>
    <n v="599"/>
    <n v="599"/>
    <n v="30"/>
    <n v="179.7"/>
    <n v="419.3"/>
    <s v="UPI"/>
    <x v="0"/>
  </r>
  <r>
    <s v="ORD-2027694"/>
    <s v="9 Tue"/>
    <s v="Dec"/>
    <s v="2025"/>
    <s v="CUST-1040"/>
    <s v="Aditya Malhotra"/>
    <x v="1"/>
    <s v="Stationery"/>
    <s v="Notebook Set"/>
    <n v="1"/>
    <n v="199"/>
    <n v="199"/>
    <n v="0"/>
    <n v="0"/>
    <n v="199"/>
    <s v="Credit Card"/>
    <x v="1"/>
  </r>
  <r>
    <s v="ORD-2027695"/>
    <s v="9 Tue"/>
    <s v="Dec"/>
    <s v="2025"/>
    <s v="CUST-1354"/>
    <s v="Aman Saxena"/>
    <x v="4"/>
    <s v="Beauty"/>
    <s v="Face Wash 100ml"/>
    <n v="1"/>
    <n v="299"/>
    <n v="299"/>
    <n v="20"/>
    <n v="59.8"/>
    <n v="239.2"/>
    <s v="UPI"/>
    <x v="1"/>
  </r>
  <r>
    <s v="ORD-2027696"/>
    <s v="9 Tue"/>
    <s v="Dec"/>
    <s v="2025"/>
    <s v="CUST-1141"/>
    <s v="Tanya Kapoor"/>
    <x v="2"/>
    <s v="Home &amp; Kitchen"/>
    <s v="LED Desk Lamp"/>
    <n v="1"/>
    <n v="799"/>
    <n v="799"/>
    <n v="30"/>
    <n v="239.7"/>
    <n v="559.29999999999995"/>
    <s v="Cash"/>
    <x v="1"/>
  </r>
  <r>
    <s v="ORD-2027697"/>
    <s v="9 Tue"/>
    <s v="Dec"/>
    <s v="2025"/>
    <s v="CUST-1102"/>
    <s v="Aarav Patel"/>
    <x v="3"/>
    <s v="Sports"/>
    <s v="Cricket Bat"/>
    <n v="1"/>
    <n v="1499"/>
    <n v="1499"/>
    <n v="25"/>
    <n v="374.75"/>
    <n v="1124.25"/>
    <s v="Cash"/>
    <x v="1"/>
  </r>
  <r>
    <s v="ORD-2027698"/>
    <s v="9 Tue"/>
    <s v="Dec"/>
    <s v="2025"/>
    <s v="CUST-1246"/>
    <s v="Divya Verma"/>
    <x v="3"/>
    <s v="Home &amp; Kitchen"/>
    <s v="LED Desk Lamp"/>
    <n v="3"/>
    <n v="799"/>
    <n v="2397"/>
    <n v="10"/>
    <n v="239.7"/>
    <n v="2157.3000000000002"/>
    <s v="Cash"/>
    <x v="0"/>
  </r>
  <r>
    <s v="ORD-2027699"/>
    <s v="9 Tue"/>
    <s v="Dec"/>
    <s v="2025"/>
    <s v="CUST-1362"/>
    <s v="Shreya Malhotra"/>
    <x v="4"/>
    <s v="Apparel"/>
    <s v="Denim Jacket"/>
    <n v="1"/>
    <n v="1999"/>
    <n v="1999"/>
    <n v="10"/>
    <n v="199.9"/>
    <n v="1799.1"/>
    <s v="Debit Card"/>
    <x v="1"/>
  </r>
  <r>
    <s v="ORD-2027700"/>
    <s v="9 Tue"/>
    <s v="Dec"/>
    <s v="2025"/>
    <s v="CUST-1341"/>
    <s v="Meera Patel"/>
    <x v="2"/>
    <s v="Groceries"/>
    <s v="Organic Honey 500g"/>
    <n v="2"/>
    <n v="349"/>
    <n v="698"/>
    <n v="20"/>
    <n v="139.6"/>
    <n v="558.4"/>
    <s v="Debit Card"/>
    <x v="1"/>
  </r>
  <r>
    <s v="ORD-2027701"/>
    <s v="10 Wed"/>
    <s v="Dec"/>
    <s v="2025"/>
    <s v="CUST-1252"/>
    <s v="Arjun Singh"/>
    <x v="0"/>
    <s v="Beauty"/>
    <s v="Face Wash 100ml"/>
    <n v="1"/>
    <n v="299"/>
    <n v="299"/>
    <n v="15"/>
    <n v="44.85"/>
    <n v="254.15"/>
    <s v="Net Banking"/>
    <x v="0"/>
  </r>
  <r>
    <s v="ORD-2027702"/>
    <s v="10 Wed"/>
    <s v="Dec"/>
    <s v="2025"/>
    <s v="CUST-1362"/>
    <s v="Shreya Malhotra"/>
    <x v="0"/>
    <s v="Apparel"/>
    <s v="Formal Shirt"/>
    <n v="1"/>
    <n v="899"/>
    <n v="899"/>
    <n v="15"/>
    <n v="134.85"/>
    <n v="764.15"/>
    <s v="UPI"/>
    <x v="0"/>
  </r>
  <r>
    <s v="ORD-2027703"/>
    <s v="10 Wed"/>
    <s v="Dec"/>
    <s v="2025"/>
    <s v="CUST-1191"/>
    <s v="Nandini Malhotra"/>
    <x v="2"/>
    <s v="Stationery"/>
    <s v="Gel Pen Pack"/>
    <n v="2"/>
    <n v="99"/>
    <n v="198"/>
    <n v="30"/>
    <n v="59.4"/>
    <n v="138.6"/>
    <s v="Credit Card"/>
    <x v="0"/>
  </r>
  <r>
    <s v="ORD-2027704"/>
    <s v="10 Wed"/>
    <s v="Dec"/>
    <s v="2025"/>
    <s v="CUST-1006"/>
    <s v="Sakshi Singh"/>
    <x v="1"/>
    <s v="Stationery"/>
    <s v="Gel Pen Pack"/>
    <n v="1"/>
    <n v="99"/>
    <n v="99"/>
    <n v="5"/>
    <n v="4.95"/>
    <n v="94.05"/>
    <s v="Credit Card"/>
    <x v="0"/>
  </r>
  <r>
    <s v="ORD-2027705"/>
    <s v="10 Wed"/>
    <s v="Dec"/>
    <s v="2025"/>
    <s v="CUST-1204"/>
    <s v="Meera Mehta"/>
    <x v="3"/>
    <s v="Stationery"/>
    <s v="Notebook Set"/>
    <n v="3"/>
    <n v="199"/>
    <n v="597"/>
    <n v="20"/>
    <n v="119.4"/>
    <n v="477.6"/>
    <s v="Debit Card"/>
    <x v="0"/>
  </r>
  <r>
    <s v="ORD-2027706"/>
    <s v="10 Wed"/>
    <s v="Dec"/>
    <s v="2025"/>
    <s v="CUST-1377"/>
    <s v="Sakshi Patel"/>
    <x v="4"/>
    <s v="Sports"/>
    <s v="Yoga Mat"/>
    <n v="2"/>
    <n v="699"/>
    <n v="1398"/>
    <n v="20"/>
    <n v="279.60000000000002"/>
    <n v="1118.4000000000001"/>
    <s v="Credit Card"/>
    <x v="0"/>
  </r>
  <r>
    <s v="ORD-2027707"/>
    <s v="10 Wed"/>
    <s v="Dec"/>
    <s v="2025"/>
    <s v="CUST-1248"/>
    <s v="Meera Saxena"/>
    <x v="2"/>
    <s v="Electronics"/>
    <s v="Smartwatch"/>
    <n v="1"/>
    <n v="2999"/>
    <n v="2999"/>
    <n v="10"/>
    <n v="299.89999999999998"/>
    <n v="2699.1"/>
    <s v="Credit Card"/>
    <x v="0"/>
  </r>
  <r>
    <s v="ORD-2027708"/>
    <s v="11 Thu"/>
    <s v="Dec"/>
    <s v="2025"/>
    <s v="CUST-1351"/>
    <s v="Tanya Mehta"/>
    <x v="0"/>
    <s v="Apparel"/>
    <s v="Denim Jacket"/>
    <n v="3"/>
    <n v="1999"/>
    <n v="5997"/>
    <n v="15"/>
    <n v="899.55"/>
    <n v="5097.45"/>
    <s v="Credit Card"/>
    <x v="0"/>
  </r>
  <r>
    <s v="ORD-2027709"/>
    <s v="11 Thu"/>
    <s v="Dec"/>
    <s v="2025"/>
    <s v="CUST-1365"/>
    <s v="Meera Singh"/>
    <x v="1"/>
    <s v="Stationery"/>
    <s v="Notebook Set"/>
    <n v="1"/>
    <n v="199"/>
    <n v="199"/>
    <n v="20"/>
    <n v="39.799999999999997"/>
    <n v="159.19999999999999"/>
    <s v="Credit Card"/>
    <x v="0"/>
  </r>
  <r>
    <s v="ORD-2027710"/>
    <s v="11 Thu"/>
    <s v="Dec"/>
    <s v="2025"/>
    <s v="CUST-1004"/>
    <s v="Tanya Malhotra"/>
    <x v="0"/>
    <s v="Beauty"/>
    <s v="Face Wash 100ml"/>
    <n v="3"/>
    <n v="299"/>
    <n v="897"/>
    <n v="20"/>
    <n v="179.4"/>
    <n v="717.6"/>
    <s v="Cash"/>
    <x v="1"/>
  </r>
  <r>
    <s v="ORD-2027711"/>
    <s v="11 Thu"/>
    <s v="Dec"/>
    <s v="2025"/>
    <s v="CUST-1282"/>
    <s v="Muskan Saxena"/>
    <x v="0"/>
    <s v="Electronics"/>
    <s v="Bluetooth Headphones"/>
    <n v="1"/>
    <n v="1799"/>
    <n v="1799"/>
    <n v="20"/>
    <n v="359.8"/>
    <n v="1439.2"/>
    <s v="Net Banking"/>
    <x v="0"/>
  </r>
  <r>
    <s v="ORD-2027712"/>
    <s v="11 Thu"/>
    <s v="Dec"/>
    <s v="2025"/>
    <s v="CUST-1248"/>
    <s v="Meera Saxena"/>
    <x v="3"/>
    <s v="Electronics"/>
    <s v="Wireless Mouse"/>
    <n v="1"/>
    <n v="599"/>
    <n v="599"/>
    <n v="5"/>
    <n v="29.95"/>
    <n v="569.04999999999995"/>
    <s v="Debit Card"/>
    <x v="0"/>
  </r>
  <r>
    <s v="ORD-2027713"/>
    <s v="11 Thu"/>
    <s v="Dec"/>
    <s v="2025"/>
    <s v="CUST-1396"/>
    <s v="Shreya Patel"/>
    <x v="0"/>
    <s v="Apparel"/>
    <s v="Denim Jacket"/>
    <n v="1"/>
    <n v="1999"/>
    <n v="1999"/>
    <n v="20"/>
    <n v="399.8"/>
    <n v="1599.2"/>
    <s v="Net Banking"/>
    <x v="1"/>
  </r>
  <r>
    <s v="ORD-2027714"/>
    <s v="11 Thu"/>
    <s v="Dec"/>
    <s v="2025"/>
    <s v="CUST-1306"/>
    <s v="Sakshi Malhotra"/>
    <x v="1"/>
    <s v="Apparel"/>
    <s v="Formal Shirt"/>
    <n v="3"/>
    <n v="899"/>
    <n v="2697"/>
    <n v="5"/>
    <n v="134.85"/>
    <n v="2562.15"/>
    <s v="Debit Card"/>
    <x v="1"/>
  </r>
  <r>
    <s v="ORD-2027715"/>
    <s v="11 Thu"/>
    <s v="Dec"/>
    <s v="2025"/>
    <s v="CUST-1019"/>
    <s v="Aarav Joshi"/>
    <x v="2"/>
    <s v="Electronics"/>
    <s v="Wireless Mouse"/>
    <n v="2"/>
    <n v="599"/>
    <n v="1198"/>
    <n v="0"/>
    <n v="0"/>
    <n v="1198"/>
    <s v="Credit Card"/>
    <x v="0"/>
  </r>
  <r>
    <s v="ORD-2027716"/>
    <s v="11 Thu"/>
    <s v="Dec"/>
    <s v="2025"/>
    <s v="CUST-1108"/>
    <s v="Kunal Patel"/>
    <x v="1"/>
    <s v="Groceries"/>
    <s v="Organic Honey 500g"/>
    <n v="1"/>
    <n v="349"/>
    <n v="349"/>
    <n v="15"/>
    <n v="52.35"/>
    <n v="296.64999999999998"/>
    <s v="Cash"/>
    <x v="0"/>
  </r>
  <r>
    <s v="ORD-2027717"/>
    <s v="11 Thu"/>
    <s v="Dec"/>
    <s v="2025"/>
    <s v="CUST-1075"/>
    <s v="Divya Patel"/>
    <x v="2"/>
    <s v="Stationery"/>
    <s v="Notebook Set"/>
    <n v="1"/>
    <n v="199"/>
    <n v="199"/>
    <n v="30"/>
    <n v="59.7"/>
    <n v="139.30000000000001"/>
    <s v="Credit Card"/>
    <x v="0"/>
  </r>
  <r>
    <s v="ORD-2027718"/>
    <s v="12 Fri"/>
    <s v="Dec"/>
    <s v="2025"/>
    <s v="CUST-1015"/>
    <s v="Swati Joshi"/>
    <x v="1"/>
    <s v="Beauty"/>
    <s v="Face Wash 100ml"/>
    <n v="5"/>
    <n v="299"/>
    <n v="1495"/>
    <n v="5"/>
    <n v="74.75"/>
    <n v="1420.25"/>
    <s v="UPI"/>
    <x v="0"/>
  </r>
  <r>
    <s v="ORD-2027719"/>
    <s v="12 Fri"/>
    <s v="Dec"/>
    <s v="2025"/>
    <s v="CUST-1225"/>
    <s v="Aarav Kapoor"/>
    <x v="0"/>
    <s v="Stationery"/>
    <s v="Notebook Set"/>
    <n v="4"/>
    <n v="199"/>
    <n v="796"/>
    <n v="5"/>
    <n v="39.799999999999997"/>
    <n v="756.2"/>
    <s v="Debit Card"/>
    <x v="0"/>
  </r>
  <r>
    <s v="ORD-2027720"/>
    <s v="12 Fri"/>
    <s v="Dec"/>
    <s v="2025"/>
    <s v="CUST-1194"/>
    <s v="Muskan Sharma"/>
    <x v="2"/>
    <s v="Apparel"/>
    <s v="Denim Jacket"/>
    <n v="3"/>
    <n v="1999"/>
    <n v="5997"/>
    <n v="30"/>
    <n v="1799.1"/>
    <n v="4197.8999999999996"/>
    <s v="UPI"/>
    <x v="0"/>
  </r>
  <r>
    <s v="ORD-2027721"/>
    <s v="12 Fri"/>
    <s v="Dec"/>
    <s v="2025"/>
    <s v="CUST-1052"/>
    <s v="Meera Verma"/>
    <x v="3"/>
    <s v="Home &amp; Kitchen"/>
    <s v="Non-stick Pan Set"/>
    <n v="1"/>
    <n v="1299"/>
    <n v="1299"/>
    <n v="10"/>
    <n v="129.9"/>
    <n v="1169.0999999999999"/>
    <s v="Debit Card"/>
    <x v="0"/>
  </r>
  <r>
    <s v="ORD-2027722"/>
    <s v="12 Fri"/>
    <s v="Dec"/>
    <s v="2025"/>
    <s v="CUST-1184"/>
    <s v="Rahul Joshi"/>
    <x v="3"/>
    <s v="Apparel"/>
    <s v="Cotton T-Shirt"/>
    <n v="2"/>
    <n v="499"/>
    <n v="998"/>
    <n v="25"/>
    <n v="249.5"/>
    <n v="748.5"/>
    <s v="Cash"/>
    <x v="0"/>
  </r>
  <r>
    <s v="ORD-2027723"/>
    <s v="12 Fri"/>
    <s v="Dec"/>
    <s v="2025"/>
    <s v="CUST-1024"/>
    <s v="Tanya Singh"/>
    <x v="1"/>
    <s v="Apparel"/>
    <s v="Denim Jacket"/>
    <n v="1"/>
    <n v="1999"/>
    <n v="1999"/>
    <n v="15"/>
    <n v="299.85000000000002"/>
    <n v="1699.15"/>
    <s v="Cash"/>
    <x v="0"/>
  </r>
  <r>
    <s v="ORD-2027724"/>
    <s v="12 Fri"/>
    <s v="Dec"/>
    <s v="2025"/>
    <s v="CUST-1111"/>
    <s v="Swati Joshi"/>
    <x v="2"/>
    <s v="Electronics"/>
    <s v="Smartwatch"/>
    <n v="2"/>
    <n v="2999"/>
    <n v="5998"/>
    <n v="10"/>
    <n v="599.79999999999995"/>
    <n v="5398.2"/>
    <s v="Net Banking"/>
    <x v="1"/>
  </r>
  <r>
    <s v="ORD-2027725"/>
    <s v="12 Fri"/>
    <s v="Dec"/>
    <s v="2025"/>
    <s v="CUST-1094"/>
    <s v="Swati Kapoor"/>
    <x v="4"/>
    <s v="Electronics"/>
    <s v="Bluetooth Headphones"/>
    <n v="1"/>
    <n v="1799"/>
    <n v="1799"/>
    <n v="10"/>
    <n v="179.9"/>
    <n v="1619.1"/>
    <s v="Debit Card"/>
    <x v="0"/>
  </r>
  <r>
    <s v="ORD-2027726"/>
    <s v="12 Fri"/>
    <s v="Dec"/>
    <s v="2025"/>
    <s v="CUST-1256"/>
    <s v="Rohan Singh"/>
    <x v="3"/>
    <s v="Groceries"/>
    <s v="Organic Honey 500g"/>
    <n v="1"/>
    <n v="349"/>
    <n v="349"/>
    <n v="5"/>
    <n v="17.45"/>
    <n v="331.55"/>
    <s v="Cash"/>
    <x v="1"/>
  </r>
  <r>
    <s v="ORD-2027727"/>
    <s v="12 Fri"/>
    <s v="Dec"/>
    <s v="2025"/>
    <s v="CUST-1369"/>
    <s v="Rohan Sharma"/>
    <x v="0"/>
    <s v="Sports"/>
    <s v="Cricket Bat"/>
    <n v="2"/>
    <n v="1499"/>
    <n v="2998"/>
    <n v="20"/>
    <n v="599.6"/>
    <n v="2398.4"/>
    <s v="Credit Card"/>
    <x v="1"/>
  </r>
  <r>
    <s v="ORD-2027728"/>
    <s v="12 Fri"/>
    <s v="Dec"/>
    <s v="2025"/>
    <s v="CUST-1102"/>
    <s v="Aarav Patel"/>
    <x v="1"/>
    <s v="Beauty"/>
    <s v="Face Wash 100ml"/>
    <n v="4"/>
    <n v="299"/>
    <n v="1196"/>
    <n v="15"/>
    <n v="179.4"/>
    <n v="1016.6"/>
    <s v="Debit Card"/>
    <x v="1"/>
  </r>
  <r>
    <s v="ORD-2027729"/>
    <s v="13 Sat"/>
    <s v="Dec"/>
    <s v="2025"/>
    <s v="CUST-1315"/>
    <s v="Muskan Singh"/>
    <x v="2"/>
    <s v="Sports"/>
    <s v="Yoga Mat"/>
    <n v="3"/>
    <n v="699"/>
    <n v="2097"/>
    <n v="30"/>
    <n v="629.1"/>
    <n v="1467.9"/>
    <s v="Debit Card"/>
    <x v="0"/>
  </r>
  <r>
    <s v="ORD-2027730"/>
    <s v="13 Sat"/>
    <s v="Dec"/>
    <s v="2025"/>
    <s v="CUST-1045"/>
    <s v="Arjun Verma"/>
    <x v="1"/>
    <s v="Stationery"/>
    <s v="Notebook Set"/>
    <n v="3"/>
    <n v="199"/>
    <n v="597"/>
    <n v="10"/>
    <n v="59.7"/>
    <n v="537.29999999999995"/>
    <s v="Credit Card"/>
    <x v="0"/>
  </r>
  <r>
    <s v="ORD-2027731"/>
    <s v="13 Sat"/>
    <s v="Dec"/>
    <s v="2025"/>
    <s v="CUST-1124"/>
    <s v="Aditya Gupta"/>
    <x v="0"/>
    <s v="Home &amp; Kitchen"/>
    <s v="Non-stick Pan Set"/>
    <n v="1"/>
    <n v="1299"/>
    <n v="1299"/>
    <n v="0"/>
    <n v="0"/>
    <n v="1299"/>
    <s v="Credit Card"/>
    <x v="0"/>
  </r>
  <r>
    <s v="ORD-2027732"/>
    <s v="13 Sat"/>
    <s v="Dec"/>
    <s v="2025"/>
    <s v="CUST-1376"/>
    <s v="Kunal Kapoor"/>
    <x v="0"/>
    <s v="Stationery"/>
    <s v="Notebook Set"/>
    <n v="3"/>
    <n v="199"/>
    <n v="597"/>
    <n v="5"/>
    <n v="29.85"/>
    <n v="567.15"/>
    <s v="Credit Card"/>
    <x v="1"/>
  </r>
  <r>
    <s v="ORD-2027733"/>
    <s v="13 Sat"/>
    <s v="Dec"/>
    <s v="2025"/>
    <s v="CUST-1120"/>
    <s v="Divya Kapoor"/>
    <x v="2"/>
    <s v="Apparel"/>
    <s v="Formal Shirt"/>
    <n v="1"/>
    <n v="899"/>
    <n v="899"/>
    <n v="0"/>
    <n v="0"/>
    <n v="899"/>
    <s v="Cash"/>
    <x v="1"/>
  </r>
  <r>
    <s v="ORD-2027734"/>
    <s v="13 Sat"/>
    <s v="Dec"/>
    <s v="2025"/>
    <s v="CUST-1365"/>
    <s v="Meera Singh"/>
    <x v="1"/>
    <s v="Home &amp; Kitchen"/>
    <s v="Non-stick Pan Set"/>
    <n v="1"/>
    <n v="1299"/>
    <n v="1299"/>
    <n v="15"/>
    <n v="194.85"/>
    <n v="1104.1500000000001"/>
    <s v="Debit Card"/>
    <x v="1"/>
  </r>
  <r>
    <s v="ORD-2027735"/>
    <s v="13 Sat"/>
    <s v="Dec"/>
    <s v="2025"/>
    <s v="CUST-1071"/>
    <s v="Kabir Malhotra"/>
    <x v="4"/>
    <s v="Home &amp; Kitchen"/>
    <s v="Non-stick Pan Set"/>
    <n v="1"/>
    <n v="1299"/>
    <n v="1299"/>
    <n v="5"/>
    <n v="64.95"/>
    <n v="1234.05"/>
    <s v="Cash"/>
    <x v="1"/>
  </r>
  <r>
    <s v="ORD-2027736"/>
    <s v="13 Sat"/>
    <s v="Dec"/>
    <s v="2025"/>
    <s v="CUST-1074"/>
    <s v="Kabir Kapoor"/>
    <x v="0"/>
    <s v="Apparel"/>
    <s v="Cotton T-Shirt"/>
    <n v="4"/>
    <n v="499"/>
    <n v="1996"/>
    <n v="5"/>
    <n v="99.8"/>
    <n v="1896.2"/>
    <s v="Credit Card"/>
    <x v="1"/>
  </r>
  <r>
    <s v="ORD-2027737"/>
    <s v="13 Sat"/>
    <s v="Dec"/>
    <s v="2025"/>
    <s v="CUST-1095"/>
    <s v="Nandini Joshi"/>
    <x v="4"/>
    <s v="Sports"/>
    <s v="Cricket Bat"/>
    <n v="1"/>
    <n v="1499"/>
    <n v="1499"/>
    <n v="30"/>
    <n v="449.7"/>
    <n v="1049.3"/>
    <s v="Cash"/>
    <x v="0"/>
  </r>
  <r>
    <s v="ORD-2027738"/>
    <s v="13 Sat"/>
    <s v="Dec"/>
    <s v="2025"/>
    <s v="CUST-1096"/>
    <s v="Kunal Saxena"/>
    <x v="1"/>
    <s v="Home &amp; Kitchen"/>
    <s v="Non-stick Pan Set"/>
    <n v="2"/>
    <n v="1299"/>
    <n v="2598"/>
    <n v="5"/>
    <n v="129.9"/>
    <n v="2468.1"/>
    <s v="Debit Card"/>
    <x v="0"/>
  </r>
  <r>
    <s v="ORD-2027739"/>
    <s v="13 Sat"/>
    <s v="Dec"/>
    <s v="2025"/>
    <s v="CUST-1088"/>
    <s v="Arjun Patel"/>
    <x v="0"/>
    <s v="Electronics"/>
    <s v="Smartwatch"/>
    <n v="3"/>
    <n v="2999"/>
    <n v="8997"/>
    <n v="20"/>
    <n v="1799.4"/>
    <n v="7197.6"/>
    <s v="Cash"/>
    <x v="0"/>
  </r>
  <r>
    <s v="ORD-2027740"/>
    <s v="13 Sat"/>
    <s v="Dec"/>
    <s v="2025"/>
    <s v="CUST-1118"/>
    <s v="Sakshi Malhotra"/>
    <x v="1"/>
    <s v="Electronics"/>
    <s v="Bluetooth Headphones"/>
    <n v="1"/>
    <n v="1799"/>
    <n v="1799"/>
    <n v="10"/>
    <n v="179.9"/>
    <n v="1619.1"/>
    <s v="Credit Card"/>
    <x v="0"/>
  </r>
  <r>
    <s v="ORD-2027741"/>
    <s v="13 Sat"/>
    <s v="Dec"/>
    <s v="2025"/>
    <s v="CUST-1069"/>
    <s v="Kabir Joshi"/>
    <x v="2"/>
    <s v="Home &amp; Kitchen"/>
    <s v="LED Desk Lamp"/>
    <n v="1"/>
    <n v="799"/>
    <n v="799"/>
    <n v="5"/>
    <n v="39.950000000000003"/>
    <n v="759.05"/>
    <s v="Credit Card"/>
    <x v="0"/>
  </r>
  <r>
    <s v="ORD-2027742"/>
    <s v="13 Sat"/>
    <s v="Dec"/>
    <s v="2025"/>
    <s v="CUST-1187"/>
    <s v="Kabir Saxena"/>
    <x v="2"/>
    <s v="Stationery"/>
    <s v="Notebook Set"/>
    <n v="2"/>
    <n v="199"/>
    <n v="398"/>
    <n v="30"/>
    <n v="119.4"/>
    <n v="278.60000000000002"/>
    <s v="Net Banking"/>
    <x v="1"/>
  </r>
  <r>
    <s v="ORD-2027743"/>
    <s v="13 Sat"/>
    <s v="Dec"/>
    <s v="2025"/>
    <s v="CUST-1204"/>
    <s v="Meera Mehta"/>
    <x v="1"/>
    <s v="Electronics"/>
    <s v="Bluetooth Headphones"/>
    <n v="3"/>
    <n v="1799"/>
    <n v="5397"/>
    <n v="0"/>
    <n v="0"/>
    <n v="5397"/>
    <s v="Credit Card"/>
    <x v="0"/>
  </r>
  <r>
    <s v="ORD-2027744"/>
    <s v="14 Sun"/>
    <s v="Dec"/>
    <s v="2025"/>
    <s v="CUST-1111"/>
    <s v="Swati Joshi"/>
    <x v="3"/>
    <s v="Apparel"/>
    <s v="Cotton T-Shirt"/>
    <n v="2"/>
    <n v="499"/>
    <n v="998"/>
    <n v="25"/>
    <n v="249.5"/>
    <n v="748.5"/>
    <s v="UPI"/>
    <x v="0"/>
  </r>
  <r>
    <s v="ORD-2027745"/>
    <s v="14 Sun"/>
    <s v="Dec"/>
    <s v="2025"/>
    <s v="CUST-1267"/>
    <s v="Komal Joshi"/>
    <x v="3"/>
    <s v="Home &amp; Kitchen"/>
    <s v="LED Desk Lamp"/>
    <n v="1"/>
    <n v="799"/>
    <n v="799"/>
    <n v="15"/>
    <n v="119.85"/>
    <n v="679.15"/>
    <s v="Debit Card"/>
    <x v="0"/>
  </r>
  <r>
    <s v="ORD-2027746"/>
    <s v="14 Sun"/>
    <s v="Dec"/>
    <s v="2025"/>
    <s v="CUST-1196"/>
    <s v="Aditya Patel"/>
    <x v="0"/>
    <s v="Home &amp; Kitchen"/>
    <s v="LED Desk Lamp"/>
    <n v="2"/>
    <n v="799"/>
    <n v="1598"/>
    <n v="0"/>
    <n v="0"/>
    <n v="1598"/>
    <s v="Credit Card"/>
    <x v="1"/>
  </r>
  <r>
    <s v="ORD-2027747"/>
    <s v="14 Sun"/>
    <s v="Dec"/>
    <s v="2025"/>
    <s v="CUST-1037"/>
    <s v="Aarav Gupta"/>
    <x v="1"/>
    <s v="Sports"/>
    <s v="Cricket Bat"/>
    <n v="3"/>
    <n v="1499"/>
    <n v="4497"/>
    <n v="10"/>
    <n v="449.7"/>
    <n v="4047.3"/>
    <s v="Debit Card"/>
    <x v="0"/>
  </r>
  <r>
    <s v="ORD-2027748"/>
    <s v="14 Sun"/>
    <s v="Dec"/>
    <s v="2025"/>
    <s v="CUST-1062"/>
    <s v="Tanya Sharma"/>
    <x v="0"/>
    <s v="Apparel"/>
    <s v="Formal Shirt"/>
    <n v="1"/>
    <n v="899"/>
    <n v="899"/>
    <n v="5"/>
    <n v="44.95"/>
    <n v="854.05"/>
    <s v="Net Banking"/>
    <x v="1"/>
  </r>
  <r>
    <s v="ORD-2027749"/>
    <s v="14 Sun"/>
    <s v="Dec"/>
    <s v="2025"/>
    <s v="CUST-1216"/>
    <s v="Meera Malhotra"/>
    <x v="4"/>
    <s v="Home &amp; Kitchen"/>
    <s v="Non-stick Pan Set"/>
    <n v="1"/>
    <n v="1299"/>
    <n v="1299"/>
    <n v="15"/>
    <n v="194.85"/>
    <n v="1104.1500000000001"/>
    <s v="Credit Card"/>
    <x v="0"/>
  </r>
  <r>
    <s v="ORD-2027750"/>
    <s v="14 Sun"/>
    <s v="Dec"/>
    <s v="2025"/>
    <s v="CUST-1036"/>
    <s v="Nandini Mehta"/>
    <x v="0"/>
    <s v="Electronics"/>
    <s v="Smartwatch"/>
    <n v="1"/>
    <n v="2999"/>
    <n v="2999"/>
    <n v="15"/>
    <n v="449.85"/>
    <n v="2549.15"/>
    <s v="Debit Card"/>
    <x v="0"/>
  </r>
  <r>
    <s v="ORD-2027751"/>
    <s v="14 Sun"/>
    <s v="Dec"/>
    <s v="2025"/>
    <s v="CUST-1251"/>
    <s v="Aarav Singh"/>
    <x v="2"/>
    <s v="Apparel"/>
    <s v="Cotton T-Shirt"/>
    <n v="3"/>
    <n v="499"/>
    <n v="1497"/>
    <n v="25"/>
    <n v="374.25"/>
    <n v="1122.75"/>
    <s v="Net Banking"/>
    <x v="0"/>
  </r>
  <r>
    <s v="ORD-2027752"/>
    <s v="14 Sun"/>
    <s v="Dec"/>
    <s v="2025"/>
    <s v="CUST-1014"/>
    <s v="Vivaan Kapoor"/>
    <x v="4"/>
    <s v="Apparel"/>
    <s v="Denim Jacket"/>
    <n v="1"/>
    <n v="1999"/>
    <n v="1999"/>
    <n v="30"/>
    <n v="599.70000000000005"/>
    <n v="1399.3"/>
    <s v="Debit Card"/>
    <x v="0"/>
  </r>
  <r>
    <s v="ORD-2027753"/>
    <s v="14 Sun"/>
    <s v="Dec"/>
    <s v="2025"/>
    <s v="CUST-1116"/>
    <s v="Sakshi Mehta"/>
    <x v="3"/>
    <s v="Groceries"/>
    <s v="Basmati Rice 5kg"/>
    <n v="5"/>
    <n v="549"/>
    <n v="2745"/>
    <n v="15"/>
    <n v="411.75"/>
    <n v="2333.25"/>
    <s v="UPI"/>
    <x v="0"/>
  </r>
  <r>
    <s v="ORD-2027754"/>
    <s v="14 Sun"/>
    <s v="Dec"/>
    <s v="2025"/>
    <s v="CUST-1267"/>
    <s v="Komal Joshi"/>
    <x v="4"/>
    <s v="Electronics"/>
    <s v="Wireless Mouse"/>
    <n v="2"/>
    <n v="599"/>
    <n v="1198"/>
    <n v="15"/>
    <n v="179.7"/>
    <n v="1018.3"/>
    <s v="Net Banking"/>
    <x v="1"/>
  </r>
  <r>
    <s v="ORD-2027755"/>
    <s v="14 Sun"/>
    <s v="Dec"/>
    <s v="2025"/>
    <s v="CUST-1306"/>
    <s v="Sakshi Malhotra"/>
    <x v="0"/>
    <s v="Apparel"/>
    <s v="Formal Shirt"/>
    <n v="1"/>
    <n v="899"/>
    <n v="899"/>
    <n v="20"/>
    <n v="179.8"/>
    <n v="719.2"/>
    <s v="Credit Card"/>
    <x v="0"/>
  </r>
  <r>
    <s v="ORD-2027756"/>
    <s v="14 Sun"/>
    <s v="Dec"/>
    <s v="2025"/>
    <s v="CUST-1220"/>
    <s v="Aditya Kapoor"/>
    <x v="2"/>
    <s v="Electronics"/>
    <s v="Smartwatch"/>
    <n v="4"/>
    <n v="2999"/>
    <n v="11996"/>
    <n v="15"/>
    <n v="1799.4"/>
    <n v="10196.6"/>
    <s v="Debit Card"/>
    <x v="0"/>
  </r>
  <r>
    <s v="ORD-2027757"/>
    <s v="14 Sun"/>
    <s v="Dec"/>
    <s v="2025"/>
    <s v="CUST-1193"/>
    <s v="Komal Saxena"/>
    <x v="1"/>
    <s v="Sports"/>
    <s v="Cricket Bat"/>
    <n v="3"/>
    <n v="1499"/>
    <n v="4497"/>
    <n v="10"/>
    <n v="449.7"/>
    <n v="4047.3"/>
    <s v="Cash"/>
    <x v="1"/>
  </r>
  <r>
    <s v="ORD-2027758"/>
    <s v="14 Sun"/>
    <s v="Dec"/>
    <s v="2025"/>
    <s v="CUST-1322"/>
    <s v="Rahul Sharma"/>
    <x v="0"/>
    <s v="Stationery"/>
    <s v="Gel Pen Pack"/>
    <n v="3"/>
    <n v="99"/>
    <n v="297"/>
    <n v="0"/>
    <n v="0"/>
    <n v="297"/>
    <s v="Credit Card"/>
    <x v="0"/>
  </r>
  <r>
    <s v="ORD-2027759"/>
    <s v="15 Mon"/>
    <s v="Dec"/>
    <s v="2025"/>
    <s v="CUST-1377"/>
    <s v="Sakshi Patel"/>
    <x v="4"/>
    <s v="Home &amp; Kitchen"/>
    <s v="LED Desk Lamp"/>
    <n v="1"/>
    <n v="799"/>
    <n v="799"/>
    <n v="25"/>
    <n v="199.75"/>
    <n v="599.25"/>
    <s v="UPI"/>
    <x v="0"/>
  </r>
  <r>
    <s v="ORD-2027760"/>
    <s v="15 Mon"/>
    <s v="Dec"/>
    <s v="2025"/>
    <s v="CUST-1219"/>
    <s v="Sakshi Patel"/>
    <x v="4"/>
    <s v="Sports"/>
    <s v="Cricket Bat"/>
    <n v="3"/>
    <n v="1499"/>
    <n v="4497"/>
    <n v="25"/>
    <n v="1124.25"/>
    <n v="3372.75"/>
    <s v="Debit Card"/>
    <x v="0"/>
  </r>
  <r>
    <s v="ORD-2027761"/>
    <s v="15 Mon"/>
    <s v="Dec"/>
    <s v="2025"/>
    <s v="CUST-1064"/>
    <s v="Ankit Mehta"/>
    <x v="0"/>
    <s v="Home &amp; Kitchen"/>
    <s v="LED Desk Lamp"/>
    <n v="1"/>
    <n v="799"/>
    <n v="799"/>
    <n v="15"/>
    <n v="119.85"/>
    <n v="679.15"/>
    <s v="Debit Card"/>
    <x v="1"/>
  </r>
  <r>
    <s v="ORD-2027762"/>
    <s v="15 Mon"/>
    <s v="Dec"/>
    <s v="2025"/>
    <s v="CUST-1151"/>
    <s v="Aman Patel"/>
    <x v="2"/>
    <s v="Apparel"/>
    <s v="Cotton T-Shirt"/>
    <n v="2"/>
    <n v="499"/>
    <n v="998"/>
    <n v="30"/>
    <n v="299.39999999999998"/>
    <n v="698.6"/>
    <s v="Credit Card"/>
    <x v="1"/>
  </r>
  <r>
    <s v="ORD-2027763"/>
    <s v="15 Mon"/>
    <s v="Dec"/>
    <s v="2025"/>
    <s v="CUST-1113"/>
    <s v="Swati Saxena"/>
    <x v="1"/>
    <s v="Home &amp; Kitchen"/>
    <s v="LED Desk Lamp"/>
    <n v="1"/>
    <n v="799"/>
    <n v="799"/>
    <n v="20"/>
    <n v="159.80000000000001"/>
    <n v="639.20000000000005"/>
    <s v="Cash"/>
    <x v="1"/>
  </r>
  <r>
    <s v="ORD-2027764"/>
    <s v="15 Mon"/>
    <s v="Dec"/>
    <s v="2025"/>
    <s v="CUST-1122"/>
    <s v="Aditya Kapoor"/>
    <x v="3"/>
    <s v="Apparel"/>
    <s v="Cotton T-Shirt"/>
    <n v="5"/>
    <n v="499"/>
    <n v="2495"/>
    <n v="10"/>
    <n v="249.5"/>
    <n v="2245.5"/>
    <s v="Debit Card"/>
    <x v="0"/>
  </r>
  <r>
    <s v="ORD-2027765"/>
    <s v="15 Mon"/>
    <s v="Dec"/>
    <s v="2025"/>
    <s v="CUST-1101"/>
    <s v="Sakshi Sharma"/>
    <x v="0"/>
    <s v="Beauty"/>
    <s v="Face Wash 100ml"/>
    <n v="1"/>
    <n v="299"/>
    <n v="299"/>
    <n v="5"/>
    <n v="14.95"/>
    <n v="284.05"/>
    <s v="Credit Card"/>
    <x v="0"/>
  </r>
  <r>
    <s v="ORD-2027766"/>
    <s v="15 Mon"/>
    <s v="Dec"/>
    <s v="2025"/>
    <s v="CUST-1145"/>
    <s v="Kunal Joshi"/>
    <x v="0"/>
    <s v="Electronics"/>
    <s v="Wireless Mouse"/>
    <n v="1"/>
    <n v="599"/>
    <n v="599"/>
    <n v="5"/>
    <n v="29.95"/>
    <n v="569.04999999999995"/>
    <s v="Credit Card"/>
    <x v="0"/>
  </r>
  <r>
    <s v="ORD-2027767"/>
    <s v="15 Mon"/>
    <s v="Dec"/>
    <s v="2025"/>
    <s v="CUST-1080"/>
    <s v="Kabir Sharma"/>
    <x v="0"/>
    <s v="Electronics"/>
    <s v="Smartwatch"/>
    <n v="3"/>
    <n v="2999"/>
    <n v="8997"/>
    <n v="10"/>
    <n v="899.7"/>
    <n v="8097.3"/>
    <s v="Credit Card"/>
    <x v="0"/>
  </r>
  <r>
    <s v="ORD-2027768"/>
    <s v="15 Mon"/>
    <s v="Dec"/>
    <s v="2025"/>
    <s v="CUST-1235"/>
    <s v="Meera Verma"/>
    <x v="2"/>
    <s v="Sports"/>
    <s v="Cricket Bat"/>
    <n v="3"/>
    <n v="1499"/>
    <n v="4497"/>
    <n v="5"/>
    <n v="224.85"/>
    <n v="4272.1499999999996"/>
    <s v="Debit Card"/>
    <x v="0"/>
  </r>
  <r>
    <s v="ORD-2027769"/>
    <s v="15 Mon"/>
    <s v="Dec"/>
    <s v="2025"/>
    <s v="CUST-1113"/>
    <s v="Swati Saxena"/>
    <x v="1"/>
    <s v="Stationery"/>
    <s v="Notebook Set"/>
    <n v="1"/>
    <n v="199"/>
    <n v="199"/>
    <n v="15"/>
    <n v="29.85"/>
    <n v="169.15"/>
    <s v="Debit Card"/>
    <x v="0"/>
  </r>
  <r>
    <s v="ORD-2027770"/>
    <s v="16 Tue"/>
    <s v="Dec"/>
    <s v="2025"/>
    <s v="CUST-1308"/>
    <s v="Shreya Sharma"/>
    <x v="3"/>
    <s v="Apparel"/>
    <s v="Cotton T-Shirt"/>
    <n v="3"/>
    <n v="499"/>
    <n v="1497"/>
    <n v="20"/>
    <n v="299.39999999999998"/>
    <n v="1197.5999999999999"/>
    <s v="Credit Card"/>
    <x v="0"/>
  </r>
  <r>
    <s v="ORD-2027771"/>
    <s v="16 Tue"/>
    <s v="Dec"/>
    <s v="2025"/>
    <s v="CUST-1289"/>
    <s v="Kunal Verma"/>
    <x v="3"/>
    <s v="Groceries"/>
    <s v="Organic Honey 500g"/>
    <n v="2"/>
    <n v="349"/>
    <n v="698"/>
    <n v="15"/>
    <n v="104.7"/>
    <n v="593.29999999999995"/>
    <s v="Credit Card"/>
    <x v="1"/>
  </r>
  <r>
    <s v="ORD-2027772"/>
    <s v="16 Tue"/>
    <s v="Dec"/>
    <s v="2025"/>
    <s v="CUST-1246"/>
    <s v="Divya Verma"/>
    <x v="2"/>
    <s v="Groceries"/>
    <s v="Organic Honey 500g"/>
    <n v="1"/>
    <n v="349"/>
    <n v="349"/>
    <n v="15"/>
    <n v="52.35"/>
    <n v="296.64999999999998"/>
    <s v="Cash"/>
    <x v="0"/>
  </r>
  <r>
    <s v="ORD-2027773"/>
    <s v="16 Tue"/>
    <s v="Dec"/>
    <s v="2025"/>
    <s v="CUST-1038"/>
    <s v="Rohan Joshi"/>
    <x v="4"/>
    <s v="Groceries"/>
    <s v="Organic Honey 500g"/>
    <n v="1"/>
    <n v="349"/>
    <n v="349"/>
    <n v="0"/>
    <n v="0"/>
    <n v="349"/>
    <s v="Debit Card"/>
    <x v="0"/>
  </r>
  <r>
    <s v="ORD-2027774"/>
    <s v="16 Tue"/>
    <s v="Dec"/>
    <s v="2025"/>
    <s v="CUST-1034"/>
    <s v="Sakshi Patel"/>
    <x v="2"/>
    <s v="Electronics"/>
    <s v="Bluetooth Headphones"/>
    <n v="1"/>
    <n v="1799"/>
    <n v="1799"/>
    <n v="25"/>
    <n v="449.75"/>
    <n v="1349.25"/>
    <s v="Debit Card"/>
    <x v="0"/>
  </r>
  <r>
    <s v="ORD-2027775"/>
    <s v="16 Tue"/>
    <s v="Dec"/>
    <s v="2025"/>
    <s v="CUST-1097"/>
    <s v="Rohan Verma"/>
    <x v="3"/>
    <s v="Sports"/>
    <s v="Yoga Mat"/>
    <n v="1"/>
    <n v="699"/>
    <n v="699"/>
    <n v="15"/>
    <n v="104.85"/>
    <n v="594.15"/>
    <s v="Debit Card"/>
    <x v="0"/>
  </r>
  <r>
    <s v="ORD-2027776"/>
    <s v="16 Tue"/>
    <s v="Dec"/>
    <s v="2025"/>
    <s v="CUST-1058"/>
    <s v="Nandini Singh"/>
    <x v="3"/>
    <s v="Sports"/>
    <s v="Yoga Mat"/>
    <n v="1"/>
    <n v="699"/>
    <n v="699"/>
    <n v="15"/>
    <n v="104.85"/>
    <n v="594.15"/>
    <s v="Credit Card"/>
    <x v="1"/>
  </r>
  <r>
    <s v="ORD-2027777"/>
    <s v="16 Tue"/>
    <s v="Dec"/>
    <s v="2025"/>
    <s v="CUST-1344"/>
    <s v="Nandini Saxena"/>
    <x v="2"/>
    <s v="Electronics"/>
    <s v="Smartwatch"/>
    <n v="2"/>
    <n v="2999"/>
    <n v="5998"/>
    <n v="25"/>
    <n v="1499.5"/>
    <n v="4498.5"/>
    <s v="Credit Card"/>
    <x v="0"/>
  </r>
  <r>
    <s v="ORD-2027778"/>
    <s v="16 Tue"/>
    <s v="Dec"/>
    <s v="2025"/>
    <s v="CUST-1399"/>
    <s v="Vivaan Verma"/>
    <x v="2"/>
    <s v="Electronics"/>
    <s v="Smartwatch"/>
    <n v="2"/>
    <n v="2999"/>
    <n v="5998"/>
    <n v="5"/>
    <n v="299.89999999999998"/>
    <n v="5698.1"/>
    <s v="UPI"/>
    <x v="0"/>
  </r>
  <r>
    <s v="ORD-2027779"/>
    <s v="16 Tue"/>
    <s v="Dec"/>
    <s v="2025"/>
    <s v="CUST-1137"/>
    <s v="Nandini Kapoor"/>
    <x v="4"/>
    <s v="Apparel"/>
    <s v="Denim Jacket"/>
    <n v="2"/>
    <n v="1999"/>
    <n v="3998"/>
    <n v="15"/>
    <n v="599.70000000000005"/>
    <n v="3398.3"/>
    <s v="Credit Card"/>
    <x v="0"/>
  </r>
  <r>
    <s v="ORD-2027780"/>
    <s v="16 Tue"/>
    <s v="Dec"/>
    <s v="2025"/>
    <s v="CUST-1396"/>
    <s v="Shreya Patel"/>
    <x v="1"/>
    <s v="Home &amp; Kitchen"/>
    <s v="LED Desk Lamp"/>
    <n v="1"/>
    <n v="799"/>
    <n v="799"/>
    <n v="0"/>
    <n v="0"/>
    <n v="799"/>
    <s v="Cash"/>
    <x v="0"/>
  </r>
  <r>
    <s v="ORD-2027781"/>
    <s v="16 Tue"/>
    <s v="Dec"/>
    <s v="2025"/>
    <s v="CUST-1050"/>
    <s v="Rohan Gupta"/>
    <x v="0"/>
    <s v="Stationery"/>
    <s v="Notebook Set"/>
    <n v="2"/>
    <n v="199"/>
    <n v="398"/>
    <n v="20"/>
    <n v="79.599999999999994"/>
    <n v="318.39999999999998"/>
    <s v="Cash"/>
    <x v="1"/>
  </r>
  <r>
    <s v="ORD-2027782"/>
    <s v="16 Tue"/>
    <s v="Dec"/>
    <s v="2025"/>
    <s v="CUST-1356"/>
    <s v="Isha Verma"/>
    <x v="1"/>
    <s v="Electronics"/>
    <s v="Bluetooth Headphones"/>
    <n v="1"/>
    <n v="1799"/>
    <n v="1799"/>
    <n v="20"/>
    <n v="359.8"/>
    <n v="1439.2"/>
    <s v="Cash"/>
    <x v="0"/>
  </r>
  <r>
    <s v="ORD-2027783"/>
    <s v="16 Tue"/>
    <s v="Dec"/>
    <s v="2025"/>
    <s v="CUST-1023"/>
    <s v="Rohan Sharma"/>
    <x v="2"/>
    <s v="Groceries"/>
    <s v="Organic Honey 500g"/>
    <n v="1"/>
    <n v="349"/>
    <n v="349"/>
    <n v="20"/>
    <n v="69.8"/>
    <n v="279.2"/>
    <s v="UPI"/>
    <x v="0"/>
  </r>
  <r>
    <s v="ORD-2027784"/>
    <s v="17 Wed"/>
    <s v="Dec"/>
    <s v="2025"/>
    <s v="CUST-1140"/>
    <s v="Tanya Verma"/>
    <x v="3"/>
    <s v="Electronics"/>
    <s v="Smartwatch"/>
    <n v="1"/>
    <n v="2999"/>
    <n v="2999"/>
    <n v="10"/>
    <n v="299.89999999999998"/>
    <n v="2699.1"/>
    <s v="Credit Card"/>
    <x v="0"/>
  </r>
  <r>
    <s v="ORD-2027785"/>
    <s v="17 Wed"/>
    <s v="Dec"/>
    <s v="2025"/>
    <s v="CUST-1089"/>
    <s v="Arjun Verma"/>
    <x v="1"/>
    <s v="Home &amp; Kitchen"/>
    <s v="Non-stick Pan Set"/>
    <n v="1"/>
    <n v="1299"/>
    <n v="1299"/>
    <n v="20"/>
    <n v="259.8"/>
    <n v="1039.2"/>
    <s v="Net Banking"/>
    <x v="1"/>
  </r>
  <r>
    <s v="ORD-2027786"/>
    <s v="17 Wed"/>
    <s v="Dec"/>
    <s v="2025"/>
    <s v="CUST-1313"/>
    <s v="Kunal Joshi"/>
    <x v="0"/>
    <s v="Sports"/>
    <s v="Cricket Bat"/>
    <n v="1"/>
    <n v="1499"/>
    <n v="1499"/>
    <n v="30"/>
    <n v="449.7"/>
    <n v="1049.3"/>
    <s v="Net Banking"/>
    <x v="0"/>
  </r>
  <r>
    <s v="ORD-2027787"/>
    <s v="17 Wed"/>
    <s v="Dec"/>
    <s v="2025"/>
    <s v="CUST-1285"/>
    <s v="Ankit Joshi"/>
    <x v="0"/>
    <s v="Home &amp; Kitchen"/>
    <s v="Non-stick Pan Set"/>
    <n v="1"/>
    <n v="1299"/>
    <n v="1299"/>
    <n v="20"/>
    <n v="259.8"/>
    <n v="1039.2"/>
    <s v="Debit Card"/>
    <x v="0"/>
  </r>
  <r>
    <s v="ORD-2027788"/>
    <s v="17 Wed"/>
    <s v="Dec"/>
    <s v="2025"/>
    <s v="CUST-1319"/>
    <s v="Rohan Sharma"/>
    <x v="3"/>
    <s v="Electronics"/>
    <s v="Bluetooth Headphones"/>
    <n v="1"/>
    <n v="1799"/>
    <n v="1799"/>
    <n v="15"/>
    <n v="269.85000000000002"/>
    <n v="1529.15"/>
    <s v="Debit Card"/>
    <x v="1"/>
  </r>
  <r>
    <s v="ORD-2027789"/>
    <s v="17 Wed"/>
    <s v="Dec"/>
    <s v="2025"/>
    <s v="CUST-1114"/>
    <s v="Vivaan Malhotra"/>
    <x v="0"/>
    <s v="Groceries"/>
    <s v="Organic Honey 500g"/>
    <n v="1"/>
    <n v="349"/>
    <n v="349"/>
    <n v="15"/>
    <n v="52.35"/>
    <n v="296.64999999999998"/>
    <s v="Debit Card"/>
    <x v="0"/>
  </r>
  <r>
    <s v="ORD-2027790"/>
    <s v="17 Wed"/>
    <s v="Dec"/>
    <s v="2025"/>
    <s v="CUST-1277"/>
    <s v="Vivaan Sharma"/>
    <x v="2"/>
    <s v="Stationery"/>
    <s v="Notebook Set"/>
    <n v="2"/>
    <n v="199"/>
    <n v="398"/>
    <n v="0"/>
    <n v="0"/>
    <n v="398"/>
    <s v="Credit Card"/>
    <x v="1"/>
  </r>
  <r>
    <s v="ORD-2027791"/>
    <s v="17 Wed"/>
    <s v="Dec"/>
    <s v="2025"/>
    <s v="CUST-1270"/>
    <s v="Nandini Verma"/>
    <x v="3"/>
    <s v="Beauty"/>
    <s v="Face Wash 100ml"/>
    <n v="2"/>
    <n v="299"/>
    <n v="598"/>
    <n v="30"/>
    <n v="179.4"/>
    <n v="418.6"/>
    <s v="Debit Card"/>
    <x v="1"/>
  </r>
  <r>
    <s v="ORD-2027792"/>
    <s v="17 Wed"/>
    <s v="Dec"/>
    <s v="2025"/>
    <s v="CUST-1299"/>
    <s v="Kabir Mehta"/>
    <x v="3"/>
    <s v="Stationery"/>
    <s v="Notebook Set"/>
    <n v="2"/>
    <n v="199"/>
    <n v="398"/>
    <n v="15"/>
    <n v="59.7"/>
    <n v="338.3"/>
    <s v="Credit Card"/>
    <x v="0"/>
  </r>
  <r>
    <s v="ORD-2027793"/>
    <s v="17 Wed"/>
    <s v="Dec"/>
    <s v="2025"/>
    <s v="CUST-1393"/>
    <s v="Nandini Singh"/>
    <x v="2"/>
    <s v="Apparel"/>
    <s v="Denim Jacket"/>
    <n v="2"/>
    <n v="1999"/>
    <n v="3998"/>
    <n v="15"/>
    <n v="599.70000000000005"/>
    <n v="3398.3"/>
    <s v="UPI"/>
    <x v="1"/>
  </r>
  <r>
    <s v="ORD-2027794"/>
    <s v="17 Wed"/>
    <s v="Dec"/>
    <s v="2025"/>
    <s v="CUST-1158"/>
    <s v="Shreya Singh"/>
    <x v="1"/>
    <s v="Electronics"/>
    <s v="Wireless Mouse"/>
    <n v="1"/>
    <n v="599"/>
    <n v="599"/>
    <n v="30"/>
    <n v="179.7"/>
    <n v="419.3"/>
    <s v="Debit Card"/>
    <x v="0"/>
  </r>
  <r>
    <s v="ORD-2027795"/>
    <s v="17 Wed"/>
    <s v="Dec"/>
    <s v="2025"/>
    <s v="CUST-1226"/>
    <s v="Tanya Joshi"/>
    <x v="1"/>
    <s v="Groceries"/>
    <s v="Organic Honey 500g"/>
    <n v="2"/>
    <n v="349"/>
    <n v="698"/>
    <n v="5"/>
    <n v="34.9"/>
    <n v="663.1"/>
    <s v="UPI"/>
    <x v="0"/>
  </r>
  <r>
    <s v="ORD-2027796"/>
    <s v="17 Wed"/>
    <s v="Dec"/>
    <s v="2025"/>
    <s v="CUST-1223"/>
    <s v="Meera Saxena"/>
    <x v="4"/>
    <s v="Apparel"/>
    <s v="Cotton T-Shirt"/>
    <n v="2"/>
    <n v="499"/>
    <n v="998"/>
    <n v="15"/>
    <n v="149.69999999999999"/>
    <n v="848.3"/>
    <s v="UPI"/>
    <x v="0"/>
  </r>
  <r>
    <s v="ORD-2027797"/>
    <s v="18 Thu"/>
    <s v="Dec"/>
    <s v="2025"/>
    <s v="CUST-1145"/>
    <s v="Kunal Joshi"/>
    <x v="4"/>
    <s v="Home &amp; Kitchen"/>
    <s v="LED Desk Lamp"/>
    <n v="1"/>
    <n v="799"/>
    <n v="799"/>
    <n v="0"/>
    <n v="0"/>
    <n v="799"/>
    <s v="Credit Card"/>
    <x v="0"/>
  </r>
  <r>
    <s v="ORD-2027798"/>
    <s v="18 Thu"/>
    <s v="Dec"/>
    <s v="2025"/>
    <s v="CUST-1082"/>
    <s v="Aarav Mehta"/>
    <x v="3"/>
    <s v="Stationery"/>
    <s v="Notebook Set"/>
    <n v="3"/>
    <n v="199"/>
    <n v="597"/>
    <n v="15"/>
    <n v="89.55"/>
    <n v="507.45"/>
    <s v="UPI"/>
    <x v="0"/>
  </r>
  <r>
    <s v="ORD-2027799"/>
    <s v="18 Thu"/>
    <s v="Dec"/>
    <s v="2025"/>
    <s v="CUST-1371"/>
    <s v="Rahul Verma"/>
    <x v="0"/>
    <s v="Groceries"/>
    <s v="Organic Honey 500g"/>
    <n v="1"/>
    <n v="349"/>
    <n v="349"/>
    <n v="0"/>
    <n v="0"/>
    <n v="349"/>
    <s v="Credit Card"/>
    <x v="0"/>
  </r>
  <r>
    <s v="ORD-2027800"/>
    <s v="18 Thu"/>
    <s v="Dec"/>
    <s v="2025"/>
    <s v="CUST-1213"/>
    <s v="Ankit Patel"/>
    <x v="0"/>
    <s v="Electronics"/>
    <s v="Wireless Mouse"/>
    <n v="1"/>
    <n v="599"/>
    <n v="599"/>
    <n v="20"/>
    <n v="119.8"/>
    <n v="479.2"/>
    <s v="UPI"/>
    <x v="0"/>
  </r>
  <r>
    <s v="ORD-2027801"/>
    <s v="18 Thu"/>
    <s v="Dec"/>
    <s v="2025"/>
    <s v="CUST-1008"/>
    <s v="Meera Saxena"/>
    <x v="4"/>
    <s v="Apparel"/>
    <s v="Denim Jacket"/>
    <n v="1"/>
    <n v="1999"/>
    <n v="1999"/>
    <n v="20"/>
    <n v="399.8"/>
    <n v="1599.2"/>
    <s v="Cash"/>
    <x v="1"/>
  </r>
  <r>
    <s v="ORD-2027802"/>
    <s v="18 Thu"/>
    <s v="Dec"/>
    <s v="2025"/>
    <s v="CUST-1236"/>
    <s v="Divya Mehta"/>
    <x v="3"/>
    <s v="Groceries"/>
    <s v="Organic Honey 500g"/>
    <n v="3"/>
    <n v="349"/>
    <n v="1047"/>
    <n v="5"/>
    <n v="52.35"/>
    <n v="994.65"/>
    <s v="Debit Card"/>
    <x v="0"/>
  </r>
  <r>
    <s v="ORD-2027803"/>
    <s v="18 Thu"/>
    <s v="Dec"/>
    <s v="2025"/>
    <s v="CUST-1372"/>
    <s v="Vivaan Singh"/>
    <x v="1"/>
    <s v="Electronics"/>
    <s v="Smartwatch"/>
    <n v="2"/>
    <n v="2999"/>
    <n v="5998"/>
    <n v="5"/>
    <n v="299.89999999999998"/>
    <n v="5698.1"/>
    <s v="Cash"/>
    <x v="1"/>
  </r>
  <r>
    <s v="ORD-2027804"/>
    <s v="18 Thu"/>
    <s v="Dec"/>
    <s v="2025"/>
    <s v="CUST-1238"/>
    <s v="Nandini Verma"/>
    <x v="2"/>
    <s v="Stationery"/>
    <s v="Notebook Set"/>
    <n v="1"/>
    <n v="199"/>
    <n v="199"/>
    <n v="5"/>
    <n v="9.9499999999999993"/>
    <n v="189.05"/>
    <s v="Cash"/>
    <x v="0"/>
  </r>
  <r>
    <s v="ORD-2027805"/>
    <s v="18 Thu"/>
    <s v="Dec"/>
    <s v="2025"/>
    <s v="CUST-1247"/>
    <s v="Meera Malhotra"/>
    <x v="0"/>
    <s v="Groceries"/>
    <s v="Basmati Rice 5kg"/>
    <n v="1"/>
    <n v="549"/>
    <n v="549"/>
    <n v="20"/>
    <n v="109.8"/>
    <n v="439.2"/>
    <s v="UPI"/>
    <x v="0"/>
  </r>
  <r>
    <s v="ORD-2027806"/>
    <s v="18 Thu"/>
    <s v="Dec"/>
    <s v="2025"/>
    <s v="CUST-1355"/>
    <s v="Aditya Joshi"/>
    <x v="4"/>
    <s v="Stationery"/>
    <s v="Notebook Set"/>
    <n v="1"/>
    <n v="199"/>
    <n v="199"/>
    <n v="10"/>
    <n v="19.899999999999999"/>
    <n v="179.1"/>
    <s v="UPI"/>
    <x v="0"/>
  </r>
  <r>
    <s v="ORD-2027807"/>
    <s v="18 Thu"/>
    <s v="Dec"/>
    <s v="2025"/>
    <s v="CUST-1338"/>
    <s v="Komal Malhotra"/>
    <x v="0"/>
    <s v="Home &amp; Kitchen"/>
    <s v="LED Desk Lamp"/>
    <n v="3"/>
    <n v="799"/>
    <n v="2397"/>
    <n v="5"/>
    <n v="119.85"/>
    <n v="2277.15"/>
    <s v="UPI"/>
    <x v="0"/>
  </r>
  <r>
    <s v="ORD-2027808"/>
    <s v="18 Thu"/>
    <s v="Dec"/>
    <s v="2025"/>
    <s v="CUST-1354"/>
    <s v="Aman Saxena"/>
    <x v="1"/>
    <s v="Electronics"/>
    <s v="Bluetooth Headphones"/>
    <n v="1"/>
    <n v="1799"/>
    <n v="1799"/>
    <n v="15"/>
    <n v="269.85000000000002"/>
    <n v="1529.15"/>
    <s v="Debit Card"/>
    <x v="1"/>
  </r>
  <r>
    <s v="ORD-2027809"/>
    <s v="18 Thu"/>
    <s v="Dec"/>
    <s v="2025"/>
    <s v="CUST-1345"/>
    <s v="Tanya Verma"/>
    <x v="1"/>
    <s v="Electronics"/>
    <s v="Bluetooth Headphones"/>
    <n v="1"/>
    <n v="1799"/>
    <n v="1799"/>
    <n v="20"/>
    <n v="359.8"/>
    <n v="1439.2"/>
    <s v="Debit Card"/>
    <x v="1"/>
  </r>
  <r>
    <s v="ORD-2027810"/>
    <s v="19 Fri"/>
    <s v="Dec"/>
    <s v="2025"/>
    <s v="CUST-1220"/>
    <s v="Aditya Kapoor"/>
    <x v="0"/>
    <s v="Stationery"/>
    <s v="Notebook Set"/>
    <n v="4"/>
    <n v="199"/>
    <n v="796"/>
    <n v="10"/>
    <n v="79.599999999999994"/>
    <n v="716.4"/>
    <s v="Credit Card"/>
    <x v="0"/>
  </r>
  <r>
    <s v="ORD-2027811"/>
    <s v="19 Fri"/>
    <s v="Dec"/>
    <s v="2025"/>
    <s v="CUST-1373"/>
    <s v="Rahul Verma"/>
    <x v="3"/>
    <s v="Groceries"/>
    <s v="Organic Honey 500g"/>
    <n v="3"/>
    <n v="349"/>
    <n v="1047"/>
    <n v="25"/>
    <n v="261.75"/>
    <n v="785.25"/>
    <s v="UPI"/>
    <x v="0"/>
  </r>
  <r>
    <s v="ORD-2027812"/>
    <s v="19 Fri"/>
    <s v="Dec"/>
    <s v="2025"/>
    <s v="CUST-1285"/>
    <s v="Ankit Joshi"/>
    <x v="4"/>
    <s v="Home &amp; Kitchen"/>
    <s v="Non-stick Pan Set"/>
    <n v="1"/>
    <n v="1299"/>
    <n v="1299"/>
    <n v="0"/>
    <n v="0"/>
    <n v="1299"/>
    <s v="UPI"/>
    <x v="0"/>
  </r>
  <r>
    <s v="ORD-2027813"/>
    <s v="19 Fri"/>
    <s v="Dec"/>
    <s v="2025"/>
    <s v="CUST-1041"/>
    <s v="Divya Malhotra"/>
    <x v="0"/>
    <s v="Sports"/>
    <s v="Cricket Bat"/>
    <n v="1"/>
    <n v="1499"/>
    <n v="1499"/>
    <n v="0"/>
    <n v="0"/>
    <n v="1499"/>
    <s v="UPI"/>
    <x v="1"/>
  </r>
  <r>
    <s v="ORD-2027814"/>
    <s v="19 Fri"/>
    <s v="Dec"/>
    <s v="2025"/>
    <s v="CUST-1271"/>
    <s v="Nandini Sharma"/>
    <x v="4"/>
    <s v="Stationery"/>
    <s v="Gel Pen Pack"/>
    <n v="1"/>
    <n v="99"/>
    <n v="99"/>
    <n v="25"/>
    <n v="24.75"/>
    <n v="74.25"/>
    <s v="Cash"/>
    <x v="1"/>
  </r>
  <r>
    <s v="ORD-2027815"/>
    <s v="19 Fri"/>
    <s v="Dec"/>
    <s v="2025"/>
    <s v="CUST-1011"/>
    <s v="Kunal Sharma"/>
    <x v="0"/>
    <s v="Home &amp; Kitchen"/>
    <s v="LED Desk Lamp"/>
    <n v="1"/>
    <n v="799"/>
    <n v="799"/>
    <n v="5"/>
    <n v="39.950000000000003"/>
    <n v="759.05"/>
    <s v="Credit Card"/>
    <x v="0"/>
  </r>
  <r>
    <s v="ORD-2027816"/>
    <s v="19 Fri"/>
    <s v="Dec"/>
    <s v="2025"/>
    <s v="CUST-1206"/>
    <s v="Aditya Gupta"/>
    <x v="2"/>
    <s v="Electronics"/>
    <s v="Smartwatch"/>
    <n v="1"/>
    <n v="2999"/>
    <n v="2999"/>
    <n v="0"/>
    <n v="0"/>
    <n v="2999"/>
    <s v="Credit Card"/>
    <x v="0"/>
  </r>
  <r>
    <s v="ORD-2027817"/>
    <s v="19 Fri"/>
    <s v="Dec"/>
    <s v="2025"/>
    <s v="CUST-1099"/>
    <s v="Rahul Malhotra"/>
    <x v="4"/>
    <s v="Groceries"/>
    <s v="Organic Honey 500g"/>
    <n v="1"/>
    <n v="349"/>
    <n v="349"/>
    <n v="25"/>
    <n v="87.25"/>
    <n v="261.75"/>
    <s v="UPI"/>
    <x v="1"/>
  </r>
  <r>
    <s v="ORD-2027818"/>
    <s v="19 Fri"/>
    <s v="Dec"/>
    <s v="2025"/>
    <s v="CUST-1153"/>
    <s v="Swati Verma"/>
    <x v="2"/>
    <s v="Apparel"/>
    <s v="Formal Shirt"/>
    <n v="1"/>
    <n v="899"/>
    <n v="899"/>
    <n v="30"/>
    <n v="269.7"/>
    <n v="629.29999999999995"/>
    <s v="Credit Card"/>
    <x v="0"/>
  </r>
  <r>
    <s v="ORD-2027819"/>
    <s v="19 Fri"/>
    <s v="Dec"/>
    <s v="2025"/>
    <s v="CUST-1218"/>
    <s v="Rahul Singh"/>
    <x v="1"/>
    <s v="Sports"/>
    <s v="Yoga Mat"/>
    <n v="1"/>
    <n v="699"/>
    <n v="699"/>
    <n v="25"/>
    <n v="174.75"/>
    <n v="524.25"/>
    <s v="Debit Card"/>
    <x v="0"/>
  </r>
  <r>
    <s v="ORD-2027820"/>
    <s v="19 Fri"/>
    <s v="Dec"/>
    <s v="2025"/>
    <s v="CUST-1151"/>
    <s v="Aman Patel"/>
    <x v="4"/>
    <s v="Beauty"/>
    <s v="Herbal Shampoo"/>
    <n v="1"/>
    <n v="249"/>
    <n v="249"/>
    <n v="0"/>
    <n v="0"/>
    <n v="249"/>
    <s v="Credit Card"/>
    <x v="0"/>
  </r>
  <r>
    <s v="ORD-2027821"/>
    <s v="19 Fri"/>
    <s v="Dec"/>
    <s v="2025"/>
    <s v="CUST-1242"/>
    <s v="Sakshi Malhotra"/>
    <x v="4"/>
    <s v="Beauty"/>
    <s v="Herbal Shampoo"/>
    <n v="5"/>
    <n v="249"/>
    <n v="1245"/>
    <n v="15"/>
    <n v="186.75"/>
    <n v="1058.25"/>
    <s v="Credit Card"/>
    <x v="0"/>
  </r>
  <r>
    <s v="ORD-2027822"/>
    <s v="19 Fri"/>
    <s v="Dec"/>
    <s v="2025"/>
    <s v="CUST-1198"/>
    <s v="Vivaan Joshi"/>
    <x v="0"/>
    <s v="Stationery"/>
    <s v="Notebook Set"/>
    <n v="3"/>
    <n v="199"/>
    <n v="597"/>
    <n v="20"/>
    <n v="119.4"/>
    <n v="477.6"/>
    <s v="Debit Card"/>
    <x v="0"/>
  </r>
  <r>
    <s v="ORD-2027823"/>
    <s v="19 Fri"/>
    <s v="Dec"/>
    <s v="2025"/>
    <s v="CUST-1153"/>
    <s v="Swati Verma"/>
    <x v="2"/>
    <s v="Apparel"/>
    <s v="Cotton T-Shirt"/>
    <n v="1"/>
    <n v="499"/>
    <n v="499"/>
    <n v="20"/>
    <n v="99.8"/>
    <n v="399.2"/>
    <s v="UPI"/>
    <x v="0"/>
  </r>
  <r>
    <s v="ORD-2027824"/>
    <s v="20 Sat"/>
    <s v="Dec"/>
    <s v="2025"/>
    <s v="CUST-1006"/>
    <s v="Sakshi Singh"/>
    <x v="0"/>
    <s v="Stationery"/>
    <s v="Notebook Set"/>
    <n v="2"/>
    <n v="199"/>
    <n v="398"/>
    <n v="10"/>
    <n v="39.799999999999997"/>
    <n v="358.2"/>
    <s v="UPI"/>
    <x v="0"/>
  </r>
  <r>
    <s v="ORD-2027825"/>
    <s v="20 Sat"/>
    <s v="Dec"/>
    <s v="2025"/>
    <s v="CUST-1129"/>
    <s v="Nandini Patel"/>
    <x v="0"/>
    <s v="Sports"/>
    <s v="Cricket Bat"/>
    <n v="3"/>
    <n v="1499"/>
    <n v="4497"/>
    <n v="20"/>
    <n v="899.4"/>
    <n v="3597.6"/>
    <s v="Debit Card"/>
    <x v="1"/>
  </r>
  <r>
    <s v="ORD-2027826"/>
    <s v="20 Sat"/>
    <s v="Dec"/>
    <s v="2025"/>
    <s v="CUST-1122"/>
    <s v="Aditya Kapoor"/>
    <x v="0"/>
    <s v="Sports"/>
    <s v="Cricket Bat"/>
    <n v="1"/>
    <n v="1499"/>
    <n v="1499"/>
    <n v="10"/>
    <n v="149.9"/>
    <n v="1349.1"/>
    <s v="Debit Card"/>
    <x v="0"/>
  </r>
  <r>
    <s v="ORD-2027827"/>
    <s v="20 Sat"/>
    <s v="Dec"/>
    <s v="2025"/>
    <s v="CUST-1252"/>
    <s v="Arjun Singh"/>
    <x v="2"/>
    <s v="Apparel"/>
    <s v="Denim Jacket"/>
    <n v="2"/>
    <n v="1999"/>
    <n v="3998"/>
    <n v="0"/>
    <n v="0"/>
    <n v="3998"/>
    <s v="Debit Card"/>
    <x v="0"/>
  </r>
  <r>
    <s v="ORD-2027828"/>
    <s v="20 Sat"/>
    <s v="Dec"/>
    <s v="2025"/>
    <s v="CUST-1067"/>
    <s v="Nandini Gupta"/>
    <x v="4"/>
    <s v="Stationery"/>
    <s v="Gel Pen Pack"/>
    <n v="3"/>
    <n v="99"/>
    <n v="297"/>
    <n v="10"/>
    <n v="29.7"/>
    <n v="267.3"/>
    <s v="Credit Card"/>
    <x v="0"/>
  </r>
  <r>
    <s v="ORD-2027829"/>
    <s v="20 Sat"/>
    <s v="Dec"/>
    <s v="2025"/>
    <s v="CUST-1368"/>
    <s v="Isha Patel"/>
    <x v="2"/>
    <s v="Stationery"/>
    <s v="Gel Pen Pack"/>
    <n v="1"/>
    <n v="99"/>
    <n v="99"/>
    <n v="15"/>
    <n v="14.85"/>
    <n v="84.15"/>
    <s v="Debit Card"/>
    <x v="0"/>
  </r>
  <r>
    <s v="ORD-2027830"/>
    <s v="20 Sat"/>
    <s v="Dec"/>
    <s v="2025"/>
    <s v="CUST-1020"/>
    <s v="Rohan Malhotra"/>
    <x v="0"/>
    <s v="Groceries"/>
    <s v="Organic Honey 500g"/>
    <n v="1"/>
    <n v="349"/>
    <n v="349"/>
    <n v="0"/>
    <n v="0"/>
    <n v="349"/>
    <s v="Credit Card"/>
    <x v="0"/>
  </r>
  <r>
    <s v="ORD-2027831"/>
    <s v="20 Sat"/>
    <s v="Dec"/>
    <s v="2025"/>
    <s v="CUST-1305"/>
    <s v="Muskan Joshi"/>
    <x v="4"/>
    <s v="Stationery"/>
    <s v="Notebook Set"/>
    <n v="2"/>
    <n v="199"/>
    <n v="398"/>
    <n v="5"/>
    <n v="19.899999999999999"/>
    <n v="378.1"/>
    <s v="UPI"/>
    <x v="0"/>
  </r>
  <r>
    <s v="ORD-2027832"/>
    <s v="20 Sat"/>
    <s v="Dec"/>
    <s v="2025"/>
    <s v="CUST-1129"/>
    <s v="Nandini Patel"/>
    <x v="1"/>
    <s v="Sports"/>
    <s v="Yoga Mat"/>
    <n v="1"/>
    <n v="699"/>
    <n v="699"/>
    <n v="15"/>
    <n v="104.85"/>
    <n v="594.15"/>
    <s v="Debit Card"/>
    <x v="0"/>
  </r>
  <r>
    <s v="ORD-2027833"/>
    <s v="20 Sat"/>
    <s v="Dec"/>
    <s v="2025"/>
    <s v="CUST-1098"/>
    <s v="Rohan Patel"/>
    <x v="1"/>
    <s v="Stationery"/>
    <s v="Notebook Set"/>
    <n v="2"/>
    <n v="199"/>
    <n v="398"/>
    <n v="0"/>
    <n v="0"/>
    <n v="398"/>
    <s v="Debit Card"/>
    <x v="0"/>
  </r>
  <r>
    <s v="ORD-2027834"/>
    <s v="20 Sat"/>
    <s v="Dec"/>
    <s v="2025"/>
    <s v="CUST-1218"/>
    <s v="Rahul Singh"/>
    <x v="0"/>
    <s v="Groceries"/>
    <s v="Organic Honey 500g"/>
    <n v="2"/>
    <n v="349"/>
    <n v="698"/>
    <n v="5"/>
    <n v="34.9"/>
    <n v="663.1"/>
    <s v="Cash"/>
    <x v="0"/>
  </r>
  <r>
    <s v="ORD-2027835"/>
    <s v="20 Sat"/>
    <s v="Dec"/>
    <s v="2025"/>
    <s v="CUST-1173"/>
    <s v="Ankit Gupta"/>
    <x v="2"/>
    <s v="Stationery"/>
    <s v="Notebook Set"/>
    <n v="2"/>
    <n v="199"/>
    <n v="398"/>
    <n v="10"/>
    <n v="39.799999999999997"/>
    <n v="358.2"/>
    <s v="Credit Card"/>
    <x v="0"/>
  </r>
  <r>
    <s v="ORD-2027836"/>
    <s v="20 Sat"/>
    <s v="Dec"/>
    <s v="2025"/>
    <s v="CUST-1215"/>
    <s v="Arjun Singh"/>
    <x v="2"/>
    <s v="Groceries"/>
    <s v="Basmati Rice 5kg"/>
    <n v="3"/>
    <n v="549"/>
    <n v="1647"/>
    <n v="25"/>
    <n v="411.75"/>
    <n v="1235.25"/>
    <s v="UPI"/>
    <x v="0"/>
  </r>
  <r>
    <s v="ORD-2027837"/>
    <s v="20 Sat"/>
    <s v="Dec"/>
    <s v="2025"/>
    <s v="CUST-1022"/>
    <s v="Tanya Verma"/>
    <x v="2"/>
    <s v="Home &amp; Kitchen"/>
    <s v="Non-stick Pan Set"/>
    <n v="1"/>
    <n v="1299"/>
    <n v="1299"/>
    <n v="30"/>
    <n v="389.7"/>
    <n v="909.3"/>
    <s v="Debit Card"/>
    <x v="0"/>
  </r>
  <r>
    <s v="ORD-2027838"/>
    <s v="20 Sat"/>
    <s v="Dec"/>
    <s v="2025"/>
    <s v="CUST-1084"/>
    <s v="Kunal Saxena"/>
    <x v="1"/>
    <s v="Beauty"/>
    <s v="Face Wash 100ml"/>
    <n v="2"/>
    <n v="299"/>
    <n v="598"/>
    <n v="0"/>
    <n v="0"/>
    <n v="598"/>
    <s v="Cash"/>
    <x v="1"/>
  </r>
  <r>
    <s v="ORD-2027839"/>
    <s v="20 Sat"/>
    <s v="Dec"/>
    <s v="2025"/>
    <s v="CUST-1288"/>
    <s v="Aditya Mehta"/>
    <x v="1"/>
    <s v="Stationery"/>
    <s v="Notebook Set"/>
    <n v="1"/>
    <n v="199"/>
    <n v="199"/>
    <n v="30"/>
    <n v="59.7"/>
    <n v="139.30000000000001"/>
    <s v="Cash"/>
    <x v="0"/>
  </r>
  <r>
    <s v="ORD-2027840"/>
    <s v="20 Sat"/>
    <s v="Dec"/>
    <s v="2025"/>
    <s v="CUST-1302"/>
    <s v="Arjun Saxena"/>
    <x v="2"/>
    <s v="Electronics"/>
    <s v="Bluetooth Headphones"/>
    <n v="1"/>
    <n v="1799"/>
    <n v="1799"/>
    <n v="25"/>
    <n v="449.75"/>
    <n v="1349.25"/>
    <s v="Debit Card"/>
    <x v="1"/>
  </r>
  <r>
    <s v="ORD-2027841"/>
    <s v="20 Sat"/>
    <s v="Dec"/>
    <s v="2025"/>
    <s v="CUST-1297"/>
    <s v="Sakshi Kapoor"/>
    <x v="4"/>
    <s v="Beauty"/>
    <s v="Herbal Shampoo"/>
    <n v="3"/>
    <n v="249"/>
    <n v="747"/>
    <n v="10"/>
    <n v="74.7"/>
    <n v="672.3"/>
    <s v="UPI"/>
    <x v="0"/>
  </r>
  <r>
    <s v="ORD-2027842"/>
    <s v="21 Sun"/>
    <s v="Dec"/>
    <s v="2025"/>
    <s v="CUST-1307"/>
    <s v="Swati Kapoor"/>
    <x v="4"/>
    <s v="Electronics"/>
    <s v="Wireless Mouse"/>
    <n v="1"/>
    <n v="599"/>
    <n v="599"/>
    <n v="30"/>
    <n v="179.7"/>
    <n v="419.3"/>
    <s v="Credit Card"/>
    <x v="0"/>
  </r>
  <r>
    <s v="ORD-2027843"/>
    <s v="21 Sun"/>
    <s v="Dec"/>
    <s v="2025"/>
    <s v="CUST-1131"/>
    <s v="Aarav Sharma"/>
    <x v="4"/>
    <s v="Groceries"/>
    <s v="Basmati Rice 5kg"/>
    <n v="1"/>
    <n v="549"/>
    <n v="549"/>
    <n v="15"/>
    <n v="82.35"/>
    <n v="466.65"/>
    <s v="Credit Card"/>
    <x v="0"/>
  </r>
  <r>
    <s v="ORD-2027844"/>
    <s v="21 Sun"/>
    <s v="Dec"/>
    <s v="2025"/>
    <s v="CUST-1167"/>
    <s v="Nandini Verma"/>
    <x v="4"/>
    <s v="Apparel"/>
    <s v="Formal Shirt"/>
    <n v="1"/>
    <n v="899"/>
    <n v="899"/>
    <n v="25"/>
    <n v="224.75"/>
    <n v="674.25"/>
    <s v="Debit Card"/>
    <x v="1"/>
  </r>
  <r>
    <s v="ORD-2027845"/>
    <s v="21 Sun"/>
    <s v="Dec"/>
    <s v="2025"/>
    <s v="CUST-1326"/>
    <s v="Rohan Verma"/>
    <x v="4"/>
    <s v="Home &amp; Kitchen"/>
    <s v="LED Desk Lamp"/>
    <n v="1"/>
    <n v="799"/>
    <n v="799"/>
    <n v="5"/>
    <n v="39.950000000000003"/>
    <n v="759.05"/>
    <s v="Credit Card"/>
    <x v="0"/>
  </r>
  <r>
    <s v="ORD-2027846"/>
    <s v="21 Sun"/>
    <s v="Dec"/>
    <s v="2025"/>
    <s v="CUST-1262"/>
    <s v="Kunal Joshi"/>
    <x v="2"/>
    <s v="Home &amp; Kitchen"/>
    <s v="LED Desk Lamp"/>
    <n v="1"/>
    <n v="799"/>
    <n v="799"/>
    <n v="0"/>
    <n v="0"/>
    <n v="799"/>
    <s v="Cash"/>
    <x v="0"/>
  </r>
  <r>
    <s v="ORD-2027847"/>
    <s v="21 Sun"/>
    <s v="Dec"/>
    <s v="2025"/>
    <s v="CUST-1100"/>
    <s v="Vivaan Saxena"/>
    <x v="0"/>
    <s v="Stationery"/>
    <s v="Gel Pen Pack"/>
    <n v="1"/>
    <n v="99"/>
    <n v="99"/>
    <n v="10"/>
    <n v="9.9"/>
    <n v="89.1"/>
    <s v="UPI"/>
    <x v="0"/>
  </r>
  <r>
    <s v="ORD-2027848"/>
    <s v="21 Sun"/>
    <s v="Dec"/>
    <s v="2025"/>
    <s v="CUST-1095"/>
    <s v="Nandini Joshi"/>
    <x v="4"/>
    <s v="Beauty"/>
    <s v="Herbal Shampoo"/>
    <n v="2"/>
    <n v="249"/>
    <n v="498"/>
    <n v="20"/>
    <n v="99.6"/>
    <n v="398.4"/>
    <s v="Credit Card"/>
    <x v="0"/>
  </r>
  <r>
    <s v="ORD-2027849"/>
    <s v="21 Sun"/>
    <s v="Dec"/>
    <s v="2025"/>
    <s v="CUST-1048"/>
    <s v="Divya Mehta"/>
    <x v="4"/>
    <s v="Electronics"/>
    <s v="Bluetooth Headphones"/>
    <n v="2"/>
    <n v="1799"/>
    <n v="3598"/>
    <n v="15"/>
    <n v="539.70000000000005"/>
    <n v="3058.3"/>
    <s v="Cash"/>
    <x v="0"/>
  </r>
  <r>
    <s v="ORD-2027850"/>
    <s v="21 Sun"/>
    <s v="Dec"/>
    <s v="2025"/>
    <s v="CUST-1300"/>
    <s v="Vivaan Mehta"/>
    <x v="3"/>
    <s v="Electronics"/>
    <s v="Bluetooth Headphones"/>
    <n v="1"/>
    <n v="1799"/>
    <n v="1799"/>
    <n v="0"/>
    <n v="0"/>
    <n v="1799"/>
    <s v="Credit Card"/>
    <x v="0"/>
  </r>
  <r>
    <s v="ORD-2027851"/>
    <s v="21 Sun"/>
    <s v="Dec"/>
    <s v="2025"/>
    <s v="CUST-1262"/>
    <s v="Kunal Joshi"/>
    <x v="0"/>
    <s v="Beauty"/>
    <s v="Face Wash 100ml"/>
    <n v="2"/>
    <n v="299"/>
    <n v="598"/>
    <n v="10"/>
    <n v="59.8"/>
    <n v="538.20000000000005"/>
    <s v="UPI"/>
    <x v="0"/>
  </r>
  <r>
    <s v="ORD-2027852"/>
    <s v="21 Sun"/>
    <s v="Dec"/>
    <s v="2025"/>
    <s v="CUST-1326"/>
    <s v="Rohan Verma"/>
    <x v="4"/>
    <s v="Home &amp; Kitchen"/>
    <s v="LED Desk Lamp"/>
    <n v="1"/>
    <n v="799"/>
    <n v="799"/>
    <n v="20"/>
    <n v="159.80000000000001"/>
    <n v="639.20000000000005"/>
    <s v="Debit Card"/>
    <x v="0"/>
  </r>
  <r>
    <s v="ORD-2027853"/>
    <s v="21 Sun"/>
    <s v="Dec"/>
    <s v="2025"/>
    <s v="CUST-1076"/>
    <s v="Tanya Saxena"/>
    <x v="2"/>
    <s v="Electronics"/>
    <s v="Bluetooth Headphones"/>
    <n v="1"/>
    <n v="1799"/>
    <n v="1799"/>
    <n v="15"/>
    <n v="269.85000000000002"/>
    <n v="1529.15"/>
    <s v="Credit Card"/>
    <x v="0"/>
  </r>
  <r>
    <s v="ORD-2027854"/>
    <s v="21 Sun"/>
    <s v="Dec"/>
    <s v="2025"/>
    <s v="CUST-1175"/>
    <s v="Vivaan Kapoor"/>
    <x v="2"/>
    <s v="Beauty"/>
    <s v="Herbal Shampoo"/>
    <n v="2"/>
    <n v="249"/>
    <n v="498"/>
    <n v="30"/>
    <n v="149.4"/>
    <n v="348.6"/>
    <s v="UPI"/>
    <x v="1"/>
  </r>
  <r>
    <s v="ORD-2027855"/>
    <s v="21 Sun"/>
    <s v="Dec"/>
    <s v="2025"/>
    <s v="CUST-1366"/>
    <s v="Vivaan Joshi"/>
    <x v="1"/>
    <s v="Beauty"/>
    <s v="Face Wash 100ml"/>
    <n v="2"/>
    <n v="299"/>
    <n v="598"/>
    <n v="30"/>
    <n v="179.4"/>
    <n v="418.6"/>
    <s v="Debit Card"/>
    <x v="1"/>
  </r>
  <r>
    <s v="ORD-2027856"/>
    <s v="21 Sun"/>
    <s v="Dec"/>
    <s v="2025"/>
    <s v="CUST-1256"/>
    <s v="Rohan Singh"/>
    <x v="4"/>
    <s v="Electronics"/>
    <s v="Smartwatch"/>
    <n v="4"/>
    <n v="2999"/>
    <n v="11996"/>
    <n v="10"/>
    <n v="1199.5999999999999"/>
    <n v="10796.4"/>
    <s v="Cash"/>
    <x v="0"/>
  </r>
  <r>
    <s v="ORD-2027857"/>
    <s v="21 Sun"/>
    <s v="Dec"/>
    <s v="2025"/>
    <s v="CUST-1145"/>
    <s v="Kunal Joshi"/>
    <x v="2"/>
    <s v="Home &amp; Kitchen"/>
    <s v="Non-stick Pan Set"/>
    <n v="2"/>
    <n v="1299"/>
    <n v="2598"/>
    <n v="20"/>
    <n v="519.6"/>
    <n v="2078.4"/>
    <s v="Debit Card"/>
    <x v="0"/>
  </r>
  <r>
    <s v="ORD-2027858"/>
    <s v="21 Sun"/>
    <s v="Dec"/>
    <s v="2025"/>
    <s v="CUST-1074"/>
    <s v="Kabir Kapoor"/>
    <x v="2"/>
    <s v="Groceries"/>
    <s v="Organic Honey 500g"/>
    <n v="1"/>
    <n v="349"/>
    <n v="349"/>
    <n v="5"/>
    <n v="17.45"/>
    <n v="331.55"/>
    <s v="Net Banking"/>
    <x v="0"/>
  </r>
  <r>
    <s v="ORD-2027859"/>
    <s v="21 Sun"/>
    <s v="Dec"/>
    <s v="2025"/>
    <s v="CUST-1222"/>
    <s v="Sakshi Sharma"/>
    <x v="1"/>
    <s v="Electronics"/>
    <s v="Bluetooth Headphones"/>
    <n v="1"/>
    <n v="1799"/>
    <n v="1799"/>
    <n v="5"/>
    <n v="89.95"/>
    <n v="1709.05"/>
    <s v="Net Banking"/>
    <x v="0"/>
  </r>
  <r>
    <s v="ORD-2027860"/>
    <s v="21 Sun"/>
    <s v="Dec"/>
    <s v="2025"/>
    <s v="CUST-1067"/>
    <s v="Nandini Gupta"/>
    <x v="4"/>
    <s v="Electronics"/>
    <s v="Wireless Mouse"/>
    <n v="2"/>
    <n v="599"/>
    <n v="1198"/>
    <n v="15"/>
    <n v="179.7"/>
    <n v="1018.3"/>
    <s v="UPI"/>
    <x v="0"/>
  </r>
  <r>
    <s v="ORD-2027861"/>
    <s v="22 Mon"/>
    <s v="Dec"/>
    <s v="2025"/>
    <s v="CUST-1139"/>
    <s v="Aditya Sharma"/>
    <x v="3"/>
    <s v="Apparel"/>
    <s v="Denim Jacket"/>
    <n v="1"/>
    <n v="1999"/>
    <n v="1999"/>
    <n v="30"/>
    <n v="599.70000000000005"/>
    <n v="1399.3"/>
    <s v="Credit Card"/>
    <x v="0"/>
  </r>
  <r>
    <s v="ORD-2027862"/>
    <s v="22 Mon"/>
    <s v="Dec"/>
    <s v="2025"/>
    <s v="CUST-1313"/>
    <s v="Kunal Joshi"/>
    <x v="2"/>
    <s v="Apparel"/>
    <s v="Cotton T-Shirt"/>
    <n v="2"/>
    <n v="499"/>
    <n v="998"/>
    <n v="20"/>
    <n v="199.6"/>
    <n v="798.4"/>
    <s v="Debit Card"/>
    <x v="0"/>
  </r>
  <r>
    <s v="ORD-2027863"/>
    <s v="22 Mon"/>
    <s v="Dec"/>
    <s v="2025"/>
    <s v="CUST-1381"/>
    <s v="Kabir Kapoor"/>
    <x v="3"/>
    <s v="Beauty"/>
    <s v="Herbal Shampoo"/>
    <n v="2"/>
    <n v="249"/>
    <n v="498"/>
    <n v="25"/>
    <n v="124.5"/>
    <n v="373.5"/>
    <s v="Credit Card"/>
    <x v="0"/>
  </r>
  <r>
    <s v="ORD-2027864"/>
    <s v="22 Mon"/>
    <s v="Dec"/>
    <s v="2025"/>
    <s v="CUST-1179"/>
    <s v="Nandini Saxena"/>
    <x v="0"/>
    <s v="Groceries"/>
    <s v="Basmati Rice 5kg"/>
    <n v="3"/>
    <n v="549"/>
    <n v="1647"/>
    <n v="20"/>
    <n v="329.4"/>
    <n v="1317.6"/>
    <s v="Credit Card"/>
    <x v="0"/>
  </r>
  <r>
    <s v="ORD-2027865"/>
    <s v="22 Mon"/>
    <s v="Dec"/>
    <s v="2025"/>
    <s v="CUST-1242"/>
    <s v="Sakshi Malhotra"/>
    <x v="0"/>
    <s v="Apparel"/>
    <s v="Formal Shirt"/>
    <n v="1"/>
    <n v="899"/>
    <n v="899"/>
    <n v="15"/>
    <n v="134.85"/>
    <n v="764.15"/>
    <s v="Credit Card"/>
    <x v="0"/>
  </r>
  <r>
    <s v="ORD-2027866"/>
    <s v="22 Mon"/>
    <s v="Dec"/>
    <s v="2025"/>
    <s v="CUST-1254"/>
    <s v="Meera Malhotra"/>
    <x v="4"/>
    <s v="Electronics"/>
    <s v="Wireless Mouse"/>
    <n v="1"/>
    <n v="599"/>
    <n v="599"/>
    <n v="0"/>
    <n v="0"/>
    <n v="599"/>
    <s v="UPI"/>
    <x v="0"/>
  </r>
  <r>
    <s v="ORD-2027867"/>
    <s v="22 Mon"/>
    <s v="Dec"/>
    <s v="2025"/>
    <s v="CUST-1007"/>
    <s v="Aarav Sharma"/>
    <x v="3"/>
    <s v="Home &amp; Kitchen"/>
    <s v="LED Desk Lamp"/>
    <n v="1"/>
    <n v="799"/>
    <n v="799"/>
    <n v="30"/>
    <n v="239.7"/>
    <n v="559.29999999999995"/>
    <s v="UPI"/>
    <x v="0"/>
  </r>
  <r>
    <s v="ORD-2027868"/>
    <s v="22 Mon"/>
    <s v="Dec"/>
    <s v="2025"/>
    <s v="CUST-1161"/>
    <s v="Ankit Gupta"/>
    <x v="1"/>
    <s v="Apparel"/>
    <s v="Cotton T-Shirt"/>
    <n v="1"/>
    <n v="499"/>
    <n v="499"/>
    <n v="0"/>
    <n v="0"/>
    <n v="499"/>
    <s v="Debit Card"/>
    <x v="1"/>
  </r>
  <r>
    <s v="ORD-2027869"/>
    <s v="22 Mon"/>
    <s v="Dec"/>
    <s v="2025"/>
    <s v="CUST-1059"/>
    <s v="Kunal Verma"/>
    <x v="1"/>
    <s v="Sports"/>
    <s v="Cricket Bat"/>
    <n v="1"/>
    <n v="1499"/>
    <n v="1499"/>
    <n v="0"/>
    <n v="0"/>
    <n v="1499"/>
    <s v="Debit Card"/>
    <x v="0"/>
  </r>
  <r>
    <s v="ORD-2027870"/>
    <s v="22 Mon"/>
    <s v="Dec"/>
    <s v="2025"/>
    <s v="CUST-1024"/>
    <s v="Tanya Singh"/>
    <x v="0"/>
    <s v="Electronics"/>
    <s v="Smartwatch"/>
    <n v="1"/>
    <n v="2999"/>
    <n v="2999"/>
    <n v="10"/>
    <n v="299.89999999999998"/>
    <n v="2699.1"/>
    <s v="Cash"/>
    <x v="0"/>
  </r>
  <r>
    <s v="ORD-2027871"/>
    <s v="22 Mon"/>
    <s v="Dec"/>
    <s v="2025"/>
    <s v="CUST-1133"/>
    <s v="Kunal Mehta"/>
    <x v="3"/>
    <s v="Home &amp; Kitchen"/>
    <s v="LED Desk Lamp"/>
    <n v="1"/>
    <n v="799"/>
    <n v="799"/>
    <n v="30"/>
    <n v="239.7"/>
    <n v="559.29999999999995"/>
    <s v="Debit Card"/>
    <x v="0"/>
  </r>
  <r>
    <s v="ORD-2027872"/>
    <s v="22 Mon"/>
    <s v="Dec"/>
    <s v="2025"/>
    <s v="CUST-1278"/>
    <s v="Meera Verma"/>
    <x v="4"/>
    <s v="Home &amp; Kitchen"/>
    <s v="Non-stick Pan Set"/>
    <n v="1"/>
    <n v="1299"/>
    <n v="1299"/>
    <n v="0"/>
    <n v="0"/>
    <n v="1299"/>
    <s v="Debit Card"/>
    <x v="0"/>
  </r>
  <r>
    <s v="ORD-2027873"/>
    <s v="22 Mon"/>
    <s v="Dec"/>
    <s v="2025"/>
    <s v="CUST-1159"/>
    <s v="Isha Kapoor"/>
    <x v="3"/>
    <s v="Home &amp; Kitchen"/>
    <s v="LED Desk Lamp"/>
    <n v="2"/>
    <n v="799"/>
    <n v="1598"/>
    <n v="25"/>
    <n v="399.5"/>
    <n v="1198.5"/>
    <s v="Net Banking"/>
    <x v="1"/>
  </r>
  <r>
    <s v="ORD-2027874"/>
    <s v="22 Mon"/>
    <s v="Dec"/>
    <s v="2025"/>
    <s v="CUST-1343"/>
    <s v="Tanya Sharma"/>
    <x v="2"/>
    <s v="Stationery"/>
    <s v="Gel Pen Pack"/>
    <n v="1"/>
    <n v="99"/>
    <n v="99"/>
    <n v="5"/>
    <n v="4.95"/>
    <n v="94.05"/>
    <s v="Credit Card"/>
    <x v="1"/>
  </r>
  <r>
    <s v="ORD-2027875"/>
    <s v="23 Tue"/>
    <s v="Dec"/>
    <s v="2025"/>
    <s v="CUST-1369"/>
    <s v="Rohan Sharma"/>
    <x v="4"/>
    <s v="Electronics"/>
    <s v="Wireless Mouse"/>
    <n v="2"/>
    <n v="599"/>
    <n v="1198"/>
    <n v="15"/>
    <n v="179.7"/>
    <n v="1018.3"/>
    <s v="Debit Card"/>
    <x v="0"/>
  </r>
  <r>
    <s v="ORD-2027876"/>
    <s v="23 Tue"/>
    <s v="Dec"/>
    <s v="2025"/>
    <s v="CUST-1180"/>
    <s v="Muskan Joshi"/>
    <x v="2"/>
    <s v="Groceries"/>
    <s v="Organic Honey 500g"/>
    <n v="1"/>
    <n v="349"/>
    <n v="349"/>
    <n v="5"/>
    <n v="17.45"/>
    <n v="331.55"/>
    <s v="Debit Card"/>
    <x v="0"/>
  </r>
  <r>
    <s v="ORD-2027877"/>
    <s v="23 Tue"/>
    <s v="Dec"/>
    <s v="2025"/>
    <s v="CUST-1103"/>
    <s v="Muskan Gupta"/>
    <x v="0"/>
    <s v="Apparel"/>
    <s v="Formal Shirt"/>
    <n v="1"/>
    <n v="899"/>
    <n v="899"/>
    <n v="15"/>
    <n v="134.85"/>
    <n v="764.15"/>
    <s v="UPI"/>
    <x v="0"/>
  </r>
  <r>
    <s v="ORD-2027878"/>
    <s v="23 Tue"/>
    <s v="Dec"/>
    <s v="2025"/>
    <s v="CUST-1094"/>
    <s v="Swati Kapoor"/>
    <x v="0"/>
    <s v="Sports"/>
    <s v="Cricket Bat"/>
    <n v="1"/>
    <n v="1499"/>
    <n v="1499"/>
    <n v="0"/>
    <n v="0"/>
    <n v="1499"/>
    <s v="UPI"/>
    <x v="1"/>
  </r>
  <r>
    <s v="ORD-2027879"/>
    <s v="23 Tue"/>
    <s v="Dec"/>
    <s v="2025"/>
    <s v="CUST-1252"/>
    <s v="Arjun Singh"/>
    <x v="4"/>
    <s v="Stationery"/>
    <s v="Gel Pen Pack"/>
    <n v="3"/>
    <n v="99"/>
    <n v="297"/>
    <n v="5"/>
    <n v="14.85"/>
    <n v="282.14999999999998"/>
    <s v="Debit Card"/>
    <x v="0"/>
  </r>
  <r>
    <s v="ORD-2027880"/>
    <s v="23 Tue"/>
    <s v="Dec"/>
    <s v="2025"/>
    <s v="CUST-1045"/>
    <s v="Arjun Verma"/>
    <x v="4"/>
    <s v="Apparel"/>
    <s v="Denim Jacket"/>
    <n v="1"/>
    <n v="1999"/>
    <n v="1999"/>
    <n v="20"/>
    <n v="399.8"/>
    <n v="1599.2"/>
    <s v="Cash"/>
    <x v="1"/>
  </r>
  <r>
    <s v="ORD-2027881"/>
    <s v="23 Tue"/>
    <s v="Dec"/>
    <s v="2025"/>
    <s v="CUST-1221"/>
    <s v="Kunal Singh"/>
    <x v="3"/>
    <s v="Electronics"/>
    <s v="Smartwatch"/>
    <n v="1"/>
    <n v="2999"/>
    <n v="2999"/>
    <n v="25"/>
    <n v="749.75"/>
    <n v="2249.25"/>
    <s v="UPI"/>
    <x v="1"/>
  </r>
  <r>
    <s v="ORD-2027882"/>
    <s v="23 Tue"/>
    <s v="Dec"/>
    <s v="2025"/>
    <s v="CUST-1295"/>
    <s v="Tanya Singh"/>
    <x v="2"/>
    <s v="Stationery"/>
    <s v="Gel Pen Pack"/>
    <n v="2"/>
    <n v="99"/>
    <n v="198"/>
    <n v="5"/>
    <n v="9.9"/>
    <n v="188.1"/>
    <s v="Credit Card"/>
    <x v="0"/>
  </r>
  <r>
    <s v="ORD-2027883"/>
    <s v="23 Tue"/>
    <s v="Dec"/>
    <s v="2025"/>
    <s v="CUST-1042"/>
    <s v="Kunal Saxena"/>
    <x v="1"/>
    <s v="Stationery"/>
    <s v="Notebook Set"/>
    <n v="1"/>
    <n v="199"/>
    <n v="199"/>
    <n v="20"/>
    <n v="39.799999999999997"/>
    <n v="159.19999999999999"/>
    <s v="Cash"/>
    <x v="1"/>
  </r>
  <r>
    <s v="ORD-2027884"/>
    <s v="24 Wed"/>
    <s v="Dec"/>
    <s v="2025"/>
    <s v="CUST-1278"/>
    <s v="Meera Verma"/>
    <x v="1"/>
    <s v="Groceries"/>
    <s v="Organic Honey 500g"/>
    <n v="2"/>
    <n v="349"/>
    <n v="698"/>
    <n v="5"/>
    <n v="34.9"/>
    <n v="663.1"/>
    <s v="Net Banking"/>
    <x v="1"/>
  </r>
  <r>
    <s v="ORD-2027885"/>
    <s v="24 Wed"/>
    <s v="Dec"/>
    <s v="2025"/>
    <s v="CUST-1090"/>
    <s v="Aarav Joshi"/>
    <x v="1"/>
    <s v="Apparel"/>
    <s v="Formal Shirt"/>
    <n v="1"/>
    <n v="899"/>
    <n v="899"/>
    <n v="0"/>
    <n v="0"/>
    <n v="899"/>
    <s v="Credit Card"/>
    <x v="0"/>
  </r>
  <r>
    <s v="ORD-2027886"/>
    <s v="24 Wed"/>
    <s v="Dec"/>
    <s v="2025"/>
    <s v="CUST-1364"/>
    <s v="Rahul Malhotra"/>
    <x v="2"/>
    <s v="Home &amp; Kitchen"/>
    <s v="Non-stick Pan Set"/>
    <n v="1"/>
    <n v="1299"/>
    <n v="1299"/>
    <n v="15"/>
    <n v="194.85"/>
    <n v="1104.1500000000001"/>
    <s v="Credit Card"/>
    <x v="0"/>
  </r>
  <r>
    <s v="ORD-2027887"/>
    <s v="24 Wed"/>
    <s v="Dec"/>
    <s v="2025"/>
    <s v="CUST-1326"/>
    <s v="Rohan Verma"/>
    <x v="1"/>
    <s v="Stationery"/>
    <s v="Gel Pen Pack"/>
    <n v="1"/>
    <n v="99"/>
    <n v="99"/>
    <n v="25"/>
    <n v="24.75"/>
    <n v="74.25"/>
    <s v="Debit Card"/>
    <x v="0"/>
  </r>
  <r>
    <s v="ORD-2027888"/>
    <s v="24 Wed"/>
    <s v="Dec"/>
    <s v="2025"/>
    <s v="CUST-1036"/>
    <s v="Nandini Mehta"/>
    <x v="3"/>
    <s v="Beauty"/>
    <s v="Face Wash 100ml"/>
    <n v="1"/>
    <n v="299"/>
    <n v="299"/>
    <n v="5"/>
    <n v="14.95"/>
    <n v="284.05"/>
    <s v="UPI"/>
    <x v="0"/>
  </r>
  <r>
    <s v="ORD-2027889"/>
    <s v="24 Wed"/>
    <s v="Dec"/>
    <s v="2025"/>
    <s v="CUST-1102"/>
    <s v="Aarav Patel"/>
    <x v="3"/>
    <s v="Electronics"/>
    <s v="Smartwatch"/>
    <n v="3"/>
    <n v="2999"/>
    <n v="8997"/>
    <n v="5"/>
    <n v="449.85"/>
    <n v="8547.15"/>
    <s v="Net Banking"/>
    <x v="1"/>
  </r>
  <r>
    <s v="ORD-2027890"/>
    <s v="24 Wed"/>
    <s v="Dec"/>
    <s v="2025"/>
    <s v="CUST-1237"/>
    <s v="Divya Sharma"/>
    <x v="1"/>
    <s v="Home &amp; Kitchen"/>
    <s v="LED Desk Lamp"/>
    <n v="5"/>
    <n v="799"/>
    <n v="3995"/>
    <n v="20"/>
    <n v="799"/>
    <n v="3196"/>
    <s v="Cash"/>
    <x v="0"/>
  </r>
  <r>
    <s v="ORD-2027891"/>
    <s v="24 Wed"/>
    <s v="Dec"/>
    <s v="2025"/>
    <s v="CUST-1131"/>
    <s v="Aarav Sharma"/>
    <x v="1"/>
    <s v="Home &amp; Kitchen"/>
    <s v="LED Desk Lamp"/>
    <n v="3"/>
    <n v="799"/>
    <n v="2397"/>
    <n v="15"/>
    <n v="359.55"/>
    <n v="2037.45"/>
    <s v="Cash"/>
    <x v="0"/>
  </r>
  <r>
    <s v="ORD-2027892"/>
    <s v="24 Wed"/>
    <s v="Dec"/>
    <s v="2025"/>
    <s v="CUST-1164"/>
    <s v="Kabir Malhotra"/>
    <x v="3"/>
    <s v="Sports"/>
    <s v="Yoga Mat"/>
    <n v="4"/>
    <n v="699"/>
    <n v="2796"/>
    <n v="0"/>
    <n v="0"/>
    <n v="2796"/>
    <s v="Debit Card"/>
    <x v="0"/>
  </r>
  <r>
    <s v="ORD-2027893"/>
    <s v="24 Wed"/>
    <s v="Dec"/>
    <s v="2025"/>
    <s v="CUST-1053"/>
    <s v="Vivaan Malhotra"/>
    <x v="1"/>
    <s v="Groceries"/>
    <s v="Organic Honey 500g"/>
    <n v="1"/>
    <n v="349"/>
    <n v="349"/>
    <n v="10"/>
    <n v="34.9"/>
    <n v="314.10000000000002"/>
    <s v="Debit Card"/>
    <x v="0"/>
  </r>
  <r>
    <s v="ORD-2027894"/>
    <s v="24 Wed"/>
    <s v="Dec"/>
    <s v="2025"/>
    <s v="CUST-1375"/>
    <s v="Kunal Joshi"/>
    <x v="1"/>
    <s v="Beauty"/>
    <s v="Face Wash 100ml"/>
    <n v="2"/>
    <n v="299"/>
    <n v="598"/>
    <n v="30"/>
    <n v="179.4"/>
    <n v="418.6"/>
    <s v="Credit Card"/>
    <x v="0"/>
  </r>
  <r>
    <s v="ORD-2027895"/>
    <s v="24 Wed"/>
    <s v="Dec"/>
    <s v="2025"/>
    <s v="CUST-1257"/>
    <s v="Shreya Saxena"/>
    <x v="1"/>
    <s v="Groceries"/>
    <s v="Organic Honey 500g"/>
    <n v="2"/>
    <n v="349"/>
    <n v="698"/>
    <n v="30"/>
    <n v="209.4"/>
    <n v="488.6"/>
    <s v="UPI"/>
    <x v="0"/>
  </r>
  <r>
    <s v="ORD-2027896"/>
    <s v="24 Wed"/>
    <s v="Dec"/>
    <s v="2025"/>
    <s v="CUST-1231"/>
    <s v="Divya Gupta"/>
    <x v="1"/>
    <s v="Electronics"/>
    <s v="Wireless Mouse"/>
    <n v="2"/>
    <n v="599"/>
    <n v="1198"/>
    <n v="0"/>
    <n v="0"/>
    <n v="1198"/>
    <s v="UPI"/>
    <x v="1"/>
  </r>
  <r>
    <s v="ORD-2027897"/>
    <s v="25 Thu"/>
    <s v="Dec"/>
    <s v="2025"/>
    <s v="CUST-1252"/>
    <s v="Arjun Singh"/>
    <x v="0"/>
    <s v="Stationery"/>
    <s v="Gel Pen Pack"/>
    <n v="4"/>
    <n v="99"/>
    <n v="396"/>
    <n v="30"/>
    <n v="118.8"/>
    <n v="277.2"/>
    <s v="UPI"/>
    <x v="0"/>
  </r>
  <r>
    <s v="ORD-2027898"/>
    <s v="25 Thu"/>
    <s v="Dec"/>
    <s v="2025"/>
    <s v="CUST-1171"/>
    <s v="Ankit Verma"/>
    <x v="2"/>
    <s v="Sports"/>
    <s v="Cricket Bat"/>
    <n v="1"/>
    <n v="1499"/>
    <n v="1499"/>
    <n v="5"/>
    <n v="74.95"/>
    <n v="1424.05"/>
    <s v="Credit Card"/>
    <x v="0"/>
  </r>
  <r>
    <s v="ORD-2027899"/>
    <s v="25 Thu"/>
    <s v="Dec"/>
    <s v="2025"/>
    <s v="CUST-1048"/>
    <s v="Divya Mehta"/>
    <x v="2"/>
    <s v="Sports"/>
    <s v="Cricket Bat"/>
    <n v="4"/>
    <n v="1499"/>
    <n v="5996"/>
    <n v="0"/>
    <n v="0"/>
    <n v="5996"/>
    <s v="Cash"/>
    <x v="1"/>
  </r>
  <r>
    <s v="ORD-2027900"/>
    <s v="25 Thu"/>
    <s v="Dec"/>
    <s v="2025"/>
    <s v="CUST-1383"/>
    <s v="Aman Gupta"/>
    <x v="4"/>
    <s v="Stationery"/>
    <s v="Gel Pen Pack"/>
    <n v="3"/>
    <n v="99"/>
    <n v="297"/>
    <n v="0"/>
    <n v="0"/>
    <n v="297"/>
    <s v="Debit Card"/>
    <x v="1"/>
  </r>
  <r>
    <s v="ORD-2027901"/>
    <s v="25 Thu"/>
    <s v="Dec"/>
    <s v="2025"/>
    <s v="CUST-1294"/>
    <s v="Kabir Joshi"/>
    <x v="0"/>
    <s v="Electronics"/>
    <s v="Smartwatch"/>
    <n v="3"/>
    <n v="2999"/>
    <n v="8997"/>
    <n v="15"/>
    <n v="1349.55"/>
    <n v="7647.45"/>
    <s v="UPI"/>
    <x v="0"/>
  </r>
  <r>
    <s v="ORD-2027902"/>
    <s v="25 Thu"/>
    <s v="Dec"/>
    <s v="2025"/>
    <s v="CUST-1109"/>
    <s v="Kabir Mehta"/>
    <x v="4"/>
    <s v="Apparel"/>
    <s v="Denim Jacket"/>
    <n v="2"/>
    <n v="1999"/>
    <n v="3998"/>
    <n v="20"/>
    <n v="799.6"/>
    <n v="3198.4"/>
    <s v="UPI"/>
    <x v="0"/>
  </r>
  <r>
    <s v="ORD-2027903"/>
    <s v="25 Thu"/>
    <s v="Dec"/>
    <s v="2025"/>
    <s v="CUST-1338"/>
    <s v="Komal Malhotra"/>
    <x v="2"/>
    <s v="Apparel"/>
    <s v="Formal Shirt"/>
    <n v="3"/>
    <n v="899"/>
    <n v="2697"/>
    <n v="5"/>
    <n v="134.85"/>
    <n v="2562.15"/>
    <s v="UPI"/>
    <x v="0"/>
  </r>
  <r>
    <s v="ORD-2027904"/>
    <s v="25 Thu"/>
    <s v="Dec"/>
    <s v="2025"/>
    <s v="CUST-1239"/>
    <s v="Rohan Malhotra"/>
    <x v="1"/>
    <s v="Stationery"/>
    <s v="Notebook Set"/>
    <n v="4"/>
    <n v="199"/>
    <n v="796"/>
    <n v="15"/>
    <n v="119.4"/>
    <n v="676.6"/>
    <s v="Cash"/>
    <x v="1"/>
  </r>
  <r>
    <s v="ORD-2027905"/>
    <s v="25 Thu"/>
    <s v="Dec"/>
    <s v="2025"/>
    <s v="CUST-1333"/>
    <s v="Aarav Gupta"/>
    <x v="2"/>
    <s v="Apparel"/>
    <s v="Formal Shirt"/>
    <n v="1"/>
    <n v="899"/>
    <n v="899"/>
    <n v="20"/>
    <n v="179.8"/>
    <n v="719.2"/>
    <s v="UPI"/>
    <x v="0"/>
  </r>
  <r>
    <s v="ORD-2027906"/>
    <s v="25 Thu"/>
    <s v="Dec"/>
    <s v="2025"/>
    <s v="CUST-1188"/>
    <s v="Shreya Malhotra"/>
    <x v="4"/>
    <s v="Apparel"/>
    <s v="Formal Shirt"/>
    <n v="1"/>
    <n v="899"/>
    <n v="899"/>
    <n v="30"/>
    <n v="269.7"/>
    <n v="629.29999999999995"/>
    <s v="Net Banking"/>
    <x v="1"/>
  </r>
  <r>
    <s v="ORD-2027907"/>
    <s v="25 Thu"/>
    <s v="Dec"/>
    <s v="2025"/>
    <s v="CUST-1339"/>
    <s v="Aarav Patel"/>
    <x v="2"/>
    <s v="Home &amp; Kitchen"/>
    <s v="Non-stick Pan Set"/>
    <n v="1"/>
    <n v="1299"/>
    <n v="1299"/>
    <n v="30"/>
    <n v="389.7"/>
    <n v="909.3"/>
    <s v="Debit Card"/>
    <x v="0"/>
  </r>
  <r>
    <s v="ORD-2027908"/>
    <s v="25 Thu"/>
    <s v="Dec"/>
    <s v="2025"/>
    <s v="CUST-1350"/>
    <s v="Isha Kapoor"/>
    <x v="3"/>
    <s v="Groceries"/>
    <s v="Basmati Rice 5kg"/>
    <n v="2"/>
    <n v="549"/>
    <n v="1098"/>
    <n v="10"/>
    <n v="109.8"/>
    <n v="988.2"/>
    <s v="Credit Card"/>
    <x v="0"/>
  </r>
  <r>
    <s v="ORD-2027909"/>
    <s v="25 Thu"/>
    <s v="Dec"/>
    <s v="2025"/>
    <s v="CUST-1114"/>
    <s v="Vivaan Malhotra"/>
    <x v="1"/>
    <s v="Sports"/>
    <s v="Cricket Bat"/>
    <n v="3"/>
    <n v="1499"/>
    <n v="4497"/>
    <n v="0"/>
    <n v="0"/>
    <n v="4497"/>
    <s v="Debit Card"/>
    <x v="0"/>
  </r>
  <r>
    <s v="ORD-2027910"/>
    <s v="26 Fri"/>
    <s v="Dec"/>
    <s v="2025"/>
    <s v="CUST-1153"/>
    <s v="Swati Verma"/>
    <x v="0"/>
    <s v="Stationery"/>
    <s v="Notebook Set"/>
    <n v="2"/>
    <n v="199"/>
    <n v="398"/>
    <n v="15"/>
    <n v="59.7"/>
    <n v="338.3"/>
    <s v="Debit Card"/>
    <x v="0"/>
  </r>
  <r>
    <s v="ORD-2027911"/>
    <s v="26 Fri"/>
    <s v="Dec"/>
    <s v="2025"/>
    <s v="CUST-1091"/>
    <s v="Kabir Gupta"/>
    <x v="0"/>
    <s v="Home &amp; Kitchen"/>
    <s v="Non-stick Pan Set"/>
    <n v="1"/>
    <n v="1299"/>
    <n v="1299"/>
    <n v="15"/>
    <n v="194.85"/>
    <n v="1104.1500000000001"/>
    <s v="Debit Card"/>
    <x v="0"/>
  </r>
  <r>
    <s v="ORD-2027912"/>
    <s v="26 Fri"/>
    <s v="Dec"/>
    <s v="2025"/>
    <s v="CUST-1059"/>
    <s v="Kunal Verma"/>
    <x v="4"/>
    <s v="Stationery"/>
    <s v="Notebook Set"/>
    <n v="2"/>
    <n v="199"/>
    <n v="398"/>
    <n v="30"/>
    <n v="119.4"/>
    <n v="278.60000000000002"/>
    <s v="Credit Card"/>
    <x v="0"/>
  </r>
  <r>
    <s v="ORD-2027913"/>
    <s v="26 Fri"/>
    <s v="Dec"/>
    <s v="2025"/>
    <s v="CUST-1205"/>
    <s v="Aman Sharma"/>
    <x v="0"/>
    <s v="Groceries"/>
    <s v="Organic Honey 500g"/>
    <n v="3"/>
    <n v="349"/>
    <n v="1047"/>
    <n v="20"/>
    <n v="209.4"/>
    <n v="837.6"/>
    <s v="Debit Card"/>
    <x v="0"/>
  </r>
  <r>
    <s v="ORD-2027914"/>
    <s v="26 Fri"/>
    <s v="Dec"/>
    <s v="2025"/>
    <s v="CUST-1091"/>
    <s v="Kabir Gupta"/>
    <x v="0"/>
    <s v="Stationery"/>
    <s v="Notebook Set"/>
    <n v="1"/>
    <n v="199"/>
    <n v="199"/>
    <n v="20"/>
    <n v="39.799999999999997"/>
    <n v="159.19999999999999"/>
    <s v="Cash"/>
    <x v="0"/>
  </r>
  <r>
    <s v="ORD-2027915"/>
    <s v="26 Fri"/>
    <s v="Dec"/>
    <s v="2025"/>
    <s v="CUST-1075"/>
    <s v="Divya Patel"/>
    <x v="4"/>
    <s v="Home &amp; Kitchen"/>
    <s v="LED Desk Lamp"/>
    <n v="2"/>
    <n v="799"/>
    <n v="1598"/>
    <n v="10"/>
    <n v="159.80000000000001"/>
    <n v="1438.2"/>
    <s v="Cash"/>
    <x v="1"/>
  </r>
  <r>
    <s v="ORD-2027916"/>
    <s v="26 Fri"/>
    <s v="Dec"/>
    <s v="2025"/>
    <s v="CUST-1204"/>
    <s v="Meera Mehta"/>
    <x v="4"/>
    <s v="Beauty"/>
    <s v="Herbal Shampoo"/>
    <n v="1"/>
    <n v="249"/>
    <n v="249"/>
    <n v="10"/>
    <n v="24.9"/>
    <n v="224.1"/>
    <s v="Net Banking"/>
    <x v="0"/>
  </r>
  <r>
    <s v="ORD-2027917"/>
    <s v="26 Fri"/>
    <s v="Dec"/>
    <s v="2025"/>
    <s v="CUST-1382"/>
    <s v="Meera Verma"/>
    <x v="1"/>
    <s v="Apparel"/>
    <s v="Denim Jacket"/>
    <n v="1"/>
    <n v="1999"/>
    <n v="1999"/>
    <n v="30"/>
    <n v="599.70000000000005"/>
    <n v="1399.3"/>
    <s v="Debit Card"/>
    <x v="0"/>
  </r>
  <r>
    <s v="ORD-2027918"/>
    <s v="26 Fri"/>
    <s v="Dec"/>
    <s v="2025"/>
    <s v="CUST-1052"/>
    <s v="Meera Verma"/>
    <x v="3"/>
    <s v="Beauty"/>
    <s v="Face Wash 100ml"/>
    <n v="3"/>
    <n v="299"/>
    <n v="897"/>
    <n v="25"/>
    <n v="224.25"/>
    <n v="672.75"/>
    <s v="UPI"/>
    <x v="0"/>
  </r>
  <r>
    <s v="ORD-2027919"/>
    <s v="26 Fri"/>
    <s v="Dec"/>
    <s v="2025"/>
    <s v="CUST-1249"/>
    <s v="Kabir Sharma"/>
    <x v="2"/>
    <s v="Sports"/>
    <s v="Cricket Bat"/>
    <n v="1"/>
    <n v="1499"/>
    <n v="1499"/>
    <n v="10"/>
    <n v="149.9"/>
    <n v="1349.1"/>
    <s v="Debit Card"/>
    <x v="0"/>
  </r>
  <r>
    <s v="ORD-2027920"/>
    <s v="26 Fri"/>
    <s v="Dec"/>
    <s v="2025"/>
    <s v="CUST-1384"/>
    <s v="Vivaan Singh"/>
    <x v="2"/>
    <s v="Groceries"/>
    <s v="Basmati Rice 5kg"/>
    <n v="1"/>
    <n v="549"/>
    <n v="549"/>
    <n v="10"/>
    <n v="54.9"/>
    <n v="494.1"/>
    <s v="UPI"/>
    <x v="1"/>
  </r>
  <r>
    <s v="ORD-2027921"/>
    <s v="26 Fri"/>
    <s v="Dec"/>
    <s v="2025"/>
    <s v="CUST-1125"/>
    <s v="Muskan Malhotra"/>
    <x v="1"/>
    <s v="Electronics"/>
    <s v="Bluetooth Headphones"/>
    <n v="2"/>
    <n v="1799"/>
    <n v="3598"/>
    <n v="20"/>
    <n v="719.6"/>
    <n v="2878.4"/>
    <s v="Debit Card"/>
    <x v="1"/>
  </r>
  <r>
    <s v="ORD-2027922"/>
    <s v="26 Fri"/>
    <s v="Dec"/>
    <s v="2025"/>
    <s v="CUST-1338"/>
    <s v="Komal Malhotra"/>
    <x v="2"/>
    <s v="Electronics"/>
    <s v="Wireless Mouse"/>
    <n v="4"/>
    <n v="599"/>
    <n v="2396"/>
    <n v="20"/>
    <n v="479.2"/>
    <n v="1916.8"/>
    <s v="Cash"/>
    <x v="0"/>
  </r>
  <r>
    <s v="ORD-2027923"/>
    <s v="26 Fri"/>
    <s v="Dec"/>
    <s v="2025"/>
    <s v="CUST-1156"/>
    <s v="Nandini Joshi"/>
    <x v="3"/>
    <s v="Beauty"/>
    <s v="Herbal Shampoo"/>
    <n v="1"/>
    <n v="249"/>
    <n v="249"/>
    <n v="15"/>
    <n v="37.35"/>
    <n v="211.65"/>
    <s v="Credit Card"/>
    <x v="0"/>
  </r>
  <r>
    <s v="ORD-2027924"/>
    <s v="27 Sat"/>
    <s v="Dec"/>
    <s v="2025"/>
    <s v="CUST-1120"/>
    <s v="Divya Kapoor"/>
    <x v="1"/>
    <s v="Electronics"/>
    <s v="Wireless Mouse"/>
    <n v="2"/>
    <n v="599"/>
    <n v="1198"/>
    <n v="15"/>
    <n v="179.7"/>
    <n v="1018.3"/>
    <s v="UPI"/>
    <x v="0"/>
  </r>
  <r>
    <s v="ORD-2027925"/>
    <s v="27 Sat"/>
    <s v="Dec"/>
    <s v="2025"/>
    <s v="CUST-1247"/>
    <s v="Meera Malhotra"/>
    <x v="4"/>
    <s v="Electronics"/>
    <s v="Smartwatch"/>
    <n v="1"/>
    <n v="2999"/>
    <n v="2999"/>
    <n v="20"/>
    <n v="599.79999999999995"/>
    <n v="2399.1999999999998"/>
    <s v="UPI"/>
    <x v="0"/>
  </r>
  <r>
    <s v="ORD-2027926"/>
    <s v="27 Sat"/>
    <s v="Dec"/>
    <s v="2025"/>
    <s v="CUST-1326"/>
    <s v="Rohan Verma"/>
    <x v="3"/>
    <s v="Home &amp; Kitchen"/>
    <s v="LED Desk Lamp"/>
    <n v="1"/>
    <n v="799"/>
    <n v="799"/>
    <n v="5"/>
    <n v="39.950000000000003"/>
    <n v="759.05"/>
    <s v="Debit Card"/>
    <x v="0"/>
  </r>
  <r>
    <s v="ORD-2027927"/>
    <s v="27 Sat"/>
    <s v="Dec"/>
    <s v="2025"/>
    <s v="CUST-1089"/>
    <s v="Arjun Verma"/>
    <x v="2"/>
    <s v="Electronics"/>
    <s v="Bluetooth Headphones"/>
    <n v="1"/>
    <n v="1799"/>
    <n v="1799"/>
    <n v="30"/>
    <n v="539.70000000000005"/>
    <n v="1259.3"/>
    <s v="Cash"/>
    <x v="0"/>
  </r>
  <r>
    <s v="ORD-2027928"/>
    <s v="27 Sat"/>
    <s v="Dec"/>
    <s v="2025"/>
    <s v="CUST-1389"/>
    <s v="Ankit Mehta"/>
    <x v="3"/>
    <s v="Stationery"/>
    <s v="Notebook Set"/>
    <n v="4"/>
    <n v="199"/>
    <n v="796"/>
    <n v="25"/>
    <n v="199"/>
    <n v="597"/>
    <s v="Cash"/>
    <x v="1"/>
  </r>
  <r>
    <s v="ORD-2027929"/>
    <s v="27 Sat"/>
    <s v="Dec"/>
    <s v="2025"/>
    <s v="CUST-1009"/>
    <s v="Shreya Gupta"/>
    <x v="0"/>
    <s v="Beauty"/>
    <s v="Herbal Shampoo"/>
    <n v="3"/>
    <n v="249"/>
    <n v="747"/>
    <n v="25"/>
    <n v="186.75"/>
    <n v="560.25"/>
    <s v="Debit Card"/>
    <x v="0"/>
  </r>
  <r>
    <s v="ORD-2027930"/>
    <s v="27 Sat"/>
    <s v="Dec"/>
    <s v="2025"/>
    <s v="CUST-1038"/>
    <s v="Rohan Joshi"/>
    <x v="1"/>
    <s v="Electronics"/>
    <s v="Bluetooth Headphones"/>
    <n v="3"/>
    <n v="1799"/>
    <n v="5397"/>
    <n v="15"/>
    <n v="809.55"/>
    <n v="4587.45"/>
    <s v="UPI"/>
    <x v="0"/>
  </r>
  <r>
    <s v="ORD-2027931"/>
    <s v="27 Sat"/>
    <s v="Dec"/>
    <s v="2025"/>
    <s v="CUST-1290"/>
    <s v="Kabir Mehta"/>
    <x v="1"/>
    <s v="Groceries"/>
    <s v="Basmati Rice 5kg"/>
    <n v="1"/>
    <n v="549"/>
    <n v="549"/>
    <n v="20"/>
    <n v="109.8"/>
    <n v="439.2"/>
    <s v="Debit Card"/>
    <x v="1"/>
  </r>
  <r>
    <s v="ORD-2027932"/>
    <s v="27 Sat"/>
    <s v="Dec"/>
    <s v="2025"/>
    <s v="CUST-1089"/>
    <s v="Arjun Verma"/>
    <x v="0"/>
    <s v="Sports"/>
    <s v="Cricket Bat"/>
    <n v="3"/>
    <n v="1499"/>
    <n v="4497"/>
    <n v="0"/>
    <n v="0"/>
    <n v="4497"/>
    <s v="Debit Card"/>
    <x v="1"/>
  </r>
  <r>
    <s v="ORD-2027933"/>
    <s v="27 Sat"/>
    <s v="Dec"/>
    <s v="2025"/>
    <s v="CUST-1018"/>
    <s v="Aditya Gupta"/>
    <x v="1"/>
    <s v="Stationery"/>
    <s v="Gel Pen Pack"/>
    <n v="2"/>
    <n v="99"/>
    <n v="198"/>
    <n v="5"/>
    <n v="9.9"/>
    <n v="188.1"/>
    <s v="Credit Card"/>
    <x v="1"/>
  </r>
  <r>
    <s v="ORD-2027934"/>
    <s v="27 Sat"/>
    <s v="Dec"/>
    <s v="2025"/>
    <s v="CUST-1009"/>
    <s v="Shreya Gupta"/>
    <x v="3"/>
    <s v="Electronics"/>
    <s v="Smartwatch"/>
    <n v="2"/>
    <n v="2999"/>
    <n v="5998"/>
    <n v="5"/>
    <n v="299.89999999999998"/>
    <n v="5698.1"/>
    <s v="UPI"/>
    <x v="0"/>
  </r>
  <r>
    <s v="ORD-2027935"/>
    <s v="27 Sat"/>
    <s v="Dec"/>
    <s v="2025"/>
    <s v="CUST-1018"/>
    <s v="Aditya Gupta"/>
    <x v="1"/>
    <s v="Groceries"/>
    <s v="Organic Honey 500g"/>
    <n v="1"/>
    <n v="349"/>
    <n v="349"/>
    <n v="20"/>
    <n v="69.8"/>
    <n v="279.2"/>
    <s v="Debit Card"/>
    <x v="0"/>
  </r>
  <r>
    <s v="ORD-2027936"/>
    <s v="27 Sat"/>
    <s v="Dec"/>
    <s v="2025"/>
    <s v="CUST-1251"/>
    <s v="Aarav Singh"/>
    <x v="0"/>
    <s v="Electronics"/>
    <s v="Smartwatch"/>
    <n v="2"/>
    <n v="2999"/>
    <n v="5998"/>
    <n v="0"/>
    <n v="0"/>
    <n v="5998"/>
    <s v="Net Banking"/>
    <x v="0"/>
  </r>
  <r>
    <s v="ORD-2027937"/>
    <s v="27 Sat"/>
    <s v="Dec"/>
    <s v="2025"/>
    <s v="CUST-1389"/>
    <s v="Ankit Mehta"/>
    <x v="2"/>
    <s v="Home &amp; Kitchen"/>
    <s v="Non-stick Pan Set"/>
    <n v="1"/>
    <n v="1299"/>
    <n v="1299"/>
    <n v="10"/>
    <n v="129.9"/>
    <n v="1169.0999999999999"/>
    <s v="Net Banking"/>
    <x v="0"/>
  </r>
  <r>
    <s v="ORD-2027938"/>
    <s v="28 Sun"/>
    <s v="Dec"/>
    <s v="2025"/>
    <s v="CUST-1109"/>
    <s v="Kabir Mehta"/>
    <x v="1"/>
    <s v="Sports"/>
    <s v="Cricket Bat"/>
    <n v="1"/>
    <n v="1499"/>
    <n v="1499"/>
    <n v="30"/>
    <n v="449.7"/>
    <n v="1049.3"/>
    <s v="UPI"/>
    <x v="0"/>
  </r>
  <r>
    <s v="ORD-2027939"/>
    <s v="28 Sun"/>
    <s v="Dec"/>
    <s v="2025"/>
    <s v="CUST-1145"/>
    <s v="Kunal Joshi"/>
    <x v="0"/>
    <s v="Groceries"/>
    <s v="Basmati Rice 5kg"/>
    <n v="2"/>
    <n v="549"/>
    <n v="1098"/>
    <n v="20"/>
    <n v="219.6"/>
    <n v="878.4"/>
    <s v="Debit Card"/>
    <x v="0"/>
  </r>
  <r>
    <s v="ORD-2027940"/>
    <s v="28 Sun"/>
    <s v="Dec"/>
    <s v="2025"/>
    <s v="CUST-1127"/>
    <s v="Muskan Joshi"/>
    <x v="2"/>
    <s v="Apparel"/>
    <s v="Formal Shirt"/>
    <n v="5"/>
    <n v="899"/>
    <n v="4495"/>
    <n v="5"/>
    <n v="224.75"/>
    <n v="4270.25"/>
    <s v="Net Banking"/>
    <x v="0"/>
  </r>
  <r>
    <s v="ORD-2027941"/>
    <s v="28 Sun"/>
    <s v="Dec"/>
    <s v="2025"/>
    <s v="CUST-1282"/>
    <s v="Muskan Saxena"/>
    <x v="3"/>
    <s v="Stationery"/>
    <s v="Gel Pen Pack"/>
    <n v="3"/>
    <n v="99"/>
    <n v="297"/>
    <n v="25"/>
    <n v="74.25"/>
    <n v="222.75"/>
    <s v="Credit Card"/>
    <x v="0"/>
  </r>
  <r>
    <s v="ORD-2027942"/>
    <s v="28 Sun"/>
    <s v="Dec"/>
    <s v="2025"/>
    <s v="CUST-1050"/>
    <s v="Rohan Gupta"/>
    <x v="0"/>
    <s v="Electronics"/>
    <s v="Bluetooth Headphones"/>
    <n v="3"/>
    <n v="1799"/>
    <n v="5397"/>
    <n v="20"/>
    <n v="1079.4000000000001"/>
    <n v="4317.6000000000004"/>
    <s v="Debit Card"/>
    <x v="0"/>
  </r>
  <r>
    <s v="ORD-2027943"/>
    <s v="28 Sun"/>
    <s v="Dec"/>
    <s v="2025"/>
    <s v="CUST-1136"/>
    <s v="Kunal Patel"/>
    <x v="3"/>
    <s v="Stationery"/>
    <s v="Gel Pen Pack"/>
    <n v="1"/>
    <n v="99"/>
    <n v="99"/>
    <n v="25"/>
    <n v="24.75"/>
    <n v="74.25"/>
    <s v="UPI"/>
    <x v="1"/>
  </r>
  <r>
    <s v="ORD-2027944"/>
    <s v="28 Sun"/>
    <s v="Dec"/>
    <s v="2025"/>
    <s v="CUST-1271"/>
    <s v="Nandini Sharma"/>
    <x v="4"/>
    <s v="Electronics"/>
    <s v="Bluetooth Headphones"/>
    <n v="2"/>
    <n v="1799"/>
    <n v="3598"/>
    <n v="25"/>
    <n v="899.5"/>
    <n v="2698.5"/>
    <s v="UPI"/>
    <x v="1"/>
  </r>
  <r>
    <s v="ORD-2027945"/>
    <s v="28 Sun"/>
    <s v="Dec"/>
    <s v="2025"/>
    <s v="CUST-1157"/>
    <s v="Arjun Verma"/>
    <x v="1"/>
    <s v="Beauty"/>
    <s v="Herbal Shampoo"/>
    <n v="2"/>
    <n v="249"/>
    <n v="498"/>
    <n v="25"/>
    <n v="124.5"/>
    <n v="373.5"/>
    <s v="Cash"/>
    <x v="0"/>
  </r>
  <r>
    <s v="ORD-2027946"/>
    <s v="28 Sun"/>
    <s v="Dec"/>
    <s v="2025"/>
    <s v="CUST-1019"/>
    <s v="Aarav Joshi"/>
    <x v="1"/>
    <s v="Electronics"/>
    <s v="Smartwatch"/>
    <n v="2"/>
    <n v="2999"/>
    <n v="5998"/>
    <n v="20"/>
    <n v="1199.5999999999999"/>
    <n v="4798.3999999999996"/>
    <s v="Cash"/>
    <x v="1"/>
  </r>
  <r>
    <s v="ORD-2027947"/>
    <s v="28 Sun"/>
    <s v="Dec"/>
    <s v="2025"/>
    <s v="CUST-1194"/>
    <s v="Muskan Sharma"/>
    <x v="3"/>
    <s v="Stationery"/>
    <s v="Notebook Set"/>
    <n v="1"/>
    <n v="199"/>
    <n v="199"/>
    <n v="0"/>
    <n v="0"/>
    <n v="199"/>
    <s v="Credit Card"/>
    <x v="0"/>
  </r>
  <r>
    <s v="ORD-2027948"/>
    <s v="28 Sun"/>
    <s v="Dec"/>
    <s v="2025"/>
    <s v="CUST-1155"/>
    <s v="Aman Saxena"/>
    <x v="1"/>
    <s v="Apparel"/>
    <s v="Formal Shirt"/>
    <n v="1"/>
    <n v="899"/>
    <n v="899"/>
    <n v="10"/>
    <n v="89.9"/>
    <n v="809.1"/>
    <s v="Credit Card"/>
    <x v="0"/>
  </r>
  <r>
    <s v="ORD-2027949"/>
    <s v="28 Sun"/>
    <s v="Dec"/>
    <s v="2025"/>
    <s v="CUST-1353"/>
    <s v="Vivaan Gupta"/>
    <x v="3"/>
    <s v="Groceries"/>
    <s v="Organic Honey 500g"/>
    <n v="1"/>
    <n v="349"/>
    <n v="349"/>
    <n v="20"/>
    <n v="69.8"/>
    <n v="279.2"/>
    <s v="Debit Card"/>
    <x v="0"/>
  </r>
  <r>
    <s v="ORD-2027950"/>
    <s v="28 Sun"/>
    <s v="Dec"/>
    <s v="2025"/>
    <s v="CUST-1083"/>
    <s v="Komal Kapoor"/>
    <x v="3"/>
    <s v="Electronics"/>
    <s v="Smartwatch"/>
    <n v="1"/>
    <n v="2999"/>
    <n v="2999"/>
    <n v="30"/>
    <n v="899.7"/>
    <n v="2099.3000000000002"/>
    <s v="Debit Card"/>
    <x v="1"/>
  </r>
  <r>
    <s v="ORD-2027951"/>
    <s v="28 Sun"/>
    <s v="Dec"/>
    <s v="2025"/>
    <s v="CUST-1379"/>
    <s v="Divya Verma"/>
    <x v="1"/>
    <s v="Sports"/>
    <s v="Cricket Bat"/>
    <n v="1"/>
    <n v="1499"/>
    <n v="1499"/>
    <n v="25"/>
    <n v="374.75"/>
    <n v="1124.25"/>
    <s v="Credit Card"/>
    <x v="0"/>
  </r>
  <r>
    <s v="ORD-2027952"/>
    <s v="28 Sun"/>
    <s v="Dec"/>
    <s v="2025"/>
    <s v="CUST-1243"/>
    <s v="Aman Joshi"/>
    <x v="3"/>
    <s v="Beauty"/>
    <s v="Herbal Shampoo"/>
    <n v="1"/>
    <n v="249"/>
    <n v="249"/>
    <n v="15"/>
    <n v="37.35"/>
    <n v="211.65"/>
    <s v="Cash"/>
    <x v="1"/>
  </r>
  <r>
    <s v="ORD-2027953"/>
    <s v="29 Mon"/>
    <s v="Dec"/>
    <s v="2025"/>
    <s v="CUST-1217"/>
    <s v="Ankit Patel"/>
    <x v="2"/>
    <s v="Electronics"/>
    <s v="Smartwatch"/>
    <n v="4"/>
    <n v="2999"/>
    <n v="11996"/>
    <n v="0"/>
    <n v="0"/>
    <n v="11996"/>
    <s v="UPI"/>
    <x v="0"/>
  </r>
  <r>
    <s v="ORD-2027954"/>
    <s v="29 Mon"/>
    <s v="Dec"/>
    <s v="2025"/>
    <s v="CUST-1043"/>
    <s v="Divya Kapoor"/>
    <x v="0"/>
    <s v="Beauty"/>
    <s v="Face Wash 100ml"/>
    <n v="1"/>
    <n v="299"/>
    <n v="299"/>
    <n v="0"/>
    <n v="0"/>
    <n v="299"/>
    <s v="Debit Card"/>
    <x v="1"/>
  </r>
  <r>
    <s v="ORD-2027955"/>
    <s v="29 Mon"/>
    <s v="Dec"/>
    <s v="2025"/>
    <s v="CUST-1379"/>
    <s v="Divya Verma"/>
    <x v="3"/>
    <s v="Groceries"/>
    <s v="Organic Honey 500g"/>
    <n v="1"/>
    <n v="349"/>
    <n v="349"/>
    <n v="15"/>
    <n v="52.35"/>
    <n v="296.64999999999998"/>
    <s v="Credit Card"/>
    <x v="1"/>
  </r>
  <r>
    <s v="ORD-2027956"/>
    <s v="29 Mon"/>
    <s v="Dec"/>
    <s v="2025"/>
    <s v="CUST-1327"/>
    <s v="Kunal Malhotra"/>
    <x v="1"/>
    <s v="Sports"/>
    <s v="Yoga Mat"/>
    <n v="1"/>
    <n v="699"/>
    <n v="699"/>
    <n v="5"/>
    <n v="34.950000000000003"/>
    <n v="664.05"/>
    <s v="Credit Card"/>
    <x v="1"/>
  </r>
  <r>
    <s v="ORD-2027957"/>
    <s v="29 Mon"/>
    <s v="Dec"/>
    <s v="2025"/>
    <s v="CUST-1282"/>
    <s v="Muskan Saxena"/>
    <x v="1"/>
    <s v="Electronics"/>
    <s v="Bluetooth Headphones"/>
    <n v="5"/>
    <n v="1799"/>
    <n v="8995"/>
    <n v="20"/>
    <n v="1799"/>
    <n v="7196"/>
    <s v="Debit Card"/>
    <x v="1"/>
  </r>
  <r>
    <s v="ORD-2027958"/>
    <s v="29 Mon"/>
    <s v="Dec"/>
    <s v="2025"/>
    <s v="CUST-1101"/>
    <s v="Sakshi Sharma"/>
    <x v="2"/>
    <s v="Sports"/>
    <s v="Yoga Mat"/>
    <n v="1"/>
    <n v="699"/>
    <n v="699"/>
    <n v="10"/>
    <n v="69.900000000000006"/>
    <n v="629.1"/>
    <s v="Debit Card"/>
    <x v="0"/>
  </r>
  <r>
    <s v="ORD-2027959"/>
    <s v="29 Mon"/>
    <s v="Dec"/>
    <s v="2025"/>
    <s v="CUST-1289"/>
    <s v="Kunal Verma"/>
    <x v="1"/>
    <s v="Apparel"/>
    <s v="Cotton T-Shirt"/>
    <n v="3"/>
    <n v="499"/>
    <n v="1497"/>
    <n v="20"/>
    <n v="299.39999999999998"/>
    <n v="1197.5999999999999"/>
    <s v="Cash"/>
    <x v="1"/>
  </r>
  <r>
    <s v="ORD-2027960"/>
    <s v="29 Mon"/>
    <s v="Dec"/>
    <s v="2025"/>
    <s v="CUST-1068"/>
    <s v="Isha Verma"/>
    <x v="2"/>
    <s v="Groceries"/>
    <s v="Basmati Rice 5kg"/>
    <n v="3"/>
    <n v="549"/>
    <n v="1647"/>
    <n v="25"/>
    <n v="411.75"/>
    <n v="1235.25"/>
    <s v="Cash"/>
    <x v="1"/>
  </r>
  <r>
    <s v="ORD-2027961"/>
    <s v="29 Mon"/>
    <s v="Dec"/>
    <s v="2025"/>
    <s v="CUST-1269"/>
    <s v="Kunal Verma"/>
    <x v="2"/>
    <s v="Electronics"/>
    <s v="Bluetooth Headphones"/>
    <n v="2"/>
    <n v="1799"/>
    <n v="3598"/>
    <n v="5"/>
    <n v="179.9"/>
    <n v="3418.1"/>
    <s v="UPI"/>
    <x v="1"/>
  </r>
  <r>
    <s v="ORD-2027962"/>
    <s v="29 Mon"/>
    <s v="Dec"/>
    <s v="2025"/>
    <s v="CUST-1128"/>
    <s v="Sakshi Malhotra"/>
    <x v="1"/>
    <s v="Home &amp; Kitchen"/>
    <s v="LED Desk Lamp"/>
    <n v="2"/>
    <n v="799"/>
    <n v="1598"/>
    <n v="5"/>
    <n v="79.900000000000006"/>
    <n v="1518.1"/>
    <s v="Debit Card"/>
    <x v="1"/>
  </r>
  <r>
    <s v="ORD-2027963"/>
    <s v="29 Mon"/>
    <s v="Dec"/>
    <s v="2025"/>
    <s v="CUST-1135"/>
    <s v="Shreya Joshi"/>
    <x v="4"/>
    <s v="Apparel"/>
    <s v="Denim Jacket"/>
    <n v="4"/>
    <n v="1999"/>
    <n v="7996"/>
    <n v="5"/>
    <n v="399.8"/>
    <n v="7596.2"/>
    <s v="UPI"/>
    <x v="0"/>
  </r>
  <r>
    <s v="ORD-2027964"/>
    <s v="29 Mon"/>
    <s v="Dec"/>
    <s v="2025"/>
    <s v="CUST-1175"/>
    <s v="Vivaan Kapoor"/>
    <x v="2"/>
    <s v="Groceries"/>
    <s v="Organic Honey 500g"/>
    <n v="1"/>
    <n v="349"/>
    <n v="349"/>
    <n v="30"/>
    <n v="104.7"/>
    <n v="244.3"/>
    <s v="Cash"/>
    <x v="0"/>
  </r>
  <r>
    <s v="ORD-2027965"/>
    <s v="30 Tue"/>
    <s v="Dec"/>
    <s v="2025"/>
    <s v="CUST-1127"/>
    <s v="Muskan Joshi"/>
    <x v="4"/>
    <s v="Electronics"/>
    <s v="Wireless Mouse"/>
    <n v="1"/>
    <n v="599"/>
    <n v="599"/>
    <n v="0"/>
    <n v="0"/>
    <n v="599"/>
    <s v="Debit Card"/>
    <x v="0"/>
  </r>
  <r>
    <s v="ORD-2027966"/>
    <s v="30 Tue"/>
    <s v="Dec"/>
    <s v="2025"/>
    <s v="CUST-1102"/>
    <s v="Aarav Patel"/>
    <x v="2"/>
    <s v="Home &amp; Kitchen"/>
    <s v="LED Desk Lamp"/>
    <n v="1"/>
    <n v="799"/>
    <n v="799"/>
    <n v="10"/>
    <n v="79.900000000000006"/>
    <n v="719.1"/>
    <s v="Debit Card"/>
    <x v="0"/>
  </r>
  <r>
    <s v="ORD-2027967"/>
    <s v="30 Tue"/>
    <s v="Dec"/>
    <s v="2025"/>
    <s v="CUST-1230"/>
    <s v="Divya Malhotra"/>
    <x v="3"/>
    <s v="Apparel"/>
    <s v="Cotton T-Shirt"/>
    <n v="4"/>
    <n v="499"/>
    <n v="1996"/>
    <n v="25"/>
    <n v="499"/>
    <n v="1497"/>
    <s v="Net Banking"/>
    <x v="0"/>
  </r>
  <r>
    <s v="ORD-2027968"/>
    <s v="30 Tue"/>
    <s v="Dec"/>
    <s v="2025"/>
    <s v="CUST-1375"/>
    <s v="Kunal Joshi"/>
    <x v="4"/>
    <s v="Stationery"/>
    <s v="Notebook Set"/>
    <n v="1"/>
    <n v="199"/>
    <n v="199"/>
    <n v="10"/>
    <n v="19.899999999999999"/>
    <n v="179.1"/>
    <s v="Cash"/>
    <x v="0"/>
  </r>
  <r>
    <s v="ORD-2027969"/>
    <s v="30 Tue"/>
    <s v="Dec"/>
    <s v="2025"/>
    <s v="CUST-1233"/>
    <s v="Rahul Joshi"/>
    <x v="0"/>
    <s v="Home &amp; Kitchen"/>
    <s v="LED Desk Lamp"/>
    <n v="4"/>
    <n v="799"/>
    <n v="3196"/>
    <n v="10"/>
    <n v="319.60000000000002"/>
    <n v="2876.4"/>
    <s v="Cash"/>
    <x v="1"/>
  </r>
  <r>
    <s v="ORD-2027970"/>
    <s v="30 Tue"/>
    <s v="Dec"/>
    <s v="2025"/>
    <s v="CUST-1397"/>
    <s v="Aman Verma"/>
    <x v="1"/>
    <s v="Beauty"/>
    <s v="Face Wash 100ml"/>
    <n v="3"/>
    <n v="299"/>
    <n v="897"/>
    <n v="5"/>
    <n v="44.85"/>
    <n v="852.15"/>
    <s v="UPI"/>
    <x v="1"/>
  </r>
  <r>
    <s v="ORD-2027971"/>
    <s v="30 Tue"/>
    <s v="Dec"/>
    <s v="2025"/>
    <s v="CUST-1347"/>
    <s v="Ankit Joshi"/>
    <x v="4"/>
    <s v="Beauty"/>
    <s v="Herbal Shampoo"/>
    <n v="2"/>
    <n v="249"/>
    <n v="498"/>
    <n v="30"/>
    <n v="149.4"/>
    <n v="348.6"/>
    <s v="Net Banking"/>
    <x v="1"/>
  </r>
  <r>
    <s v="ORD-2027972"/>
    <s v="30 Tue"/>
    <s v="Dec"/>
    <s v="2025"/>
    <s v="CUST-1202"/>
    <s v="Isha Verma"/>
    <x v="1"/>
    <s v="Electronics"/>
    <s v="Bluetooth Headphones"/>
    <n v="1"/>
    <n v="1799"/>
    <n v="1799"/>
    <n v="20"/>
    <n v="359.8"/>
    <n v="1439.2"/>
    <s v="Debit Card"/>
    <x v="0"/>
  </r>
  <r>
    <s v="ORD-2027973"/>
    <s v="30 Tue"/>
    <s v="Dec"/>
    <s v="2025"/>
    <s v="CUST-1243"/>
    <s v="Aman Joshi"/>
    <x v="3"/>
    <s v="Home &amp; Kitchen"/>
    <s v="LED Desk Lamp"/>
    <n v="2"/>
    <n v="799"/>
    <n v="1598"/>
    <n v="25"/>
    <n v="399.5"/>
    <n v="1198.5"/>
    <s v="Credit Card"/>
    <x v="0"/>
  </r>
  <r>
    <s v="ORD-2027974"/>
    <s v="30 Tue"/>
    <s v="Dec"/>
    <s v="2025"/>
    <s v="CUST-1056"/>
    <s v="Aarav Kapoor"/>
    <x v="4"/>
    <s v="Stationery"/>
    <s v="Notebook Set"/>
    <n v="1"/>
    <n v="199"/>
    <n v="199"/>
    <n v="30"/>
    <n v="59.7"/>
    <n v="139.30000000000001"/>
    <s v="UPI"/>
    <x v="1"/>
  </r>
  <r>
    <s v="ORD-2027975"/>
    <s v="30 Tue"/>
    <s v="Dec"/>
    <s v="2025"/>
    <s v="CUST-1385"/>
    <s v="Aman Kapoor"/>
    <x v="1"/>
    <s v="Groceries"/>
    <s v="Basmati Rice 5kg"/>
    <n v="2"/>
    <n v="549"/>
    <n v="1098"/>
    <n v="25"/>
    <n v="274.5"/>
    <n v="823.5"/>
    <s v="UPI"/>
    <x v="0"/>
  </r>
  <r>
    <s v="ORD-2027976"/>
    <s v="30 Tue"/>
    <s v="Dec"/>
    <s v="2025"/>
    <s v="CUST-1216"/>
    <s v="Meera Malhotra"/>
    <x v="0"/>
    <s v="Home &amp; Kitchen"/>
    <s v="LED Desk Lamp"/>
    <n v="1"/>
    <n v="799"/>
    <n v="799"/>
    <n v="5"/>
    <n v="39.950000000000003"/>
    <n v="759.05"/>
    <s v="Cash"/>
    <x v="0"/>
  </r>
  <r>
    <s v="ORD-2027977"/>
    <s v="30 Tue"/>
    <s v="Dec"/>
    <s v="2025"/>
    <s v="CUST-1063"/>
    <s v="Aman Sharma"/>
    <x v="2"/>
    <s v="Groceries"/>
    <s v="Organic Honey 500g"/>
    <n v="1"/>
    <n v="349"/>
    <n v="349"/>
    <n v="15"/>
    <n v="52.35"/>
    <n v="296.64999999999998"/>
    <s v="Debit Card"/>
    <x v="1"/>
  </r>
  <r>
    <s v="ORD-2027978"/>
    <s v="31 Wed"/>
    <s v="Dec"/>
    <s v="2025"/>
    <s v="CUST-1222"/>
    <s v="Sakshi Sharma"/>
    <x v="4"/>
    <s v="Sports"/>
    <s v="Cricket Bat"/>
    <n v="1"/>
    <n v="1499"/>
    <n v="1499"/>
    <n v="0"/>
    <n v="0"/>
    <n v="1499"/>
    <s v="UPI"/>
    <x v="0"/>
  </r>
  <r>
    <s v="ORD-2027979"/>
    <s v="31 Wed"/>
    <s v="Dec"/>
    <s v="2025"/>
    <s v="CUST-1329"/>
    <s v="Swati Gupta"/>
    <x v="3"/>
    <s v="Home &amp; Kitchen"/>
    <s v="LED Desk Lamp"/>
    <n v="3"/>
    <n v="799"/>
    <n v="2397"/>
    <n v="25"/>
    <n v="599.25"/>
    <n v="1797.75"/>
    <s v="Debit Card"/>
    <x v="0"/>
  </r>
  <r>
    <s v="ORD-2027980"/>
    <s v="31 Wed"/>
    <s v="Dec"/>
    <s v="2025"/>
    <s v="CUST-1145"/>
    <s v="Kunal Joshi"/>
    <x v="2"/>
    <s v="Stationery"/>
    <s v="Notebook Set"/>
    <n v="3"/>
    <n v="199"/>
    <n v="597"/>
    <n v="30"/>
    <n v="179.1"/>
    <n v="417.9"/>
    <s v="Debit Card"/>
    <x v="1"/>
  </r>
  <r>
    <s v="ORD-2027981"/>
    <s v="31 Wed"/>
    <s v="Dec"/>
    <s v="2025"/>
    <s v="CUST-1029"/>
    <s v="Swati Patel"/>
    <x v="2"/>
    <s v="Home &amp; Kitchen"/>
    <s v="LED Desk Lamp"/>
    <n v="4"/>
    <n v="799"/>
    <n v="3196"/>
    <n v="15"/>
    <n v="479.4"/>
    <n v="2716.6"/>
    <s v="Debit Card"/>
    <x v="0"/>
  </r>
  <r>
    <s v="ORD-2027982"/>
    <s v="31 Wed"/>
    <s v="Dec"/>
    <s v="2025"/>
    <s v="CUST-1278"/>
    <s v="Meera Verma"/>
    <x v="1"/>
    <s v="Beauty"/>
    <s v="Herbal Shampoo"/>
    <n v="3"/>
    <n v="249"/>
    <n v="747"/>
    <n v="15"/>
    <n v="112.05"/>
    <n v="634.95000000000005"/>
    <s v="Debit Card"/>
    <x v="0"/>
  </r>
  <r>
    <s v="ORD-2027983"/>
    <s v="31 Wed"/>
    <s v="Dec"/>
    <s v="2025"/>
    <s v="CUST-1103"/>
    <s v="Muskan Gupta"/>
    <x v="4"/>
    <s v="Home &amp; Kitchen"/>
    <s v="LED Desk Lamp"/>
    <n v="1"/>
    <n v="799"/>
    <n v="799"/>
    <n v="5"/>
    <n v="39.950000000000003"/>
    <n v="759.05"/>
    <s v="UPI"/>
    <x v="0"/>
  </r>
  <r>
    <s v="ORD-2027984"/>
    <s v="31 Wed"/>
    <s v="Dec"/>
    <s v="2025"/>
    <s v="CUST-1160"/>
    <s v="Komal Singh"/>
    <x v="3"/>
    <s v="Home &amp; Kitchen"/>
    <s v="LED Desk Lamp"/>
    <n v="3"/>
    <n v="799"/>
    <n v="2397"/>
    <n v="5"/>
    <n v="119.85"/>
    <n v="2277.15"/>
    <s v="UPI"/>
    <x v="1"/>
  </r>
  <r>
    <s v="ORD-2027985"/>
    <s v="31 Wed"/>
    <s v="Dec"/>
    <s v="2025"/>
    <s v="CUST-1195"/>
    <s v="Komal Gupta"/>
    <x v="1"/>
    <s v="Beauty"/>
    <s v="Face Wash 100ml"/>
    <n v="2"/>
    <n v="299"/>
    <n v="598"/>
    <n v="10"/>
    <n v="59.8"/>
    <n v="538.20000000000005"/>
    <s v="Credit Card"/>
    <x v="1"/>
  </r>
  <r>
    <s v="ORD-2027986"/>
    <s v="31 Wed"/>
    <s v="Dec"/>
    <s v="2025"/>
    <s v="CUST-1387"/>
    <s v="Rohan Patel"/>
    <x v="0"/>
    <s v="Sports"/>
    <s v="Cricket Bat"/>
    <n v="1"/>
    <n v="1499"/>
    <n v="1499"/>
    <n v="15"/>
    <n v="224.85"/>
    <n v="1274.1500000000001"/>
    <s v="Cash"/>
    <x v="0"/>
  </r>
  <r>
    <s v="ORD-2027987"/>
    <s v="31 Wed"/>
    <s v="Dec"/>
    <s v="2025"/>
    <s v="CUST-1233"/>
    <s v="Rahul Joshi"/>
    <x v="3"/>
    <s v="Groceries"/>
    <s v="Basmati Rice 5kg"/>
    <n v="2"/>
    <n v="549"/>
    <n v="1098"/>
    <n v="0"/>
    <n v="0"/>
    <n v="1098"/>
    <s v="Credit Card"/>
    <x v="0"/>
  </r>
  <r>
    <s v="ORD-2027988"/>
    <s v="31 Wed"/>
    <s v="Dec"/>
    <s v="2025"/>
    <s v="CUST-1033"/>
    <s v="Meera Joshi"/>
    <x v="1"/>
    <s v="Beauty"/>
    <s v="Herbal Shampoo"/>
    <n v="1"/>
    <n v="249"/>
    <n v="249"/>
    <n v="5"/>
    <n v="12.45"/>
    <n v="236.55"/>
    <s v="UPI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6DA27-264B-4F14-B41A-B6C1C427DD98}" name="PivotTable5" cacheId="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N2:P13" firstHeaderRow="0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18">
        <item x="9"/>
        <item x="14"/>
        <item x="11"/>
        <item x="12"/>
        <item x="7"/>
        <item x="15"/>
        <item x="10"/>
        <item x="0"/>
        <item x="3"/>
        <item x="6"/>
        <item x="5"/>
        <item x="1"/>
        <item x="8"/>
        <item x="4"/>
        <item x="2"/>
        <item x="1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8"/>
  </rowFields>
  <rowItems count="11">
    <i>
      <x v="13"/>
    </i>
    <i>
      <x v="4"/>
    </i>
    <i>
      <x v="1"/>
    </i>
    <i>
      <x v="3"/>
    </i>
    <i>
      <x v="10"/>
    </i>
    <i>
      <x v="6"/>
    </i>
    <i>
      <x v="9"/>
    </i>
    <i>
      <x v="15"/>
    </i>
    <i>
      <x v="1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Amount" fld="14" baseField="0" baseItem="0"/>
    <dataField name="Sum of Quantity" fld="9" baseField="0" baseItem="0"/>
  </dataFields>
  <chartFormats count="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05D3A-A8D7-4E99-9FC0-FBC8E75A1B85}" name="PivotTable4" cacheId="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12:F18" firstHeaderRow="0" firstDataRow="1" firstDataCol="1"/>
  <pivotFields count="1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descending">
      <items count="7">
        <item x="3"/>
        <item x="0"/>
        <item x="1"/>
        <item x="4"/>
        <item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5"/>
  </rowFields>
  <rowItems count="6">
    <i>
      <x v="4"/>
    </i>
    <i>
      <x v="2"/>
    </i>
    <i>
      <x v="1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Amount" fld="14" baseField="0" baseItem="0"/>
    <dataField name="Count of OrderID" fld="0" subtotal="count" baseField="0" baseItem="0"/>
  </dataFields>
  <formats count="2">
    <format dxfId="18">
      <pivotArea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format>
    <format dxfId="19">
      <pivotArea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5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1A3C0-5D24-422D-A00B-2E8396A55A06}" name="PivotTable3" cacheId="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I2:L10" firstHeaderRow="0" firstDataRow="1" firstDataCol="1"/>
  <pivotFields count="17">
    <pivotField compact="0" outline="0" showAll="0">
      <items count="29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9">
        <item x="4"/>
        <item x="2"/>
        <item x="1"/>
        <item x="5"/>
        <item x="3"/>
        <item x="6"/>
        <item x="0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0"/>
        <item x="2"/>
        <item x="4"/>
        <item x="1"/>
        <item x="3"/>
        <item x="5"/>
        <item x="6"/>
        <item x="7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1">
    <field x="7"/>
  </rowFields>
  <rowItems count="8">
    <i>
      <x v="6"/>
    </i>
    <i>
      <x v="1"/>
    </i>
    <i>
      <x v="3"/>
    </i>
    <i>
      <x v="4"/>
    </i>
    <i>
      <x v="5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Amount" fld="14" baseField="0" baseItem="0" numFmtId="2"/>
    <dataField name="Average of Disc_amount" fld="13" subtotal="average" baseField="0" baseItem="0"/>
    <dataField name="Average of TotalAmount2" fld="14" subtotal="average" baseField="0" baseItem="0" numFmtId="2"/>
  </dataFields>
  <formats count="6">
    <format dxfId="12">
      <pivotArea outline="0" fieldPosition="0">
        <references count="1">
          <reference field="4294967294" count="1" selected="0">
            <x v="2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">
      <pivotArea outline="0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outline="0" fieldPosition="0">
        <references count="2">
          <reference field="4294967294" count="1" selected="0">
            <x v="1"/>
          </reference>
          <reference field="7" count="0" selected="0"/>
        </references>
      </pivotArea>
    </format>
    <format dxfId="17">
      <pivotArea field="7" grandRow="1" outline="0" axis="axisRow" fieldPosition="0">
        <references count="1">
          <reference field="4294967294" count="1" selected="0">
            <x v="1"/>
          </reference>
        </references>
      </pivotArea>
    </format>
  </formats>
  <chartFormats count="9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A6321-F1F3-49CC-9613-7666D9CB4689}" name="PivotTable2" cacheId="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2:G8" firstHeaderRow="0" firstDataRow="1" firstDataCol="1"/>
  <pivotFields count="1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h="1" x="5"/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</pivotFields>
  <rowFields count="1">
    <field x="6"/>
  </rowFields>
  <rowItems count="6">
    <i>
      <x v="4"/>
    </i>
    <i>
      <x v="1"/>
    </i>
    <i>
      <x v="5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Amount" fld="14" baseField="0" baseItem="0"/>
    <dataField name="Average of TotalAmount2" fld="14" subtotal="average" baseField="0" baseItem="0" numFmtId="2"/>
    <dataField name="Count of OrderID" fld="0" subtotal="count" baseField="0" baseItem="0"/>
  </dataFields>
  <formats count="4">
    <format dxfId="8">
      <pivotArea outline="0" fieldPosition="0">
        <references count="1">
          <reference field="4294967294" count="1" selected="0">
            <x v="1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">
      <pivotArea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11">
      <pivotArea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8B62C-36CA-43D5-B699-C8970BB5C135}" name="PivotTable1" cacheId="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2:B15" firstHeaderRow="1" firstDataRow="1" firstDataCol="1"/>
  <pivotFields count="17"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Amount" fld="14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379EE-0616-4B3C-8489-F722A43C648D}" name="PivotTable7" cacheId="6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R2:X10" firstHeaderRow="1" firstDataRow="3" firstDataCol="1"/>
  <pivotFields count="1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OrderID" fld="0" subtotal="count" baseField="0" baseItem="0"/>
    <dataField name="Sum of TotalAmount" fld="14" baseField="0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C9BFDE-1E72-492E-BA08-8230A603ECDB}" name="Table1" displayName="Table1" ref="A1:Q2989" totalsRowShown="0" headerRowDxfId="7">
  <autoFilter ref="A1:Q2989" xr:uid="{3FC9BFDE-1E72-492E-BA08-8230A603ECDB}"/>
  <tableColumns count="17">
    <tableColumn id="1" xr3:uid="{A357887D-C198-432B-8C2B-1A7C595D435B}" name="OrderID"/>
    <tableColumn id="3" xr3:uid="{A4FE7579-6039-422E-B21E-744188A88168}" name="Day" dataDxfId="6"/>
    <tableColumn id="4" xr3:uid="{0867765F-850C-40B3-BD1B-9C7535A128D0}" name="Month" dataDxfId="5"/>
    <tableColumn id="5" xr3:uid="{164577F3-9C16-4F42-AB50-1965827C75A8}" name="Year" dataDxfId="4"/>
    <tableColumn id="6" xr3:uid="{6BB8F5CC-A6D2-464B-8EA7-461E97FDF5A7}" name="CustomerID"/>
    <tableColumn id="7" xr3:uid="{C2B102E4-9FB9-4635-816A-BC986AD02844}" name="CustomerName"/>
    <tableColumn id="8" xr3:uid="{82D74EE4-F8F2-4ADF-B849-158DC5F43970}" name="Region"/>
    <tableColumn id="9" xr3:uid="{D26DDB93-C8E3-4441-B2B0-3201EDD5D474}" name="Category"/>
    <tableColumn id="10" xr3:uid="{97E657A2-F796-437B-8A22-77A0F496907D}" name="ProductName"/>
    <tableColumn id="11" xr3:uid="{7DE9131D-095D-4B55-BE3E-7138BDFF9D7A}" name="Quantity"/>
    <tableColumn id="12" xr3:uid="{BE76A97D-90D0-4827-B0B3-E8E96CE9B6F1}" name="UnitPrice"/>
    <tableColumn id="18" xr3:uid="{39BBF6B1-066C-4013-904B-BFD380F11FE2}" name="Revenue" dataDxfId="3">
      <calculatedColumnFormula>Table1[[#This Row],[Quantity]] * Table1[[#This Row],[UnitPrice]]</calculatedColumnFormula>
    </tableColumn>
    <tableColumn id="13" xr3:uid="{681037A8-740C-4501-9820-BC9A6739D652}" name="Discount%" dataDxfId="2"/>
    <tableColumn id="19" xr3:uid="{BFD5D0DE-82B6-45B9-84C1-C0F55AED1E1F}" name="Disc_amount" dataDxfId="1">
      <calculatedColumnFormula>Table1[[#This Row],[Revenue]]*Table1[[#This Row],[Discount%]]/100</calculatedColumnFormula>
    </tableColumn>
    <tableColumn id="14" xr3:uid="{6E8066E3-BCA3-4905-BAB9-B57BB260EC29}" name="TotalAmount" dataDxfId="0"/>
    <tableColumn id="15" xr3:uid="{26526623-69A7-473F-99B4-9A1F9C3B4D2B}" name="PaymentMethod"/>
    <tableColumn id="16" xr3:uid="{B28760B7-CF67-45A9-AB7E-9040EBA326F5}" name="CustomerTyp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21F9-2BFE-4F91-80EA-B57B49C627EB}">
  <dimension ref="A1:Q2989"/>
  <sheetViews>
    <sheetView tabSelected="1" topLeftCell="F1" workbookViewId="0">
      <selection activeCell="J9" sqref="J9"/>
    </sheetView>
  </sheetViews>
  <sheetFormatPr defaultRowHeight="15"/>
  <cols>
    <col min="1" max="1" width="13.42578125" bestFit="1" customWidth="1"/>
    <col min="2" max="4" width="10.85546875" customWidth="1"/>
    <col min="5" max="5" width="14" bestFit="1" customWidth="1"/>
    <col min="6" max="6" width="17.42578125" bestFit="1" customWidth="1"/>
    <col min="7" max="7" width="9.5703125" bestFit="1" customWidth="1"/>
    <col min="8" max="8" width="15.5703125" bestFit="1" customWidth="1"/>
    <col min="9" max="9" width="22" bestFit="1" customWidth="1"/>
    <col min="10" max="10" width="11.28515625" bestFit="1" customWidth="1"/>
    <col min="11" max="11" width="11.7109375" bestFit="1" customWidth="1"/>
    <col min="12" max="12" width="11.7109375" customWidth="1"/>
    <col min="13" max="13" width="12.85546875" style="25" bestFit="1" customWidth="1"/>
    <col min="14" max="14" width="15.140625" bestFit="1" customWidth="1"/>
    <col min="15" max="15" width="15.140625" style="6" bestFit="1" customWidth="1"/>
    <col min="16" max="16" width="18.7109375" bestFit="1" customWidth="1"/>
    <col min="17" max="17" width="16.42578125" bestFit="1" customWidth="1"/>
  </cols>
  <sheetData>
    <row r="1" spans="1:1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9" t="s">
        <v>12</v>
      </c>
      <c r="N1" s="2" t="s">
        <v>13</v>
      </c>
      <c r="O1" s="5" t="s">
        <v>14</v>
      </c>
      <c r="P1" s="2" t="s">
        <v>15</v>
      </c>
      <c r="Q1" s="2" t="s">
        <v>16</v>
      </c>
    </row>
    <row r="2" spans="1:17">
      <c r="A2" t="s">
        <v>17</v>
      </c>
      <c r="B2" s="1" t="s">
        <v>18</v>
      </c>
      <c r="C2" s="1" t="s">
        <v>19</v>
      </c>
      <c r="D2" s="1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2</v>
      </c>
      <c r="K2">
        <v>99</v>
      </c>
      <c r="L2">
        <f>Table1[[#This Row],[Quantity]] * Table1[[#This Row],[UnitPrice]]</f>
        <v>198</v>
      </c>
      <c r="M2" s="25">
        <v>0</v>
      </c>
      <c r="N2">
        <f>Table1[[#This Row],[Revenue]]*Table1[[#This Row],[Discount%]]/100</f>
        <v>0</v>
      </c>
      <c r="O2" s="6">
        <v>198</v>
      </c>
      <c r="P2" t="s">
        <v>26</v>
      </c>
      <c r="Q2" t="s">
        <v>27</v>
      </c>
    </row>
    <row r="3" spans="1:17">
      <c r="A3" t="s">
        <v>28</v>
      </c>
      <c r="B3" s="1" t="s">
        <v>18</v>
      </c>
      <c r="C3" s="1" t="s">
        <v>19</v>
      </c>
      <c r="D3" s="1" t="s">
        <v>20</v>
      </c>
      <c r="E3" t="s">
        <v>29</v>
      </c>
      <c r="F3" t="s">
        <v>30</v>
      </c>
      <c r="G3" t="s">
        <v>31</v>
      </c>
      <c r="H3" t="s">
        <v>24</v>
      </c>
      <c r="I3" t="s">
        <v>32</v>
      </c>
      <c r="J3">
        <v>3</v>
      </c>
      <c r="K3">
        <v>199</v>
      </c>
      <c r="L3">
        <f>Table1[[#This Row],[Quantity]] * Table1[[#This Row],[UnitPrice]]</f>
        <v>597</v>
      </c>
      <c r="M3" s="25">
        <v>15</v>
      </c>
      <c r="N3">
        <f>Table1[[#This Row],[Revenue]]*Table1[[#This Row],[Discount%]]/100</f>
        <v>89.55</v>
      </c>
      <c r="O3" s="6">
        <f>Table1[[#This Row],[Revenue]]-Table1[[#This Row],[Disc_amount]]</f>
        <v>507.45</v>
      </c>
      <c r="P3" t="s">
        <v>33</v>
      </c>
      <c r="Q3" t="s">
        <v>34</v>
      </c>
    </row>
    <row r="4" spans="1:17">
      <c r="A4" t="s">
        <v>35</v>
      </c>
      <c r="B4" s="1" t="s">
        <v>18</v>
      </c>
      <c r="C4" s="1" t="s">
        <v>19</v>
      </c>
      <c r="D4" s="1" t="s">
        <v>20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>
        <v>1</v>
      </c>
      <c r="K4">
        <v>599</v>
      </c>
      <c r="L4">
        <f>Table1[[#This Row],[Quantity]] * Table1[[#This Row],[UnitPrice]]</f>
        <v>599</v>
      </c>
      <c r="M4" s="25">
        <v>0</v>
      </c>
      <c r="N4">
        <f>Table1[[#This Row],[Revenue]]*Table1[[#This Row],[Discount%]]/100</f>
        <v>0</v>
      </c>
      <c r="O4" s="6">
        <f>Table1[[#This Row],[Revenue]]-Table1[[#This Row],[Disc_amount]]</f>
        <v>599</v>
      </c>
      <c r="P4" t="s">
        <v>41</v>
      </c>
      <c r="Q4" t="s">
        <v>34</v>
      </c>
    </row>
    <row r="5" spans="1:17">
      <c r="A5" t="s">
        <v>42</v>
      </c>
      <c r="B5" s="1" t="s">
        <v>18</v>
      </c>
      <c r="C5" s="1" t="s">
        <v>19</v>
      </c>
      <c r="D5" s="1" t="s">
        <v>20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>
        <v>1</v>
      </c>
      <c r="K5">
        <v>249</v>
      </c>
      <c r="L5">
        <f>Table1[[#This Row],[Quantity]] * Table1[[#This Row],[UnitPrice]]</f>
        <v>249</v>
      </c>
      <c r="M5" s="25">
        <v>15</v>
      </c>
      <c r="N5">
        <f>Table1[[#This Row],[Revenue]]*Table1[[#This Row],[Discount%]]/100</f>
        <v>37.35</v>
      </c>
      <c r="O5" s="6">
        <f>Table1[[#This Row],[Revenue]]-Table1[[#This Row],[Disc_amount]]</f>
        <v>211.65</v>
      </c>
      <c r="P5" t="s">
        <v>26</v>
      </c>
      <c r="Q5" t="s">
        <v>27</v>
      </c>
    </row>
    <row r="6" spans="1:17">
      <c r="A6" t="s">
        <v>48</v>
      </c>
      <c r="B6" s="1" t="s">
        <v>18</v>
      </c>
      <c r="C6" s="1" t="s">
        <v>19</v>
      </c>
      <c r="D6" s="1" t="s">
        <v>20</v>
      </c>
      <c r="E6" t="s">
        <v>49</v>
      </c>
      <c r="F6" t="s">
        <v>50</v>
      </c>
      <c r="G6" t="s">
        <v>31</v>
      </c>
      <c r="H6" t="s">
        <v>39</v>
      </c>
      <c r="I6" t="s">
        <v>51</v>
      </c>
      <c r="J6">
        <v>1</v>
      </c>
      <c r="K6">
        <v>2999</v>
      </c>
      <c r="L6">
        <f>Table1[[#This Row],[Quantity]] * Table1[[#This Row],[UnitPrice]]</f>
        <v>2999</v>
      </c>
      <c r="M6" s="25">
        <v>0</v>
      </c>
      <c r="N6">
        <f>Table1[[#This Row],[Revenue]]*Table1[[#This Row],[Discount%]]/100</f>
        <v>0</v>
      </c>
      <c r="O6" s="6">
        <f>Table1[[#This Row],[Revenue]]-Table1[[#This Row],[Disc_amount]]</f>
        <v>2999</v>
      </c>
      <c r="P6" t="s">
        <v>52</v>
      </c>
      <c r="Q6" t="s">
        <v>27</v>
      </c>
    </row>
    <row r="7" spans="1:17">
      <c r="A7" t="s">
        <v>53</v>
      </c>
      <c r="B7" s="1" t="s">
        <v>18</v>
      </c>
      <c r="C7" s="1" t="s">
        <v>19</v>
      </c>
      <c r="D7" s="1" t="s">
        <v>20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>
        <v>1</v>
      </c>
      <c r="K7">
        <v>1299</v>
      </c>
      <c r="L7">
        <f>Table1[[#This Row],[Quantity]] * Table1[[#This Row],[UnitPrice]]</f>
        <v>1299</v>
      </c>
      <c r="M7" s="25">
        <v>0</v>
      </c>
      <c r="N7">
        <f>Table1[[#This Row],[Revenue]]*Table1[[#This Row],[Discount%]]/100</f>
        <v>0</v>
      </c>
      <c r="O7" s="6">
        <f>Table1[[#This Row],[Revenue]]-Table1[[#This Row],[Disc_amount]]</f>
        <v>1299</v>
      </c>
      <c r="P7" t="s">
        <v>26</v>
      </c>
      <c r="Q7" t="s">
        <v>27</v>
      </c>
    </row>
    <row r="8" spans="1:17">
      <c r="A8" t="s">
        <v>59</v>
      </c>
      <c r="B8" s="1" t="s">
        <v>18</v>
      </c>
      <c r="C8" s="1" t="s">
        <v>19</v>
      </c>
      <c r="D8" s="1" t="s">
        <v>20</v>
      </c>
      <c r="E8" t="s">
        <v>60</v>
      </c>
      <c r="F8" t="s">
        <v>61</v>
      </c>
      <c r="G8" t="s">
        <v>45</v>
      </c>
      <c r="H8" t="s">
        <v>57</v>
      </c>
      <c r="I8" t="s">
        <v>62</v>
      </c>
      <c r="J8">
        <v>2</v>
      </c>
      <c r="K8">
        <v>799</v>
      </c>
      <c r="L8">
        <f>Table1[[#This Row],[Quantity]] * Table1[[#This Row],[UnitPrice]]</f>
        <v>1598</v>
      </c>
      <c r="M8" s="25">
        <v>0</v>
      </c>
      <c r="N8">
        <f>Table1[[#This Row],[Revenue]]*Table1[[#This Row],[Discount%]]/100</f>
        <v>0</v>
      </c>
      <c r="O8" s="6">
        <f>Table1[[#This Row],[Revenue]]-Table1[[#This Row],[Disc_amount]]</f>
        <v>1598</v>
      </c>
      <c r="P8" t="s">
        <v>33</v>
      </c>
      <c r="Q8" t="s">
        <v>34</v>
      </c>
    </row>
    <row r="9" spans="1:17">
      <c r="A9" t="s">
        <v>63</v>
      </c>
      <c r="B9" s="1" t="s">
        <v>64</v>
      </c>
      <c r="C9" s="1" t="s">
        <v>19</v>
      </c>
      <c r="D9" s="1" t="s">
        <v>20</v>
      </c>
      <c r="E9" t="s">
        <v>29</v>
      </c>
      <c r="F9" t="s">
        <v>30</v>
      </c>
      <c r="G9" t="s">
        <v>31</v>
      </c>
      <c r="H9" t="s">
        <v>65</v>
      </c>
      <c r="I9" t="s">
        <v>66</v>
      </c>
      <c r="J9">
        <v>1</v>
      </c>
      <c r="K9">
        <v>1999</v>
      </c>
      <c r="L9">
        <f>Table1[[#This Row],[Quantity]] * Table1[[#This Row],[UnitPrice]]</f>
        <v>1999</v>
      </c>
      <c r="M9" s="25">
        <v>0</v>
      </c>
      <c r="N9">
        <f>Table1[[#This Row],[Revenue]]*Table1[[#This Row],[Discount%]]/100</f>
        <v>0</v>
      </c>
      <c r="O9" s="6">
        <f>Table1[[#This Row],[Revenue]]-Table1[[#This Row],[Disc_amount]]</f>
        <v>1999</v>
      </c>
      <c r="P9" t="s">
        <v>41</v>
      </c>
      <c r="Q9" t="s">
        <v>27</v>
      </c>
    </row>
    <row r="10" spans="1:17">
      <c r="A10" t="s">
        <v>67</v>
      </c>
      <c r="B10" s="1" t="s">
        <v>64</v>
      </c>
      <c r="C10" s="1" t="s">
        <v>19</v>
      </c>
      <c r="D10" s="1" t="s">
        <v>20</v>
      </c>
      <c r="E10" t="s">
        <v>68</v>
      </c>
      <c r="F10" t="s">
        <v>69</v>
      </c>
      <c r="G10" t="s">
        <v>23</v>
      </c>
      <c r="H10" t="s">
        <v>70</v>
      </c>
      <c r="I10" t="s">
        <v>71</v>
      </c>
      <c r="J10">
        <v>1</v>
      </c>
      <c r="K10">
        <v>349</v>
      </c>
      <c r="L10">
        <f>Table1[[#This Row],[Quantity]] * Table1[[#This Row],[UnitPrice]]</f>
        <v>349</v>
      </c>
      <c r="M10" s="25">
        <v>0</v>
      </c>
      <c r="N10">
        <f>Table1[[#This Row],[Revenue]]*Table1[[#This Row],[Discount%]]/100</f>
        <v>0</v>
      </c>
      <c r="O10" s="6">
        <f>Table1[[#This Row],[Revenue]]-Table1[[#This Row],[Disc_amount]]</f>
        <v>349</v>
      </c>
      <c r="P10" t="s">
        <v>26</v>
      </c>
      <c r="Q10" t="s">
        <v>27</v>
      </c>
    </row>
    <row r="11" spans="1:17">
      <c r="A11" t="s">
        <v>72</v>
      </c>
      <c r="B11" s="1" t="s">
        <v>64</v>
      </c>
      <c r="C11" s="1" t="s">
        <v>19</v>
      </c>
      <c r="D11" s="1" t="s">
        <v>20</v>
      </c>
      <c r="E11" t="s">
        <v>73</v>
      </c>
      <c r="F11" t="s">
        <v>74</v>
      </c>
      <c r="G11" t="s">
        <v>23</v>
      </c>
      <c r="H11" t="s">
        <v>57</v>
      </c>
      <c r="I11" t="s">
        <v>58</v>
      </c>
      <c r="J11">
        <v>4</v>
      </c>
      <c r="K11">
        <v>1299</v>
      </c>
      <c r="L11">
        <f>Table1[[#This Row],[Quantity]] * Table1[[#This Row],[UnitPrice]]</f>
        <v>5196</v>
      </c>
      <c r="M11" s="25">
        <v>5</v>
      </c>
      <c r="N11">
        <f>Table1[[#This Row],[Revenue]]*Table1[[#This Row],[Discount%]]/100</f>
        <v>259.8</v>
      </c>
      <c r="O11" s="6">
        <f>Table1[[#This Row],[Revenue]]-Table1[[#This Row],[Disc_amount]]</f>
        <v>4936.2</v>
      </c>
      <c r="P11" t="s">
        <v>33</v>
      </c>
      <c r="Q11" t="s">
        <v>27</v>
      </c>
    </row>
    <row r="12" spans="1:17">
      <c r="A12" t="s">
        <v>75</v>
      </c>
      <c r="B12" s="1" t="s">
        <v>64</v>
      </c>
      <c r="C12" s="1" t="s">
        <v>19</v>
      </c>
      <c r="D12" s="1" t="s">
        <v>20</v>
      </c>
      <c r="E12" t="s">
        <v>76</v>
      </c>
      <c r="F12" t="s">
        <v>77</v>
      </c>
      <c r="G12" t="s">
        <v>45</v>
      </c>
      <c r="H12" t="s">
        <v>65</v>
      </c>
      <c r="I12" t="s">
        <v>66</v>
      </c>
      <c r="J12">
        <v>2</v>
      </c>
      <c r="K12">
        <v>1999</v>
      </c>
      <c r="L12">
        <f>Table1[[#This Row],[Quantity]] * Table1[[#This Row],[UnitPrice]]</f>
        <v>3998</v>
      </c>
      <c r="M12" s="25">
        <v>0</v>
      </c>
      <c r="N12">
        <f>Table1[[#This Row],[Revenue]]*Table1[[#This Row],[Discount%]]/100</f>
        <v>0</v>
      </c>
      <c r="O12" s="6">
        <f>Table1[[#This Row],[Revenue]]-Table1[[#This Row],[Disc_amount]]</f>
        <v>3998</v>
      </c>
      <c r="P12" t="s">
        <v>41</v>
      </c>
      <c r="Q12" t="s">
        <v>27</v>
      </c>
    </row>
    <row r="13" spans="1:17">
      <c r="A13" t="s">
        <v>78</v>
      </c>
      <c r="B13" s="1" t="s">
        <v>64</v>
      </c>
      <c r="C13" s="1" t="s">
        <v>19</v>
      </c>
      <c r="D13" s="1" t="s">
        <v>20</v>
      </c>
      <c r="E13" t="s">
        <v>79</v>
      </c>
      <c r="F13" t="s">
        <v>80</v>
      </c>
      <c r="G13" t="s">
        <v>56</v>
      </c>
      <c r="H13" t="s">
        <v>39</v>
      </c>
      <c r="I13" t="s">
        <v>51</v>
      </c>
      <c r="J13">
        <v>4</v>
      </c>
      <c r="K13">
        <v>2999</v>
      </c>
      <c r="L13">
        <f>Table1[[#This Row],[Quantity]] * Table1[[#This Row],[UnitPrice]]</f>
        <v>11996</v>
      </c>
      <c r="M13" s="25">
        <v>0</v>
      </c>
      <c r="N13">
        <f>Table1[[#This Row],[Revenue]]*Table1[[#This Row],[Discount%]]/100</f>
        <v>0</v>
      </c>
      <c r="O13" s="6">
        <f>Table1[[#This Row],[Revenue]]-Table1[[#This Row],[Disc_amount]]</f>
        <v>11996</v>
      </c>
      <c r="P13" t="s">
        <v>41</v>
      </c>
      <c r="Q13" t="s">
        <v>27</v>
      </c>
    </row>
    <row r="14" spans="1:17">
      <c r="A14" t="s">
        <v>81</v>
      </c>
      <c r="B14" s="1" t="s">
        <v>64</v>
      </c>
      <c r="C14" s="1" t="s">
        <v>19</v>
      </c>
      <c r="D14" s="1" t="s">
        <v>20</v>
      </c>
      <c r="E14" t="s">
        <v>82</v>
      </c>
      <c r="F14" t="s">
        <v>83</v>
      </c>
      <c r="G14" t="s">
        <v>23</v>
      </c>
      <c r="H14" t="s">
        <v>39</v>
      </c>
      <c r="I14" t="s">
        <v>40</v>
      </c>
      <c r="J14">
        <v>2</v>
      </c>
      <c r="K14">
        <v>599</v>
      </c>
      <c r="L14">
        <f>Table1[[#This Row],[Quantity]] * Table1[[#This Row],[UnitPrice]]</f>
        <v>1198</v>
      </c>
      <c r="M14" s="25">
        <v>15</v>
      </c>
      <c r="N14">
        <f>Table1[[#This Row],[Revenue]]*Table1[[#This Row],[Discount%]]/100</f>
        <v>179.7</v>
      </c>
      <c r="O14" s="6">
        <f>Table1[[#This Row],[Revenue]]-Table1[[#This Row],[Disc_amount]]</f>
        <v>1018.3</v>
      </c>
      <c r="P14" t="s">
        <v>33</v>
      </c>
      <c r="Q14" t="s">
        <v>27</v>
      </c>
    </row>
    <row r="15" spans="1:17">
      <c r="A15" t="s">
        <v>84</v>
      </c>
      <c r="B15" s="1" t="s">
        <v>64</v>
      </c>
      <c r="C15" s="1" t="s">
        <v>19</v>
      </c>
      <c r="D15" s="1" t="s">
        <v>20</v>
      </c>
      <c r="E15" t="s">
        <v>85</v>
      </c>
      <c r="F15" t="s">
        <v>83</v>
      </c>
      <c r="G15" t="s">
        <v>38</v>
      </c>
      <c r="H15" t="s">
        <v>39</v>
      </c>
      <c r="I15" t="s">
        <v>51</v>
      </c>
      <c r="J15">
        <v>2</v>
      </c>
      <c r="K15">
        <v>2999</v>
      </c>
      <c r="L15">
        <f>Table1[[#This Row],[Quantity]] * Table1[[#This Row],[UnitPrice]]</f>
        <v>5998</v>
      </c>
      <c r="M15" s="25">
        <v>0</v>
      </c>
      <c r="N15">
        <f>Table1[[#This Row],[Revenue]]*Table1[[#This Row],[Discount%]]/100</f>
        <v>0</v>
      </c>
      <c r="O15" s="6">
        <f>Table1[[#This Row],[Revenue]]-Table1[[#This Row],[Disc_amount]]</f>
        <v>5998</v>
      </c>
      <c r="P15" t="s">
        <v>86</v>
      </c>
      <c r="Q15" t="s">
        <v>27</v>
      </c>
    </row>
    <row r="16" spans="1:17">
      <c r="A16" t="s">
        <v>87</v>
      </c>
      <c r="B16" s="1" t="s">
        <v>88</v>
      </c>
      <c r="C16" s="1" t="s">
        <v>19</v>
      </c>
      <c r="D16" s="1" t="s">
        <v>20</v>
      </c>
      <c r="E16" t="s">
        <v>89</v>
      </c>
      <c r="F16" t="s">
        <v>90</v>
      </c>
      <c r="G16" t="s">
        <v>45</v>
      </c>
      <c r="H16" t="s">
        <v>70</v>
      </c>
      <c r="I16" t="s">
        <v>91</v>
      </c>
      <c r="J16">
        <v>1</v>
      </c>
      <c r="K16">
        <v>549</v>
      </c>
      <c r="L16">
        <f>Table1[[#This Row],[Quantity]] * Table1[[#This Row],[UnitPrice]]</f>
        <v>549</v>
      </c>
      <c r="M16" s="25">
        <v>20</v>
      </c>
      <c r="N16">
        <f>Table1[[#This Row],[Revenue]]*Table1[[#This Row],[Discount%]]/100</f>
        <v>109.8</v>
      </c>
      <c r="O16" s="6">
        <f>Table1[[#This Row],[Revenue]]-Table1[[#This Row],[Disc_amount]]</f>
        <v>439.2</v>
      </c>
      <c r="P16" t="s">
        <v>86</v>
      </c>
      <c r="Q16" t="s">
        <v>34</v>
      </c>
    </row>
    <row r="17" spans="1:17">
      <c r="A17" t="s">
        <v>92</v>
      </c>
      <c r="B17" s="1" t="s">
        <v>88</v>
      </c>
      <c r="C17" s="1" t="s">
        <v>19</v>
      </c>
      <c r="D17" s="1" t="s">
        <v>20</v>
      </c>
      <c r="E17" t="s">
        <v>93</v>
      </c>
      <c r="F17" t="s">
        <v>77</v>
      </c>
      <c r="G17" t="s">
        <v>45</v>
      </c>
      <c r="H17" t="s">
        <v>65</v>
      </c>
      <c r="I17" t="s">
        <v>94</v>
      </c>
      <c r="J17">
        <v>2</v>
      </c>
      <c r="K17">
        <v>899</v>
      </c>
      <c r="L17">
        <f>Table1[[#This Row],[Quantity]] * Table1[[#This Row],[UnitPrice]]</f>
        <v>1798</v>
      </c>
      <c r="M17" s="25">
        <v>10</v>
      </c>
      <c r="N17">
        <f>Table1[[#This Row],[Revenue]]*Table1[[#This Row],[Discount%]]/100</f>
        <v>179.8</v>
      </c>
      <c r="O17" s="6">
        <f>Table1[[#This Row],[Revenue]]-Table1[[#This Row],[Disc_amount]]</f>
        <v>1618.2</v>
      </c>
      <c r="P17" t="s">
        <v>26</v>
      </c>
      <c r="Q17" t="s">
        <v>27</v>
      </c>
    </row>
    <row r="18" spans="1:17">
      <c r="A18" t="s">
        <v>95</v>
      </c>
      <c r="B18" s="1" t="s">
        <v>88</v>
      </c>
      <c r="C18" s="1" t="s">
        <v>19</v>
      </c>
      <c r="D18" s="1" t="s">
        <v>20</v>
      </c>
      <c r="E18" t="s">
        <v>96</v>
      </c>
      <c r="F18" t="s">
        <v>97</v>
      </c>
      <c r="G18" t="s">
        <v>31</v>
      </c>
      <c r="H18" t="s">
        <v>65</v>
      </c>
      <c r="I18" t="s">
        <v>98</v>
      </c>
      <c r="J18">
        <v>2</v>
      </c>
      <c r="K18">
        <v>499</v>
      </c>
      <c r="L18">
        <f>Table1[[#This Row],[Quantity]] * Table1[[#This Row],[UnitPrice]]</f>
        <v>998</v>
      </c>
      <c r="M18" s="25">
        <v>0</v>
      </c>
      <c r="N18">
        <f>Table1[[#This Row],[Revenue]]*Table1[[#This Row],[Discount%]]/100</f>
        <v>0</v>
      </c>
      <c r="O18" s="6">
        <f>Table1[[#This Row],[Revenue]]-Table1[[#This Row],[Disc_amount]]</f>
        <v>998</v>
      </c>
      <c r="P18" t="s">
        <v>33</v>
      </c>
      <c r="Q18" t="s">
        <v>27</v>
      </c>
    </row>
    <row r="19" spans="1:17">
      <c r="A19" t="s">
        <v>99</v>
      </c>
      <c r="B19" s="1" t="s">
        <v>88</v>
      </c>
      <c r="C19" s="1" t="s">
        <v>19</v>
      </c>
      <c r="D19" s="1" t="s">
        <v>20</v>
      </c>
      <c r="E19" t="s">
        <v>100</v>
      </c>
      <c r="F19" t="s">
        <v>101</v>
      </c>
      <c r="G19" t="s">
        <v>31</v>
      </c>
      <c r="H19" t="s">
        <v>24</v>
      </c>
      <c r="I19" t="s">
        <v>32</v>
      </c>
      <c r="J19">
        <v>1</v>
      </c>
      <c r="K19">
        <v>199</v>
      </c>
      <c r="L19">
        <f>Table1[[#This Row],[Quantity]] * Table1[[#This Row],[UnitPrice]]</f>
        <v>199</v>
      </c>
      <c r="M19" s="25">
        <v>20</v>
      </c>
      <c r="N19">
        <f>Table1[[#This Row],[Revenue]]*Table1[[#This Row],[Discount%]]/100</f>
        <v>39.799999999999997</v>
      </c>
      <c r="O19" s="6">
        <f>Table1[[#This Row],[Revenue]]-Table1[[#This Row],[Disc_amount]]</f>
        <v>159.19999999999999</v>
      </c>
      <c r="P19" t="s">
        <v>26</v>
      </c>
      <c r="Q19" t="s">
        <v>27</v>
      </c>
    </row>
    <row r="20" spans="1:17">
      <c r="A20" t="s">
        <v>102</v>
      </c>
      <c r="B20" s="1" t="s">
        <v>88</v>
      </c>
      <c r="C20" s="1" t="s">
        <v>19</v>
      </c>
      <c r="D20" s="1" t="s">
        <v>20</v>
      </c>
      <c r="E20" t="s">
        <v>103</v>
      </c>
      <c r="F20" t="s">
        <v>104</v>
      </c>
      <c r="G20" t="s">
        <v>45</v>
      </c>
      <c r="H20" t="s">
        <v>70</v>
      </c>
      <c r="I20" t="s">
        <v>91</v>
      </c>
      <c r="J20">
        <v>2</v>
      </c>
      <c r="K20">
        <v>549</v>
      </c>
      <c r="L20">
        <f>Table1[[#This Row],[Quantity]] * Table1[[#This Row],[UnitPrice]]</f>
        <v>1098</v>
      </c>
      <c r="M20" s="25">
        <v>0</v>
      </c>
      <c r="N20">
        <f>Table1[[#This Row],[Revenue]]*Table1[[#This Row],[Discount%]]/100</f>
        <v>0</v>
      </c>
      <c r="O20" s="6">
        <f>Table1[[#This Row],[Revenue]]-Table1[[#This Row],[Disc_amount]]</f>
        <v>1098</v>
      </c>
      <c r="P20" t="s">
        <v>33</v>
      </c>
      <c r="Q20" t="s">
        <v>27</v>
      </c>
    </row>
    <row r="21" spans="1:17">
      <c r="A21" t="s">
        <v>105</v>
      </c>
      <c r="B21" s="1" t="s">
        <v>88</v>
      </c>
      <c r="C21" s="1" t="s">
        <v>19</v>
      </c>
      <c r="D21" s="1" t="s">
        <v>20</v>
      </c>
      <c r="E21" t="s">
        <v>106</v>
      </c>
      <c r="F21" t="s">
        <v>107</v>
      </c>
      <c r="G21" t="s">
        <v>45</v>
      </c>
      <c r="H21" t="s">
        <v>108</v>
      </c>
      <c r="I21" t="s">
        <v>109</v>
      </c>
      <c r="J21">
        <v>3</v>
      </c>
      <c r="K21">
        <v>1499</v>
      </c>
      <c r="L21">
        <f>Table1[[#This Row],[Quantity]] * Table1[[#This Row],[UnitPrice]]</f>
        <v>4497</v>
      </c>
      <c r="M21" s="25">
        <v>20</v>
      </c>
      <c r="N21">
        <f>Table1[[#This Row],[Revenue]]*Table1[[#This Row],[Discount%]]/100</f>
        <v>899.4</v>
      </c>
      <c r="O21" s="6">
        <f>Table1[[#This Row],[Revenue]]-Table1[[#This Row],[Disc_amount]]</f>
        <v>3597.6</v>
      </c>
      <c r="P21" t="s">
        <v>26</v>
      </c>
      <c r="Q21" t="s">
        <v>27</v>
      </c>
    </row>
    <row r="22" spans="1:17">
      <c r="A22" t="s">
        <v>110</v>
      </c>
      <c r="B22" s="1" t="s">
        <v>88</v>
      </c>
      <c r="C22" s="1" t="s">
        <v>19</v>
      </c>
      <c r="D22" s="1" t="s">
        <v>20</v>
      </c>
      <c r="E22" t="s">
        <v>111</v>
      </c>
      <c r="F22" t="s">
        <v>107</v>
      </c>
      <c r="G22" t="s">
        <v>23</v>
      </c>
      <c r="H22" t="s">
        <v>65</v>
      </c>
      <c r="I22" t="s">
        <v>66</v>
      </c>
      <c r="J22">
        <v>1</v>
      </c>
      <c r="K22">
        <v>1999</v>
      </c>
      <c r="L22">
        <f>Table1[[#This Row],[Quantity]] * Table1[[#This Row],[UnitPrice]]</f>
        <v>1999</v>
      </c>
      <c r="M22" s="25">
        <v>20</v>
      </c>
      <c r="N22">
        <f>Table1[[#This Row],[Revenue]]*Table1[[#This Row],[Discount%]]/100</f>
        <v>399.8</v>
      </c>
      <c r="O22" s="6">
        <f>Table1[[#This Row],[Revenue]]-Table1[[#This Row],[Disc_amount]]</f>
        <v>1599.2</v>
      </c>
      <c r="P22" t="s">
        <v>41</v>
      </c>
      <c r="Q22" t="s">
        <v>27</v>
      </c>
    </row>
    <row r="23" spans="1:17">
      <c r="A23" t="s">
        <v>112</v>
      </c>
      <c r="B23" s="1" t="s">
        <v>113</v>
      </c>
      <c r="C23" s="1" t="s">
        <v>19</v>
      </c>
      <c r="D23" s="1" t="s">
        <v>20</v>
      </c>
      <c r="E23" t="s">
        <v>114</v>
      </c>
      <c r="F23" t="s">
        <v>115</v>
      </c>
      <c r="G23" t="s">
        <v>45</v>
      </c>
      <c r="H23" t="s">
        <v>70</v>
      </c>
      <c r="I23" t="s">
        <v>91</v>
      </c>
      <c r="J23">
        <v>1</v>
      </c>
      <c r="K23">
        <v>549</v>
      </c>
      <c r="L23">
        <f>Table1[[#This Row],[Quantity]] * Table1[[#This Row],[UnitPrice]]</f>
        <v>549</v>
      </c>
      <c r="M23" s="25">
        <v>20</v>
      </c>
      <c r="N23">
        <f>Table1[[#This Row],[Revenue]]*Table1[[#This Row],[Discount%]]/100</f>
        <v>109.8</v>
      </c>
      <c r="O23" s="6">
        <f>Table1[[#This Row],[Revenue]]-Table1[[#This Row],[Disc_amount]]</f>
        <v>439.2</v>
      </c>
      <c r="P23" t="s">
        <v>33</v>
      </c>
      <c r="Q23" t="s">
        <v>27</v>
      </c>
    </row>
    <row r="24" spans="1:17">
      <c r="A24" t="s">
        <v>116</v>
      </c>
      <c r="B24" s="1" t="s">
        <v>113</v>
      </c>
      <c r="C24" s="1" t="s">
        <v>19</v>
      </c>
      <c r="D24" s="1" t="s">
        <v>20</v>
      </c>
      <c r="E24" t="s">
        <v>117</v>
      </c>
      <c r="F24" t="s">
        <v>118</v>
      </c>
      <c r="G24" t="s">
        <v>31</v>
      </c>
      <c r="H24" t="s">
        <v>65</v>
      </c>
      <c r="I24" t="s">
        <v>98</v>
      </c>
      <c r="J24">
        <v>4</v>
      </c>
      <c r="K24">
        <v>499</v>
      </c>
      <c r="L24">
        <f>Table1[[#This Row],[Quantity]] * Table1[[#This Row],[UnitPrice]]</f>
        <v>1996</v>
      </c>
      <c r="M24" s="25">
        <v>0</v>
      </c>
      <c r="N24">
        <f>Table1[[#This Row],[Revenue]]*Table1[[#This Row],[Discount%]]/100</f>
        <v>0</v>
      </c>
      <c r="O24" s="6">
        <f>Table1[[#This Row],[Revenue]]-Table1[[#This Row],[Disc_amount]]</f>
        <v>1996</v>
      </c>
      <c r="P24" t="s">
        <v>86</v>
      </c>
      <c r="Q24" t="s">
        <v>34</v>
      </c>
    </row>
    <row r="25" spans="1:17">
      <c r="A25" t="s">
        <v>119</v>
      </c>
      <c r="B25" s="1" t="s">
        <v>113</v>
      </c>
      <c r="C25" s="1" t="s">
        <v>19</v>
      </c>
      <c r="D25" s="1" t="s">
        <v>20</v>
      </c>
      <c r="E25" t="s">
        <v>120</v>
      </c>
      <c r="F25" t="s">
        <v>107</v>
      </c>
      <c r="G25" t="s">
        <v>56</v>
      </c>
      <c r="H25" t="s">
        <v>39</v>
      </c>
      <c r="I25" t="s">
        <v>40</v>
      </c>
      <c r="J25">
        <v>2</v>
      </c>
      <c r="K25">
        <v>599</v>
      </c>
      <c r="L25">
        <f>Table1[[#This Row],[Quantity]] * Table1[[#This Row],[UnitPrice]]</f>
        <v>1198</v>
      </c>
      <c r="M25" s="25">
        <v>20</v>
      </c>
      <c r="N25">
        <f>Table1[[#This Row],[Revenue]]*Table1[[#This Row],[Discount%]]/100</f>
        <v>239.6</v>
      </c>
      <c r="O25" s="6">
        <f>Table1[[#This Row],[Revenue]]-Table1[[#This Row],[Disc_amount]]</f>
        <v>958.4</v>
      </c>
      <c r="P25" t="s">
        <v>41</v>
      </c>
      <c r="Q25" t="s">
        <v>34</v>
      </c>
    </row>
    <row r="26" spans="1:17">
      <c r="A26" t="s">
        <v>121</v>
      </c>
      <c r="B26" s="1" t="s">
        <v>113</v>
      </c>
      <c r="C26" s="1" t="s">
        <v>19</v>
      </c>
      <c r="D26" s="1" t="s">
        <v>20</v>
      </c>
      <c r="E26" t="s">
        <v>122</v>
      </c>
      <c r="F26" t="s">
        <v>123</v>
      </c>
      <c r="G26" t="s">
        <v>38</v>
      </c>
      <c r="H26" t="s">
        <v>108</v>
      </c>
      <c r="I26" t="s">
        <v>109</v>
      </c>
      <c r="J26">
        <v>3</v>
      </c>
      <c r="K26">
        <v>1499</v>
      </c>
      <c r="L26">
        <f>Table1[[#This Row],[Quantity]] * Table1[[#This Row],[UnitPrice]]</f>
        <v>4497</v>
      </c>
      <c r="M26" s="25">
        <v>5</v>
      </c>
      <c r="N26">
        <f>Table1[[#This Row],[Revenue]]*Table1[[#This Row],[Discount%]]/100</f>
        <v>224.85</v>
      </c>
      <c r="O26" s="6">
        <f>Table1[[#This Row],[Revenue]]-Table1[[#This Row],[Disc_amount]]</f>
        <v>4272.1499999999996</v>
      </c>
      <c r="P26" t="s">
        <v>26</v>
      </c>
      <c r="Q26" t="s">
        <v>27</v>
      </c>
    </row>
    <row r="27" spans="1:17">
      <c r="A27" t="s">
        <v>124</v>
      </c>
      <c r="B27" s="1" t="s">
        <v>125</v>
      </c>
      <c r="C27" s="1" t="s">
        <v>19</v>
      </c>
      <c r="D27" s="1" t="s">
        <v>20</v>
      </c>
      <c r="E27" t="s">
        <v>126</v>
      </c>
      <c r="F27" t="s">
        <v>77</v>
      </c>
      <c r="G27" t="s">
        <v>38</v>
      </c>
      <c r="H27" t="s">
        <v>70</v>
      </c>
      <c r="I27" t="s">
        <v>71</v>
      </c>
      <c r="J27">
        <v>1</v>
      </c>
      <c r="K27">
        <v>349</v>
      </c>
      <c r="L27">
        <f>Table1[[#This Row],[Quantity]] * Table1[[#This Row],[UnitPrice]]</f>
        <v>349</v>
      </c>
      <c r="M27" s="25">
        <v>15</v>
      </c>
      <c r="N27">
        <f>Table1[[#This Row],[Revenue]]*Table1[[#This Row],[Discount%]]/100</f>
        <v>52.35</v>
      </c>
      <c r="O27" s="6">
        <f>Table1[[#This Row],[Revenue]]-Table1[[#This Row],[Disc_amount]]</f>
        <v>296.64999999999998</v>
      </c>
      <c r="P27" t="s">
        <v>41</v>
      </c>
      <c r="Q27" t="s">
        <v>34</v>
      </c>
    </row>
    <row r="28" spans="1:17">
      <c r="A28" t="s">
        <v>127</v>
      </c>
      <c r="B28" s="1" t="s">
        <v>125</v>
      </c>
      <c r="C28" s="1" t="s">
        <v>19</v>
      </c>
      <c r="D28" s="1" t="s">
        <v>20</v>
      </c>
      <c r="E28" t="s">
        <v>128</v>
      </c>
      <c r="F28" t="s">
        <v>129</v>
      </c>
      <c r="G28" t="s">
        <v>38</v>
      </c>
      <c r="H28" t="s">
        <v>108</v>
      </c>
      <c r="I28" t="s">
        <v>130</v>
      </c>
      <c r="J28">
        <v>2</v>
      </c>
      <c r="K28">
        <v>699</v>
      </c>
      <c r="L28">
        <f>Table1[[#This Row],[Quantity]] * Table1[[#This Row],[UnitPrice]]</f>
        <v>1398</v>
      </c>
      <c r="M28" s="25">
        <v>0</v>
      </c>
      <c r="N28">
        <f>Table1[[#This Row],[Revenue]]*Table1[[#This Row],[Discount%]]/100</f>
        <v>0</v>
      </c>
      <c r="O28" s="6">
        <f>Table1[[#This Row],[Revenue]]-Table1[[#This Row],[Disc_amount]]</f>
        <v>1398</v>
      </c>
      <c r="P28" t="s">
        <v>52</v>
      </c>
      <c r="Q28" t="s">
        <v>27</v>
      </c>
    </row>
    <row r="29" spans="1:17">
      <c r="A29" t="s">
        <v>131</v>
      </c>
      <c r="B29" s="1" t="s">
        <v>125</v>
      </c>
      <c r="C29" s="1" t="s">
        <v>19</v>
      </c>
      <c r="D29" s="1" t="s">
        <v>20</v>
      </c>
      <c r="E29" t="s">
        <v>43</v>
      </c>
      <c r="F29" t="s">
        <v>44</v>
      </c>
      <c r="G29" t="s">
        <v>31</v>
      </c>
      <c r="H29" t="s">
        <v>46</v>
      </c>
      <c r="I29" t="s">
        <v>47</v>
      </c>
      <c r="J29">
        <v>1</v>
      </c>
      <c r="K29">
        <v>249</v>
      </c>
      <c r="L29">
        <f>Table1[[#This Row],[Quantity]] * Table1[[#This Row],[UnitPrice]]</f>
        <v>249</v>
      </c>
      <c r="M29" s="25">
        <v>0</v>
      </c>
      <c r="N29">
        <f>Table1[[#This Row],[Revenue]]*Table1[[#This Row],[Discount%]]/100</f>
        <v>0</v>
      </c>
      <c r="O29" s="6">
        <f>Table1[[#This Row],[Revenue]]-Table1[[#This Row],[Disc_amount]]</f>
        <v>249</v>
      </c>
      <c r="P29" t="s">
        <v>26</v>
      </c>
      <c r="Q29" t="s">
        <v>34</v>
      </c>
    </row>
    <row r="30" spans="1:17">
      <c r="A30" t="s">
        <v>132</v>
      </c>
      <c r="B30" s="1" t="s">
        <v>125</v>
      </c>
      <c r="C30" s="1" t="s">
        <v>19</v>
      </c>
      <c r="D30" s="1" t="s">
        <v>20</v>
      </c>
      <c r="E30" t="s">
        <v>133</v>
      </c>
      <c r="F30" t="s">
        <v>134</v>
      </c>
      <c r="G30" t="s">
        <v>45</v>
      </c>
      <c r="H30" t="s">
        <v>57</v>
      </c>
      <c r="I30" t="s">
        <v>62</v>
      </c>
      <c r="J30">
        <v>1</v>
      </c>
      <c r="K30">
        <v>799</v>
      </c>
      <c r="L30">
        <f>Table1[[#This Row],[Quantity]] * Table1[[#This Row],[UnitPrice]]</f>
        <v>799</v>
      </c>
      <c r="M30" s="25">
        <v>20</v>
      </c>
      <c r="N30">
        <f>Table1[[#This Row],[Revenue]]*Table1[[#This Row],[Discount%]]/100</f>
        <v>159.80000000000001</v>
      </c>
      <c r="O30" s="6">
        <f>Table1[[#This Row],[Revenue]]-Table1[[#This Row],[Disc_amount]]</f>
        <v>639.20000000000005</v>
      </c>
      <c r="P30" t="s">
        <v>86</v>
      </c>
      <c r="Q30" t="s">
        <v>34</v>
      </c>
    </row>
    <row r="31" spans="1:17">
      <c r="A31" t="s">
        <v>135</v>
      </c>
      <c r="B31" s="1" t="s">
        <v>125</v>
      </c>
      <c r="C31" s="1" t="s">
        <v>19</v>
      </c>
      <c r="D31" s="1" t="s">
        <v>20</v>
      </c>
      <c r="E31" t="s">
        <v>136</v>
      </c>
      <c r="F31" t="s">
        <v>115</v>
      </c>
      <c r="G31" t="s">
        <v>31</v>
      </c>
      <c r="H31" t="s">
        <v>65</v>
      </c>
      <c r="I31" t="s">
        <v>66</v>
      </c>
      <c r="J31">
        <v>2</v>
      </c>
      <c r="K31">
        <v>1999</v>
      </c>
      <c r="L31">
        <f>Table1[[#This Row],[Quantity]] * Table1[[#This Row],[UnitPrice]]</f>
        <v>3998</v>
      </c>
      <c r="M31" s="25">
        <v>15</v>
      </c>
      <c r="N31">
        <f>Table1[[#This Row],[Revenue]]*Table1[[#This Row],[Discount%]]/100</f>
        <v>599.70000000000005</v>
      </c>
      <c r="O31" s="6">
        <f>Table1[[#This Row],[Revenue]]-Table1[[#This Row],[Disc_amount]]</f>
        <v>3398.3</v>
      </c>
      <c r="P31" t="s">
        <v>33</v>
      </c>
      <c r="Q31" t="s">
        <v>34</v>
      </c>
    </row>
    <row r="32" spans="1:17">
      <c r="A32" t="s">
        <v>137</v>
      </c>
      <c r="B32" s="1" t="s">
        <v>125</v>
      </c>
      <c r="C32" s="1" t="s">
        <v>19</v>
      </c>
      <c r="D32" s="1" t="s">
        <v>20</v>
      </c>
      <c r="E32" t="s">
        <v>138</v>
      </c>
      <c r="F32" t="s">
        <v>139</v>
      </c>
      <c r="G32" t="s">
        <v>38</v>
      </c>
      <c r="H32" t="s">
        <v>39</v>
      </c>
      <c r="I32" t="s">
        <v>140</v>
      </c>
      <c r="J32">
        <v>2</v>
      </c>
      <c r="K32">
        <v>1799</v>
      </c>
      <c r="L32">
        <f>Table1[[#This Row],[Quantity]] * Table1[[#This Row],[UnitPrice]]</f>
        <v>3598</v>
      </c>
      <c r="M32" s="25">
        <v>0</v>
      </c>
      <c r="N32">
        <f>Table1[[#This Row],[Revenue]]*Table1[[#This Row],[Discount%]]/100</f>
        <v>0</v>
      </c>
      <c r="O32" s="6">
        <f>Table1[[#This Row],[Revenue]]-Table1[[#This Row],[Disc_amount]]</f>
        <v>3598</v>
      </c>
      <c r="P32" t="s">
        <v>86</v>
      </c>
      <c r="Q32" t="s">
        <v>27</v>
      </c>
    </row>
    <row r="33" spans="1:17">
      <c r="A33" t="s">
        <v>141</v>
      </c>
      <c r="B33" s="1" t="s">
        <v>125</v>
      </c>
      <c r="C33" s="1" t="s">
        <v>19</v>
      </c>
      <c r="D33" s="1" t="s">
        <v>20</v>
      </c>
      <c r="E33" t="s">
        <v>142</v>
      </c>
      <c r="F33" t="s">
        <v>143</v>
      </c>
      <c r="G33" t="s">
        <v>38</v>
      </c>
      <c r="H33" t="s">
        <v>70</v>
      </c>
      <c r="I33" t="s">
        <v>71</v>
      </c>
      <c r="J33">
        <v>5</v>
      </c>
      <c r="K33">
        <v>349</v>
      </c>
      <c r="L33">
        <f>Table1[[#This Row],[Quantity]] * Table1[[#This Row],[UnitPrice]]</f>
        <v>1745</v>
      </c>
      <c r="M33" s="25">
        <v>0</v>
      </c>
      <c r="N33">
        <f>Table1[[#This Row],[Revenue]]*Table1[[#This Row],[Discount%]]/100</f>
        <v>0</v>
      </c>
      <c r="O33" s="6">
        <f>Table1[[#This Row],[Revenue]]-Table1[[#This Row],[Disc_amount]]</f>
        <v>1745</v>
      </c>
      <c r="P33" t="s">
        <v>26</v>
      </c>
      <c r="Q33" t="s">
        <v>27</v>
      </c>
    </row>
    <row r="34" spans="1:17">
      <c r="A34" t="s">
        <v>144</v>
      </c>
      <c r="B34" s="1" t="s">
        <v>145</v>
      </c>
      <c r="C34" s="1" t="s">
        <v>19</v>
      </c>
      <c r="D34" s="1" t="s">
        <v>20</v>
      </c>
      <c r="E34" t="s">
        <v>146</v>
      </c>
      <c r="F34" t="s">
        <v>147</v>
      </c>
      <c r="G34" t="s">
        <v>45</v>
      </c>
      <c r="H34" t="s">
        <v>24</v>
      </c>
      <c r="I34" t="s">
        <v>32</v>
      </c>
      <c r="J34">
        <v>3</v>
      </c>
      <c r="K34">
        <v>199</v>
      </c>
      <c r="L34">
        <f>Table1[[#This Row],[Quantity]] * Table1[[#This Row],[UnitPrice]]</f>
        <v>597</v>
      </c>
      <c r="M34" s="25">
        <v>5</v>
      </c>
      <c r="N34">
        <f>Table1[[#This Row],[Revenue]]*Table1[[#This Row],[Discount%]]/100</f>
        <v>29.85</v>
      </c>
      <c r="O34" s="6">
        <f>Table1[[#This Row],[Revenue]]-Table1[[#This Row],[Disc_amount]]</f>
        <v>567.15</v>
      </c>
      <c r="P34" t="s">
        <v>26</v>
      </c>
      <c r="Q34" t="s">
        <v>27</v>
      </c>
    </row>
    <row r="35" spans="1:17">
      <c r="A35" t="s">
        <v>148</v>
      </c>
      <c r="B35" s="1" t="s">
        <v>145</v>
      </c>
      <c r="C35" s="1" t="s">
        <v>19</v>
      </c>
      <c r="D35" s="1" t="s">
        <v>20</v>
      </c>
      <c r="E35" t="s">
        <v>149</v>
      </c>
      <c r="F35" t="s">
        <v>150</v>
      </c>
      <c r="G35" t="s">
        <v>56</v>
      </c>
      <c r="H35" t="s">
        <v>57</v>
      </c>
      <c r="I35" t="s">
        <v>58</v>
      </c>
      <c r="J35">
        <v>1</v>
      </c>
      <c r="K35">
        <v>1299</v>
      </c>
      <c r="L35">
        <f>Table1[[#This Row],[Quantity]] * Table1[[#This Row],[UnitPrice]]</f>
        <v>1299</v>
      </c>
      <c r="M35" s="25">
        <v>0</v>
      </c>
      <c r="N35">
        <f>Table1[[#This Row],[Revenue]]*Table1[[#This Row],[Discount%]]/100</f>
        <v>0</v>
      </c>
      <c r="O35" s="6">
        <f>Table1[[#This Row],[Revenue]]-Table1[[#This Row],[Disc_amount]]</f>
        <v>1299</v>
      </c>
      <c r="P35" t="s">
        <v>52</v>
      </c>
      <c r="Q35" t="s">
        <v>27</v>
      </c>
    </row>
    <row r="36" spans="1:17">
      <c r="A36" t="s">
        <v>151</v>
      </c>
      <c r="B36" s="1" t="s">
        <v>145</v>
      </c>
      <c r="C36" s="1" t="s">
        <v>19</v>
      </c>
      <c r="D36" s="1" t="s">
        <v>20</v>
      </c>
      <c r="E36" t="s">
        <v>152</v>
      </c>
      <c r="F36" t="s">
        <v>153</v>
      </c>
      <c r="G36" t="s">
        <v>56</v>
      </c>
      <c r="H36" t="s">
        <v>46</v>
      </c>
      <c r="I36" t="s">
        <v>154</v>
      </c>
      <c r="J36">
        <v>3</v>
      </c>
      <c r="K36">
        <v>299</v>
      </c>
      <c r="L36">
        <f>Table1[[#This Row],[Quantity]] * Table1[[#This Row],[UnitPrice]]</f>
        <v>897</v>
      </c>
      <c r="M36" s="25">
        <v>5</v>
      </c>
      <c r="N36">
        <f>Table1[[#This Row],[Revenue]]*Table1[[#This Row],[Discount%]]/100</f>
        <v>44.85</v>
      </c>
      <c r="O36" s="6">
        <f>Table1[[#This Row],[Revenue]]-Table1[[#This Row],[Disc_amount]]</f>
        <v>852.15</v>
      </c>
      <c r="P36" t="s">
        <v>26</v>
      </c>
      <c r="Q36" t="s">
        <v>27</v>
      </c>
    </row>
    <row r="37" spans="1:17">
      <c r="A37" t="s">
        <v>155</v>
      </c>
      <c r="B37" s="1" t="s">
        <v>145</v>
      </c>
      <c r="C37" s="1" t="s">
        <v>19</v>
      </c>
      <c r="D37" s="1" t="s">
        <v>20</v>
      </c>
      <c r="E37" t="s">
        <v>156</v>
      </c>
      <c r="F37" t="s">
        <v>157</v>
      </c>
      <c r="G37" t="s">
        <v>23</v>
      </c>
      <c r="H37" t="s">
        <v>108</v>
      </c>
      <c r="I37" t="s">
        <v>130</v>
      </c>
      <c r="J37">
        <v>3</v>
      </c>
      <c r="K37">
        <v>699</v>
      </c>
      <c r="L37">
        <f>Table1[[#This Row],[Quantity]] * Table1[[#This Row],[UnitPrice]]</f>
        <v>2097</v>
      </c>
      <c r="M37" s="25">
        <v>10</v>
      </c>
      <c r="N37">
        <f>Table1[[#This Row],[Revenue]]*Table1[[#This Row],[Discount%]]/100</f>
        <v>209.7</v>
      </c>
      <c r="O37" s="6">
        <f>Table1[[#This Row],[Revenue]]-Table1[[#This Row],[Disc_amount]]</f>
        <v>1887.3</v>
      </c>
      <c r="P37" t="s">
        <v>33</v>
      </c>
      <c r="Q37" t="s">
        <v>34</v>
      </c>
    </row>
    <row r="38" spans="1:17">
      <c r="A38" t="s">
        <v>158</v>
      </c>
      <c r="B38" s="1" t="s">
        <v>145</v>
      </c>
      <c r="C38" s="1" t="s">
        <v>19</v>
      </c>
      <c r="D38" s="1" t="s">
        <v>20</v>
      </c>
      <c r="E38" t="s">
        <v>159</v>
      </c>
      <c r="F38" t="s">
        <v>160</v>
      </c>
      <c r="G38" t="s">
        <v>23</v>
      </c>
      <c r="H38" t="s">
        <v>24</v>
      </c>
      <c r="I38" t="s">
        <v>25</v>
      </c>
      <c r="J38">
        <v>3</v>
      </c>
      <c r="K38">
        <v>99</v>
      </c>
      <c r="L38">
        <f>Table1[[#This Row],[Quantity]] * Table1[[#This Row],[UnitPrice]]</f>
        <v>297</v>
      </c>
      <c r="M38" s="25">
        <v>5</v>
      </c>
      <c r="N38">
        <f>Table1[[#This Row],[Revenue]]*Table1[[#This Row],[Discount%]]/100</f>
        <v>14.85</v>
      </c>
      <c r="O38" s="6">
        <f>Table1[[#This Row],[Revenue]]-Table1[[#This Row],[Disc_amount]]</f>
        <v>282.14999999999998</v>
      </c>
      <c r="P38" t="s">
        <v>26</v>
      </c>
      <c r="Q38" t="s">
        <v>27</v>
      </c>
    </row>
    <row r="39" spans="1:17">
      <c r="A39" t="s">
        <v>161</v>
      </c>
      <c r="B39" s="1" t="s">
        <v>145</v>
      </c>
      <c r="C39" s="1" t="s">
        <v>19</v>
      </c>
      <c r="D39" s="1" t="s">
        <v>20</v>
      </c>
      <c r="E39" t="s">
        <v>73</v>
      </c>
      <c r="F39" t="s">
        <v>74</v>
      </c>
      <c r="G39" t="s">
        <v>31</v>
      </c>
      <c r="H39" t="s">
        <v>24</v>
      </c>
      <c r="I39" t="s">
        <v>25</v>
      </c>
      <c r="J39">
        <v>3</v>
      </c>
      <c r="K39">
        <v>99</v>
      </c>
      <c r="L39">
        <f>Table1[[#This Row],[Quantity]] * Table1[[#This Row],[UnitPrice]]</f>
        <v>297</v>
      </c>
      <c r="M39" s="25">
        <v>5</v>
      </c>
      <c r="N39">
        <f>Table1[[#This Row],[Revenue]]*Table1[[#This Row],[Discount%]]/100</f>
        <v>14.85</v>
      </c>
      <c r="O39" s="6">
        <f>Table1[[#This Row],[Revenue]]-Table1[[#This Row],[Disc_amount]]</f>
        <v>282.14999999999998</v>
      </c>
      <c r="P39" t="s">
        <v>26</v>
      </c>
      <c r="Q39" t="s">
        <v>27</v>
      </c>
    </row>
    <row r="40" spans="1:17">
      <c r="A40" t="s">
        <v>162</v>
      </c>
      <c r="B40" s="1" t="s">
        <v>163</v>
      </c>
      <c r="C40" s="1" t="s">
        <v>19</v>
      </c>
      <c r="D40" s="1" t="s">
        <v>20</v>
      </c>
      <c r="E40" t="s">
        <v>100</v>
      </c>
      <c r="F40" t="s">
        <v>101</v>
      </c>
      <c r="G40" t="s">
        <v>45</v>
      </c>
      <c r="H40" t="s">
        <v>70</v>
      </c>
      <c r="I40" t="s">
        <v>91</v>
      </c>
      <c r="J40">
        <v>1</v>
      </c>
      <c r="K40">
        <v>549</v>
      </c>
      <c r="L40">
        <f>Table1[[#This Row],[Quantity]] * Table1[[#This Row],[UnitPrice]]</f>
        <v>549</v>
      </c>
      <c r="M40" s="25">
        <v>10</v>
      </c>
      <c r="N40">
        <f>Table1[[#This Row],[Revenue]]*Table1[[#This Row],[Discount%]]/100</f>
        <v>54.9</v>
      </c>
      <c r="O40" s="6">
        <f>Table1[[#This Row],[Revenue]]-Table1[[#This Row],[Disc_amount]]</f>
        <v>494.1</v>
      </c>
      <c r="P40" t="s">
        <v>41</v>
      </c>
      <c r="Q40" t="s">
        <v>27</v>
      </c>
    </row>
    <row r="41" spans="1:17">
      <c r="A41" t="s">
        <v>164</v>
      </c>
      <c r="B41" s="1" t="s">
        <v>163</v>
      </c>
      <c r="C41" s="1" t="s">
        <v>19</v>
      </c>
      <c r="D41" s="1" t="s">
        <v>20</v>
      </c>
      <c r="E41" t="s">
        <v>165</v>
      </c>
      <c r="F41" t="s">
        <v>166</v>
      </c>
      <c r="G41" t="s">
        <v>38</v>
      </c>
      <c r="H41" t="s">
        <v>108</v>
      </c>
      <c r="I41" t="s">
        <v>109</v>
      </c>
      <c r="J41">
        <v>3</v>
      </c>
      <c r="K41">
        <v>1499</v>
      </c>
      <c r="L41">
        <f>Table1[[#This Row],[Quantity]] * Table1[[#This Row],[UnitPrice]]</f>
        <v>4497</v>
      </c>
      <c r="M41" s="25">
        <v>20</v>
      </c>
      <c r="N41">
        <f>Table1[[#This Row],[Revenue]]*Table1[[#This Row],[Discount%]]/100</f>
        <v>899.4</v>
      </c>
      <c r="O41" s="6">
        <f>Table1[[#This Row],[Revenue]]-Table1[[#This Row],[Disc_amount]]</f>
        <v>3597.6</v>
      </c>
      <c r="P41" t="s">
        <v>26</v>
      </c>
      <c r="Q41" t="s">
        <v>27</v>
      </c>
    </row>
    <row r="42" spans="1:17">
      <c r="A42" t="s">
        <v>167</v>
      </c>
      <c r="B42" s="1" t="s">
        <v>163</v>
      </c>
      <c r="C42" s="1" t="s">
        <v>19</v>
      </c>
      <c r="D42" s="1" t="s">
        <v>20</v>
      </c>
      <c r="E42" t="s">
        <v>122</v>
      </c>
      <c r="F42" t="s">
        <v>123</v>
      </c>
      <c r="G42" t="s">
        <v>31</v>
      </c>
      <c r="H42" t="s">
        <v>70</v>
      </c>
      <c r="I42" t="s">
        <v>71</v>
      </c>
      <c r="J42">
        <v>1</v>
      </c>
      <c r="K42">
        <v>349</v>
      </c>
      <c r="L42">
        <f>Table1[[#This Row],[Quantity]] * Table1[[#This Row],[UnitPrice]]</f>
        <v>349</v>
      </c>
      <c r="M42" s="25">
        <v>15</v>
      </c>
      <c r="N42">
        <f>Table1[[#This Row],[Revenue]]*Table1[[#This Row],[Discount%]]/100</f>
        <v>52.35</v>
      </c>
      <c r="O42" s="6">
        <f>Table1[[#This Row],[Revenue]]-Table1[[#This Row],[Disc_amount]]</f>
        <v>296.64999999999998</v>
      </c>
      <c r="P42" t="s">
        <v>52</v>
      </c>
      <c r="Q42" t="s">
        <v>34</v>
      </c>
    </row>
    <row r="43" spans="1:17">
      <c r="A43" t="s">
        <v>168</v>
      </c>
      <c r="B43" s="1" t="s">
        <v>163</v>
      </c>
      <c r="C43" s="1" t="s">
        <v>19</v>
      </c>
      <c r="D43" s="1" t="s">
        <v>20</v>
      </c>
      <c r="E43" t="s">
        <v>169</v>
      </c>
      <c r="F43" t="s">
        <v>170</v>
      </c>
      <c r="G43" t="s">
        <v>38</v>
      </c>
      <c r="H43" t="s">
        <v>65</v>
      </c>
      <c r="I43" t="s">
        <v>98</v>
      </c>
      <c r="J43">
        <v>1</v>
      </c>
      <c r="K43">
        <v>499</v>
      </c>
      <c r="L43">
        <f>Table1[[#This Row],[Quantity]] * Table1[[#This Row],[UnitPrice]]</f>
        <v>499</v>
      </c>
      <c r="M43" s="25">
        <v>20</v>
      </c>
      <c r="N43">
        <f>Table1[[#This Row],[Revenue]]*Table1[[#This Row],[Discount%]]/100</f>
        <v>99.8</v>
      </c>
      <c r="O43" s="6">
        <f>Table1[[#This Row],[Revenue]]-Table1[[#This Row],[Disc_amount]]</f>
        <v>399.2</v>
      </c>
      <c r="P43" t="s">
        <v>41</v>
      </c>
      <c r="Q43" t="s">
        <v>27</v>
      </c>
    </row>
    <row r="44" spans="1:17">
      <c r="A44" t="s">
        <v>171</v>
      </c>
      <c r="B44" s="1" t="s">
        <v>163</v>
      </c>
      <c r="C44" s="1" t="s">
        <v>19</v>
      </c>
      <c r="D44" s="1" t="s">
        <v>20</v>
      </c>
      <c r="E44" t="s">
        <v>172</v>
      </c>
      <c r="F44" t="s">
        <v>173</v>
      </c>
      <c r="G44" t="s">
        <v>45</v>
      </c>
      <c r="H44" t="s">
        <v>108</v>
      </c>
      <c r="I44" t="s">
        <v>130</v>
      </c>
      <c r="J44">
        <v>1</v>
      </c>
      <c r="K44">
        <v>699</v>
      </c>
      <c r="L44">
        <f>Table1[[#This Row],[Quantity]] * Table1[[#This Row],[UnitPrice]]</f>
        <v>699</v>
      </c>
      <c r="M44" s="25">
        <v>20</v>
      </c>
      <c r="N44">
        <f>Table1[[#This Row],[Revenue]]*Table1[[#This Row],[Discount%]]/100</f>
        <v>139.80000000000001</v>
      </c>
      <c r="O44" s="6">
        <f>Table1[[#This Row],[Revenue]]-Table1[[#This Row],[Disc_amount]]</f>
        <v>559.20000000000005</v>
      </c>
      <c r="P44" t="s">
        <v>41</v>
      </c>
      <c r="Q44" t="s">
        <v>34</v>
      </c>
    </row>
    <row r="45" spans="1:17">
      <c r="A45" t="s">
        <v>174</v>
      </c>
      <c r="B45" s="1" t="s">
        <v>163</v>
      </c>
      <c r="C45" s="1" t="s">
        <v>19</v>
      </c>
      <c r="D45" s="1" t="s">
        <v>20</v>
      </c>
      <c r="E45" t="s">
        <v>175</v>
      </c>
      <c r="F45" t="s">
        <v>176</v>
      </c>
      <c r="G45" t="s">
        <v>45</v>
      </c>
      <c r="H45" t="s">
        <v>39</v>
      </c>
      <c r="I45" t="s">
        <v>51</v>
      </c>
      <c r="J45">
        <v>2</v>
      </c>
      <c r="K45">
        <v>2999</v>
      </c>
      <c r="L45">
        <f>Table1[[#This Row],[Quantity]] * Table1[[#This Row],[UnitPrice]]</f>
        <v>5998</v>
      </c>
      <c r="M45" s="25">
        <v>10</v>
      </c>
      <c r="N45">
        <f>Table1[[#This Row],[Revenue]]*Table1[[#This Row],[Discount%]]/100</f>
        <v>599.79999999999995</v>
      </c>
      <c r="O45" s="6">
        <f>Table1[[#This Row],[Revenue]]-Table1[[#This Row],[Disc_amount]]</f>
        <v>5398.2</v>
      </c>
      <c r="P45" t="s">
        <v>33</v>
      </c>
      <c r="Q45" t="s">
        <v>27</v>
      </c>
    </row>
    <row r="46" spans="1:17">
      <c r="A46" t="s">
        <v>177</v>
      </c>
      <c r="B46" s="1" t="s">
        <v>163</v>
      </c>
      <c r="C46" s="1" t="s">
        <v>19</v>
      </c>
      <c r="D46" s="1" t="s">
        <v>20</v>
      </c>
      <c r="E46" t="s">
        <v>178</v>
      </c>
      <c r="F46" t="s">
        <v>179</v>
      </c>
      <c r="G46" t="s">
        <v>38</v>
      </c>
      <c r="H46" t="s">
        <v>108</v>
      </c>
      <c r="I46" t="s">
        <v>130</v>
      </c>
      <c r="J46">
        <v>4</v>
      </c>
      <c r="K46">
        <v>699</v>
      </c>
      <c r="L46">
        <f>Table1[[#This Row],[Quantity]] * Table1[[#This Row],[UnitPrice]]</f>
        <v>2796</v>
      </c>
      <c r="M46" s="25">
        <v>20</v>
      </c>
      <c r="N46">
        <f>Table1[[#This Row],[Revenue]]*Table1[[#This Row],[Discount%]]/100</f>
        <v>559.20000000000005</v>
      </c>
      <c r="O46" s="6">
        <f>Table1[[#This Row],[Revenue]]-Table1[[#This Row],[Disc_amount]]</f>
        <v>2236.8000000000002</v>
      </c>
      <c r="P46" t="s">
        <v>86</v>
      </c>
      <c r="Q46" t="s">
        <v>34</v>
      </c>
    </row>
    <row r="47" spans="1:17">
      <c r="A47" t="s">
        <v>180</v>
      </c>
      <c r="B47" s="1" t="s">
        <v>181</v>
      </c>
      <c r="C47" s="1" t="s">
        <v>19</v>
      </c>
      <c r="D47" s="1" t="s">
        <v>20</v>
      </c>
      <c r="E47" t="s">
        <v>182</v>
      </c>
      <c r="F47" t="s">
        <v>183</v>
      </c>
      <c r="G47" t="s">
        <v>38</v>
      </c>
      <c r="H47" t="s">
        <v>108</v>
      </c>
      <c r="I47" t="s">
        <v>130</v>
      </c>
      <c r="J47">
        <v>1</v>
      </c>
      <c r="K47">
        <v>699</v>
      </c>
      <c r="L47">
        <f>Table1[[#This Row],[Quantity]] * Table1[[#This Row],[UnitPrice]]</f>
        <v>699</v>
      </c>
      <c r="M47" s="25">
        <v>0</v>
      </c>
      <c r="N47">
        <f>Table1[[#This Row],[Revenue]]*Table1[[#This Row],[Discount%]]/100</f>
        <v>0</v>
      </c>
      <c r="O47" s="6">
        <f>Table1[[#This Row],[Revenue]]-Table1[[#This Row],[Disc_amount]]</f>
        <v>699</v>
      </c>
      <c r="P47" t="s">
        <v>26</v>
      </c>
      <c r="Q47" t="s">
        <v>27</v>
      </c>
    </row>
    <row r="48" spans="1:17">
      <c r="A48" t="s">
        <v>184</v>
      </c>
      <c r="B48" s="1" t="s">
        <v>185</v>
      </c>
      <c r="C48" s="1" t="s">
        <v>19</v>
      </c>
      <c r="D48" s="1" t="s">
        <v>20</v>
      </c>
      <c r="E48" t="s">
        <v>186</v>
      </c>
      <c r="F48" t="s">
        <v>187</v>
      </c>
      <c r="G48" t="s">
        <v>23</v>
      </c>
      <c r="H48" t="s">
        <v>57</v>
      </c>
      <c r="I48" t="s">
        <v>58</v>
      </c>
      <c r="J48">
        <v>2</v>
      </c>
      <c r="K48">
        <v>1299</v>
      </c>
      <c r="L48">
        <f>Table1[[#This Row],[Quantity]] * Table1[[#This Row],[UnitPrice]]</f>
        <v>2598</v>
      </c>
      <c r="M48" s="25">
        <v>10</v>
      </c>
      <c r="N48">
        <f>Table1[[#This Row],[Revenue]]*Table1[[#This Row],[Discount%]]/100</f>
        <v>259.8</v>
      </c>
      <c r="O48" s="6">
        <f>Table1[[#This Row],[Revenue]]-Table1[[#This Row],[Disc_amount]]</f>
        <v>2338.1999999999998</v>
      </c>
      <c r="P48" t="s">
        <v>41</v>
      </c>
      <c r="Q48" t="s">
        <v>34</v>
      </c>
    </row>
    <row r="49" spans="1:17">
      <c r="A49" t="s">
        <v>188</v>
      </c>
      <c r="B49" s="1" t="s">
        <v>185</v>
      </c>
      <c r="C49" s="1" t="s">
        <v>19</v>
      </c>
      <c r="D49" s="1" t="s">
        <v>20</v>
      </c>
      <c r="E49" t="s">
        <v>128</v>
      </c>
      <c r="F49" t="s">
        <v>129</v>
      </c>
      <c r="G49" t="s">
        <v>38</v>
      </c>
      <c r="H49" t="s">
        <v>65</v>
      </c>
      <c r="I49" t="s">
        <v>98</v>
      </c>
      <c r="J49">
        <v>3</v>
      </c>
      <c r="K49">
        <v>499</v>
      </c>
      <c r="L49">
        <f>Table1[[#This Row],[Quantity]] * Table1[[#This Row],[UnitPrice]]</f>
        <v>1497</v>
      </c>
      <c r="M49" s="25">
        <v>20</v>
      </c>
      <c r="N49">
        <f>Table1[[#This Row],[Revenue]]*Table1[[#This Row],[Discount%]]/100</f>
        <v>299.39999999999998</v>
      </c>
      <c r="O49" s="6">
        <f>Table1[[#This Row],[Revenue]]-Table1[[#This Row],[Disc_amount]]</f>
        <v>1197.5999999999999</v>
      </c>
      <c r="P49" t="s">
        <v>33</v>
      </c>
      <c r="Q49" t="s">
        <v>34</v>
      </c>
    </row>
    <row r="50" spans="1:17">
      <c r="A50" t="s">
        <v>189</v>
      </c>
      <c r="B50" s="1" t="s">
        <v>185</v>
      </c>
      <c r="C50" s="1" t="s">
        <v>19</v>
      </c>
      <c r="D50" s="1" t="s">
        <v>20</v>
      </c>
      <c r="E50" t="s">
        <v>190</v>
      </c>
      <c r="F50" t="s">
        <v>191</v>
      </c>
      <c r="G50" t="s">
        <v>45</v>
      </c>
      <c r="H50" t="s">
        <v>39</v>
      </c>
      <c r="I50" t="s">
        <v>140</v>
      </c>
      <c r="J50">
        <v>3</v>
      </c>
      <c r="K50">
        <v>1799</v>
      </c>
      <c r="L50">
        <f>Table1[[#This Row],[Quantity]] * Table1[[#This Row],[UnitPrice]]</f>
        <v>5397</v>
      </c>
      <c r="M50" s="25">
        <v>5</v>
      </c>
      <c r="N50">
        <f>Table1[[#This Row],[Revenue]]*Table1[[#This Row],[Discount%]]/100</f>
        <v>269.85000000000002</v>
      </c>
      <c r="O50" s="6">
        <f>Table1[[#This Row],[Revenue]]-Table1[[#This Row],[Disc_amount]]</f>
        <v>5127.1499999999996</v>
      </c>
      <c r="P50" t="s">
        <v>26</v>
      </c>
      <c r="Q50" t="s">
        <v>27</v>
      </c>
    </row>
    <row r="51" spans="1:17">
      <c r="A51" t="s">
        <v>192</v>
      </c>
      <c r="B51" s="1" t="s">
        <v>185</v>
      </c>
      <c r="C51" s="1" t="s">
        <v>19</v>
      </c>
      <c r="D51" s="1" t="s">
        <v>20</v>
      </c>
      <c r="E51" t="s">
        <v>54</v>
      </c>
      <c r="F51" t="s">
        <v>55</v>
      </c>
      <c r="G51" t="s">
        <v>31</v>
      </c>
      <c r="H51" t="s">
        <v>24</v>
      </c>
      <c r="I51" t="s">
        <v>25</v>
      </c>
      <c r="J51">
        <v>1</v>
      </c>
      <c r="K51">
        <v>99</v>
      </c>
      <c r="L51">
        <f>Table1[[#This Row],[Quantity]] * Table1[[#This Row],[UnitPrice]]</f>
        <v>99</v>
      </c>
      <c r="M51" s="25">
        <v>0</v>
      </c>
      <c r="N51">
        <f>Table1[[#This Row],[Revenue]]*Table1[[#This Row],[Discount%]]/100</f>
        <v>0</v>
      </c>
      <c r="O51" s="6">
        <f>Table1[[#This Row],[Revenue]]-Table1[[#This Row],[Disc_amount]]</f>
        <v>99</v>
      </c>
      <c r="P51" t="s">
        <v>52</v>
      </c>
      <c r="Q51" t="s">
        <v>27</v>
      </c>
    </row>
    <row r="52" spans="1:17">
      <c r="A52" t="s">
        <v>193</v>
      </c>
      <c r="B52" s="1" t="s">
        <v>185</v>
      </c>
      <c r="C52" s="1" t="s">
        <v>19</v>
      </c>
      <c r="D52" s="1" t="s">
        <v>20</v>
      </c>
      <c r="E52" t="s">
        <v>194</v>
      </c>
      <c r="F52" t="s">
        <v>195</v>
      </c>
      <c r="G52" t="s">
        <v>31</v>
      </c>
      <c r="H52" t="s">
        <v>108</v>
      </c>
      <c r="I52" t="s">
        <v>130</v>
      </c>
      <c r="J52">
        <v>1</v>
      </c>
      <c r="K52">
        <v>699</v>
      </c>
      <c r="L52">
        <f>Table1[[#This Row],[Quantity]] * Table1[[#This Row],[UnitPrice]]</f>
        <v>699</v>
      </c>
      <c r="M52" s="25">
        <v>20</v>
      </c>
      <c r="N52">
        <f>Table1[[#This Row],[Revenue]]*Table1[[#This Row],[Discount%]]/100</f>
        <v>139.80000000000001</v>
      </c>
      <c r="O52" s="6">
        <f>Table1[[#This Row],[Revenue]]-Table1[[#This Row],[Disc_amount]]</f>
        <v>559.20000000000005</v>
      </c>
      <c r="P52" t="s">
        <v>86</v>
      </c>
      <c r="Q52" t="s">
        <v>27</v>
      </c>
    </row>
    <row r="53" spans="1:17">
      <c r="A53" t="s">
        <v>196</v>
      </c>
      <c r="B53" s="1" t="s">
        <v>185</v>
      </c>
      <c r="C53" s="1" t="s">
        <v>19</v>
      </c>
      <c r="D53" s="1" t="s">
        <v>20</v>
      </c>
      <c r="E53" t="s">
        <v>197</v>
      </c>
      <c r="F53" t="s">
        <v>198</v>
      </c>
      <c r="G53" t="s">
        <v>23</v>
      </c>
      <c r="H53" t="s">
        <v>70</v>
      </c>
      <c r="I53" t="s">
        <v>91</v>
      </c>
      <c r="J53">
        <v>2</v>
      </c>
      <c r="K53">
        <v>549</v>
      </c>
      <c r="L53">
        <f>Table1[[#This Row],[Quantity]] * Table1[[#This Row],[UnitPrice]]</f>
        <v>1098</v>
      </c>
      <c r="M53" s="25">
        <v>0</v>
      </c>
      <c r="N53">
        <f>Table1[[#This Row],[Revenue]]*Table1[[#This Row],[Discount%]]/100</f>
        <v>0</v>
      </c>
      <c r="O53" s="6">
        <f>Table1[[#This Row],[Revenue]]-Table1[[#This Row],[Disc_amount]]</f>
        <v>1098</v>
      </c>
      <c r="P53" t="s">
        <v>26</v>
      </c>
      <c r="Q53" t="s">
        <v>34</v>
      </c>
    </row>
    <row r="54" spans="1:17">
      <c r="A54" t="s">
        <v>199</v>
      </c>
      <c r="B54" s="1" t="s">
        <v>185</v>
      </c>
      <c r="C54" s="1" t="s">
        <v>19</v>
      </c>
      <c r="D54" s="1" t="s">
        <v>20</v>
      </c>
      <c r="E54" t="s">
        <v>200</v>
      </c>
      <c r="F54" t="s">
        <v>22</v>
      </c>
      <c r="G54" t="s">
        <v>56</v>
      </c>
      <c r="H54" t="s">
        <v>65</v>
      </c>
      <c r="I54" t="s">
        <v>66</v>
      </c>
      <c r="J54">
        <v>3</v>
      </c>
      <c r="K54">
        <v>1999</v>
      </c>
      <c r="L54">
        <f>Table1[[#This Row],[Quantity]] * Table1[[#This Row],[UnitPrice]]</f>
        <v>5997</v>
      </c>
      <c r="M54" s="25">
        <v>10</v>
      </c>
      <c r="N54">
        <f>Table1[[#This Row],[Revenue]]*Table1[[#This Row],[Discount%]]/100</f>
        <v>599.70000000000005</v>
      </c>
      <c r="O54" s="6">
        <f>Table1[[#This Row],[Revenue]]-Table1[[#This Row],[Disc_amount]]</f>
        <v>5397.3</v>
      </c>
      <c r="P54" t="s">
        <v>41</v>
      </c>
      <c r="Q54" t="s">
        <v>27</v>
      </c>
    </row>
    <row r="55" spans="1:17">
      <c r="A55" t="s">
        <v>201</v>
      </c>
      <c r="B55" s="1" t="s">
        <v>185</v>
      </c>
      <c r="C55" s="1" t="s">
        <v>19</v>
      </c>
      <c r="D55" s="1" t="s">
        <v>20</v>
      </c>
      <c r="E55" t="s">
        <v>202</v>
      </c>
      <c r="F55" t="s">
        <v>203</v>
      </c>
      <c r="G55" t="s">
        <v>23</v>
      </c>
      <c r="H55" t="s">
        <v>57</v>
      </c>
      <c r="I55" t="s">
        <v>62</v>
      </c>
      <c r="J55">
        <v>1</v>
      </c>
      <c r="K55">
        <v>799</v>
      </c>
      <c r="L55">
        <f>Table1[[#This Row],[Quantity]] * Table1[[#This Row],[UnitPrice]]</f>
        <v>799</v>
      </c>
      <c r="M55" s="25">
        <v>15</v>
      </c>
      <c r="N55">
        <f>Table1[[#This Row],[Revenue]]*Table1[[#This Row],[Discount%]]/100</f>
        <v>119.85</v>
      </c>
      <c r="O55" s="6">
        <f>Table1[[#This Row],[Revenue]]-Table1[[#This Row],[Disc_amount]]</f>
        <v>679.15</v>
      </c>
      <c r="P55" t="s">
        <v>33</v>
      </c>
      <c r="Q55" t="s">
        <v>34</v>
      </c>
    </row>
    <row r="56" spans="1:17">
      <c r="A56" t="s">
        <v>204</v>
      </c>
      <c r="B56" s="1" t="s">
        <v>185</v>
      </c>
      <c r="C56" s="1" t="s">
        <v>19</v>
      </c>
      <c r="D56" s="1" t="s">
        <v>20</v>
      </c>
      <c r="E56" t="s">
        <v>205</v>
      </c>
      <c r="F56" t="s">
        <v>206</v>
      </c>
      <c r="G56" t="s">
        <v>38</v>
      </c>
      <c r="H56" t="s">
        <v>46</v>
      </c>
      <c r="I56" t="s">
        <v>47</v>
      </c>
      <c r="J56">
        <v>1</v>
      </c>
      <c r="K56">
        <v>249</v>
      </c>
      <c r="L56">
        <f>Table1[[#This Row],[Quantity]] * Table1[[#This Row],[UnitPrice]]</f>
        <v>249</v>
      </c>
      <c r="M56" s="25">
        <v>0</v>
      </c>
      <c r="N56">
        <f>Table1[[#This Row],[Revenue]]*Table1[[#This Row],[Discount%]]/100</f>
        <v>0</v>
      </c>
      <c r="O56" s="6">
        <f>Table1[[#This Row],[Revenue]]-Table1[[#This Row],[Disc_amount]]</f>
        <v>249</v>
      </c>
      <c r="P56" t="s">
        <v>52</v>
      </c>
      <c r="Q56" t="s">
        <v>27</v>
      </c>
    </row>
    <row r="57" spans="1:17">
      <c r="A57" t="s">
        <v>207</v>
      </c>
      <c r="B57" s="1" t="s">
        <v>185</v>
      </c>
      <c r="C57" s="1" t="s">
        <v>19</v>
      </c>
      <c r="D57" s="1" t="s">
        <v>20</v>
      </c>
      <c r="E57" t="s">
        <v>208</v>
      </c>
      <c r="F57" t="s">
        <v>209</v>
      </c>
      <c r="G57" t="s">
        <v>45</v>
      </c>
      <c r="H57" t="s">
        <v>46</v>
      </c>
      <c r="I57" t="s">
        <v>154</v>
      </c>
      <c r="J57">
        <v>2</v>
      </c>
      <c r="K57">
        <v>299</v>
      </c>
      <c r="L57">
        <f>Table1[[#This Row],[Quantity]] * Table1[[#This Row],[UnitPrice]]</f>
        <v>598</v>
      </c>
      <c r="M57" s="25">
        <v>0</v>
      </c>
      <c r="N57">
        <f>Table1[[#This Row],[Revenue]]*Table1[[#This Row],[Discount%]]/100</f>
        <v>0</v>
      </c>
      <c r="O57" s="6">
        <f>Table1[[#This Row],[Revenue]]-Table1[[#This Row],[Disc_amount]]</f>
        <v>598</v>
      </c>
      <c r="P57" t="s">
        <v>52</v>
      </c>
      <c r="Q57" t="s">
        <v>27</v>
      </c>
    </row>
    <row r="58" spans="1:17">
      <c r="A58" t="s">
        <v>210</v>
      </c>
      <c r="B58" s="1" t="s">
        <v>211</v>
      </c>
      <c r="C58" s="1" t="s">
        <v>19</v>
      </c>
      <c r="D58" s="1" t="s">
        <v>20</v>
      </c>
      <c r="E58" t="s">
        <v>212</v>
      </c>
      <c r="F58" t="s">
        <v>213</v>
      </c>
      <c r="G58" t="s">
        <v>56</v>
      </c>
      <c r="H58" t="s">
        <v>108</v>
      </c>
      <c r="I58" t="s">
        <v>130</v>
      </c>
      <c r="J58">
        <v>1</v>
      </c>
      <c r="K58">
        <v>699</v>
      </c>
      <c r="L58">
        <f>Table1[[#This Row],[Quantity]] * Table1[[#This Row],[UnitPrice]]</f>
        <v>699</v>
      </c>
      <c r="M58" s="25">
        <v>0</v>
      </c>
      <c r="N58">
        <f>Table1[[#This Row],[Revenue]]*Table1[[#This Row],[Discount%]]/100</f>
        <v>0</v>
      </c>
      <c r="O58" s="6">
        <f>Table1[[#This Row],[Revenue]]-Table1[[#This Row],[Disc_amount]]</f>
        <v>699</v>
      </c>
      <c r="P58" t="s">
        <v>33</v>
      </c>
      <c r="Q58" t="s">
        <v>34</v>
      </c>
    </row>
    <row r="59" spans="1:17">
      <c r="A59" t="s">
        <v>214</v>
      </c>
      <c r="B59" s="1" t="s">
        <v>211</v>
      </c>
      <c r="C59" s="1" t="s">
        <v>19</v>
      </c>
      <c r="D59" s="1" t="s">
        <v>20</v>
      </c>
      <c r="E59" t="s">
        <v>215</v>
      </c>
      <c r="F59" t="s">
        <v>90</v>
      </c>
      <c r="G59" t="s">
        <v>45</v>
      </c>
      <c r="H59" t="s">
        <v>39</v>
      </c>
      <c r="I59" t="s">
        <v>51</v>
      </c>
      <c r="J59">
        <v>1</v>
      </c>
      <c r="K59">
        <v>2999</v>
      </c>
      <c r="L59">
        <f>Table1[[#This Row],[Quantity]] * Table1[[#This Row],[UnitPrice]]</f>
        <v>2999</v>
      </c>
      <c r="M59" s="25">
        <v>0</v>
      </c>
      <c r="N59">
        <f>Table1[[#This Row],[Revenue]]*Table1[[#This Row],[Discount%]]/100</f>
        <v>0</v>
      </c>
      <c r="O59" s="6">
        <f>Table1[[#This Row],[Revenue]]-Table1[[#This Row],[Disc_amount]]</f>
        <v>2999</v>
      </c>
      <c r="P59" t="s">
        <v>52</v>
      </c>
      <c r="Q59" t="s">
        <v>27</v>
      </c>
    </row>
    <row r="60" spans="1:17">
      <c r="A60" t="s">
        <v>216</v>
      </c>
      <c r="B60" s="1" t="s">
        <v>211</v>
      </c>
      <c r="C60" s="1" t="s">
        <v>19</v>
      </c>
      <c r="D60" s="1" t="s">
        <v>20</v>
      </c>
      <c r="E60" t="s">
        <v>217</v>
      </c>
      <c r="F60" t="s">
        <v>218</v>
      </c>
      <c r="G60" t="s">
        <v>38</v>
      </c>
      <c r="H60" t="s">
        <v>57</v>
      </c>
      <c r="I60" t="s">
        <v>62</v>
      </c>
      <c r="J60">
        <v>2</v>
      </c>
      <c r="K60">
        <v>799</v>
      </c>
      <c r="L60">
        <f>Table1[[#This Row],[Quantity]] * Table1[[#This Row],[UnitPrice]]</f>
        <v>1598</v>
      </c>
      <c r="M60" s="25">
        <v>0</v>
      </c>
      <c r="N60">
        <f>Table1[[#This Row],[Revenue]]*Table1[[#This Row],[Discount%]]/100</f>
        <v>0</v>
      </c>
      <c r="O60" s="6">
        <f>Table1[[#This Row],[Revenue]]-Table1[[#This Row],[Disc_amount]]</f>
        <v>1598</v>
      </c>
      <c r="P60" t="s">
        <v>26</v>
      </c>
      <c r="Q60" t="s">
        <v>27</v>
      </c>
    </row>
    <row r="61" spans="1:17">
      <c r="A61" t="s">
        <v>219</v>
      </c>
      <c r="B61" s="1" t="s">
        <v>211</v>
      </c>
      <c r="C61" s="1" t="s">
        <v>19</v>
      </c>
      <c r="D61" s="1" t="s">
        <v>20</v>
      </c>
      <c r="E61" t="s">
        <v>220</v>
      </c>
      <c r="F61" t="s">
        <v>153</v>
      </c>
      <c r="G61" t="s">
        <v>31</v>
      </c>
      <c r="H61" t="s">
        <v>24</v>
      </c>
      <c r="I61" t="s">
        <v>25</v>
      </c>
      <c r="J61">
        <v>3</v>
      </c>
      <c r="K61">
        <v>99</v>
      </c>
      <c r="L61">
        <f>Table1[[#This Row],[Quantity]] * Table1[[#This Row],[UnitPrice]]</f>
        <v>297</v>
      </c>
      <c r="M61" s="25">
        <v>0</v>
      </c>
      <c r="N61">
        <f>Table1[[#This Row],[Revenue]]*Table1[[#This Row],[Discount%]]/100</f>
        <v>0</v>
      </c>
      <c r="O61" s="6">
        <f>Table1[[#This Row],[Revenue]]-Table1[[#This Row],[Disc_amount]]</f>
        <v>297</v>
      </c>
      <c r="P61" t="s">
        <v>33</v>
      </c>
      <c r="Q61" t="s">
        <v>34</v>
      </c>
    </row>
    <row r="62" spans="1:17">
      <c r="A62" t="s">
        <v>221</v>
      </c>
      <c r="B62" s="1" t="s">
        <v>211</v>
      </c>
      <c r="C62" s="1" t="s">
        <v>19</v>
      </c>
      <c r="D62" s="1" t="s">
        <v>20</v>
      </c>
      <c r="E62" t="s">
        <v>222</v>
      </c>
      <c r="F62" t="s">
        <v>166</v>
      </c>
      <c r="G62" t="s">
        <v>31</v>
      </c>
      <c r="H62" t="s">
        <v>70</v>
      </c>
      <c r="I62" t="s">
        <v>91</v>
      </c>
      <c r="J62">
        <v>1</v>
      </c>
      <c r="K62">
        <v>549</v>
      </c>
      <c r="L62">
        <f>Table1[[#This Row],[Quantity]] * Table1[[#This Row],[UnitPrice]]</f>
        <v>549</v>
      </c>
      <c r="M62" s="25">
        <v>0</v>
      </c>
      <c r="N62">
        <f>Table1[[#This Row],[Revenue]]*Table1[[#This Row],[Discount%]]/100</f>
        <v>0</v>
      </c>
      <c r="O62" s="6">
        <f>Table1[[#This Row],[Revenue]]-Table1[[#This Row],[Disc_amount]]</f>
        <v>549</v>
      </c>
      <c r="P62" t="s">
        <v>41</v>
      </c>
      <c r="Q62" t="s">
        <v>27</v>
      </c>
    </row>
    <row r="63" spans="1:17">
      <c r="A63" t="s">
        <v>223</v>
      </c>
      <c r="B63" s="1" t="s">
        <v>211</v>
      </c>
      <c r="C63" s="1" t="s">
        <v>19</v>
      </c>
      <c r="D63" s="1" t="s">
        <v>20</v>
      </c>
      <c r="E63" t="s">
        <v>224</v>
      </c>
      <c r="F63" t="s">
        <v>225</v>
      </c>
      <c r="G63" t="s">
        <v>56</v>
      </c>
      <c r="H63" t="s">
        <v>46</v>
      </c>
      <c r="I63" t="s">
        <v>154</v>
      </c>
      <c r="J63">
        <v>3</v>
      </c>
      <c r="K63">
        <v>299</v>
      </c>
      <c r="L63">
        <f>Table1[[#This Row],[Quantity]] * Table1[[#This Row],[UnitPrice]]</f>
        <v>897</v>
      </c>
      <c r="M63" s="25">
        <v>0</v>
      </c>
      <c r="N63">
        <f>Table1[[#This Row],[Revenue]]*Table1[[#This Row],[Discount%]]/100</f>
        <v>0</v>
      </c>
      <c r="O63" s="6">
        <f>Table1[[#This Row],[Revenue]]-Table1[[#This Row],[Disc_amount]]</f>
        <v>897</v>
      </c>
      <c r="P63" t="s">
        <v>26</v>
      </c>
      <c r="Q63" t="s">
        <v>34</v>
      </c>
    </row>
    <row r="64" spans="1:17">
      <c r="A64" t="s">
        <v>226</v>
      </c>
      <c r="B64" s="1" t="s">
        <v>227</v>
      </c>
      <c r="C64" s="1" t="s">
        <v>19</v>
      </c>
      <c r="D64" s="1" t="s">
        <v>20</v>
      </c>
      <c r="E64" t="s">
        <v>228</v>
      </c>
      <c r="F64" t="s">
        <v>229</v>
      </c>
      <c r="G64" t="s">
        <v>56</v>
      </c>
      <c r="H64" t="s">
        <v>57</v>
      </c>
      <c r="I64" t="s">
        <v>62</v>
      </c>
      <c r="J64">
        <v>1</v>
      </c>
      <c r="K64">
        <v>799</v>
      </c>
      <c r="L64">
        <f>Table1[[#This Row],[Quantity]] * Table1[[#This Row],[UnitPrice]]</f>
        <v>799</v>
      </c>
      <c r="M64" s="25">
        <v>10</v>
      </c>
      <c r="N64">
        <f>Table1[[#This Row],[Revenue]]*Table1[[#This Row],[Discount%]]/100</f>
        <v>79.900000000000006</v>
      </c>
      <c r="O64" s="6">
        <f>Table1[[#This Row],[Revenue]]-Table1[[#This Row],[Disc_amount]]</f>
        <v>719.1</v>
      </c>
      <c r="P64" t="s">
        <v>52</v>
      </c>
      <c r="Q64" t="s">
        <v>27</v>
      </c>
    </row>
    <row r="65" spans="1:17">
      <c r="A65" t="s">
        <v>230</v>
      </c>
      <c r="B65" s="1" t="s">
        <v>227</v>
      </c>
      <c r="C65" s="1" t="s">
        <v>19</v>
      </c>
      <c r="D65" s="1" t="s">
        <v>20</v>
      </c>
      <c r="E65" t="s">
        <v>231</v>
      </c>
      <c r="F65" t="s">
        <v>173</v>
      </c>
      <c r="G65" t="s">
        <v>38</v>
      </c>
      <c r="H65" t="s">
        <v>39</v>
      </c>
      <c r="I65" t="s">
        <v>140</v>
      </c>
      <c r="J65">
        <v>1</v>
      </c>
      <c r="K65">
        <v>1799</v>
      </c>
      <c r="L65">
        <f>Table1[[#This Row],[Quantity]] * Table1[[#This Row],[UnitPrice]]</f>
        <v>1799</v>
      </c>
      <c r="M65" s="25">
        <v>5</v>
      </c>
      <c r="N65">
        <f>Table1[[#This Row],[Revenue]]*Table1[[#This Row],[Discount%]]/100</f>
        <v>89.95</v>
      </c>
      <c r="O65" s="6">
        <f>Table1[[#This Row],[Revenue]]-Table1[[#This Row],[Disc_amount]]</f>
        <v>1709.05</v>
      </c>
      <c r="P65" t="s">
        <v>33</v>
      </c>
      <c r="Q65" t="s">
        <v>27</v>
      </c>
    </row>
    <row r="66" spans="1:17">
      <c r="A66" t="s">
        <v>232</v>
      </c>
      <c r="B66" s="1" t="s">
        <v>233</v>
      </c>
      <c r="C66" s="1" t="s">
        <v>19</v>
      </c>
      <c r="D66" s="1" t="s">
        <v>20</v>
      </c>
      <c r="E66" t="s">
        <v>122</v>
      </c>
      <c r="F66" t="s">
        <v>123</v>
      </c>
      <c r="G66" t="s">
        <v>38</v>
      </c>
      <c r="H66" t="s">
        <v>108</v>
      </c>
      <c r="I66" t="s">
        <v>109</v>
      </c>
      <c r="J66">
        <v>2</v>
      </c>
      <c r="K66">
        <v>1499</v>
      </c>
      <c r="L66">
        <f>Table1[[#This Row],[Quantity]] * Table1[[#This Row],[UnitPrice]]</f>
        <v>2998</v>
      </c>
      <c r="M66" s="25">
        <v>0</v>
      </c>
      <c r="N66">
        <f>Table1[[#This Row],[Revenue]]*Table1[[#This Row],[Discount%]]/100</f>
        <v>0</v>
      </c>
      <c r="O66" s="6">
        <f>Table1[[#This Row],[Revenue]]-Table1[[#This Row],[Disc_amount]]</f>
        <v>2998</v>
      </c>
      <c r="P66" t="s">
        <v>33</v>
      </c>
      <c r="Q66" t="s">
        <v>27</v>
      </c>
    </row>
    <row r="67" spans="1:17">
      <c r="A67" t="s">
        <v>234</v>
      </c>
      <c r="B67" s="1" t="s">
        <v>233</v>
      </c>
      <c r="C67" s="1" t="s">
        <v>19</v>
      </c>
      <c r="D67" s="1" t="s">
        <v>20</v>
      </c>
      <c r="E67" t="s">
        <v>235</v>
      </c>
      <c r="F67" t="s">
        <v>236</v>
      </c>
      <c r="G67" t="s">
        <v>31</v>
      </c>
      <c r="H67" t="s">
        <v>39</v>
      </c>
      <c r="I67" t="s">
        <v>140</v>
      </c>
      <c r="J67">
        <v>1</v>
      </c>
      <c r="K67">
        <v>1799</v>
      </c>
      <c r="L67">
        <f>Table1[[#This Row],[Quantity]] * Table1[[#This Row],[UnitPrice]]</f>
        <v>1799</v>
      </c>
      <c r="M67" s="25">
        <v>10</v>
      </c>
      <c r="N67">
        <f>Table1[[#This Row],[Revenue]]*Table1[[#This Row],[Discount%]]/100</f>
        <v>179.9</v>
      </c>
      <c r="O67" s="6">
        <f>Table1[[#This Row],[Revenue]]-Table1[[#This Row],[Disc_amount]]</f>
        <v>1619.1</v>
      </c>
      <c r="P67" t="s">
        <v>86</v>
      </c>
      <c r="Q67" t="s">
        <v>27</v>
      </c>
    </row>
    <row r="68" spans="1:17">
      <c r="A68" t="s">
        <v>237</v>
      </c>
      <c r="B68" s="1" t="s">
        <v>233</v>
      </c>
      <c r="C68" s="1" t="s">
        <v>19</v>
      </c>
      <c r="D68" s="1" t="s">
        <v>20</v>
      </c>
      <c r="E68" t="s">
        <v>238</v>
      </c>
      <c r="F68" t="s">
        <v>239</v>
      </c>
      <c r="G68" t="s">
        <v>38</v>
      </c>
      <c r="H68" t="s">
        <v>70</v>
      </c>
      <c r="I68" t="s">
        <v>91</v>
      </c>
      <c r="J68">
        <v>1</v>
      </c>
      <c r="K68">
        <v>549</v>
      </c>
      <c r="L68">
        <f>Table1[[#This Row],[Quantity]] * Table1[[#This Row],[UnitPrice]]</f>
        <v>549</v>
      </c>
      <c r="M68" s="25">
        <v>0</v>
      </c>
      <c r="N68">
        <f>Table1[[#This Row],[Revenue]]*Table1[[#This Row],[Discount%]]/100</f>
        <v>0</v>
      </c>
      <c r="O68" s="6">
        <f>Table1[[#This Row],[Revenue]]-Table1[[#This Row],[Disc_amount]]</f>
        <v>549</v>
      </c>
      <c r="P68" t="s">
        <v>26</v>
      </c>
      <c r="Q68" t="s">
        <v>34</v>
      </c>
    </row>
    <row r="69" spans="1:17">
      <c r="A69" t="s">
        <v>240</v>
      </c>
      <c r="B69" s="1" t="s">
        <v>233</v>
      </c>
      <c r="C69" s="1" t="s">
        <v>19</v>
      </c>
      <c r="D69" s="1" t="s">
        <v>20</v>
      </c>
      <c r="E69" t="s">
        <v>241</v>
      </c>
      <c r="F69" t="s">
        <v>242</v>
      </c>
      <c r="G69" t="s">
        <v>23</v>
      </c>
      <c r="H69" t="s">
        <v>65</v>
      </c>
      <c r="I69" t="s">
        <v>66</v>
      </c>
      <c r="J69">
        <v>1</v>
      </c>
      <c r="K69">
        <v>1999</v>
      </c>
      <c r="L69">
        <f>Table1[[#This Row],[Quantity]] * Table1[[#This Row],[UnitPrice]]</f>
        <v>1999</v>
      </c>
      <c r="M69" s="25">
        <v>15</v>
      </c>
      <c r="N69">
        <f>Table1[[#This Row],[Revenue]]*Table1[[#This Row],[Discount%]]/100</f>
        <v>299.85000000000002</v>
      </c>
      <c r="O69" s="6">
        <f>Table1[[#This Row],[Revenue]]-Table1[[#This Row],[Disc_amount]]</f>
        <v>1699.15</v>
      </c>
      <c r="P69" t="s">
        <v>33</v>
      </c>
      <c r="Q69" t="s">
        <v>27</v>
      </c>
    </row>
    <row r="70" spans="1:17">
      <c r="A70" t="s">
        <v>243</v>
      </c>
      <c r="B70" s="1" t="s">
        <v>233</v>
      </c>
      <c r="C70" s="1" t="s">
        <v>19</v>
      </c>
      <c r="D70" s="1" t="s">
        <v>20</v>
      </c>
      <c r="E70" t="s">
        <v>244</v>
      </c>
      <c r="F70" t="s">
        <v>245</v>
      </c>
      <c r="G70" t="s">
        <v>31</v>
      </c>
      <c r="H70" t="s">
        <v>108</v>
      </c>
      <c r="I70" t="s">
        <v>109</v>
      </c>
      <c r="J70">
        <v>3</v>
      </c>
      <c r="K70">
        <v>1499</v>
      </c>
      <c r="L70">
        <f>Table1[[#This Row],[Quantity]] * Table1[[#This Row],[UnitPrice]]</f>
        <v>4497</v>
      </c>
      <c r="M70" s="25">
        <v>0</v>
      </c>
      <c r="N70">
        <f>Table1[[#This Row],[Revenue]]*Table1[[#This Row],[Discount%]]/100</f>
        <v>0</v>
      </c>
      <c r="O70" s="6">
        <f>Table1[[#This Row],[Revenue]]-Table1[[#This Row],[Disc_amount]]</f>
        <v>4497</v>
      </c>
      <c r="P70" t="s">
        <v>41</v>
      </c>
      <c r="Q70" t="s">
        <v>27</v>
      </c>
    </row>
    <row r="71" spans="1:17">
      <c r="A71" t="s">
        <v>246</v>
      </c>
      <c r="B71" s="1" t="s">
        <v>233</v>
      </c>
      <c r="C71" s="1" t="s">
        <v>19</v>
      </c>
      <c r="D71" s="1" t="s">
        <v>20</v>
      </c>
      <c r="E71" t="s">
        <v>247</v>
      </c>
      <c r="F71" t="s">
        <v>248</v>
      </c>
      <c r="G71" t="s">
        <v>56</v>
      </c>
      <c r="H71" t="s">
        <v>57</v>
      </c>
      <c r="I71" t="s">
        <v>62</v>
      </c>
      <c r="J71">
        <v>3</v>
      </c>
      <c r="K71">
        <v>799</v>
      </c>
      <c r="L71">
        <f>Table1[[#This Row],[Quantity]] * Table1[[#This Row],[UnitPrice]]</f>
        <v>2397</v>
      </c>
      <c r="M71" s="25">
        <v>0</v>
      </c>
      <c r="N71">
        <f>Table1[[#This Row],[Revenue]]*Table1[[#This Row],[Discount%]]/100</f>
        <v>0</v>
      </c>
      <c r="O71" s="6">
        <f>Table1[[#This Row],[Revenue]]-Table1[[#This Row],[Disc_amount]]</f>
        <v>2397</v>
      </c>
      <c r="P71" t="s">
        <v>26</v>
      </c>
      <c r="Q71" t="s">
        <v>34</v>
      </c>
    </row>
    <row r="72" spans="1:17">
      <c r="A72" t="s">
        <v>249</v>
      </c>
      <c r="B72" s="1" t="s">
        <v>250</v>
      </c>
      <c r="C72" s="1" t="s">
        <v>19</v>
      </c>
      <c r="D72" s="1" t="s">
        <v>20</v>
      </c>
      <c r="E72" t="s">
        <v>205</v>
      </c>
      <c r="F72" t="s">
        <v>206</v>
      </c>
      <c r="G72" t="s">
        <v>56</v>
      </c>
      <c r="H72" t="s">
        <v>70</v>
      </c>
      <c r="I72" t="s">
        <v>71</v>
      </c>
      <c r="J72">
        <v>1</v>
      </c>
      <c r="K72">
        <v>349</v>
      </c>
      <c r="L72">
        <f>Table1[[#This Row],[Quantity]] * Table1[[#This Row],[UnitPrice]]</f>
        <v>349</v>
      </c>
      <c r="M72" s="25">
        <v>0</v>
      </c>
      <c r="N72">
        <f>Table1[[#This Row],[Revenue]]*Table1[[#This Row],[Discount%]]/100</f>
        <v>0</v>
      </c>
      <c r="O72" s="6">
        <f>Table1[[#This Row],[Revenue]]-Table1[[#This Row],[Disc_amount]]</f>
        <v>349</v>
      </c>
      <c r="P72" t="s">
        <v>52</v>
      </c>
      <c r="Q72" t="s">
        <v>27</v>
      </c>
    </row>
    <row r="73" spans="1:17">
      <c r="A73" t="s">
        <v>251</v>
      </c>
      <c r="B73" s="1" t="s">
        <v>250</v>
      </c>
      <c r="C73" s="1" t="s">
        <v>19</v>
      </c>
      <c r="D73" s="1" t="s">
        <v>20</v>
      </c>
      <c r="E73" t="s">
        <v>252</v>
      </c>
      <c r="F73" t="s">
        <v>253</v>
      </c>
      <c r="G73" t="s">
        <v>56</v>
      </c>
      <c r="H73" t="s">
        <v>57</v>
      </c>
      <c r="I73" t="s">
        <v>62</v>
      </c>
      <c r="J73">
        <v>3</v>
      </c>
      <c r="K73">
        <v>799</v>
      </c>
      <c r="L73">
        <f>Table1[[#This Row],[Quantity]] * Table1[[#This Row],[UnitPrice]]</f>
        <v>2397</v>
      </c>
      <c r="M73" s="25">
        <v>0</v>
      </c>
      <c r="N73">
        <f>Table1[[#This Row],[Revenue]]*Table1[[#This Row],[Discount%]]/100</f>
        <v>0</v>
      </c>
      <c r="O73" s="6">
        <f>Table1[[#This Row],[Revenue]]-Table1[[#This Row],[Disc_amount]]</f>
        <v>2397</v>
      </c>
      <c r="P73" t="s">
        <v>26</v>
      </c>
      <c r="Q73" t="s">
        <v>27</v>
      </c>
    </row>
    <row r="74" spans="1:17">
      <c r="A74" t="s">
        <v>254</v>
      </c>
      <c r="B74" s="1" t="s">
        <v>250</v>
      </c>
      <c r="C74" s="1" t="s">
        <v>19</v>
      </c>
      <c r="D74" s="1" t="s">
        <v>20</v>
      </c>
      <c r="E74" t="s">
        <v>255</v>
      </c>
      <c r="F74" t="s">
        <v>256</v>
      </c>
      <c r="G74" t="s">
        <v>56</v>
      </c>
      <c r="H74" t="s">
        <v>46</v>
      </c>
      <c r="I74" t="s">
        <v>154</v>
      </c>
      <c r="J74">
        <v>1</v>
      </c>
      <c r="K74">
        <v>299</v>
      </c>
      <c r="L74">
        <f>Table1[[#This Row],[Quantity]] * Table1[[#This Row],[UnitPrice]]</f>
        <v>299</v>
      </c>
      <c r="M74" s="25">
        <v>15</v>
      </c>
      <c r="N74">
        <f>Table1[[#This Row],[Revenue]]*Table1[[#This Row],[Discount%]]/100</f>
        <v>44.85</v>
      </c>
      <c r="O74" s="6">
        <f>Table1[[#This Row],[Revenue]]-Table1[[#This Row],[Disc_amount]]</f>
        <v>254.15</v>
      </c>
      <c r="P74" t="s">
        <v>41</v>
      </c>
      <c r="Q74" t="s">
        <v>27</v>
      </c>
    </row>
    <row r="75" spans="1:17">
      <c r="A75" t="s">
        <v>257</v>
      </c>
      <c r="B75" s="1" t="s">
        <v>250</v>
      </c>
      <c r="C75" s="1" t="s">
        <v>19</v>
      </c>
      <c r="D75" s="1" t="s">
        <v>20</v>
      </c>
      <c r="E75" t="s">
        <v>258</v>
      </c>
      <c r="F75" t="s">
        <v>259</v>
      </c>
      <c r="G75" t="s">
        <v>23</v>
      </c>
      <c r="H75" t="s">
        <v>24</v>
      </c>
      <c r="I75" t="s">
        <v>32</v>
      </c>
      <c r="J75">
        <v>3</v>
      </c>
      <c r="K75">
        <v>199</v>
      </c>
      <c r="L75">
        <f>Table1[[#This Row],[Quantity]] * Table1[[#This Row],[UnitPrice]]</f>
        <v>597</v>
      </c>
      <c r="M75" s="25">
        <v>15</v>
      </c>
      <c r="N75">
        <f>Table1[[#This Row],[Revenue]]*Table1[[#This Row],[Discount%]]/100</f>
        <v>89.55</v>
      </c>
      <c r="O75" s="6">
        <f>Table1[[#This Row],[Revenue]]-Table1[[#This Row],[Disc_amount]]</f>
        <v>507.45</v>
      </c>
      <c r="P75" t="s">
        <v>41</v>
      </c>
      <c r="Q75" t="s">
        <v>34</v>
      </c>
    </row>
    <row r="76" spans="1:17">
      <c r="A76" t="s">
        <v>260</v>
      </c>
      <c r="B76" s="1" t="s">
        <v>250</v>
      </c>
      <c r="C76" s="1" t="s">
        <v>19</v>
      </c>
      <c r="D76" s="1" t="s">
        <v>20</v>
      </c>
      <c r="E76" t="s">
        <v>244</v>
      </c>
      <c r="F76" t="s">
        <v>245</v>
      </c>
      <c r="G76" t="s">
        <v>45</v>
      </c>
      <c r="H76" t="s">
        <v>57</v>
      </c>
      <c r="I76" t="s">
        <v>58</v>
      </c>
      <c r="J76">
        <v>2</v>
      </c>
      <c r="K76">
        <v>1299</v>
      </c>
      <c r="L76">
        <f>Table1[[#This Row],[Quantity]] * Table1[[#This Row],[UnitPrice]]</f>
        <v>2598</v>
      </c>
      <c r="M76" s="25">
        <v>5</v>
      </c>
      <c r="N76">
        <f>Table1[[#This Row],[Revenue]]*Table1[[#This Row],[Discount%]]/100</f>
        <v>129.9</v>
      </c>
      <c r="O76" s="6">
        <f>Table1[[#This Row],[Revenue]]-Table1[[#This Row],[Disc_amount]]</f>
        <v>2468.1</v>
      </c>
      <c r="P76" t="s">
        <v>52</v>
      </c>
      <c r="Q76" t="s">
        <v>27</v>
      </c>
    </row>
    <row r="77" spans="1:17">
      <c r="A77" t="s">
        <v>261</v>
      </c>
      <c r="B77" s="1" t="s">
        <v>250</v>
      </c>
      <c r="C77" s="1" t="s">
        <v>19</v>
      </c>
      <c r="D77" s="1" t="s">
        <v>20</v>
      </c>
      <c r="E77" t="s">
        <v>262</v>
      </c>
      <c r="F77" t="s">
        <v>77</v>
      </c>
      <c r="G77" t="s">
        <v>45</v>
      </c>
      <c r="H77" t="s">
        <v>108</v>
      </c>
      <c r="I77" t="s">
        <v>130</v>
      </c>
      <c r="J77">
        <v>1</v>
      </c>
      <c r="K77">
        <v>699</v>
      </c>
      <c r="L77">
        <f>Table1[[#This Row],[Quantity]] * Table1[[#This Row],[UnitPrice]]</f>
        <v>699</v>
      </c>
      <c r="M77" s="25">
        <v>5</v>
      </c>
      <c r="N77">
        <f>Table1[[#This Row],[Revenue]]*Table1[[#This Row],[Discount%]]/100</f>
        <v>34.950000000000003</v>
      </c>
      <c r="O77" s="6">
        <f>Table1[[#This Row],[Revenue]]-Table1[[#This Row],[Disc_amount]]</f>
        <v>664.05</v>
      </c>
      <c r="P77" t="s">
        <v>52</v>
      </c>
      <c r="Q77" t="s">
        <v>34</v>
      </c>
    </row>
    <row r="78" spans="1:17">
      <c r="A78" t="s">
        <v>263</v>
      </c>
      <c r="B78" s="1" t="s">
        <v>250</v>
      </c>
      <c r="C78" s="1" t="s">
        <v>19</v>
      </c>
      <c r="D78" s="1" t="s">
        <v>20</v>
      </c>
      <c r="E78" t="s">
        <v>264</v>
      </c>
      <c r="F78" t="s">
        <v>265</v>
      </c>
      <c r="G78" t="s">
        <v>38</v>
      </c>
      <c r="H78" t="s">
        <v>24</v>
      </c>
      <c r="I78" t="s">
        <v>25</v>
      </c>
      <c r="J78">
        <v>1</v>
      </c>
      <c r="K78">
        <v>99</v>
      </c>
      <c r="L78">
        <f>Table1[[#This Row],[Quantity]] * Table1[[#This Row],[UnitPrice]]</f>
        <v>99</v>
      </c>
      <c r="M78" s="25">
        <v>5</v>
      </c>
      <c r="N78">
        <f>Table1[[#This Row],[Revenue]]*Table1[[#This Row],[Discount%]]/100</f>
        <v>4.95</v>
      </c>
      <c r="O78" s="6">
        <f>Table1[[#This Row],[Revenue]]-Table1[[#This Row],[Disc_amount]]</f>
        <v>94.05</v>
      </c>
      <c r="P78" t="s">
        <v>41</v>
      </c>
      <c r="Q78" t="s">
        <v>27</v>
      </c>
    </row>
    <row r="79" spans="1:17">
      <c r="A79" t="s">
        <v>266</v>
      </c>
      <c r="B79" s="1" t="s">
        <v>250</v>
      </c>
      <c r="C79" s="1" t="s">
        <v>19</v>
      </c>
      <c r="D79" s="1" t="s">
        <v>20</v>
      </c>
      <c r="E79" t="s">
        <v>267</v>
      </c>
      <c r="F79" t="s">
        <v>268</v>
      </c>
      <c r="G79" t="s">
        <v>45</v>
      </c>
      <c r="H79" t="s">
        <v>57</v>
      </c>
      <c r="I79" t="s">
        <v>58</v>
      </c>
      <c r="J79">
        <v>2</v>
      </c>
      <c r="K79">
        <v>1299</v>
      </c>
      <c r="L79">
        <f>Table1[[#This Row],[Quantity]] * Table1[[#This Row],[UnitPrice]]</f>
        <v>2598</v>
      </c>
      <c r="M79" s="25">
        <v>0</v>
      </c>
      <c r="N79">
        <f>Table1[[#This Row],[Revenue]]*Table1[[#This Row],[Discount%]]/100</f>
        <v>0</v>
      </c>
      <c r="O79" s="6">
        <f>Table1[[#This Row],[Revenue]]-Table1[[#This Row],[Disc_amount]]</f>
        <v>2598</v>
      </c>
      <c r="P79" t="s">
        <v>86</v>
      </c>
      <c r="Q79" t="s">
        <v>27</v>
      </c>
    </row>
    <row r="80" spans="1:17">
      <c r="A80" t="s">
        <v>269</v>
      </c>
      <c r="B80" s="1" t="s">
        <v>250</v>
      </c>
      <c r="C80" s="1" t="s">
        <v>19</v>
      </c>
      <c r="D80" s="1" t="s">
        <v>20</v>
      </c>
      <c r="E80" t="s">
        <v>267</v>
      </c>
      <c r="F80" t="s">
        <v>268</v>
      </c>
      <c r="G80" t="s">
        <v>45</v>
      </c>
      <c r="H80" t="s">
        <v>46</v>
      </c>
      <c r="I80" t="s">
        <v>47</v>
      </c>
      <c r="J80">
        <v>1</v>
      </c>
      <c r="K80">
        <v>249</v>
      </c>
      <c r="L80">
        <f>Table1[[#This Row],[Quantity]] * Table1[[#This Row],[UnitPrice]]</f>
        <v>249</v>
      </c>
      <c r="M80" s="25">
        <v>20</v>
      </c>
      <c r="N80">
        <f>Table1[[#This Row],[Revenue]]*Table1[[#This Row],[Discount%]]/100</f>
        <v>49.8</v>
      </c>
      <c r="O80" s="6">
        <f>Table1[[#This Row],[Revenue]]-Table1[[#This Row],[Disc_amount]]</f>
        <v>199.2</v>
      </c>
      <c r="P80" t="s">
        <v>33</v>
      </c>
      <c r="Q80" t="s">
        <v>27</v>
      </c>
    </row>
    <row r="81" spans="1:17">
      <c r="A81" t="s">
        <v>270</v>
      </c>
      <c r="B81" s="1" t="s">
        <v>250</v>
      </c>
      <c r="C81" s="1" t="s">
        <v>19</v>
      </c>
      <c r="D81" s="1" t="s">
        <v>20</v>
      </c>
      <c r="E81" t="s">
        <v>271</v>
      </c>
      <c r="F81" t="s">
        <v>272</v>
      </c>
      <c r="G81" t="s">
        <v>31</v>
      </c>
      <c r="H81" t="s">
        <v>65</v>
      </c>
      <c r="I81" t="s">
        <v>98</v>
      </c>
      <c r="J81">
        <v>1</v>
      </c>
      <c r="K81">
        <v>499</v>
      </c>
      <c r="L81">
        <f>Table1[[#This Row],[Quantity]] * Table1[[#This Row],[UnitPrice]]</f>
        <v>499</v>
      </c>
      <c r="M81" s="25">
        <v>15</v>
      </c>
      <c r="N81">
        <f>Table1[[#This Row],[Revenue]]*Table1[[#This Row],[Discount%]]/100</f>
        <v>74.849999999999994</v>
      </c>
      <c r="O81" s="6">
        <f>Table1[[#This Row],[Revenue]]-Table1[[#This Row],[Disc_amount]]</f>
        <v>424.15</v>
      </c>
      <c r="P81" t="s">
        <v>26</v>
      </c>
      <c r="Q81" t="s">
        <v>27</v>
      </c>
    </row>
    <row r="82" spans="1:17">
      <c r="A82" t="s">
        <v>273</v>
      </c>
      <c r="B82" s="1" t="s">
        <v>274</v>
      </c>
      <c r="C82" s="1" t="s">
        <v>19</v>
      </c>
      <c r="D82" s="1" t="s">
        <v>20</v>
      </c>
      <c r="E82" t="s">
        <v>275</v>
      </c>
      <c r="F82" t="s">
        <v>276</v>
      </c>
      <c r="G82" t="s">
        <v>56</v>
      </c>
      <c r="H82" t="s">
        <v>70</v>
      </c>
      <c r="I82" t="s">
        <v>91</v>
      </c>
      <c r="J82">
        <v>1</v>
      </c>
      <c r="K82">
        <v>549</v>
      </c>
      <c r="L82">
        <f>Table1[[#This Row],[Quantity]] * Table1[[#This Row],[UnitPrice]]</f>
        <v>549</v>
      </c>
      <c r="M82" s="25">
        <v>0</v>
      </c>
      <c r="N82">
        <f>Table1[[#This Row],[Revenue]]*Table1[[#This Row],[Discount%]]/100</f>
        <v>0</v>
      </c>
      <c r="O82" s="6">
        <f>Table1[[#This Row],[Revenue]]-Table1[[#This Row],[Disc_amount]]</f>
        <v>549</v>
      </c>
      <c r="P82" t="s">
        <v>86</v>
      </c>
      <c r="Q82" t="s">
        <v>34</v>
      </c>
    </row>
    <row r="83" spans="1:17">
      <c r="A83" t="s">
        <v>277</v>
      </c>
      <c r="B83" s="1" t="s">
        <v>274</v>
      </c>
      <c r="C83" s="1" t="s">
        <v>19</v>
      </c>
      <c r="D83" s="1" t="s">
        <v>20</v>
      </c>
      <c r="E83" t="s">
        <v>278</v>
      </c>
      <c r="F83" t="s">
        <v>279</v>
      </c>
      <c r="G83" t="s">
        <v>23</v>
      </c>
      <c r="H83" t="s">
        <v>57</v>
      </c>
      <c r="I83" t="s">
        <v>62</v>
      </c>
      <c r="J83">
        <v>1</v>
      </c>
      <c r="K83">
        <v>799</v>
      </c>
      <c r="L83">
        <f>Table1[[#This Row],[Quantity]] * Table1[[#This Row],[UnitPrice]]</f>
        <v>799</v>
      </c>
      <c r="M83" s="25">
        <v>5</v>
      </c>
      <c r="N83">
        <f>Table1[[#This Row],[Revenue]]*Table1[[#This Row],[Discount%]]/100</f>
        <v>39.950000000000003</v>
      </c>
      <c r="O83" s="6">
        <f>Table1[[#This Row],[Revenue]]-Table1[[#This Row],[Disc_amount]]</f>
        <v>759.05</v>
      </c>
      <c r="P83" t="s">
        <v>33</v>
      </c>
      <c r="Q83" t="s">
        <v>27</v>
      </c>
    </row>
    <row r="84" spans="1:17">
      <c r="A84" t="s">
        <v>280</v>
      </c>
      <c r="B84" s="1" t="s">
        <v>281</v>
      </c>
      <c r="C84" s="1" t="s">
        <v>19</v>
      </c>
      <c r="D84" s="1" t="s">
        <v>20</v>
      </c>
      <c r="E84" t="s">
        <v>282</v>
      </c>
      <c r="F84" t="s">
        <v>283</v>
      </c>
      <c r="G84" t="s">
        <v>38</v>
      </c>
      <c r="H84" t="s">
        <v>46</v>
      </c>
      <c r="I84" t="s">
        <v>47</v>
      </c>
      <c r="J84">
        <v>2</v>
      </c>
      <c r="K84">
        <v>249</v>
      </c>
      <c r="L84">
        <f>Table1[[#This Row],[Quantity]] * Table1[[#This Row],[UnitPrice]]</f>
        <v>498</v>
      </c>
      <c r="M84" s="25">
        <v>0</v>
      </c>
      <c r="N84">
        <f>Table1[[#This Row],[Revenue]]*Table1[[#This Row],[Discount%]]/100</f>
        <v>0</v>
      </c>
      <c r="O84" s="6">
        <f>Table1[[#This Row],[Revenue]]-Table1[[#This Row],[Disc_amount]]</f>
        <v>498</v>
      </c>
      <c r="P84" t="s">
        <v>33</v>
      </c>
      <c r="Q84" t="s">
        <v>34</v>
      </c>
    </row>
    <row r="85" spans="1:17">
      <c r="A85" t="s">
        <v>284</v>
      </c>
      <c r="B85" s="1" t="s">
        <v>281</v>
      </c>
      <c r="C85" s="1" t="s">
        <v>19</v>
      </c>
      <c r="D85" s="1" t="s">
        <v>20</v>
      </c>
      <c r="E85" t="s">
        <v>197</v>
      </c>
      <c r="F85" t="s">
        <v>198</v>
      </c>
      <c r="G85" t="s">
        <v>38</v>
      </c>
      <c r="H85" t="s">
        <v>57</v>
      </c>
      <c r="I85" t="s">
        <v>62</v>
      </c>
      <c r="J85">
        <v>3</v>
      </c>
      <c r="K85">
        <v>799</v>
      </c>
      <c r="L85">
        <f>Table1[[#This Row],[Quantity]] * Table1[[#This Row],[UnitPrice]]</f>
        <v>2397</v>
      </c>
      <c r="M85" s="25">
        <v>0</v>
      </c>
      <c r="N85">
        <f>Table1[[#This Row],[Revenue]]*Table1[[#This Row],[Discount%]]/100</f>
        <v>0</v>
      </c>
      <c r="O85" s="6">
        <f>Table1[[#This Row],[Revenue]]-Table1[[#This Row],[Disc_amount]]</f>
        <v>2397</v>
      </c>
      <c r="P85" t="s">
        <v>41</v>
      </c>
      <c r="Q85" t="s">
        <v>27</v>
      </c>
    </row>
    <row r="86" spans="1:17">
      <c r="A86" t="s">
        <v>285</v>
      </c>
      <c r="B86" s="1" t="s">
        <v>281</v>
      </c>
      <c r="C86" s="1" t="s">
        <v>19</v>
      </c>
      <c r="D86" s="1" t="s">
        <v>20</v>
      </c>
      <c r="E86" t="s">
        <v>286</v>
      </c>
      <c r="F86" t="s">
        <v>287</v>
      </c>
      <c r="G86" t="s">
        <v>31</v>
      </c>
      <c r="H86" t="s">
        <v>65</v>
      </c>
      <c r="I86" t="s">
        <v>94</v>
      </c>
      <c r="J86">
        <v>4</v>
      </c>
      <c r="K86">
        <v>899</v>
      </c>
      <c r="L86">
        <f>Table1[[#This Row],[Quantity]] * Table1[[#This Row],[UnitPrice]]</f>
        <v>3596</v>
      </c>
      <c r="M86" s="25">
        <v>0</v>
      </c>
      <c r="N86">
        <f>Table1[[#This Row],[Revenue]]*Table1[[#This Row],[Discount%]]/100</f>
        <v>0</v>
      </c>
      <c r="O86" s="6">
        <f>Table1[[#This Row],[Revenue]]-Table1[[#This Row],[Disc_amount]]</f>
        <v>3596</v>
      </c>
      <c r="P86" t="s">
        <v>41</v>
      </c>
      <c r="Q86" t="s">
        <v>27</v>
      </c>
    </row>
    <row r="87" spans="1:17">
      <c r="A87" t="s">
        <v>288</v>
      </c>
      <c r="B87" s="1" t="s">
        <v>281</v>
      </c>
      <c r="C87" s="1" t="s">
        <v>19</v>
      </c>
      <c r="D87" s="1" t="s">
        <v>20</v>
      </c>
      <c r="E87" t="s">
        <v>289</v>
      </c>
      <c r="F87" t="s">
        <v>290</v>
      </c>
      <c r="G87" t="s">
        <v>31</v>
      </c>
      <c r="H87" t="s">
        <v>65</v>
      </c>
      <c r="I87" t="s">
        <v>94</v>
      </c>
      <c r="J87">
        <v>1</v>
      </c>
      <c r="K87">
        <v>899</v>
      </c>
      <c r="L87">
        <f>Table1[[#This Row],[Quantity]] * Table1[[#This Row],[UnitPrice]]</f>
        <v>899</v>
      </c>
      <c r="M87" s="25">
        <v>5</v>
      </c>
      <c r="N87">
        <f>Table1[[#This Row],[Revenue]]*Table1[[#This Row],[Discount%]]/100</f>
        <v>44.95</v>
      </c>
      <c r="O87" s="6">
        <f>Table1[[#This Row],[Revenue]]-Table1[[#This Row],[Disc_amount]]</f>
        <v>854.05</v>
      </c>
      <c r="P87" t="s">
        <v>52</v>
      </c>
      <c r="Q87" t="s">
        <v>27</v>
      </c>
    </row>
    <row r="88" spans="1:17">
      <c r="A88" t="s">
        <v>291</v>
      </c>
      <c r="B88" s="1" t="s">
        <v>281</v>
      </c>
      <c r="C88" s="1" t="s">
        <v>19</v>
      </c>
      <c r="D88" s="1" t="s">
        <v>20</v>
      </c>
      <c r="E88" t="s">
        <v>292</v>
      </c>
      <c r="F88" t="s">
        <v>129</v>
      </c>
      <c r="G88" t="s">
        <v>45</v>
      </c>
      <c r="H88" t="s">
        <v>57</v>
      </c>
      <c r="I88" t="s">
        <v>58</v>
      </c>
      <c r="J88">
        <v>1</v>
      </c>
      <c r="K88">
        <v>1299</v>
      </c>
      <c r="L88">
        <f>Table1[[#This Row],[Quantity]] * Table1[[#This Row],[UnitPrice]]</f>
        <v>1299</v>
      </c>
      <c r="M88" s="25">
        <v>5</v>
      </c>
      <c r="N88">
        <f>Table1[[#This Row],[Revenue]]*Table1[[#This Row],[Discount%]]/100</f>
        <v>64.95</v>
      </c>
      <c r="O88" s="6">
        <f>Table1[[#This Row],[Revenue]]-Table1[[#This Row],[Disc_amount]]</f>
        <v>1234.05</v>
      </c>
      <c r="P88" t="s">
        <v>86</v>
      </c>
      <c r="Q88" t="s">
        <v>27</v>
      </c>
    </row>
    <row r="89" spans="1:17">
      <c r="A89" t="s">
        <v>293</v>
      </c>
      <c r="B89" s="1" t="s">
        <v>281</v>
      </c>
      <c r="C89" s="1" t="s">
        <v>19</v>
      </c>
      <c r="D89" s="1" t="s">
        <v>20</v>
      </c>
      <c r="E89" t="s">
        <v>294</v>
      </c>
      <c r="F89" t="s">
        <v>295</v>
      </c>
      <c r="G89" t="s">
        <v>56</v>
      </c>
      <c r="H89" t="s">
        <v>24</v>
      </c>
      <c r="I89" t="s">
        <v>32</v>
      </c>
      <c r="J89">
        <v>1</v>
      </c>
      <c r="K89">
        <v>199</v>
      </c>
      <c r="L89">
        <f>Table1[[#This Row],[Quantity]] * Table1[[#This Row],[UnitPrice]]</f>
        <v>199</v>
      </c>
      <c r="M89" s="25">
        <v>10</v>
      </c>
      <c r="N89">
        <f>Table1[[#This Row],[Revenue]]*Table1[[#This Row],[Discount%]]/100</f>
        <v>19.899999999999999</v>
      </c>
      <c r="O89" s="6">
        <f>Table1[[#This Row],[Revenue]]-Table1[[#This Row],[Disc_amount]]</f>
        <v>179.1</v>
      </c>
      <c r="P89" t="s">
        <v>33</v>
      </c>
      <c r="Q89" t="s">
        <v>34</v>
      </c>
    </row>
    <row r="90" spans="1:17">
      <c r="A90" t="s">
        <v>296</v>
      </c>
      <c r="B90" s="1" t="s">
        <v>281</v>
      </c>
      <c r="C90" s="1" t="s">
        <v>19</v>
      </c>
      <c r="D90" s="1" t="s">
        <v>20</v>
      </c>
      <c r="E90" t="s">
        <v>297</v>
      </c>
      <c r="F90" t="s">
        <v>298</v>
      </c>
      <c r="G90" t="s">
        <v>23</v>
      </c>
      <c r="H90" t="s">
        <v>46</v>
      </c>
      <c r="I90" t="s">
        <v>47</v>
      </c>
      <c r="J90">
        <v>1</v>
      </c>
      <c r="K90">
        <v>249</v>
      </c>
      <c r="L90">
        <f>Table1[[#This Row],[Quantity]] * Table1[[#This Row],[UnitPrice]]</f>
        <v>249</v>
      </c>
      <c r="M90" s="25">
        <v>20</v>
      </c>
      <c r="N90">
        <f>Table1[[#This Row],[Revenue]]*Table1[[#This Row],[Discount%]]/100</f>
        <v>49.8</v>
      </c>
      <c r="O90" s="6">
        <f>Table1[[#This Row],[Revenue]]-Table1[[#This Row],[Disc_amount]]</f>
        <v>199.2</v>
      </c>
      <c r="P90" t="s">
        <v>26</v>
      </c>
      <c r="Q90" t="s">
        <v>34</v>
      </c>
    </row>
    <row r="91" spans="1:17">
      <c r="A91" t="s">
        <v>299</v>
      </c>
      <c r="B91" s="1" t="s">
        <v>281</v>
      </c>
      <c r="C91" s="1" t="s">
        <v>19</v>
      </c>
      <c r="D91" s="1" t="s">
        <v>20</v>
      </c>
      <c r="E91" t="s">
        <v>300</v>
      </c>
      <c r="F91" t="s">
        <v>301</v>
      </c>
      <c r="G91" t="s">
        <v>45</v>
      </c>
      <c r="H91" t="s">
        <v>39</v>
      </c>
      <c r="I91" t="s">
        <v>51</v>
      </c>
      <c r="J91">
        <v>1</v>
      </c>
      <c r="K91">
        <v>2999</v>
      </c>
      <c r="L91">
        <f>Table1[[#This Row],[Quantity]] * Table1[[#This Row],[UnitPrice]]</f>
        <v>2999</v>
      </c>
      <c r="M91" s="25">
        <v>10</v>
      </c>
      <c r="N91">
        <f>Table1[[#This Row],[Revenue]]*Table1[[#This Row],[Discount%]]/100</f>
        <v>299.89999999999998</v>
      </c>
      <c r="O91" s="6">
        <f>Table1[[#This Row],[Revenue]]-Table1[[#This Row],[Disc_amount]]</f>
        <v>2699.1</v>
      </c>
      <c r="P91" t="s">
        <v>33</v>
      </c>
      <c r="Q91" t="s">
        <v>34</v>
      </c>
    </row>
    <row r="92" spans="1:17">
      <c r="A92" t="s">
        <v>302</v>
      </c>
      <c r="B92" s="1" t="s">
        <v>281</v>
      </c>
      <c r="C92" s="1" t="s">
        <v>19</v>
      </c>
      <c r="D92" s="1" t="s">
        <v>20</v>
      </c>
      <c r="E92" t="s">
        <v>303</v>
      </c>
      <c r="F92" t="s">
        <v>304</v>
      </c>
      <c r="G92" t="s">
        <v>31</v>
      </c>
      <c r="H92" t="s">
        <v>24</v>
      </c>
      <c r="I92" t="s">
        <v>25</v>
      </c>
      <c r="J92">
        <v>3</v>
      </c>
      <c r="K92">
        <v>99</v>
      </c>
      <c r="L92">
        <f>Table1[[#This Row],[Quantity]] * Table1[[#This Row],[UnitPrice]]</f>
        <v>297</v>
      </c>
      <c r="M92" s="25">
        <v>0</v>
      </c>
      <c r="N92">
        <f>Table1[[#This Row],[Revenue]]*Table1[[#This Row],[Discount%]]/100</f>
        <v>0</v>
      </c>
      <c r="O92" s="6">
        <f>Table1[[#This Row],[Revenue]]-Table1[[#This Row],[Disc_amount]]</f>
        <v>297</v>
      </c>
      <c r="P92" t="s">
        <v>33</v>
      </c>
      <c r="Q92" t="s">
        <v>27</v>
      </c>
    </row>
    <row r="93" spans="1:17">
      <c r="A93" t="s">
        <v>305</v>
      </c>
      <c r="B93" s="1" t="s">
        <v>281</v>
      </c>
      <c r="C93" s="1" t="s">
        <v>19</v>
      </c>
      <c r="D93" s="1" t="s">
        <v>20</v>
      </c>
      <c r="E93" t="s">
        <v>306</v>
      </c>
      <c r="F93" t="s">
        <v>307</v>
      </c>
      <c r="G93" t="s">
        <v>56</v>
      </c>
      <c r="H93" t="s">
        <v>108</v>
      </c>
      <c r="I93" t="s">
        <v>109</v>
      </c>
      <c r="J93">
        <v>1</v>
      </c>
      <c r="K93">
        <v>1499</v>
      </c>
      <c r="L93">
        <f>Table1[[#This Row],[Quantity]] * Table1[[#This Row],[UnitPrice]]</f>
        <v>1499</v>
      </c>
      <c r="M93" s="25">
        <v>20</v>
      </c>
      <c r="N93">
        <f>Table1[[#This Row],[Revenue]]*Table1[[#This Row],[Discount%]]/100</f>
        <v>299.8</v>
      </c>
      <c r="O93" s="6">
        <f>Table1[[#This Row],[Revenue]]-Table1[[#This Row],[Disc_amount]]</f>
        <v>1199.2</v>
      </c>
      <c r="P93" t="s">
        <v>26</v>
      </c>
      <c r="Q93" t="s">
        <v>27</v>
      </c>
    </row>
    <row r="94" spans="1:17">
      <c r="A94" t="s">
        <v>308</v>
      </c>
      <c r="B94" s="1" t="s">
        <v>309</v>
      </c>
      <c r="C94" s="1" t="s">
        <v>19</v>
      </c>
      <c r="D94" s="1" t="s">
        <v>20</v>
      </c>
      <c r="E94" t="s">
        <v>310</v>
      </c>
      <c r="F94" t="s">
        <v>311</v>
      </c>
      <c r="G94" t="s">
        <v>38</v>
      </c>
      <c r="H94" t="s">
        <v>57</v>
      </c>
      <c r="I94" t="s">
        <v>58</v>
      </c>
      <c r="J94">
        <v>1</v>
      </c>
      <c r="K94">
        <v>1299</v>
      </c>
      <c r="L94">
        <f>Table1[[#This Row],[Quantity]] * Table1[[#This Row],[UnitPrice]]</f>
        <v>1299</v>
      </c>
      <c r="M94" s="25">
        <v>5</v>
      </c>
      <c r="N94">
        <f>Table1[[#This Row],[Revenue]]*Table1[[#This Row],[Discount%]]/100</f>
        <v>64.95</v>
      </c>
      <c r="O94" s="6">
        <f>Table1[[#This Row],[Revenue]]-Table1[[#This Row],[Disc_amount]]</f>
        <v>1234.05</v>
      </c>
      <c r="P94" t="s">
        <v>41</v>
      </c>
      <c r="Q94" t="s">
        <v>27</v>
      </c>
    </row>
    <row r="95" spans="1:17">
      <c r="A95" t="s">
        <v>312</v>
      </c>
      <c r="B95" s="1" t="s">
        <v>309</v>
      </c>
      <c r="C95" s="1" t="s">
        <v>19</v>
      </c>
      <c r="D95" s="1" t="s">
        <v>20</v>
      </c>
      <c r="E95" t="s">
        <v>313</v>
      </c>
      <c r="F95" t="s">
        <v>314</v>
      </c>
      <c r="G95" t="s">
        <v>23</v>
      </c>
      <c r="H95" t="s">
        <v>57</v>
      </c>
      <c r="I95" t="s">
        <v>62</v>
      </c>
      <c r="J95">
        <v>1</v>
      </c>
      <c r="K95">
        <v>799</v>
      </c>
      <c r="L95">
        <f>Table1[[#This Row],[Quantity]] * Table1[[#This Row],[UnitPrice]]</f>
        <v>799</v>
      </c>
      <c r="M95" s="25">
        <v>15</v>
      </c>
      <c r="N95">
        <f>Table1[[#This Row],[Revenue]]*Table1[[#This Row],[Discount%]]/100</f>
        <v>119.85</v>
      </c>
      <c r="O95" s="6">
        <f>Table1[[#This Row],[Revenue]]-Table1[[#This Row],[Disc_amount]]</f>
        <v>679.15</v>
      </c>
      <c r="P95" t="s">
        <v>33</v>
      </c>
      <c r="Q95" t="s">
        <v>27</v>
      </c>
    </row>
    <row r="96" spans="1:17">
      <c r="A96" t="s">
        <v>315</v>
      </c>
      <c r="B96" s="1" t="s">
        <v>309</v>
      </c>
      <c r="C96" s="1" t="s">
        <v>19</v>
      </c>
      <c r="D96" s="1" t="s">
        <v>20</v>
      </c>
      <c r="E96" t="s">
        <v>316</v>
      </c>
      <c r="F96" t="s">
        <v>317</v>
      </c>
      <c r="G96" t="s">
        <v>56</v>
      </c>
      <c r="H96" t="s">
        <v>70</v>
      </c>
      <c r="I96" t="s">
        <v>71</v>
      </c>
      <c r="J96">
        <v>1</v>
      </c>
      <c r="K96">
        <v>349</v>
      </c>
      <c r="L96">
        <f>Table1[[#This Row],[Quantity]] * Table1[[#This Row],[UnitPrice]]</f>
        <v>349</v>
      </c>
      <c r="M96" s="25">
        <v>0</v>
      </c>
      <c r="N96">
        <f>Table1[[#This Row],[Revenue]]*Table1[[#This Row],[Discount%]]/100</f>
        <v>0</v>
      </c>
      <c r="O96" s="6">
        <f>Table1[[#This Row],[Revenue]]-Table1[[#This Row],[Disc_amount]]</f>
        <v>349</v>
      </c>
      <c r="P96" t="s">
        <v>41</v>
      </c>
      <c r="Q96" t="s">
        <v>27</v>
      </c>
    </row>
    <row r="97" spans="1:17">
      <c r="A97" t="s">
        <v>318</v>
      </c>
      <c r="B97" s="1" t="s">
        <v>309</v>
      </c>
      <c r="C97" s="1" t="s">
        <v>19</v>
      </c>
      <c r="D97" s="1" t="s">
        <v>20</v>
      </c>
      <c r="E97" t="s">
        <v>319</v>
      </c>
      <c r="F97" t="s">
        <v>213</v>
      </c>
      <c r="G97" t="s">
        <v>45</v>
      </c>
      <c r="H97" t="s">
        <v>39</v>
      </c>
      <c r="I97" t="s">
        <v>51</v>
      </c>
      <c r="J97">
        <v>2</v>
      </c>
      <c r="K97">
        <v>2999</v>
      </c>
      <c r="L97">
        <f>Table1[[#This Row],[Quantity]] * Table1[[#This Row],[UnitPrice]]</f>
        <v>5998</v>
      </c>
      <c r="M97" s="25">
        <v>10</v>
      </c>
      <c r="N97">
        <f>Table1[[#This Row],[Revenue]]*Table1[[#This Row],[Discount%]]/100</f>
        <v>599.79999999999995</v>
      </c>
      <c r="O97" s="6">
        <f>Table1[[#This Row],[Revenue]]-Table1[[#This Row],[Disc_amount]]</f>
        <v>5398.2</v>
      </c>
      <c r="P97" t="s">
        <v>26</v>
      </c>
      <c r="Q97" t="s">
        <v>34</v>
      </c>
    </row>
    <row r="98" spans="1:17">
      <c r="A98" t="s">
        <v>320</v>
      </c>
      <c r="B98" s="1" t="s">
        <v>309</v>
      </c>
      <c r="C98" s="1" t="s">
        <v>19</v>
      </c>
      <c r="D98" s="1" t="s">
        <v>20</v>
      </c>
      <c r="E98" t="s">
        <v>286</v>
      </c>
      <c r="F98" t="s">
        <v>287</v>
      </c>
      <c r="G98" t="s">
        <v>23</v>
      </c>
      <c r="H98" t="s">
        <v>24</v>
      </c>
      <c r="I98" t="s">
        <v>32</v>
      </c>
      <c r="J98">
        <v>3</v>
      </c>
      <c r="K98">
        <v>199</v>
      </c>
      <c r="L98">
        <f>Table1[[#This Row],[Quantity]] * Table1[[#This Row],[UnitPrice]]</f>
        <v>597</v>
      </c>
      <c r="M98" s="25">
        <v>10</v>
      </c>
      <c r="N98">
        <f>Table1[[#This Row],[Revenue]]*Table1[[#This Row],[Discount%]]/100</f>
        <v>59.7</v>
      </c>
      <c r="O98" s="6">
        <f>Table1[[#This Row],[Revenue]]-Table1[[#This Row],[Disc_amount]]</f>
        <v>537.29999999999995</v>
      </c>
      <c r="P98" t="s">
        <v>33</v>
      </c>
      <c r="Q98" t="s">
        <v>27</v>
      </c>
    </row>
    <row r="99" spans="1:17">
      <c r="A99" t="s">
        <v>321</v>
      </c>
      <c r="B99" s="1" t="s">
        <v>309</v>
      </c>
      <c r="C99" s="1" t="s">
        <v>19</v>
      </c>
      <c r="D99" s="1" t="s">
        <v>20</v>
      </c>
      <c r="E99" t="s">
        <v>322</v>
      </c>
      <c r="F99" t="s">
        <v>323</v>
      </c>
      <c r="G99" t="s">
        <v>45</v>
      </c>
      <c r="H99" t="s">
        <v>65</v>
      </c>
      <c r="I99" t="s">
        <v>98</v>
      </c>
      <c r="J99">
        <v>3</v>
      </c>
      <c r="K99">
        <v>499</v>
      </c>
      <c r="L99">
        <f>Table1[[#This Row],[Quantity]] * Table1[[#This Row],[UnitPrice]]</f>
        <v>1497</v>
      </c>
      <c r="M99" s="25">
        <v>10</v>
      </c>
      <c r="N99">
        <f>Table1[[#This Row],[Revenue]]*Table1[[#This Row],[Discount%]]/100</f>
        <v>149.69999999999999</v>
      </c>
      <c r="O99" s="6">
        <f>Table1[[#This Row],[Revenue]]-Table1[[#This Row],[Disc_amount]]</f>
        <v>1347.3</v>
      </c>
      <c r="P99" t="s">
        <v>41</v>
      </c>
      <c r="Q99" t="s">
        <v>34</v>
      </c>
    </row>
    <row r="100" spans="1:17">
      <c r="A100" t="s">
        <v>324</v>
      </c>
      <c r="B100" s="1" t="s">
        <v>309</v>
      </c>
      <c r="C100" s="1" t="s">
        <v>19</v>
      </c>
      <c r="D100" s="1" t="s">
        <v>20</v>
      </c>
      <c r="E100" t="s">
        <v>325</v>
      </c>
      <c r="F100" t="s">
        <v>326</v>
      </c>
      <c r="G100" t="s">
        <v>45</v>
      </c>
      <c r="H100" t="s">
        <v>24</v>
      </c>
      <c r="I100" t="s">
        <v>32</v>
      </c>
      <c r="J100">
        <v>1</v>
      </c>
      <c r="K100">
        <v>199</v>
      </c>
      <c r="L100">
        <f>Table1[[#This Row],[Quantity]] * Table1[[#This Row],[UnitPrice]]</f>
        <v>199</v>
      </c>
      <c r="M100" s="25">
        <v>20</v>
      </c>
      <c r="N100">
        <f>Table1[[#This Row],[Revenue]]*Table1[[#This Row],[Discount%]]/100</f>
        <v>39.799999999999997</v>
      </c>
      <c r="O100" s="6">
        <f>Table1[[#This Row],[Revenue]]-Table1[[#This Row],[Disc_amount]]</f>
        <v>159.19999999999999</v>
      </c>
      <c r="P100" t="s">
        <v>86</v>
      </c>
      <c r="Q100" t="s">
        <v>27</v>
      </c>
    </row>
    <row r="101" spans="1:17">
      <c r="A101" t="s">
        <v>327</v>
      </c>
      <c r="B101" s="1" t="s">
        <v>309</v>
      </c>
      <c r="C101" s="1" t="s">
        <v>19</v>
      </c>
      <c r="D101" s="1" t="s">
        <v>20</v>
      </c>
      <c r="E101" t="s">
        <v>328</v>
      </c>
      <c r="F101" t="s">
        <v>329</v>
      </c>
      <c r="G101" t="s">
        <v>45</v>
      </c>
      <c r="H101" t="s">
        <v>24</v>
      </c>
      <c r="I101" t="s">
        <v>32</v>
      </c>
      <c r="J101">
        <v>3</v>
      </c>
      <c r="K101">
        <v>199</v>
      </c>
      <c r="L101">
        <f>Table1[[#This Row],[Quantity]] * Table1[[#This Row],[UnitPrice]]</f>
        <v>597</v>
      </c>
      <c r="M101" s="25">
        <v>0</v>
      </c>
      <c r="N101">
        <f>Table1[[#This Row],[Revenue]]*Table1[[#This Row],[Discount%]]/100</f>
        <v>0</v>
      </c>
      <c r="O101" s="6">
        <f>Table1[[#This Row],[Revenue]]-Table1[[#This Row],[Disc_amount]]</f>
        <v>597</v>
      </c>
      <c r="P101" t="s">
        <v>26</v>
      </c>
      <c r="Q101" t="s">
        <v>27</v>
      </c>
    </row>
    <row r="102" spans="1:17">
      <c r="A102" t="s">
        <v>330</v>
      </c>
      <c r="B102" s="1" t="s">
        <v>331</v>
      </c>
      <c r="C102" s="1" t="s">
        <v>19</v>
      </c>
      <c r="D102" s="1" t="s">
        <v>20</v>
      </c>
      <c r="E102" t="s">
        <v>332</v>
      </c>
      <c r="F102" t="s">
        <v>107</v>
      </c>
      <c r="G102" t="s">
        <v>31</v>
      </c>
      <c r="H102" t="s">
        <v>70</v>
      </c>
      <c r="I102" t="s">
        <v>71</v>
      </c>
      <c r="J102">
        <v>1</v>
      </c>
      <c r="K102">
        <v>349</v>
      </c>
      <c r="L102">
        <f>Table1[[#This Row],[Quantity]] * Table1[[#This Row],[UnitPrice]]</f>
        <v>349</v>
      </c>
      <c r="M102" s="25">
        <v>5</v>
      </c>
      <c r="N102">
        <f>Table1[[#This Row],[Revenue]]*Table1[[#This Row],[Discount%]]/100</f>
        <v>17.45</v>
      </c>
      <c r="O102" s="6">
        <f>Table1[[#This Row],[Revenue]]-Table1[[#This Row],[Disc_amount]]</f>
        <v>331.55</v>
      </c>
      <c r="P102" t="s">
        <v>41</v>
      </c>
      <c r="Q102" t="s">
        <v>27</v>
      </c>
    </row>
    <row r="103" spans="1:17">
      <c r="A103" t="s">
        <v>333</v>
      </c>
      <c r="B103" s="1" t="s">
        <v>331</v>
      </c>
      <c r="C103" s="1" t="s">
        <v>19</v>
      </c>
      <c r="D103" s="1" t="s">
        <v>20</v>
      </c>
      <c r="E103" t="s">
        <v>334</v>
      </c>
      <c r="F103" t="s">
        <v>335</v>
      </c>
      <c r="G103" t="s">
        <v>56</v>
      </c>
      <c r="H103" t="s">
        <v>39</v>
      </c>
      <c r="I103" t="s">
        <v>40</v>
      </c>
      <c r="J103">
        <v>3</v>
      </c>
      <c r="K103">
        <v>599</v>
      </c>
      <c r="L103">
        <f>Table1[[#This Row],[Quantity]] * Table1[[#This Row],[UnitPrice]]</f>
        <v>1797</v>
      </c>
      <c r="M103" s="25">
        <v>5</v>
      </c>
      <c r="N103">
        <f>Table1[[#This Row],[Revenue]]*Table1[[#This Row],[Discount%]]/100</f>
        <v>89.85</v>
      </c>
      <c r="O103" s="6">
        <f>Table1[[#This Row],[Revenue]]-Table1[[#This Row],[Disc_amount]]</f>
        <v>1707.15</v>
      </c>
      <c r="P103" t="s">
        <v>33</v>
      </c>
      <c r="Q103" t="s">
        <v>34</v>
      </c>
    </row>
    <row r="104" spans="1:17">
      <c r="A104" t="s">
        <v>336</v>
      </c>
      <c r="B104" s="1" t="s">
        <v>331</v>
      </c>
      <c r="C104" s="1" t="s">
        <v>19</v>
      </c>
      <c r="D104" s="1" t="s">
        <v>20</v>
      </c>
      <c r="E104" t="s">
        <v>337</v>
      </c>
      <c r="F104" t="s">
        <v>338</v>
      </c>
      <c r="G104" t="s">
        <v>31</v>
      </c>
      <c r="H104" t="s">
        <v>65</v>
      </c>
      <c r="I104" t="s">
        <v>98</v>
      </c>
      <c r="J104">
        <v>1</v>
      </c>
      <c r="K104">
        <v>499</v>
      </c>
      <c r="L104">
        <f>Table1[[#This Row],[Quantity]] * Table1[[#This Row],[UnitPrice]]</f>
        <v>499</v>
      </c>
      <c r="M104" s="25">
        <v>0</v>
      </c>
      <c r="N104">
        <f>Table1[[#This Row],[Revenue]]*Table1[[#This Row],[Discount%]]/100</f>
        <v>0</v>
      </c>
      <c r="O104" s="6">
        <f>Table1[[#This Row],[Revenue]]-Table1[[#This Row],[Disc_amount]]</f>
        <v>499</v>
      </c>
      <c r="P104" t="s">
        <v>86</v>
      </c>
      <c r="Q104" t="s">
        <v>27</v>
      </c>
    </row>
    <row r="105" spans="1:17">
      <c r="A105" t="s">
        <v>339</v>
      </c>
      <c r="B105" s="1" t="s">
        <v>331</v>
      </c>
      <c r="C105" s="1" t="s">
        <v>19</v>
      </c>
      <c r="D105" s="1" t="s">
        <v>20</v>
      </c>
      <c r="E105" t="s">
        <v>294</v>
      </c>
      <c r="F105" t="s">
        <v>295</v>
      </c>
      <c r="G105" t="s">
        <v>45</v>
      </c>
      <c r="H105" t="s">
        <v>24</v>
      </c>
      <c r="I105" t="s">
        <v>25</v>
      </c>
      <c r="J105">
        <v>1</v>
      </c>
      <c r="K105">
        <v>99</v>
      </c>
      <c r="L105">
        <f>Table1[[#This Row],[Quantity]] * Table1[[#This Row],[UnitPrice]]</f>
        <v>99</v>
      </c>
      <c r="M105" s="25">
        <v>10</v>
      </c>
      <c r="N105">
        <f>Table1[[#This Row],[Revenue]]*Table1[[#This Row],[Discount%]]/100</f>
        <v>9.9</v>
      </c>
      <c r="O105" s="6">
        <f>Table1[[#This Row],[Revenue]]-Table1[[#This Row],[Disc_amount]]</f>
        <v>89.1</v>
      </c>
      <c r="P105" t="s">
        <v>52</v>
      </c>
      <c r="Q105" t="s">
        <v>27</v>
      </c>
    </row>
    <row r="106" spans="1:17">
      <c r="A106" t="s">
        <v>340</v>
      </c>
      <c r="B106" s="1" t="s">
        <v>331</v>
      </c>
      <c r="C106" s="1" t="s">
        <v>19</v>
      </c>
      <c r="D106" s="1" t="s">
        <v>20</v>
      </c>
      <c r="E106" t="s">
        <v>341</v>
      </c>
      <c r="F106" t="s">
        <v>342</v>
      </c>
      <c r="G106" t="s">
        <v>23</v>
      </c>
      <c r="H106" t="s">
        <v>65</v>
      </c>
      <c r="I106" t="s">
        <v>94</v>
      </c>
      <c r="J106">
        <v>3</v>
      </c>
      <c r="K106">
        <v>899</v>
      </c>
      <c r="L106">
        <f>Table1[[#This Row],[Quantity]] * Table1[[#This Row],[UnitPrice]]</f>
        <v>2697</v>
      </c>
      <c r="M106" s="25">
        <v>0</v>
      </c>
      <c r="N106">
        <f>Table1[[#This Row],[Revenue]]*Table1[[#This Row],[Discount%]]/100</f>
        <v>0</v>
      </c>
      <c r="O106" s="6">
        <f>Table1[[#This Row],[Revenue]]-Table1[[#This Row],[Disc_amount]]</f>
        <v>2697</v>
      </c>
      <c r="P106" t="s">
        <v>26</v>
      </c>
      <c r="Q106" t="s">
        <v>34</v>
      </c>
    </row>
    <row r="107" spans="1:17">
      <c r="A107" t="s">
        <v>343</v>
      </c>
      <c r="B107" s="1" t="s">
        <v>331</v>
      </c>
      <c r="C107" s="1" t="s">
        <v>19</v>
      </c>
      <c r="D107" s="1" t="s">
        <v>20</v>
      </c>
      <c r="E107" t="s">
        <v>344</v>
      </c>
      <c r="F107" t="s">
        <v>345</v>
      </c>
      <c r="G107" t="s">
        <v>56</v>
      </c>
      <c r="H107" t="s">
        <v>46</v>
      </c>
      <c r="I107" t="s">
        <v>154</v>
      </c>
      <c r="J107">
        <v>2</v>
      </c>
      <c r="K107">
        <v>299</v>
      </c>
      <c r="L107">
        <f>Table1[[#This Row],[Quantity]] * Table1[[#This Row],[UnitPrice]]</f>
        <v>598</v>
      </c>
      <c r="M107" s="25">
        <v>0</v>
      </c>
      <c r="N107">
        <f>Table1[[#This Row],[Revenue]]*Table1[[#This Row],[Discount%]]/100</f>
        <v>0</v>
      </c>
      <c r="O107" s="6">
        <f>Table1[[#This Row],[Revenue]]-Table1[[#This Row],[Disc_amount]]</f>
        <v>598</v>
      </c>
      <c r="P107" t="s">
        <v>41</v>
      </c>
      <c r="Q107" t="s">
        <v>27</v>
      </c>
    </row>
    <row r="108" spans="1:17">
      <c r="A108" t="s">
        <v>346</v>
      </c>
      <c r="B108" s="1" t="s">
        <v>331</v>
      </c>
      <c r="C108" s="1" t="s">
        <v>19</v>
      </c>
      <c r="D108" s="1" t="s">
        <v>20</v>
      </c>
      <c r="E108" t="s">
        <v>347</v>
      </c>
      <c r="F108" t="s">
        <v>348</v>
      </c>
      <c r="G108" t="s">
        <v>31</v>
      </c>
      <c r="H108" t="s">
        <v>70</v>
      </c>
      <c r="I108" t="s">
        <v>91</v>
      </c>
      <c r="J108">
        <v>1</v>
      </c>
      <c r="K108">
        <v>549</v>
      </c>
      <c r="L108">
        <f>Table1[[#This Row],[Quantity]] * Table1[[#This Row],[UnitPrice]]</f>
        <v>549</v>
      </c>
      <c r="M108" s="25">
        <v>10</v>
      </c>
      <c r="N108">
        <f>Table1[[#This Row],[Revenue]]*Table1[[#This Row],[Discount%]]/100</f>
        <v>54.9</v>
      </c>
      <c r="O108" s="6">
        <f>Table1[[#This Row],[Revenue]]-Table1[[#This Row],[Disc_amount]]</f>
        <v>494.1</v>
      </c>
      <c r="P108" t="s">
        <v>52</v>
      </c>
      <c r="Q108" t="s">
        <v>34</v>
      </c>
    </row>
    <row r="109" spans="1:17">
      <c r="A109" t="s">
        <v>349</v>
      </c>
      <c r="B109" s="1" t="s">
        <v>350</v>
      </c>
      <c r="C109" s="1" t="s">
        <v>19</v>
      </c>
      <c r="D109" s="1" t="s">
        <v>20</v>
      </c>
      <c r="E109" t="s">
        <v>175</v>
      </c>
      <c r="F109" t="s">
        <v>176</v>
      </c>
      <c r="G109" t="s">
        <v>38</v>
      </c>
      <c r="H109" t="s">
        <v>108</v>
      </c>
      <c r="I109" t="s">
        <v>109</v>
      </c>
      <c r="J109">
        <v>1</v>
      </c>
      <c r="K109">
        <v>1499</v>
      </c>
      <c r="L109">
        <f>Table1[[#This Row],[Quantity]] * Table1[[#This Row],[UnitPrice]]</f>
        <v>1499</v>
      </c>
      <c r="M109" s="25">
        <v>10</v>
      </c>
      <c r="N109">
        <f>Table1[[#This Row],[Revenue]]*Table1[[#This Row],[Discount%]]/100</f>
        <v>149.9</v>
      </c>
      <c r="O109" s="6">
        <f>Table1[[#This Row],[Revenue]]-Table1[[#This Row],[Disc_amount]]</f>
        <v>1349.1</v>
      </c>
      <c r="P109" t="s">
        <v>26</v>
      </c>
      <c r="Q109" t="s">
        <v>27</v>
      </c>
    </row>
    <row r="110" spans="1:17">
      <c r="A110" t="s">
        <v>351</v>
      </c>
      <c r="B110" s="1" t="s">
        <v>350</v>
      </c>
      <c r="C110" s="1" t="s">
        <v>19</v>
      </c>
      <c r="D110" s="1" t="s">
        <v>20</v>
      </c>
      <c r="E110" t="s">
        <v>352</v>
      </c>
      <c r="F110" t="s">
        <v>134</v>
      </c>
      <c r="G110" t="s">
        <v>23</v>
      </c>
      <c r="H110" t="s">
        <v>46</v>
      </c>
      <c r="I110" t="s">
        <v>154</v>
      </c>
      <c r="J110">
        <v>1</v>
      </c>
      <c r="K110">
        <v>299</v>
      </c>
      <c r="L110">
        <f>Table1[[#This Row],[Quantity]] * Table1[[#This Row],[UnitPrice]]</f>
        <v>299</v>
      </c>
      <c r="M110" s="25">
        <v>15</v>
      </c>
      <c r="N110">
        <f>Table1[[#This Row],[Revenue]]*Table1[[#This Row],[Discount%]]/100</f>
        <v>44.85</v>
      </c>
      <c r="O110" s="6">
        <f>Table1[[#This Row],[Revenue]]-Table1[[#This Row],[Disc_amount]]</f>
        <v>254.15</v>
      </c>
      <c r="P110" t="s">
        <v>26</v>
      </c>
      <c r="Q110" t="s">
        <v>34</v>
      </c>
    </row>
    <row r="111" spans="1:17">
      <c r="A111" t="s">
        <v>353</v>
      </c>
      <c r="B111" s="1" t="s">
        <v>350</v>
      </c>
      <c r="C111" s="1" t="s">
        <v>19</v>
      </c>
      <c r="D111" s="1" t="s">
        <v>20</v>
      </c>
      <c r="E111" t="s">
        <v>354</v>
      </c>
      <c r="F111" t="s">
        <v>355</v>
      </c>
      <c r="G111" t="s">
        <v>45</v>
      </c>
      <c r="H111" t="s">
        <v>39</v>
      </c>
      <c r="I111" t="s">
        <v>51</v>
      </c>
      <c r="J111">
        <v>1</v>
      </c>
      <c r="K111">
        <v>2999</v>
      </c>
      <c r="L111">
        <f>Table1[[#This Row],[Quantity]] * Table1[[#This Row],[UnitPrice]]</f>
        <v>2999</v>
      </c>
      <c r="M111" s="25">
        <v>20</v>
      </c>
      <c r="N111">
        <f>Table1[[#This Row],[Revenue]]*Table1[[#This Row],[Discount%]]/100</f>
        <v>599.79999999999995</v>
      </c>
      <c r="O111" s="6">
        <f>Table1[[#This Row],[Revenue]]-Table1[[#This Row],[Disc_amount]]</f>
        <v>2399.1999999999998</v>
      </c>
      <c r="P111" t="s">
        <v>86</v>
      </c>
      <c r="Q111" t="s">
        <v>34</v>
      </c>
    </row>
    <row r="112" spans="1:17">
      <c r="A112" t="s">
        <v>356</v>
      </c>
      <c r="B112" s="1" t="s">
        <v>350</v>
      </c>
      <c r="C112" s="1" t="s">
        <v>19</v>
      </c>
      <c r="D112" s="1" t="s">
        <v>20</v>
      </c>
      <c r="E112" t="s">
        <v>357</v>
      </c>
      <c r="F112" t="s">
        <v>358</v>
      </c>
      <c r="G112" t="s">
        <v>56</v>
      </c>
      <c r="H112" t="s">
        <v>24</v>
      </c>
      <c r="I112" t="s">
        <v>32</v>
      </c>
      <c r="J112">
        <v>4</v>
      </c>
      <c r="K112">
        <v>199</v>
      </c>
      <c r="L112">
        <f>Table1[[#This Row],[Quantity]] * Table1[[#This Row],[UnitPrice]]</f>
        <v>796</v>
      </c>
      <c r="M112" s="25">
        <v>5</v>
      </c>
      <c r="N112">
        <f>Table1[[#This Row],[Revenue]]*Table1[[#This Row],[Discount%]]/100</f>
        <v>39.799999999999997</v>
      </c>
      <c r="O112" s="6">
        <f>Table1[[#This Row],[Revenue]]-Table1[[#This Row],[Disc_amount]]</f>
        <v>756.2</v>
      </c>
      <c r="P112" t="s">
        <v>41</v>
      </c>
      <c r="Q112" t="s">
        <v>27</v>
      </c>
    </row>
    <row r="113" spans="1:17">
      <c r="A113" t="s">
        <v>359</v>
      </c>
      <c r="B113" s="1" t="s">
        <v>350</v>
      </c>
      <c r="C113" s="1" t="s">
        <v>19</v>
      </c>
      <c r="D113" s="1" t="s">
        <v>20</v>
      </c>
      <c r="E113" t="s">
        <v>360</v>
      </c>
      <c r="F113" t="s">
        <v>123</v>
      </c>
      <c r="G113" t="s">
        <v>45</v>
      </c>
      <c r="H113" t="s">
        <v>108</v>
      </c>
      <c r="I113" t="s">
        <v>109</v>
      </c>
      <c r="J113">
        <v>3</v>
      </c>
      <c r="K113">
        <v>1499</v>
      </c>
      <c r="L113">
        <f>Table1[[#This Row],[Quantity]] * Table1[[#This Row],[UnitPrice]]</f>
        <v>4497</v>
      </c>
      <c r="M113" s="25">
        <v>10</v>
      </c>
      <c r="N113">
        <f>Table1[[#This Row],[Revenue]]*Table1[[#This Row],[Discount%]]/100</f>
        <v>449.7</v>
      </c>
      <c r="O113" s="6">
        <f>Table1[[#This Row],[Revenue]]-Table1[[#This Row],[Disc_amount]]</f>
        <v>4047.3</v>
      </c>
      <c r="P113" t="s">
        <v>52</v>
      </c>
      <c r="Q113" t="s">
        <v>34</v>
      </c>
    </row>
    <row r="114" spans="1:17">
      <c r="A114" t="s">
        <v>361</v>
      </c>
      <c r="B114" s="1" t="s">
        <v>350</v>
      </c>
      <c r="C114" s="1" t="s">
        <v>19</v>
      </c>
      <c r="D114" s="1" t="s">
        <v>20</v>
      </c>
      <c r="E114" t="s">
        <v>362</v>
      </c>
      <c r="F114" t="s">
        <v>101</v>
      </c>
      <c r="G114" t="s">
        <v>56</v>
      </c>
      <c r="H114" t="s">
        <v>39</v>
      </c>
      <c r="I114" t="s">
        <v>51</v>
      </c>
      <c r="J114">
        <v>1</v>
      </c>
      <c r="K114">
        <v>2999</v>
      </c>
      <c r="L114">
        <f>Table1[[#This Row],[Quantity]] * Table1[[#This Row],[UnitPrice]]</f>
        <v>2999</v>
      </c>
      <c r="M114" s="25">
        <v>0</v>
      </c>
      <c r="N114">
        <f>Table1[[#This Row],[Revenue]]*Table1[[#This Row],[Discount%]]/100</f>
        <v>0</v>
      </c>
      <c r="O114" s="6">
        <f>Table1[[#This Row],[Revenue]]-Table1[[#This Row],[Disc_amount]]</f>
        <v>2999</v>
      </c>
      <c r="P114" t="s">
        <v>26</v>
      </c>
      <c r="Q114" t="s">
        <v>34</v>
      </c>
    </row>
    <row r="115" spans="1:17">
      <c r="A115" t="s">
        <v>363</v>
      </c>
      <c r="B115" s="1" t="s">
        <v>364</v>
      </c>
      <c r="C115" s="1" t="s">
        <v>19</v>
      </c>
      <c r="D115" s="1" t="s">
        <v>20</v>
      </c>
      <c r="E115" t="s">
        <v>365</v>
      </c>
      <c r="F115" t="s">
        <v>366</v>
      </c>
      <c r="G115" t="s">
        <v>38</v>
      </c>
      <c r="H115" t="s">
        <v>108</v>
      </c>
      <c r="I115" t="s">
        <v>130</v>
      </c>
      <c r="J115">
        <v>4</v>
      </c>
      <c r="K115">
        <v>699</v>
      </c>
      <c r="L115">
        <f>Table1[[#This Row],[Quantity]] * Table1[[#This Row],[UnitPrice]]</f>
        <v>2796</v>
      </c>
      <c r="M115" s="25">
        <v>0</v>
      </c>
      <c r="N115">
        <f>Table1[[#This Row],[Revenue]]*Table1[[#This Row],[Discount%]]/100</f>
        <v>0</v>
      </c>
      <c r="O115" s="6">
        <f>Table1[[#This Row],[Revenue]]-Table1[[#This Row],[Disc_amount]]</f>
        <v>2796</v>
      </c>
      <c r="P115" t="s">
        <v>26</v>
      </c>
      <c r="Q115" t="s">
        <v>27</v>
      </c>
    </row>
    <row r="116" spans="1:17">
      <c r="A116" t="s">
        <v>367</v>
      </c>
      <c r="B116" s="1" t="s">
        <v>364</v>
      </c>
      <c r="C116" s="1" t="s">
        <v>19</v>
      </c>
      <c r="D116" s="1" t="s">
        <v>20</v>
      </c>
      <c r="E116" t="s">
        <v>368</v>
      </c>
      <c r="F116" t="s">
        <v>369</v>
      </c>
      <c r="G116" t="s">
        <v>45</v>
      </c>
      <c r="H116" t="s">
        <v>65</v>
      </c>
      <c r="I116" t="s">
        <v>94</v>
      </c>
      <c r="J116">
        <v>1</v>
      </c>
      <c r="K116">
        <v>899</v>
      </c>
      <c r="L116">
        <f>Table1[[#This Row],[Quantity]] * Table1[[#This Row],[UnitPrice]]</f>
        <v>899</v>
      </c>
      <c r="M116" s="25">
        <v>5</v>
      </c>
      <c r="N116">
        <f>Table1[[#This Row],[Revenue]]*Table1[[#This Row],[Discount%]]/100</f>
        <v>44.95</v>
      </c>
      <c r="O116" s="6">
        <f>Table1[[#This Row],[Revenue]]-Table1[[#This Row],[Disc_amount]]</f>
        <v>854.05</v>
      </c>
      <c r="P116" t="s">
        <v>33</v>
      </c>
      <c r="Q116" t="s">
        <v>34</v>
      </c>
    </row>
    <row r="117" spans="1:17">
      <c r="A117" t="s">
        <v>370</v>
      </c>
      <c r="B117" s="1" t="s">
        <v>364</v>
      </c>
      <c r="C117" s="1" t="s">
        <v>19</v>
      </c>
      <c r="D117" s="1" t="s">
        <v>20</v>
      </c>
      <c r="E117" t="s">
        <v>371</v>
      </c>
      <c r="F117" t="s">
        <v>118</v>
      </c>
      <c r="G117" t="s">
        <v>23</v>
      </c>
      <c r="H117" t="s">
        <v>65</v>
      </c>
      <c r="I117" t="s">
        <v>94</v>
      </c>
      <c r="J117">
        <v>5</v>
      </c>
      <c r="K117">
        <v>899</v>
      </c>
      <c r="L117">
        <f>Table1[[#This Row],[Quantity]] * Table1[[#This Row],[UnitPrice]]</f>
        <v>4495</v>
      </c>
      <c r="M117" s="25">
        <v>5</v>
      </c>
      <c r="N117">
        <f>Table1[[#This Row],[Revenue]]*Table1[[#This Row],[Discount%]]/100</f>
        <v>224.75</v>
      </c>
      <c r="O117" s="6">
        <f>Table1[[#This Row],[Revenue]]-Table1[[#This Row],[Disc_amount]]</f>
        <v>4270.25</v>
      </c>
      <c r="P117" t="s">
        <v>52</v>
      </c>
      <c r="Q117" t="s">
        <v>27</v>
      </c>
    </row>
    <row r="118" spans="1:17">
      <c r="A118" t="s">
        <v>372</v>
      </c>
      <c r="B118" s="1" t="s">
        <v>364</v>
      </c>
      <c r="C118" s="1" t="s">
        <v>19</v>
      </c>
      <c r="D118" s="1" t="s">
        <v>20</v>
      </c>
      <c r="E118" t="s">
        <v>373</v>
      </c>
      <c r="F118" t="s">
        <v>183</v>
      </c>
      <c r="G118" t="s">
        <v>38</v>
      </c>
      <c r="H118" t="s">
        <v>39</v>
      </c>
      <c r="I118" t="s">
        <v>140</v>
      </c>
      <c r="J118">
        <v>1</v>
      </c>
      <c r="K118">
        <v>1799</v>
      </c>
      <c r="L118">
        <f>Table1[[#This Row],[Quantity]] * Table1[[#This Row],[UnitPrice]]</f>
        <v>1799</v>
      </c>
      <c r="M118" s="25">
        <v>0</v>
      </c>
      <c r="N118">
        <f>Table1[[#This Row],[Revenue]]*Table1[[#This Row],[Discount%]]/100</f>
        <v>0</v>
      </c>
      <c r="O118" s="6">
        <f>Table1[[#This Row],[Revenue]]-Table1[[#This Row],[Disc_amount]]</f>
        <v>1799</v>
      </c>
      <c r="P118" t="s">
        <v>41</v>
      </c>
      <c r="Q118" t="s">
        <v>34</v>
      </c>
    </row>
    <row r="119" spans="1:17">
      <c r="A119" t="s">
        <v>374</v>
      </c>
      <c r="B119" s="1" t="s">
        <v>364</v>
      </c>
      <c r="C119" s="1" t="s">
        <v>19</v>
      </c>
      <c r="D119" s="1" t="s">
        <v>20</v>
      </c>
      <c r="E119" t="s">
        <v>375</v>
      </c>
      <c r="F119" t="s">
        <v>376</v>
      </c>
      <c r="G119" t="s">
        <v>23</v>
      </c>
      <c r="H119" t="s">
        <v>65</v>
      </c>
      <c r="I119" t="s">
        <v>94</v>
      </c>
      <c r="J119">
        <v>2</v>
      </c>
      <c r="K119">
        <v>899</v>
      </c>
      <c r="L119">
        <f>Table1[[#This Row],[Quantity]] * Table1[[#This Row],[UnitPrice]]</f>
        <v>1798</v>
      </c>
      <c r="M119" s="25">
        <v>0</v>
      </c>
      <c r="N119">
        <f>Table1[[#This Row],[Revenue]]*Table1[[#This Row],[Discount%]]/100</f>
        <v>0</v>
      </c>
      <c r="O119" s="6">
        <f>Table1[[#This Row],[Revenue]]-Table1[[#This Row],[Disc_amount]]</f>
        <v>1798</v>
      </c>
      <c r="P119" t="s">
        <v>26</v>
      </c>
      <c r="Q119" t="s">
        <v>27</v>
      </c>
    </row>
    <row r="120" spans="1:17">
      <c r="A120" t="s">
        <v>377</v>
      </c>
      <c r="B120" s="1" t="s">
        <v>364</v>
      </c>
      <c r="C120" s="1" t="s">
        <v>19</v>
      </c>
      <c r="D120" s="1" t="s">
        <v>20</v>
      </c>
      <c r="E120" t="s">
        <v>378</v>
      </c>
      <c r="F120" t="s">
        <v>379</v>
      </c>
      <c r="G120" t="s">
        <v>45</v>
      </c>
      <c r="H120" t="s">
        <v>24</v>
      </c>
      <c r="I120" t="s">
        <v>25</v>
      </c>
      <c r="J120">
        <v>4</v>
      </c>
      <c r="K120">
        <v>99</v>
      </c>
      <c r="L120">
        <f>Table1[[#This Row],[Quantity]] * Table1[[#This Row],[UnitPrice]]</f>
        <v>396</v>
      </c>
      <c r="M120" s="25">
        <v>0</v>
      </c>
      <c r="N120">
        <f>Table1[[#This Row],[Revenue]]*Table1[[#This Row],[Discount%]]/100</f>
        <v>0</v>
      </c>
      <c r="O120" s="6">
        <f>Table1[[#This Row],[Revenue]]-Table1[[#This Row],[Disc_amount]]</f>
        <v>396</v>
      </c>
      <c r="P120" t="s">
        <v>33</v>
      </c>
      <c r="Q120" t="s">
        <v>27</v>
      </c>
    </row>
    <row r="121" spans="1:17">
      <c r="A121" t="s">
        <v>380</v>
      </c>
      <c r="B121" s="1" t="s">
        <v>381</v>
      </c>
      <c r="C121" s="1" t="s">
        <v>19</v>
      </c>
      <c r="D121" s="1" t="s">
        <v>20</v>
      </c>
      <c r="E121" t="s">
        <v>205</v>
      </c>
      <c r="F121" t="s">
        <v>206</v>
      </c>
      <c r="G121" t="s">
        <v>56</v>
      </c>
      <c r="H121" t="s">
        <v>24</v>
      </c>
      <c r="I121" t="s">
        <v>25</v>
      </c>
      <c r="J121">
        <v>1</v>
      </c>
      <c r="K121">
        <v>99</v>
      </c>
      <c r="L121">
        <f>Table1[[#This Row],[Quantity]] * Table1[[#This Row],[UnitPrice]]</f>
        <v>99</v>
      </c>
      <c r="M121" s="25">
        <v>0</v>
      </c>
      <c r="N121">
        <f>Table1[[#This Row],[Revenue]]*Table1[[#This Row],[Discount%]]/100</f>
        <v>0</v>
      </c>
      <c r="O121" s="6">
        <f>Table1[[#This Row],[Revenue]]-Table1[[#This Row],[Disc_amount]]</f>
        <v>99</v>
      </c>
      <c r="P121" t="s">
        <v>41</v>
      </c>
      <c r="Q121" t="s">
        <v>27</v>
      </c>
    </row>
    <row r="122" spans="1:17">
      <c r="A122" t="s">
        <v>382</v>
      </c>
      <c r="B122" s="1" t="s">
        <v>381</v>
      </c>
      <c r="C122" s="1" t="s">
        <v>19</v>
      </c>
      <c r="D122" s="1" t="s">
        <v>20</v>
      </c>
      <c r="E122" t="s">
        <v>383</v>
      </c>
      <c r="F122" t="s">
        <v>384</v>
      </c>
      <c r="G122" t="s">
        <v>31</v>
      </c>
      <c r="H122" t="s">
        <v>46</v>
      </c>
      <c r="I122" t="s">
        <v>47</v>
      </c>
      <c r="J122">
        <v>2</v>
      </c>
      <c r="K122">
        <v>249</v>
      </c>
      <c r="L122">
        <f>Table1[[#This Row],[Quantity]] * Table1[[#This Row],[UnitPrice]]</f>
        <v>498</v>
      </c>
      <c r="M122" s="25">
        <v>0</v>
      </c>
      <c r="N122">
        <f>Table1[[#This Row],[Revenue]]*Table1[[#This Row],[Discount%]]/100</f>
        <v>0</v>
      </c>
      <c r="O122" s="6">
        <f>Table1[[#This Row],[Revenue]]-Table1[[#This Row],[Disc_amount]]</f>
        <v>498</v>
      </c>
      <c r="P122" t="s">
        <v>33</v>
      </c>
      <c r="Q122" t="s">
        <v>27</v>
      </c>
    </row>
    <row r="123" spans="1:17">
      <c r="A123" t="s">
        <v>385</v>
      </c>
      <c r="B123" s="1" t="s">
        <v>381</v>
      </c>
      <c r="C123" s="1" t="s">
        <v>19</v>
      </c>
      <c r="D123" s="1" t="s">
        <v>20</v>
      </c>
      <c r="E123" t="s">
        <v>386</v>
      </c>
      <c r="F123" t="s">
        <v>183</v>
      </c>
      <c r="G123" t="s">
        <v>23</v>
      </c>
      <c r="H123" t="s">
        <v>24</v>
      </c>
      <c r="I123" t="s">
        <v>25</v>
      </c>
      <c r="J123">
        <v>1</v>
      </c>
      <c r="K123">
        <v>99</v>
      </c>
      <c r="L123">
        <f>Table1[[#This Row],[Quantity]] * Table1[[#This Row],[UnitPrice]]</f>
        <v>99</v>
      </c>
      <c r="M123" s="25">
        <v>10</v>
      </c>
      <c r="N123">
        <f>Table1[[#This Row],[Revenue]]*Table1[[#This Row],[Discount%]]/100</f>
        <v>9.9</v>
      </c>
      <c r="O123" s="6">
        <f>Table1[[#This Row],[Revenue]]-Table1[[#This Row],[Disc_amount]]</f>
        <v>89.1</v>
      </c>
      <c r="P123" t="s">
        <v>26</v>
      </c>
      <c r="Q123" t="s">
        <v>34</v>
      </c>
    </row>
    <row r="124" spans="1:17">
      <c r="A124" t="s">
        <v>387</v>
      </c>
      <c r="B124" s="1" t="s">
        <v>388</v>
      </c>
      <c r="C124" s="1" t="s">
        <v>19</v>
      </c>
      <c r="D124" s="1" t="s">
        <v>20</v>
      </c>
      <c r="E124" t="s">
        <v>389</v>
      </c>
      <c r="F124" t="s">
        <v>390</v>
      </c>
      <c r="G124" t="s">
        <v>56</v>
      </c>
      <c r="H124" t="s">
        <v>70</v>
      </c>
      <c r="I124" t="s">
        <v>71</v>
      </c>
      <c r="J124">
        <v>1</v>
      </c>
      <c r="K124">
        <v>349</v>
      </c>
      <c r="L124">
        <f>Table1[[#This Row],[Quantity]] * Table1[[#This Row],[UnitPrice]]</f>
        <v>349</v>
      </c>
      <c r="M124" s="25">
        <v>10</v>
      </c>
      <c r="N124">
        <f>Table1[[#This Row],[Revenue]]*Table1[[#This Row],[Discount%]]/100</f>
        <v>34.9</v>
      </c>
      <c r="O124" s="6">
        <f>Table1[[#This Row],[Revenue]]-Table1[[#This Row],[Disc_amount]]</f>
        <v>314.10000000000002</v>
      </c>
      <c r="P124" t="s">
        <v>86</v>
      </c>
      <c r="Q124" t="s">
        <v>27</v>
      </c>
    </row>
    <row r="125" spans="1:17">
      <c r="A125" t="s">
        <v>391</v>
      </c>
      <c r="B125" s="1" t="s">
        <v>388</v>
      </c>
      <c r="C125" s="1" t="s">
        <v>19</v>
      </c>
      <c r="D125" s="1" t="s">
        <v>20</v>
      </c>
      <c r="E125" t="s">
        <v>392</v>
      </c>
      <c r="F125" t="s">
        <v>236</v>
      </c>
      <c r="G125" t="s">
        <v>31</v>
      </c>
      <c r="H125" t="s">
        <v>57</v>
      </c>
      <c r="I125" t="s">
        <v>62</v>
      </c>
      <c r="J125">
        <v>1</v>
      </c>
      <c r="K125">
        <v>799</v>
      </c>
      <c r="L125">
        <f>Table1[[#This Row],[Quantity]] * Table1[[#This Row],[UnitPrice]]</f>
        <v>799</v>
      </c>
      <c r="M125" s="25">
        <v>10</v>
      </c>
      <c r="N125">
        <f>Table1[[#This Row],[Revenue]]*Table1[[#This Row],[Discount%]]/100</f>
        <v>79.900000000000006</v>
      </c>
      <c r="O125" s="6">
        <f>Table1[[#This Row],[Revenue]]-Table1[[#This Row],[Disc_amount]]</f>
        <v>719.1</v>
      </c>
      <c r="P125" t="s">
        <v>41</v>
      </c>
      <c r="Q125" t="s">
        <v>27</v>
      </c>
    </row>
    <row r="126" spans="1:17">
      <c r="A126" t="s">
        <v>393</v>
      </c>
      <c r="B126" s="1" t="s">
        <v>388</v>
      </c>
      <c r="C126" s="1" t="s">
        <v>19</v>
      </c>
      <c r="D126" s="1" t="s">
        <v>20</v>
      </c>
      <c r="E126" t="s">
        <v>394</v>
      </c>
      <c r="F126" t="s">
        <v>338</v>
      </c>
      <c r="G126" t="s">
        <v>23</v>
      </c>
      <c r="H126" t="s">
        <v>65</v>
      </c>
      <c r="I126" t="s">
        <v>66</v>
      </c>
      <c r="J126">
        <v>3</v>
      </c>
      <c r="K126">
        <v>1999</v>
      </c>
      <c r="L126">
        <f>Table1[[#This Row],[Quantity]] * Table1[[#This Row],[UnitPrice]]</f>
        <v>5997</v>
      </c>
      <c r="M126" s="25">
        <v>0</v>
      </c>
      <c r="N126">
        <f>Table1[[#This Row],[Revenue]]*Table1[[#This Row],[Discount%]]/100</f>
        <v>0</v>
      </c>
      <c r="O126" s="6">
        <f>Table1[[#This Row],[Revenue]]-Table1[[#This Row],[Disc_amount]]</f>
        <v>5997</v>
      </c>
      <c r="P126" t="s">
        <v>41</v>
      </c>
      <c r="Q126" t="s">
        <v>27</v>
      </c>
    </row>
    <row r="127" spans="1:17">
      <c r="A127" t="s">
        <v>395</v>
      </c>
      <c r="B127" s="1" t="s">
        <v>388</v>
      </c>
      <c r="C127" s="1" t="s">
        <v>19</v>
      </c>
      <c r="D127" s="1" t="s">
        <v>20</v>
      </c>
      <c r="E127" t="s">
        <v>396</v>
      </c>
      <c r="F127" t="s">
        <v>323</v>
      </c>
      <c r="G127" t="s">
        <v>38</v>
      </c>
      <c r="H127" t="s">
        <v>39</v>
      </c>
      <c r="I127" t="s">
        <v>51</v>
      </c>
      <c r="J127">
        <v>2</v>
      </c>
      <c r="K127">
        <v>2999</v>
      </c>
      <c r="L127">
        <f>Table1[[#This Row],[Quantity]] * Table1[[#This Row],[UnitPrice]]</f>
        <v>5998</v>
      </c>
      <c r="M127" s="25">
        <v>20</v>
      </c>
      <c r="N127">
        <f>Table1[[#This Row],[Revenue]]*Table1[[#This Row],[Discount%]]/100</f>
        <v>1199.5999999999999</v>
      </c>
      <c r="O127" s="6">
        <f>Table1[[#This Row],[Revenue]]-Table1[[#This Row],[Disc_amount]]</f>
        <v>4798.3999999999996</v>
      </c>
      <c r="P127" t="s">
        <v>33</v>
      </c>
      <c r="Q127" t="s">
        <v>27</v>
      </c>
    </row>
    <row r="128" spans="1:17">
      <c r="A128" t="s">
        <v>397</v>
      </c>
      <c r="B128" s="1" t="s">
        <v>388</v>
      </c>
      <c r="C128" s="1" t="s">
        <v>19</v>
      </c>
      <c r="D128" s="1" t="s">
        <v>20</v>
      </c>
      <c r="E128" t="s">
        <v>252</v>
      </c>
      <c r="F128" t="s">
        <v>253</v>
      </c>
      <c r="G128" t="s">
        <v>38</v>
      </c>
      <c r="H128" t="s">
        <v>65</v>
      </c>
      <c r="I128" t="s">
        <v>66</v>
      </c>
      <c r="J128">
        <v>3</v>
      </c>
      <c r="K128">
        <v>1999</v>
      </c>
      <c r="L128">
        <f>Table1[[#This Row],[Quantity]] * Table1[[#This Row],[UnitPrice]]</f>
        <v>5997</v>
      </c>
      <c r="M128" s="25">
        <v>0</v>
      </c>
      <c r="N128">
        <f>Table1[[#This Row],[Revenue]]*Table1[[#This Row],[Discount%]]/100</f>
        <v>0</v>
      </c>
      <c r="O128" s="6">
        <f>Table1[[#This Row],[Revenue]]-Table1[[#This Row],[Disc_amount]]</f>
        <v>5997</v>
      </c>
      <c r="P128" t="s">
        <v>33</v>
      </c>
      <c r="Q128" t="s">
        <v>34</v>
      </c>
    </row>
    <row r="129" spans="1:17">
      <c r="A129" t="s">
        <v>398</v>
      </c>
      <c r="B129" s="1" t="s">
        <v>399</v>
      </c>
      <c r="C129" s="1" t="s">
        <v>19</v>
      </c>
      <c r="D129" s="1" t="s">
        <v>20</v>
      </c>
      <c r="E129" t="s">
        <v>396</v>
      </c>
      <c r="F129" t="s">
        <v>323</v>
      </c>
      <c r="G129" t="s">
        <v>45</v>
      </c>
      <c r="H129" t="s">
        <v>108</v>
      </c>
      <c r="I129" t="s">
        <v>130</v>
      </c>
      <c r="J129">
        <v>4</v>
      </c>
      <c r="K129">
        <v>699</v>
      </c>
      <c r="L129">
        <f>Table1[[#This Row],[Quantity]] * Table1[[#This Row],[UnitPrice]]</f>
        <v>2796</v>
      </c>
      <c r="M129" s="25">
        <v>20</v>
      </c>
      <c r="N129">
        <f>Table1[[#This Row],[Revenue]]*Table1[[#This Row],[Discount%]]/100</f>
        <v>559.20000000000005</v>
      </c>
      <c r="O129" s="6">
        <f>Table1[[#This Row],[Revenue]]-Table1[[#This Row],[Disc_amount]]</f>
        <v>2236.8000000000002</v>
      </c>
      <c r="P129" t="s">
        <v>52</v>
      </c>
      <c r="Q129" t="s">
        <v>27</v>
      </c>
    </row>
    <row r="130" spans="1:17">
      <c r="A130" t="s">
        <v>400</v>
      </c>
      <c r="B130" s="1" t="s">
        <v>399</v>
      </c>
      <c r="C130" s="1" t="s">
        <v>19</v>
      </c>
      <c r="D130" s="1" t="s">
        <v>20</v>
      </c>
      <c r="E130" t="s">
        <v>401</v>
      </c>
      <c r="F130" t="s">
        <v>355</v>
      </c>
      <c r="G130" t="s">
        <v>45</v>
      </c>
      <c r="H130" t="s">
        <v>39</v>
      </c>
      <c r="I130" t="s">
        <v>140</v>
      </c>
      <c r="J130">
        <v>1</v>
      </c>
      <c r="K130">
        <v>1799</v>
      </c>
      <c r="L130">
        <f>Table1[[#This Row],[Quantity]] * Table1[[#This Row],[UnitPrice]]</f>
        <v>1799</v>
      </c>
      <c r="M130" s="25">
        <v>5</v>
      </c>
      <c r="N130">
        <f>Table1[[#This Row],[Revenue]]*Table1[[#This Row],[Discount%]]/100</f>
        <v>89.95</v>
      </c>
      <c r="O130" s="6">
        <f>Table1[[#This Row],[Revenue]]-Table1[[#This Row],[Disc_amount]]</f>
        <v>1709.05</v>
      </c>
      <c r="P130" t="s">
        <v>33</v>
      </c>
      <c r="Q130" t="s">
        <v>27</v>
      </c>
    </row>
    <row r="131" spans="1:17">
      <c r="A131" t="s">
        <v>402</v>
      </c>
      <c r="B131" s="1" t="s">
        <v>399</v>
      </c>
      <c r="C131" s="1" t="s">
        <v>19</v>
      </c>
      <c r="D131" s="1" t="s">
        <v>20</v>
      </c>
      <c r="E131" t="s">
        <v>383</v>
      </c>
      <c r="F131" t="s">
        <v>384</v>
      </c>
      <c r="G131" t="s">
        <v>31</v>
      </c>
      <c r="H131" t="s">
        <v>65</v>
      </c>
      <c r="I131" t="s">
        <v>98</v>
      </c>
      <c r="J131">
        <v>2</v>
      </c>
      <c r="K131">
        <v>499</v>
      </c>
      <c r="L131">
        <f>Table1[[#This Row],[Quantity]] * Table1[[#This Row],[UnitPrice]]</f>
        <v>998</v>
      </c>
      <c r="M131" s="25">
        <v>20</v>
      </c>
      <c r="N131">
        <f>Table1[[#This Row],[Revenue]]*Table1[[#This Row],[Discount%]]/100</f>
        <v>199.6</v>
      </c>
      <c r="O131" s="6">
        <f>Table1[[#This Row],[Revenue]]-Table1[[#This Row],[Disc_amount]]</f>
        <v>798.4</v>
      </c>
      <c r="P131" t="s">
        <v>26</v>
      </c>
      <c r="Q131" t="s">
        <v>34</v>
      </c>
    </row>
    <row r="132" spans="1:17">
      <c r="A132" t="s">
        <v>403</v>
      </c>
      <c r="B132" s="1" t="s">
        <v>399</v>
      </c>
      <c r="C132" s="1" t="s">
        <v>19</v>
      </c>
      <c r="D132" s="1" t="s">
        <v>20</v>
      </c>
      <c r="E132" t="s">
        <v>303</v>
      </c>
      <c r="F132" t="s">
        <v>304</v>
      </c>
      <c r="G132" t="s">
        <v>56</v>
      </c>
      <c r="H132" t="s">
        <v>65</v>
      </c>
      <c r="I132" t="s">
        <v>66</v>
      </c>
      <c r="J132">
        <v>1</v>
      </c>
      <c r="K132">
        <v>1999</v>
      </c>
      <c r="L132">
        <f>Table1[[#This Row],[Quantity]] * Table1[[#This Row],[UnitPrice]]</f>
        <v>1999</v>
      </c>
      <c r="M132" s="25">
        <v>0</v>
      </c>
      <c r="N132">
        <f>Table1[[#This Row],[Revenue]]*Table1[[#This Row],[Discount%]]/100</f>
        <v>0</v>
      </c>
      <c r="O132" s="6">
        <f>Table1[[#This Row],[Revenue]]-Table1[[#This Row],[Disc_amount]]</f>
        <v>1999</v>
      </c>
      <c r="P132" t="s">
        <v>86</v>
      </c>
      <c r="Q132" t="s">
        <v>34</v>
      </c>
    </row>
    <row r="133" spans="1:17">
      <c r="A133" t="s">
        <v>404</v>
      </c>
      <c r="B133" s="1" t="s">
        <v>399</v>
      </c>
      <c r="C133" s="1" t="s">
        <v>19</v>
      </c>
      <c r="D133" s="1" t="s">
        <v>20</v>
      </c>
      <c r="E133" t="s">
        <v>405</v>
      </c>
      <c r="F133" t="s">
        <v>248</v>
      </c>
      <c r="G133" t="s">
        <v>38</v>
      </c>
      <c r="H133" t="s">
        <v>65</v>
      </c>
      <c r="I133" t="s">
        <v>94</v>
      </c>
      <c r="J133">
        <v>1</v>
      </c>
      <c r="K133">
        <v>899</v>
      </c>
      <c r="L133">
        <f>Table1[[#This Row],[Quantity]] * Table1[[#This Row],[UnitPrice]]</f>
        <v>899</v>
      </c>
      <c r="M133" s="25">
        <v>15</v>
      </c>
      <c r="N133">
        <f>Table1[[#This Row],[Revenue]]*Table1[[#This Row],[Discount%]]/100</f>
        <v>134.85</v>
      </c>
      <c r="O133" s="6">
        <f>Table1[[#This Row],[Revenue]]-Table1[[#This Row],[Disc_amount]]</f>
        <v>764.15</v>
      </c>
      <c r="P133" t="s">
        <v>33</v>
      </c>
      <c r="Q133" t="s">
        <v>34</v>
      </c>
    </row>
    <row r="134" spans="1:17">
      <c r="A134" t="s">
        <v>406</v>
      </c>
      <c r="B134" s="1" t="s">
        <v>399</v>
      </c>
      <c r="C134" s="1" t="s">
        <v>19</v>
      </c>
      <c r="D134" s="1" t="s">
        <v>20</v>
      </c>
      <c r="E134" t="s">
        <v>407</v>
      </c>
      <c r="F134" t="s">
        <v>329</v>
      </c>
      <c r="G134" t="s">
        <v>31</v>
      </c>
      <c r="H134" t="s">
        <v>65</v>
      </c>
      <c r="I134" t="s">
        <v>98</v>
      </c>
      <c r="J134">
        <v>2</v>
      </c>
      <c r="K134">
        <v>499</v>
      </c>
      <c r="L134">
        <f>Table1[[#This Row],[Quantity]] * Table1[[#This Row],[UnitPrice]]</f>
        <v>998</v>
      </c>
      <c r="M134" s="25">
        <v>5</v>
      </c>
      <c r="N134">
        <f>Table1[[#This Row],[Revenue]]*Table1[[#This Row],[Discount%]]/100</f>
        <v>49.9</v>
      </c>
      <c r="O134" s="6">
        <f>Table1[[#This Row],[Revenue]]-Table1[[#This Row],[Disc_amount]]</f>
        <v>948.1</v>
      </c>
      <c r="P134" t="s">
        <v>86</v>
      </c>
      <c r="Q134" t="s">
        <v>34</v>
      </c>
    </row>
    <row r="135" spans="1:17">
      <c r="A135" t="s">
        <v>408</v>
      </c>
      <c r="B135" s="1" t="s">
        <v>399</v>
      </c>
      <c r="C135" s="1" t="s">
        <v>19</v>
      </c>
      <c r="D135" s="1" t="s">
        <v>20</v>
      </c>
      <c r="E135" t="s">
        <v>409</v>
      </c>
      <c r="F135" t="s">
        <v>410</v>
      </c>
      <c r="G135" t="s">
        <v>45</v>
      </c>
      <c r="H135" t="s">
        <v>24</v>
      </c>
      <c r="I135" t="s">
        <v>25</v>
      </c>
      <c r="J135">
        <v>3</v>
      </c>
      <c r="K135">
        <v>99</v>
      </c>
      <c r="L135">
        <f>Table1[[#This Row],[Quantity]] * Table1[[#This Row],[UnitPrice]]</f>
        <v>297</v>
      </c>
      <c r="M135" s="25">
        <v>10</v>
      </c>
      <c r="N135">
        <f>Table1[[#This Row],[Revenue]]*Table1[[#This Row],[Discount%]]/100</f>
        <v>29.7</v>
      </c>
      <c r="O135" s="6">
        <f>Table1[[#This Row],[Revenue]]-Table1[[#This Row],[Disc_amount]]</f>
        <v>267.3</v>
      </c>
      <c r="P135" t="s">
        <v>41</v>
      </c>
      <c r="Q135" t="s">
        <v>27</v>
      </c>
    </row>
    <row r="136" spans="1:17">
      <c r="A136" t="s">
        <v>411</v>
      </c>
      <c r="B136" s="1" t="s">
        <v>412</v>
      </c>
      <c r="C136" s="1" t="s">
        <v>19</v>
      </c>
      <c r="D136" s="1" t="s">
        <v>20</v>
      </c>
      <c r="E136" t="s">
        <v>54</v>
      </c>
      <c r="F136" t="s">
        <v>55</v>
      </c>
      <c r="G136" t="s">
        <v>31</v>
      </c>
      <c r="H136" t="s">
        <v>108</v>
      </c>
      <c r="I136" t="s">
        <v>130</v>
      </c>
      <c r="J136">
        <v>3</v>
      </c>
      <c r="K136">
        <v>699</v>
      </c>
      <c r="L136">
        <f>Table1[[#This Row],[Quantity]] * Table1[[#This Row],[UnitPrice]]</f>
        <v>2097</v>
      </c>
      <c r="M136" s="25">
        <v>0</v>
      </c>
      <c r="N136">
        <f>Table1[[#This Row],[Revenue]]*Table1[[#This Row],[Discount%]]/100</f>
        <v>0</v>
      </c>
      <c r="O136" s="6">
        <f>Table1[[#This Row],[Revenue]]-Table1[[#This Row],[Disc_amount]]</f>
        <v>2097</v>
      </c>
      <c r="P136" t="s">
        <v>33</v>
      </c>
      <c r="Q136" t="s">
        <v>34</v>
      </c>
    </row>
    <row r="137" spans="1:17">
      <c r="A137" t="s">
        <v>413</v>
      </c>
      <c r="B137" s="1" t="s">
        <v>412</v>
      </c>
      <c r="C137" s="1" t="s">
        <v>19</v>
      </c>
      <c r="D137" s="1" t="s">
        <v>20</v>
      </c>
      <c r="E137" t="s">
        <v>414</v>
      </c>
      <c r="F137" t="s">
        <v>415</v>
      </c>
      <c r="G137" t="s">
        <v>31</v>
      </c>
      <c r="H137" t="s">
        <v>108</v>
      </c>
      <c r="I137" t="s">
        <v>109</v>
      </c>
      <c r="J137">
        <v>2</v>
      </c>
      <c r="K137">
        <v>1499</v>
      </c>
      <c r="L137">
        <f>Table1[[#This Row],[Quantity]] * Table1[[#This Row],[UnitPrice]]</f>
        <v>2998</v>
      </c>
      <c r="M137" s="25">
        <v>0</v>
      </c>
      <c r="N137">
        <f>Table1[[#This Row],[Revenue]]*Table1[[#This Row],[Discount%]]/100</f>
        <v>0</v>
      </c>
      <c r="O137" s="6">
        <f>Table1[[#This Row],[Revenue]]-Table1[[#This Row],[Disc_amount]]</f>
        <v>2998</v>
      </c>
      <c r="P137" t="s">
        <v>33</v>
      </c>
      <c r="Q137" t="s">
        <v>27</v>
      </c>
    </row>
    <row r="138" spans="1:17">
      <c r="A138" t="s">
        <v>416</v>
      </c>
      <c r="B138" s="1" t="s">
        <v>412</v>
      </c>
      <c r="C138" s="1" t="s">
        <v>19</v>
      </c>
      <c r="D138" s="1" t="s">
        <v>20</v>
      </c>
      <c r="E138" t="s">
        <v>313</v>
      </c>
      <c r="F138" t="s">
        <v>314</v>
      </c>
      <c r="G138" t="s">
        <v>23</v>
      </c>
      <c r="H138" t="s">
        <v>65</v>
      </c>
      <c r="I138" t="s">
        <v>94</v>
      </c>
      <c r="J138">
        <v>1</v>
      </c>
      <c r="K138">
        <v>899</v>
      </c>
      <c r="L138">
        <f>Table1[[#This Row],[Quantity]] * Table1[[#This Row],[UnitPrice]]</f>
        <v>899</v>
      </c>
      <c r="M138" s="25">
        <v>10</v>
      </c>
      <c r="N138">
        <f>Table1[[#This Row],[Revenue]]*Table1[[#This Row],[Discount%]]/100</f>
        <v>89.9</v>
      </c>
      <c r="O138" s="6">
        <f>Table1[[#This Row],[Revenue]]-Table1[[#This Row],[Disc_amount]]</f>
        <v>809.1</v>
      </c>
      <c r="P138" t="s">
        <v>33</v>
      </c>
      <c r="Q138" t="s">
        <v>34</v>
      </c>
    </row>
    <row r="139" spans="1:17">
      <c r="A139" t="s">
        <v>417</v>
      </c>
      <c r="B139" s="1" t="s">
        <v>412</v>
      </c>
      <c r="C139" s="1" t="s">
        <v>19</v>
      </c>
      <c r="D139" s="1" t="s">
        <v>20</v>
      </c>
      <c r="E139" t="s">
        <v>418</v>
      </c>
      <c r="F139" t="s">
        <v>147</v>
      </c>
      <c r="G139" t="s">
        <v>56</v>
      </c>
      <c r="H139" t="s">
        <v>46</v>
      </c>
      <c r="I139" t="s">
        <v>47</v>
      </c>
      <c r="J139">
        <v>1</v>
      </c>
      <c r="K139">
        <v>249</v>
      </c>
      <c r="L139">
        <f>Table1[[#This Row],[Quantity]] * Table1[[#This Row],[UnitPrice]]</f>
        <v>249</v>
      </c>
      <c r="M139" s="25">
        <v>20</v>
      </c>
      <c r="N139">
        <f>Table1[[#This Row],[Revenue]]*Table1[[#This Row],[Discount%]]/100</f>
        <v>49.8</v>
      </c>
      <c r="O139" s="6">
        <f>Table1[[#This Row],[Revenue]]-Table1[[#This Row],[Disc_amount]]</f>
        <v>199.2</v>
      </c>
      <c r="P139" t="s">
        <v>33</v>
      </c>
      <c r="Q139" t="s">
        <v>34</v>
      </c>
    </row>
    <row r="140" spans="1:17">
      <c r="A140" t="s">
        <v>419</v>
      </c>
      <c r="B140" s="1" t="s">
        <v>412</v>
      </c>
      <c r="C140" s="1" t="s">
        <v>19</v>
      </c>
      <c r="D140" s="1" t="s">
        <v>20</v>
      </c>
      <c r="E140" t="s">
        <v>306</v>
      </c>
      <c r="F140" t="s">
        <v>307</v>
      </c>
      <c r="G140" t="s">
        <v>56</v>
      </c>
      <c r="H140" t="s">
        <v>24</v>
      </c>
      <c r="I140" t="s">
        <v>32</v>
      </c>
      <c r="J140">
        <v>2</v>
      </c>
      <c r="K140">
        <v>199</v>
      </c>
      <c r="L140">
        <f>Table1[[#This Row],[Quantity]] * Table1[[#This Row],[UnitPrice]]</f>
        <v>398</v>
      </c>
      <c r="M140" s="25">
        <v>0</v>
      </c>
      <c r="N140">
        <f>Table1[[#This Row],[Revenue]]*Table1[[#This Row],[Discount%]]/100</f>
        <v>0</v>
      </c>
      <c r="O140" s="6">
        <f>Table1[[#This Row],[Revenue]]-Table1[[#This Row],[Disc_amount]]</f>
        <v>398</v>
      </c>
      <c r="P140" t="s">
        <v>86</v>
      </c>
      <c r="Q140" t="s">
        <v>27</v>
      </c>
    </row>
    <row r="141" spans="1:17">
      <c r="A141" t="s">
        <v>420</v>
      </c>
      <c r="B141" s="1" t="s">
        <v>412</v>
      </c>
      <c r="C141" s="1" t="s">
        <v>19</v>
      </c>
      <c r="D141" s="1" t="s">
        <v>20</v>
      </c>
      <c r="E141" t="s">
        <v>421</v>
      </c>
      <c r="F141" t="s">
        <v>422</v>
      </c>
      <c r="G141" t="s">
        <v>31</v>
      </c>
      <c r="H141" t="s">
        <v>57</v>
      </c>
      <c r="I141" t="s">
        <v>62</v>
      </c>
      <c r="J141">
        <v>2</v>
      </c>
      <c r="K141">
        <v>799</v>
      </c>
      <c r="L141">
        <f>Table1[[#This Row],[Quantity]] * Table1[[#This Row],[UnitPrice]]</f>
        <v>1598</v>
      </c>
      <c r="M141" s="25">
        <v>0</v>
      </c>
      <c r="N141">
        <f>Table1[[#This Row],[Revenue]]*Table1[[#This Row],[Discount%]]/100</f>
        <v>0</v>
      </c>
      <c r="O141" s="6">
        <f>Table1[[#This Row],[Revenue]]-Table1[[#This Row],[Disc_amount]]</f>
        <v>1598</v>
      </c>
      <c r="P141" t="s">
        <v>52</v>
      </c>
      <c r="Q141" t="s">
        <v>34</v>
      </c>
    </row>
    <row r="142" spans="1:17">
      <c r="A142" t="s">
        <v>423</v>
      </c>
      <c r="B142" s="1" t="s">
        <v>412</v>
      </c>
      <c r="C142" s="1" t="s">
        <v>19</v>
      </c>
      <c r="D142" s="1" t="s">
        <v>20</v>
      </c>
      <c r="E142" t="s">
        <v>424</v>
      </c>
      <c r="F142" t="s">
        <v>425</v>
      </c>
      <c r="G142" t="s">
        <v>38</v>
      </c>
      <c r="H142" t="s">
        <v>70</v>
      </c>
      <c r="I142" t="s">
        <v>91</v>
      </c>
      <c r="J142">
        <v>4</v>
      </c>
      <c r="K142">
        <v>549</v>
      </c>
      <c r="L142">
        <f>Table1[[#This Row],[Quantity]] * Table1[[#This Row],[UnitPrice]]</f>
        <v>2196</v>
      </c>
      <c r="M142" s="25">
        <v>0</v>
      </c>
      <c r="N142">
        <f>Table1[[#This Row],[Revenue]]*Table1[[#This Row],[Discount%]]/100</f>
        <v>0</v>
      </c>
      <c r="O142" s="6">
        <f>Table1[[#This Row],[Revenue]]-Table1[[#This Row],[Disc_amount]]</f>
        <v>2196</v>
      </c>
      <c r="P142" t="s">
        <v>52</v>
      </c>
      <c r="Q142" t="s">
        <v>27</v>
      </c>
    </row>
    <row r="143" spans="1:17">
      <c r="A143" t="s">
        <v>426</v>
      </c>
      <c r="B143" s="1" t="s">
        <v>427</v>
      </c>
      <c r="C143" s="1" t="s">
        <v>19</v>
      </c>
      <c r="D143" s="1" t="s">
        <v>20</v>
      </c>
      <c r="E143" t="s">
        <v>215</v>
      </c>
      <c r="F143" t="s">
        <v>90</v>
      </c>
      <c r="G143" t="s">
        <v>45</v>
      </c>
      <c r="H143" t="s">
        <v>46</v>
      </c>
      <c r="I143" t="s">
        <v>47</v>
      </c>
      <c r="J143">
        <v>4</v>
      </c>
      <c r="K143">
        <v>249</v>
      </c>
      <c r="L143">
        <f>Table1[[#This Row],[Quantity]] * Table1[[#This Row],[UnitPrice]]</f>
        <v>996</v>
      </c>
      <c r="M143" s="25">
        <v>0</v>
      </c>
      <c r="N143">
        <f>Table1[[#This Row],[Revenue]]*Table1[[#This Row],[Discount%]]/100</f>
        <v>0</v>
      </c>
      <c r="O143" s="6">
        <f>Table1[[#This Row],[Revenue]]-Table1[[#This Row],[Disc_amount]]</f>
        <v>996</v>
      </c>
      <c r="P143" t="s">
        <v>52</v>
      </c>
      <c r="Q143" t="s">
        <v>34</v>
      </c>
    </row>
    <row r="144" spans="1:17">
      <c r="A144" t="s">
        <v>428</v>
      </c>
      <c r="B144" s="1" t="s">
        <v>427</v>
      </c>
      <c r="C144" s="1" t="s">
        <v>19</v>
      </c>
      <c r="D144" s="1" t="s">
        <v>20</v>
      </c>
      <c r="E144" t="s">
        <v>175</v>
      </c>
      <c r="F144" t="s">
        <v>176</v>
      </c>
      <c r="G144" t="s">
        <v>56</v>
      </c>
      <c r="H144" t="s">
        <v>65</v>
      </c>
      <c r="I144" t="s">
        <v>66</v>
      </c>
      <c r="J144">
        <v>1</v>
      </c>
      <c r="K144">
        <v>1999</v>
      </c>
      <c r="L144">
        <f>Table1[[#This Row],[Quantity]] * Table1[[#This Row],[UnitPrice]]</f>
        <v>1999</v>
      </c>
      <c r="M144" s="25">
        <v>10</v>
      </c>
      <c r="N144">
        <f>Table1[[#This Row],[Revenue]]*Table1[[#This Row],[Discount%]]/100</f>
        <v>199.9</v>
      </c>
      <c r="O144" s="6">
        <f>Table1[[#This Row],[Revenue]]-Table1[[#This Row],[Disc_amount]]</f>
        <v>1799.1</v>
      </c>
      <c r="P144" t="s">
        <v>26</v>
      </c>
      <c r="Q144" t="s">
        <v>27</v>
      </c>
    </row>
    <row r="145" spans="1:17">
      <c r="A145" t="s">
        <v>429</v>
      </c>
      <c r="B145" s="1" t="s">
        <v>427</v>
      </c>
      <c r="C145" s="1" t="s">
        <v>19</v>
      </c>
      <c r="D145" s="1" t="s">
        <v>20</v>
      </c>
      <c r="E145" t="s">
        <v>430</v>
      </c>
      <c r="F145" t="s">
        <v>101</v>
      </c>
      <c r="G145" t="s">
        <v>31</v>
      </c>
      <c r="H145" t="s">
        <v>65</v>
      </c>
      <c r="I145" t="s">
        <v>98</v>
      </c>
      <c r="J145">
        <v>2</v>
      </c>
      <c r="K145">
        <v>499</v>
      </c>
      <c r="L145">
        <f>Table1[[#This Row],[Quantity]] * Table1[[#This Row],[UnitPrice]]</f>
        <v>998</v>
      </c>
      <c r="M145" s="25">
        <v>15</v>
      </c>
      <c r="N145">
        <f>Table1[[#This Row],[Revenue]]*Table1[[#This Row],[Discount%]]/100</f>
        <v>149.69999999999999</v>
      </c>
      <c r="O145" s="6">
        <f>Table1[[#This Row],[Revenue]]-Table1[[#This Row],[Disc_amount]]</f>
        <v>848.3</v>
      </c>
      <c r="P145" t="s">
        <v>33</v>
      </c>
      <c r="Q145" t="s">
        <v>27</v>
      </c>
    </row>
    <row r="146" spans="1:17">
      <c r="A146" t="s">
        <v>431</v>
      </c>
      <c r="B146" s="1" t="s">
        <v>427</v>
      </c>
      <c r="C146" s="1" t="s">
        <v>19</v>
      </c>
      <c r="D146" s="1" t="s">
        <v>20</v>
      </c>
      <c r="E146" t="s">
        <v>352</v>
      </c>
      <c r="F146" t="s">
        <v>134</v>
      </c>
      <c r="G146" t="s">
        <v>38</v>
      </c>
      <c r="H146" t="s">
        <v>108</v>
      </c>
      <c r="I146" t="s">
        <v>109</v>
      </c>
      <c r="J146">
        <v>2</v>
      </c>
      <c r="K146">
        <v>1499</v>
      </c>
      <c r="L146">
        <f>Table1[[#This Row],[Quantity]] * Table1[[#This Row],[UnitPrice]]</f>
        <v>2998</v>
      </c>
      <c r="M146" s="25">
        <v>0</v>
      </c>
      <c r="N146">
        <f>Table1[[#This Row],[Revenue]]*Table1[[#This Row],[Discount%]]/100</f>
        <v>0</v>
      </c>
      <c r="O146" s="6">
        <f>Table1[[#This Row],[Revenue]]-Table1[[#This Row],[Disc_amount]]</f>
        <v>2998</v>
      </c>
      <c r="P146" t="s">
        <v>52</v>
      </c>
      <c r="Q146" t="s">
        <v>34</v>
      </c>
    </row>
    <row r="147" spans="1:17">
      <c r="A147" t="s">
        <v>432</v>
      </c>
      <c r="B147" s="1" t="s">
        <v>427</v>
      </c>
      <c r="C147" s="1" t="s">
        <v>19</v>
      </c>
      <c r="D147" s="1" t="s">
        <v>20</v>
      </c>
      <c r="E147" t="s">
        <v>433</v>
      </c>
      <c r="F147" t="s">
        <v>434</v>
      </c>
      <c r="G147" t="s">
        <v>45</v>
      </c>
      <c r="H147" t="s">
        <v>39</v>
      </c>
      <c r="I147" t="s">
        <v>40</v>
      </c>
      <c r="J147">
        <v>3</v>
      </c>
      <c r="K147">
        <v>599</v>
      </c>
      <c r="L147">
        <f>Table1[[#This Row],[Quantity]] * Table1[[#This Row],[UnitPrice]]</f>
        <v>1797</v>
      </c>
      <c r="M147" s="25">
        <v>0</v>
      </c>
      <c r="N147">
        <f>Table1[[#This Row],[Revenue]]*Table1[[#This Row],[Discount%]]/100</f>
        <v>0</v>
      </c>
      <c r="O147" s="6">
        <f>Table1[[#This Row],[Revenue]]-Table1[[#This Row],[Disc_amount]]</f>
        <v>1797</v>
      </c>
      <c r="P147" t="s">
        <v>86</v>
      </c>
      <c r="Q147" t="s">
        <v>34</v>
      </c>
    </row>
    <row r="148" spans="1:17">
      <c r="A148" t="s">
        <v>435</v>
      </c>
      <c r="B148" s="1" t="s">
        <v>427</v>
      </c>
      <c r="C148" s="1" t="s">
        <v>19</v>
      </c>
      <c r="D148" s="1" t="s">
        <v>20</v>
      </c>
      <c r="E148" t="s">
        <v>313</v>
      </c>
      <c r="F148" t="s">
        <v>314</v>
      </c>
      <c r="G148" t="s">
        <v>45</v>
      </c>
      <c r="H148" t="s">
        <v>108</v>
      </c>
      <c r="I148" t="s">
        <v>109</v>
      </c>
      <c r="J148">
        <v>4</v>
      </c>
      <c r="K148">
        <v>1499</v>
      </c>
      <c r="L148">
        <f>Table1[[#This Row],[Quantity]] * Table1[[#This Row],[UnitPrice]]</f>
        <v>5996</v>
      </c>
      <c r="M148" s="25">
        <v>0</v>
      </c>
      <c r="N148">
        <f>Table1[[#This Row],[Revenue]]*Table1[[#This Row],[Discount%]]/100</f>
        <v>0</v>
      </c>
      <c r="O148" s="6">
        <f>Table1[[#This Row],[Revenue]]-Table1[[#This Row],[Disc_amount]]</f>
        <v>5996</v>
      </c>
      <c r="P148" t="s">
        <v>41</v>
      </c>
      <c r="Q148" t="s">
        <v>27</v>
      </c>
    </row>
    <row r="149" spans="1:17">
      <c r="A149" t="s">
        <v>436</v>
      </c>
      <c r="B149" s="1" t="s">
        <v>427</v>
      </c>
      <c r="C149" s="1" t="s">
        <v>19</v>
      </c>
      <c r="D149" s="1" t="s">
        <v>20</v>
      </c>
      <c r="E149" t="s">
        <v>437</v>
      </c>
      <c r="F149" t="s">
        <v>438</v>
      </c>
      <c r="G149" t="s">
        <v>31</v>
      </c>
      <c r="H149" t="s">
        <v>24</v>
      </c>
      <c r="I149" t="s">
        <v>32</v>
      </c>
      <c r="J149">
        <v>1</v>
      </c>
      <c r="K149">
        <v>199</v>
      </c>
      <c r="L149">
        <f>Table1[[#This Row],[Quantity]] * Table1[[#This Row],[UnitPrice]]</f>
        <v>199</v>
      </c>
      <c r="M149" s="25">
        <v>10</v>
      </c>
      <c r="N149">
        <f>Table1[[#This Row],[Revenue]]*Table1[[#This Row],[Discount%]]/100</f>
        <v>19.899999999999999</v>
      </c>
      <c r="O149" s="6">
        <f>Table1[[#This Row],[Revenue]]-Table1[[#This Row],[Disc_amount]]</f>
        <v>179.1</v>
      </c>
      <c r="P149" t="s">
        <v>33</v>
      </c>
      <c r="Q149" t="s">
        <v>27</v>
      </c>
    </row>
    <row r="150" spans="1:17">
      <c r="A150" t="s">
        <v>439</v>
      </c>
      <c r="B150" s="1" t="s">
        <v>427</v>
      </c>
      <c r="C150" s="1" t="s">
        <v>19</v>
      </c>
      <c r="D150" s="1" t="s">
        <v>20</v>
      </c>
      <c r="E150" t="s">
        <v>440</v>
      </c>
      <c r="F150" t="s">
        <v>259</v>
      </c>
      <c r="G150" t="s">
        <v>56</v>
      </c>
      <c r="H150" t="s">
        <v>46</v>
      </c>
      <c r="I150" t="s">
        <v>47</v>
      </c>
      <c r="J150">
        <v>1</v>
      </c>
      <c r="K150">
        <v>249</v>
      </c>
      <c r="L150">
        <f>Table1[[#This Row],[Quantity]] * Table1[[#This Row],[UnitPrice]]</f>
        <v>249</v>
      </c>
      <c r="M150" s="25">
        <v>5</v>
      </c>
      <c r="N150">
        <f>Table1[[#This Row],[Revenue]]*Table1[[#This Row],[Discount%]]/100</f>
        <v>12.45</v>
      </c>
      <c r="O150" s="6">
        <f>Table1[[#This Row],[Revenue]]-Table1[[#This Row],[Disc_amount]]</f>
        <v>236.55</v>
      </c>
      <c r="P150" t="s">
        <v>86</v>
      </c>
      <c r="Q150" t="s">
        <v>27</v>
      </c>
    </row>
    <row r="151" spans="1:17">
      <c r="A151" t="s">
        <v>441</v>
      </c>
      <c r="B151" s="1" t="s">
        <v>427</v>
      </c>
      <c r="C151" s="1" t="s">
        <v>19</v>
      </c>
      <c r="D151" s="1" t="s">
        <v>20</v>
      </c>
      <c r="E151" t="s">
        <v>442</v>
      </c>
      <c r="F151" t="s">
        <v>443</v>
      </c>
      <c r="G151" t="s">
        <v>56</v>
      </c>
      <c r="H151" t="s">
        <v>108</v>
      </c>
      <c r="I151" t="s">
        <v>109</v>
      </c>
      <c r="J151">
        <v>1</v>
      </c>
      <c r="K151">
        <v>1499</v>
      </c>
      <c r="L151">
        <f>Table1[[#This Row],[Quantity]] * Table1[[#This Row],[UnitPrice]]</f>
        <v>1499</v>
      </c>
      <c r="M151" s="25">
        <v>0</v>
      </c>
      <c r="N151">
        <f>Table1[[#This Row],[Revenue]]*Table1[[#This Row],[Discount%]]/100</f>
        <v>0</v>
      </c>
      <c r="O151" s="6">
        <f>Table1[[#This Row],[Revenue]]-Table1[[#This Row],[Disc_amount]]</f>
        <v>1499</v>
      </c>
      <c r="P151" t="s">
        <v>33</v>
      </c>
      <c r="Q151" t="s">
        <v>27</v>
      </c>
    </row>
    <row r="152" spans="1:17">
      <c r="A152" t="s">
        <v>444</v>
      </c>
      <c r="B152" s="1" t="s">
        <v>445</v>
      </c>
      <c r="C152" s="1" t="s">
        <v>19</v>
      </c>
      <c r="D152" s="1" t="s">
        <v>20</v>
      </c>
      <c r="E152" t="s">
        <v>235</v>
      </c>
      <c r="F152" t="s">
        <v>236</v>
      </c>
      <c r="G152" t="s">
        <v>38</v>
      </c>
      <c r="H152" t="s">
        <v>39</v>
      </c>
      <c r="I152" t="s">
        <v>51</v>
      </c>
      <c r="J152">
        <v>2</v>
      </c>
      <c r="K152">
        <v>2999</v>
      </c>
      <c r="L152">
        <f>Table1[[#This Row],[Quantity]] * Table1[[#This Row],[UnitPrice]]</f>
        <v>5998</v>
      </c>
      <c r="M152" s="25">
        <v>0</v>
      </c>
      <c r="N152">
        <f>Table1[[#This Row],[Revenue]]*Table1[[#This Row],[Discount%]]/100</f>
        <v>0</v>
      </c>
      <c r="O152" s="6">
        <f>Table1[[#This Row],[Revenue]]-Table1[[#This Row],[Disc_amount]]</f>
        <v>5998</v>
      </c>
      <c r="P152" t="s">
        <v>41</v>
      </c>
      <c r="Q152" t="s">
        <v>27</v>
      </c>
    </row>
    <row r="153" spans="1:17">
      <c r="A153" t="s">
        <v>446</v>
      </c>
      <c r="B153" s="1" t="s">
        <v>445</v>
      </c>
      <c r="C153" s="1" t="s">
        <v>19</v>
      </c>
      <c r="D153" s="1" t="s">
        <v>20</v>
      </c>
      <c r="E153" t="s">
        <v>447</v>
      </c>
      <c r="F153" t="s">
        <v>229</v>
      </c>
      <c r="G153" t="s">
        <v>45</v>
      </c>
      <c r="H153" t="s">
        <v>57</v>
      </c>
      <c r="I153" t="s">
        <v>58</v>
      </c>
      <c r="J153">
        <v>2</v>
      </c>
      <c r="K153">
        <v>1299</v>
      </c>
      <c r="L153">
        <f>Table1[[#This Row],[Quantity]] * Table1[[#This Row],[UnitPrice]]</f>
        <v>2598</v>
      </c>
      <c r="M153" s="25">
        <v>15</v>
      </c>
      <c r="N153">
        <f>Table1[[#This Row],[Revenue]]*Table1[[#This Row],[Discount%]]/100</f>
        <v>389.7</v>
      </c>
      <c r="O153" s="6">
        <f>Table1[[#This Row],[Revenue]]-Table1[[#This Row],[Disc_amount]]</f>
        <v>2208.3000000000002</v>
      </c>
      <c r="P153" t="s">
        <v>52</v>
      </c>
      <c r="Q153" t="s">
        <v>27</v>
      </c>
    </row>
    <row r="154" spans="1:17">
      <c r="A154" t="s">
        <v>448</v>
      </c>
      <c r="B154" s="1" t="s">
        <v>445</v>
      </c>
      <c r="C154" s="1" t="s">
        <v>19</v>
      </c>
      <c r="D154" s="1" t="s">
        <v>20</v>
      </c>
      <c r="E154" t="s">
        <v>449</v>
      </c>
      <c r="F154" t="s">
        <v>450</v>
      </c>
      <c r="G154" t="s">
        <v>23</v>
      </c>
      <c r="H154" t="s">
        <v>39</v>
      </c>
      <c r="I154" t="s">
        <v>51</v>
      </c>
      <c r="J154">
        <v>3</v>
      </c>
      <c r="K154">
        <v>2999</v>
      </c>
      <c r="L154">
        <f>Table1[[#This Row],[Quantity]] * Table1[[#This Row],[UnitPrice]]</f>
        <v>8997</v>
      </c>
      <c r="M154" s="25">
        <v>5</v>
      </c>
      <c r="N154">
        <f>Table1[[#This Row],[Revenue]]*Table1[[#This Row],[Discount%]]/100</f>
        <v>449.85</v>
      </c>
      <c r="O154" s="6">
        <f>Table1[[#This Row],[Revenue]]-Table1[[#This Row],[Disc_amount]]</f>
        <v>8547.15</v>
      </c>
      <c r="P154" t="s">
        <v>26</v>
      </c>
      <c r="Q154" t="s">
        <v>27</v>
      </c>
    </row>
    <row r="155" spans="1:17">
      <c r="A155" t="s">
        <v>451</v>
      </c>
      <c r="B155" s="1" t="s">
        <v>445</v>
      </c>
      <c r="C155" s="1" t="s">
        <v>19</v>
      </c>
      <c r="D155" s="1" t="s">
        <v>20</v>
      </c>
      <c r="E155" t="s">
        <v>362</v>
      </c>
      <c r="F155" t="s">
        <v>101</v>
      </c>
      <c r="G155" t="s">
        <v>38</v>
      </c>
      <c r="H155" t="s">
        <v>108</v>
      </c>
      <c r="I155" t="s">
        <v>109</v>
      </c>
      <c r="J155">
        <v>3</v>
      </c>
      <c r="K155">
        <v>1499</v>
      </c>
      <c r="L155">
        <f>Table1[[#This Row],[Quantity]] * Table1[[#This Row],[UnitPrice]]</f>
        <v>4497</v>
      </c>
      <c r="M155" s="25">
        <v>5</v>
      </c>
      <c r="N155">
        <f>Table1[[#This Row],[Revenue]]*Table1[[#This Row],[Discount%]]/100</f>
        <v>224.85</v>
      </c>
      <c r="O155" s="6">
        <f>Table1[[#This Row],[Revenue]]-Table1[[#This Row],[Disc_amount]]</f>
        <v>4272.1499999999996</v>
      </c>
      <c r="P155" t="s">
        <v>52</v>
      </c>
      <c r="Q155" t="s">
        <v>27</v>
      </c>
    </row>
    <row r="156" spans="1:17">
      <c r="A156" t="s">
        <v>452</v>
      </c>
      <c r="B156" s="1" t="s">
        <v>445</v>
      </c>
      <c r="C156" s="1" t="s">
        <v>19</v>
      </c>
      <c r="D156" s="1" t="s">
        <v>20</v>
      </c>
      <c r="E156" t="s">
        <v>453</v>
      </c>
      <c r="F156" t="s">
        <v>454</v>
      </c>
      <c r="G156" t="s">
        <v>56</v>
      </c>
      <c r="H156" t="s">
        <v>57</v>
      </c>
      <c r="I156" t="s">
        <v>62</v>
      </c>
      <c r="J156">
        <v>1</v>
      </c>
      <c r="K156">
        <v>799</v>
      </c>
      <c r="L156">
        <f>Table1[[#This Row],[Quantity]] * Table1[[#This Row],[UnitPrice]]</f>
        <v>799</v>
      </c>
      <c r="M156" s="25">
        <v>0</v>
      </c>
      <c r="N156">
        <f>Table1[[#This Row],[Revenue]]*Table1[[#This Row],[Discount%]]/100</f>
        <v>0</v>
      </c>
      <c r="O156" s="6">
        <f>Table1[[#This Row],[Revenue]]-Table1[[#This Row],[Disc_amount]]</f>
        <v>799</v>
      </c>
      <c r="P156" t="s">
        <v>41</v>
      </c>
      <c r="Q156" t="s">
        <v>27</v>
      </c>
    </row>
    <row r="157" spans="1:17">
      <c r="A157" t="s">
        <v>455</v>
      </c>
      <c r="B157" s="1" t="s">
        <v>445</v>
      </c>
      <c r="C157" s="1" t="s">
        <v>19</v>
      </c>
      <c r="D157" s="1" t="s">
        <v>20</v>
      </c>
      <c r="E157" t="s">
        <v>264</v>
      </c>
      <c r="F157" t="s">
        <v>265</v>
      </c>
      <c r="G157" t="s">
        <v>56</v>
      </c>
      <c r="H157" t="s">
        <v>70</v>
      </c>
      <c r="I157" t="s">
        <v>91</v>
      </c>
      <c r="J157">
        <v>1</v>
      </c>
      <c r="K157">
        <v>549</v>
      </c>
      <c r="L157">
        <f>Table1[[#This Row],[Quantity]] * Table1[[#This Row],[UnitPrice]]</f>
        <v>549</v>
      </c>
      <c r="M157" s="25">
        <v>15</v>
      </c>
      <c r="N157">
        <f>Table1[[#This Row],[Revenue]]*Table1[[#This Row],[Discount%]]/100</f>
        <v>82.35</v>
      </c>
      <c r="O157" s="6">
        <f>Table1[[#This Row],[Revenue]]-Table1[[#This Row],[Disc_amount]]</f>
        <v>466.65</v>
      </c>
      <c r="P157" t="s">
        <v>41</v>
      </c>
      <c r="Q157" t="s">
        <v>27</v>
      </c>
    </row>
    <row r="158" spans="1:17">
      <c r="A158" t="s">
        <v>456</v>
      </c>
      <c r="B158" s="1" t="s">
        <v>445</v>
      </c>
      <c r="C158" s="1" t="s">
        <v>19</v>
      </c>
      <c r="D158" s="1" t="s">
        <v>20</v>
      </c>
      <c r="E158" t="s">
        <v>313</v>
      </c>
      <c r="F158" t="s">
        <v>314</v>
      </c>
      <c r="G158" t="s">
        <v>56</v>
      </c>
      <c r="H158" t="s">
        <v>65</v>
      </c>
      <c r="I158" t="s">
        <v>94</v>
      </c>
      <c r="J158">
        <v>1</v>
      </c>
      <c r="K158">
        <v>899</v>
      </c>
      <c r="L158">
        <f>Table1[[#This Row],[Quantity]] * Table1[[#This Row],[UnitPrice]]</f>
        <v>899</v>
      </c>
      <c r="M158" s="25">
        <v>20</v>
      </c>
      <c r="N158">
        <f>Table1[[#This Row],[Revenue]]*Table1[[#This Row],[Discount%]]/100</f>
        <v>179.8</v>
      </c>
      <c r="O158" s="6">
        <f>Table1[[#This Row],[Revenue]]-Table1[[#This Row],[Disc_amount]]</f>
        <v>719.2</v>
      </c>
      <c r="P158" t="s">
        <v>52</v>
      </c>
      <c r="Q158" t="s">
        <v>27</v>
      </c>
    </row>
    <row r="159" spans="1:17">
      <c r="A159" t="s">
        <v>457</v>
      </c>
      <c r="B159" s="1" t="s">
        <v>445</v>
      </c>
      <c r="C159" s="1" t="s">
        <v>19</v>
      </c>
      <c r="D159" s="1" t="s">
        <v>20</v>
      </c>
      <c r="E159" t="s">
        <v>328</v>
      </c>
      <c r="F159" t="s">
        <v>329</v>
      </c>
      <c r="G159" t="s">
        <v>45</v>
      </c>
      <c r="H159" t="s">
        <v>46</v>
      </c>
      <c r="I159" t="s">
        <v>154</v>
      </c>
      <c r="J159">
        <v>3</v>
      </c>
      <c r="K159">
        <v>299</v>
      </c>
      <c r="L159">
        <f>Table1[[#This Row],[Quantity]] * Table1[[#This Row],[UnitPrice]]</f>
        <v>897</v>
      </c>
      <c r="M159" s="25">
        <v>5</v>
      </c>
      <c r="N159">
        <f>Table1[[#This Row],[Revenue]]*Table1[[#This Row],[Discount%]]/100</f>
        <v>44.85</v>
      </c>
      <c r="O159" s="6">
        <f>Table1[[#This Row],[Revenue]]-Table1[[#This Row],[Disc_amount]]</f>
        <v>852.15</v>
      </c>
      <c r="P159" t="s">
        <v>41</v>
      </c>
      <c r="Q159" t="s">
        <v>27</v>
      </c>
    </row>
    <row r="160" spans="1:17">
      <c r="A160" t="s">
        <v>458</v>
      </c>
      <c r="B160" s="1" t="s">
        <v>459</v>
      </c>
      <c r="C160" s="1" t="s">
        <v>19</v>
      </c>
      <c r="D160" s="1" t="s">
        <v>20</v>
      </c>
      <c r="E160" t="s">
        <v>138</v>
      </c>
      <c r="F160" t="s">
        <v>139</v>
      </c>
      <c r="G160" t="s">
        <v>56</v>
      </c>
      <c r="H160" t="s">
        <v>39</v>
      </c>
      <c r="I160" t="s">
        <v>40</v>
      </c>
      <c r="J160">
        <v>1</v>
      </c>
      <c r="K160">
        <v>599</v>
      </c>
      <c r="L160">
        <f>Table1[[#This Row],[Quantity]] * Table1[[#This Row],[UnitPrice]]</f>
        <v>599</v>
      </c>
      <c r="M160" s="25">
        <v>20</v>
      </c>
      <c r="N160">
        <f>Table1[[#This Row],[Revenue]]*Table1[[#This Row],[Discount%]]/100</f>
        <v>119.8</v>
      </c>
      <c r="O160" s="6">
        <f>Table1[[#This Row],[Revenue]]-Table1[[#This Row],[Disc_amount]]</f>
        <v>479.2</v>
      </c>
      <c r="P160" t="s">
        <v>26</v>
      </c>
      <c r="Q160" t="s">
        <v>27</v>
      </c>
    </row>
    <row r="161" spans="1:17">
      <c r="A161" t="s">
        <v>460</v>
      </c>
      <c r="B161" s="1" t="s">
        <v>459</v>
      </c>
      <c r="C161" s="1" t="s">
        <v>19</v>
      </c>
      <c r="D161" s="1" t="s">
        <v>20</v>
      </c>
      <c r="E161" t="s">
        <v>461</v>
      </c>
      <c r="F161" t="s">
        <v>462</v>
      </c>
      <c r="G161" t="s">
        <v>38</v>
      </c>
      <c r="H161" t="s">
        <v>24</v>
      </c>
      <c r="I161" t="s">
        <v>25</v>
      </c>
      <c r="J161">
        <v>1</v>
      </c>
      <c r="K161">
        <v>99</v>
      </c>
      <c r="L161">
        <f>Table1[[#This Row],[Quantity]] * Table1[[#This Row],[UnitPrice]]</f>
        <v>99</v>
      </c>
      <c r="M161" s="25">
        <v>20</v>
      </c>
      <c r="N161">
        <f>Table1[[#This Row],[Revenue]]*Table1[[#This Row],[Discount%]]/100</f>
        <v>19.8</v>
      </c>
      <c r="O161" s="6">
        <f>Table1[[#This Row],[Revenue]]-Table1[[#This Row],[Disc_amount]]</f>
        <v>79.2</v>
      </c>
      <c r="P161" t="s">
        <v>33</v>
      </c>
      <c r="Q161" t="s">
        <v>34</v>
      </c>
    </row>
    <row r="162" spans="1:17">
      <c r="A162" t="s">
        <v>463</v>
      </c>
      <c r="B162" s="1" t="s">
        <v>459</v>
      </c>
      <c r="C162" s="1" t="s">
        <v>19</v>
      </c>
      <c r="D162" s="1" t="s">
        <v>20</v>
      </c>
      <c r="E162" t="s">
        <v>464</v>
      </c>
      <c r="F162" t="s">
        <v>465</v>
      </c>
      <c r="G162" t="s">
        <v>56</v>
      </c>
      <c r="H162" t="s">
        <v>108</v>
      </c>
      <c r="I162" t="s">
        <v>109</v>
      </c>
      <c r="J162">
        <v>2</v>
      </c>
      <c r="K162">
        <v>1499</v>
      </c>
      <c r="L162">
        <f>Table1[[#This Row],[Quantity]] * Table1[[#This Row],[UnitPrice]]</f>
        <v>2998</v>
      </c>
      <c r="M162" s="25">
        <v>10</v>
      </c>
      <c r="N162">
        <f>Table1[[#This Row],[Revenue]]*Table1[[#This Row],[Discount%]]/100</f>
        <v>299.8</v>
      </c>
      <c r="O162" s="6">
        <f>Table1[[#This Row],[Revenue]]-Table1[[#This Row],[Disc_amount]]</f>
        <v>2698.2</v>
      </c>
      <c r="P162" t="s">
        <v>41</v>
      </c>
      <c r="Q162" t="s">
        <v>34</v>
      </c>
    </row>
    <row r="163" spans="1:17">
      <c r="A163" t="s">
        <v>466</v>
      </c>
      <c r="B163" s="1" t="s">
        <v>459</v>
      </c>
      <c r="C163" s="1" t="s">
        <v>19</v>
      </c>
      <c r="D163" s="1" t="s">
        <v>20</v>
      </c>
      <c r="E163" t="s">
        <v>319</v>
      </c>
      <c r="F163" t="s">
        <v>213</v>
      </c>
      <c r="G163" t="s">
        <v>31</v>
      </c>
      <c r="H163" t="s">
        <v>70</v>
      </c>
      <c r="I163" t="s">
        <v>71</v>
      </c>
      <c r="J163">
        <v>1</v>
      </c>
      <c r="K163">
        <v>349</v>
      </c>
      <c r="L163">
        <f>Table1[[#This Row],[Quantity]] * Table1[[#This Row],[UnitPrice]]</f>
        <v>349</v>
      </c>
      <c r="M163" s="25">
        <v>0</v>
      </c>
      <c r="N163">
        <f>Table1[[#This Row],[Revenue]]*Table1[[#This Row],[Discount%]]/100</f>
        <v>0</v>
      </c>
      <c r="O163" s="6">
        <f>Table1[[#This Row],[Revenue]]-Table1[[#This Row],[Disc_amount]]</f>
        <v>349</v>
      </c>
      <c r="P163" t="s">
        <v>33</v>
      </c>
      <c r="Q163" t="s">
        <v>27</v>
      </c>
    </row>
    <row r="164" spans="1:17">
      <c r="A164" t="s">
        <v>467</v>
      </c>
      <c r="B164" s="1" t="s">
        <v>459</v>
      </c>
      <c r="C164" s="1" t="s">
        <v>19</v>
      </c>
      <c r="D164" s="1" t="s">
        <v>20</v>
      </c>
      <c r="E164" t="s">
        <v>267</v>
      </c>
      <c r="F164" t="s">
        <v>268</v>
      </c>
      <c r="G164" t="s">
        <v>38</v>
      </c>
      <c r="H164" t="s">
        <v>39</v>
      </c>
      <c r="I164" t="s">
        <v>51</v>
      </c>
      <c r="J164">
        <v>2</v>
      </c>
      <c r="K164">
        <v>2999</v>
      </c>
      <c r="L164">
        <f>Table1[[#This Row],[Quantity]] * Table1[[#This Row],[UnitPrice]]</f>
        <v>5998</v>
      </c>
      <c r="M164" s="25">
        <v>0</v>
      </c>
      <c r="N164">
        <f>Table1[[#This Row],[Revenue]]*Table1[[#This Row],[Discount%]]/100</f>
        <v>0</v>
      </c>
      <c r="O164" s="6">
        <f>Table1[[#This Row],[Revenue]]-Table1[[#This Row],[Disc_amount]]</f>
        <v>5998</v>
      </c>
      <c r="P164" t="s">
        <v>33</v>
      </c>
      <c r="Q164" t="s">
        <v>34</v>
      </c>
    </row>
    <row r="165" spans="1:17">
      <c r="A165" t="s">
        <v>468</v>
      </c>
      <c r="B165" s="1" t="s">
        <v>459</v>
      </c>
      <c r="C165" s="1" t="s">
        <v>19</v>
      </c>
      <c r="D165" s="1" t="s">
        <v>20</v>
      </c>
      <c r="E165" t="s">
        <v>469</v>
      </c>
      <c r="F165" t="s">
        <v>470</v>
      </c>
      <c r="G165" t="s">
        <v>23</v>
      </c>
      <c r="H165" t="s">
        <v>70</v>
      </c>
      <c r="I165" t="s">
        <v>91</v>
      </c>
      <c r="J165">
        <v>1</v>
      </c>
      <c r="K165">
        <v>549</v>
      </c>
      <c r="L165">
        <f>Table1[[#This Row],[Quantity]] * Table1[[#This Row],[UnitPrice]]</f>
        <v>549</v>
      </c>
      <c r="M165" s="25">
        <v>10</v>
      </c>
      <c r="N165">
        <f>Table1[[#This Row],[Revenue]]*Table1[[#This Row],[Discount%]]/100</f>
        <v>54.9</v>
      </c>
      <c r="O165" s="6">
        <f>Table1[[#This Row],[Revenue]]-Table1[[#This Row],[Disc_amount]]</f>
        <v>494.1</v>
      </c>
      <c r="P165" t="s">
        <v>33</v>
      </c>
      <c r="Q165" t="s">
        <v>34</v>
      </c>
    </row>
    <row r="166" spans="1:17">
      <c r="A166" t="s">
        <v>471</v>
      </c>
      <c r="B166" s="1" t="s">
        <v>459</v>
      </c>
      <c r="C166" s="1" t="s">
        <v>19</v>
      </c>
      <c r="D166" s="1" t="s">
        <v>20</v>
      </c>
      <c r="E166" t="s">
        <v>472</v>
      </c>
      <c r="F166" t="s">
        <v>473</v>
      </c>
      <c r="G166" t="s">
        <v>38</v>
      </c>
      <c r="H166" t="s">
        <v>39</v>
      </c>
      <c r="I166" t="s">
        <v>51</v>
      </c>
      <c r="J166">
        <v>3</v>
      </c>
      <c r="K166">
        <v>2999</v>
      </c>
      <c r="L166">
        <f>Table1[[#This Row],[Quantity]] * Table1[[#This Row],[UnitPrice]]</f>
        <v>8997</v>
      </c>
      <c r="M166" s="25">
        <v>5</v>
      </c>
      <c r="N166">
        <f>Table1[[#This Row],[Revenue]]*Table1[[#This Row],[Discount%]]/100</f>
        <v>449.85</v>
      </c>
      <c r="O166" s="6">
        <f>Table1[[#This Row],[Revenue]]-Table1[[#This Row],[Disc_amount]]</f>
        <v>8547.15</v>
      </c>
      <c r="P166" t="s">
        <v>41</v>
      </c>
      <c r="Q166" t="s">
        <v>27</v>
      </c>
    </row>
    <row r="167" spans="1:17">
      <c r="A167" t="s">
        <v>474</v>
      </c>
      <c r="B167" s="1" t="s">
        <v>459</v>
      </c>
      <c r="C167" s="1" t="s">
        <v>19</v>
      </c>
      <c r="D167" s="1" t="s">
        <v>20</v>
      </c>
      <c r="E167" t="s">
        <v>475</v>
      </c>
      <c r="F167" t="s">
        <v>80</v>
      </c>
      <c r="G167" t="s">
        <v>56</v>
      </c>
      <c r="H167" t="s">
        <v>108</v>
      </c>
      <c r="I167" t="s">
        <v>130</v>
      </c>
      <c r="J167">
        <v>1</v>
      </c>
      <c r="K167">
        <v>699</v>
      </c>
      <c r="L167">
        <f>Table1[[#This Row],[Quantity]] * Table1[[#This Row],[UnitPrice]]</f>
        <v>699</v>
      </c>
      <c r="M167" s="25">
        <v>0</v>
      </c>
      <c r="N167">
        <f>Table1[[#This Row],[Revenue]]*Table1[[#This Row],[Discount%]]/100</f>
        <v>0</v>
      </c>
      <c r="O167" s="6">
        <f>Table1[[#This Row],[Revenue]]-Table1[[#This Row],[Disc_amount]]</f>
        <v>699</v>
      </c>
      <c r="P167" t="s">
        <v>26</v>
      </c>
      <c r="Q167" t="s">
        <v>34</v>
      </c>
    </row>
    <row r="168" spans="1:17">
      <c r="A168" t="s">
        <v>476</v>
      </c>
      <c r="B168" s="1" t="s">
        <v>459</v>
      </c>
      <c r="C168" s="1" t="s">
        <v>19</v>
      </c>
      <c r="D168" s="1" t="s">
        <v>20</v>
      </c>
      <c r="E168" t="s">
        <v>477</v>
      </c>
      <c r="F168" t="s">
        <v>478</v>
      </c>
      <c r="G168" t="s">
        <v>45</v>
      </c>
      <c r="H168" t="s">
        <v>46</v>
      </c>
      <c r="I168" t="s">
        <v>154</v>
      </c>
      <c r="J168">
        <v>1</v>
      </c>
      <c r="K168">
        <v>299</v>
      </c>
      <c r="L168">
        <f>Table1[[#This Row],[Quantity]] * Table1[[#This Row],[UnitPrice]]</f>
        <v>299</v>
      </c>
      <c r="M168" s="25">
        <v>0</v>
      </c>
      <c r="N168">
        <f>Table1[[#This Row],[Revenue]]*Table1[[#This Row],[Discount%]]/100</f>
        <v>0</v>
      </c>
      <c r="O168" s="6">
        <f>Table1[[#This Row],[Revenue]]-Table1[[#This Row],[Disc_amount]]</f>
        <v>299</v>
      </c>
      <c r="P168" t="s">
        <v>26</v>
      </c>
      <c r="Q168" t="s">
        <v>27</v>
      </c>
    </row>
    <row r="169" spans="1:17">
      <c r="A169" t="s">
        <v>479</v>
      </c>
      <c r="B169" s="1" t="s">
        <v>459</v>
      </c>
      <c r="C169" s="1" t="s">
        <v>19</v>
      </c>
      <c r="D169" s="1" t="s">
        <v>20</v>
      </c>
      <c r="E169" t="s">
        <v>480</v>
      </c>
      <c r="F169" t="s">
        <v>253</v>
      </c>
      <c r="G169" t="s">
        <v>56</v>
      </c>
      <c r="H169" t="s">
        <v>108</v>
      </c>
      <c r="I169" t="s">
        <v>130</v>
      </c>
      <c r="J169">
        <v>4</v>
      </c>
      <c r="K169">
        <v>699</v>
      </c>
      <c r="L169">
        <f>Table1[[#This Row],[Quantity]] * Table1[[#This Row],[UnitPrice]]</f>
        <v>2796</v>
      </c>
      <c r="M169" s="25">
        <v>0</v>
      </c>
      <c r="N169">
        <f>Table1[[#This Row],[Revenue]]*Table1[[#This Row],[Discount%]]/100</f>
        <v>0</v>
      </c>
      <c r="O169" s="6">
        <f>Table1[[#This Row],[Revenue]]-Table1[[#This Row],[Disc_amount]]</f>
        <v>2796</v>
      </c>
      <c r="P169" t="s">
        <v>41</v>
      </c>
      <c r="Q169" t="s">
        <v>27</v>
      </c>
    </row>
    <row r="170" spans="1:17">
      <c r="A170" t="s">
        <v>481</v>
      </c>
      <c r="B170" s="1" t="s">
        <v>482</v>
      </c>
      <c r="C170" s="1" t="s">
        <v>19</v>
      </c>
      <c r="D170" s="1" t="s">
        <v>20</v>
      </c>
      <c r="E170" t="s">
        <v>194</v>
      </c>
      <c r="F170" t="s">
        <v>195</v>
      </c>
      <c r="G170" t="s">
        <v>56</v>
      </c>
      <c r="H170" t="s">
        <v>24</v>
      </c>
      <c r="I170" t="s">
        <v>25</v>
      </c>
      <c r="J170">
        <v>3</v>
      </c>
      <c r="K170">
        <v>99</v>
      </c>
      <c r="L170">
        <f>Table1[[#This Row],[Quantity]] * Table1[[#This Row],[UnitPrice]]</f>
        <v>297</v>
      </c>
      <c r="M170" s="25">
        <v>0</v>
      </c>
      <c r="N170">
        <f>Table1[[#This Row],[Revenue]]*Table1[[#This Row],[Discount%]]/100</f>
        <v>0</v>
      </c>
      <c r="O170" s="6">
        <f>Table1[[#This Row],[Revenue]]-Table1[[#This Row],[Disc_amount]]</f>
        <v>297</v>
      </c>
      <c r="P170" t="s">
        <v>41</v>
      </c>
      <c r="Q170" t="s">
        <v>27</v>
      </c>
    </row>
    <row r="171" spans="1:17">
      <c r="A171" t="s">
        <v>483</v>
      </c>
      <c r="B171" s="1" t="s">
        <v>482</v>
      </c>
      <c r="C171" s="1" t="s">
        <v>19</v>
      </c>
      <c r="D171" s="1" t="s">
        <v>20</v>
      </c>
      <c r="E171" t="s">
        <v>484</v>
      </c>
      <c r="F171" t="s">
        <v>485</v>
      </c>
      <c r="G171" t="s">
        <v>31</v>
      </c>
      <c r="H171" t="s">
        <v>57</v>
      </c>
      <c r="I171" t="s">
        <v>58</v>
      </c>
      <c r="J171">
        <v>1</v>
      </c>
      <c r="K171">
        <v>1299</v>
      </c>
      <c r="L171">
        <f>Table1[[#This Row],[Quantity]] * Table1[[#This Row],[UnitPrice]]</f>
        <v>1299</v>
      </c>
      <c r="M171" s="25">
        <v>5</v>
      </c>
      <c r="N171">
        <f>Table1[[#This Row],[Revenue]]*Table1[[#This Row],[Discount%]]/100</f>
        <v>64.95</v>
      </c>
      <c r="O171" s="6">
        <f>Table1[[#This Row],[Revenue]]-Table1[[#This Row],[Disc_amount]]</f>
        <v>1234.05</v>
      </c>
      <c r="P171" t="s">
        <v>26</v>
      </c>
      <c r="Q171" t="s">
        <v>27</v>
      </c>
    </row>
    <row r="172" spans="1:17">
      <c r="A172" t="s">
        <v>486</v>
      </c>
      <c r="B172" s="1" t="s">
        <v>487</v>
      </c>
      <c r="C172" s="1" t="s">
        <v>19</v>
      </c>
      <c r="D172" s="1" t="s">
        <v>20</v>
      </c>
      <c r="E172" t="s">
        <v>82</v>
      </c>
      <c r="F172" t="s">
        <v>83</v>
      </c>
      <c r="G172" t="s">
        <v>31</v>
      </c>
      <c r="H172" t="s">
        <v>39</v>
      </c>
      <c r="I172" t="s">
        <v>140</v>
      </c>
      <c r="J172">
        <v>1</v>
      </c>
      <c r="K172">
        <v>1799</v>
      </c>
      <c r="L172">
        <f>Table1[[#This Row],[Quantity]] * Table1[[#This Row],[UnitPrice]]</f>
        <v>1799</v>
      </c>
      <c r="M172" s="25">
        <v>10</v>
      </c>
      <c r="N172">
        <f>Table1[[#This Row],[Revenue]]*Table1[[#This Row],[Discount%]]/100</f>
        <v>179.9</v>
      </c>
      <c r="O172" s="6">
        <f>Table1[[#This Row],[Revenue]]-Table1[[#This Row],[Disc_amount]]</f>
        <v>1619.1</v>
      </c>
      <c r="P172" t="s">
        <v>26</v>
      </c>
      <c r="Q172" t="s">
        <v>34</v>
      </c>
    </row>
    <row r="173" spans="1:17">
      <c r="A173" t="s">
        <v>488</v>
      </c>
      <c r="B173" s="1" t="s">
        <v>489</v>
      </c>
      <c r="C173" s="1" t="s">
        <v>19</v>
      </c>
      <c r="D173" s="1" t="s">
        <v>20</v>
      </c>
      <c r="E173" t="s">
        <v>490</v>
      </c>
      <c r="F173" t="s">
        <v>478</v>
      </c>
      <c r="G173" t="s">
        <v>23</v>
      </c>
      <c r="H173" t="s">
        <v>24</v>
      </c>
      <c r="I173" t="s">
        <v>25</v>
      </c>
      <c r="J173">
        <v>2</v>
      </c>
      <c r="K173">
        <v>99</v>
      </c>
      <c r="L173">
        <f>Table1[[#This Row],[Quantity]] * Table1[[#This Row],[UnitPrice]]</f>
        <v>198</v>
      </c>
      <c r="M173" s="25">
        <v>0</v>
      </c>
      <c r="N173">
        <f>Table1[[#This Row],[Revenue]]*Table1[[#This Row],[Discount%]]/100</f>
        <v>0</v>
      </c>
      <c r="O173" s="6">
        <f>Table1[[#This Row],[Revenue]]-Table1[[#This Row],[Disc_amount]]</f>
        <v>198</v>
      </c>
      <c r="P173" t="s">
        <v>26</v>
      </c>
      <c r="Q173" t="s">
        <v>34</v>
      </c>
    </row>
    <row r="174" spans="1:17">
      <c r="A174" t="s">
        <v>491</v>
      </c>
      <c r="B174" s="1" t="s">
        <v>489</v>
      </c>
      <c r="C174" s="1" t="s">
        <v>19</v>
      </c>
      <c r="D174" s="1" t="s">
        <v>20</v>
      </c>
      <c r="E174" t="s">
        <v>194</v>
      </c>
      <c r="F174" t="s">
        <v>195</v>
      </c>
      <c r="G174" t="s">
        <v>38</v>
      </c>
      <c r="H174" t="s">
        <v>39</v>
      </c>
      <c r="I174" t="s">
        <v>51</v>
      </c>
      <c r="J174">
        <v>3</v>
      </c>
      <c r="K174">
        <v>2999</v>
      </c>
      <c r="L174">
        <f>Table1[[#This Row],[Quantity]] * Table1[[#This Row],[UnitPrice]]</f>
        <v>8997</v>
      </c>
      <c r="M174" s="25">
        <v>10</v>
      </c>
      <c r="N174">
        <f>Table1[[#This Row],[Revenue]]*Table1[[#This Row],[Discount%]]/100</f>
        <v>899.7</v>
      </c>
      <c r="O174" s="6">
        <f>Table1[[#This Row],[Revenue]]-Table1[[#This Row],[Disc_amount]]</f>
        <v>8097.3</v>
      </c>
      <c r="P174" t="s">
        <v>26</v>
      </c>
      <c r="Q174" t="s">
        <v>27</v>
      </c>
    </row>
    <row r="175" spans="1:17">
      <c r="A175" t="s">
        <v>492</v>
      </c>
      <c r="B175" s="1" t="s">
        <v>489</v>
      </c>
      <c r="C175" s="1" t="s">
        <v>19</v>
      </c>
      <c r="D175" s="1" t="s">
        <v>20</v>
      </c>
      <c r="E175" t="s">
        <v>493</v>
      </c>
      <c r="F175" t="s">
        <v>348</v>
      </c>
      <c r="G175" t="s">
        <v>56</v>
      </c>
      <c r="H175" t="s">
        <v>24</v>
      </c>
      <c r="I175" t="s">
        <v>32</v>
      </c>
      <c r="J175">
        <v>2</v>
      </c>
      <c r="K175">
        <v>199</v>
      </c>
      <c r="L175">
        <f>Table1[[#This Row],[Quantity]] * Table1[[#This Row],[UnitPrice]]</f>
        <v>398</v>
      </c>
      <c r="M175" s="25">
        <v>0</v>
      </c>
      <c r="N175">
        <f>Table1[[#This Row],[Revenue]]*Table1[[#This Row],[Discount%]]/100</f>
        <v>0</v>
      </c>
      <c r="O175" s="6">
        <f>Table1[[#This Row],[Revenue]]-Table1[[#This Row],[Disc_amount]]</f>
        <v>398</v>
      </c>
      <c r="P175" t="s">
        <v>86</v>
      </c>
      <c r="Q175" t="s">
        <v>27</v>
      </c>
    </row>
    <row r="176" spans="1:17">
      <c r="A176" t="s">
        <v>494</v>
      </c>
      <c r="B176" s="1" t="s">
        <v>489</v>
      </c>
      <c r="C176" s="1" t="s">
        <v>19</v>
      </c>
      <c r="D176" s="1" t="s">
        <v>20</v>
      </c>
      <c r="E176" t="s">
        <v>495</v>
      </c>
      <c r="F176" t="s">
        <v>187</v>
      </c>
      <c r="G176" t="s">
        <v>23</v>
      </c>
      <c r="H176" t="s">
        <v>65</v>
      </c>
      <c r="I176" t="s">
        <v>98</v>
      </c>
      <c r="J176">
        <v>1</v>
      </c>
      <c r="K176">
        <v>499</v>
      </c>
      <c r="L176">
        <f>Table1[[#This Row],[Quantity]] * Table1[[#This Row],[UnitPrice]]</f>
        <v>499</v>
      </c>
      <c r="M176" s="25">
        <v>15</v>
      </c>
      <c r="N176">
        <f>Table1[[#This Row],[Revenue]]*Table1[[#This Row],[Discount%]]/100</f>
        <v>74.849999999999994</v>
      </c>
      <c r="O176" s="6">
        <f>Table1[[#This Row],[Revenue]]-Table1[[#This Row],[Disc_amount]]</f>
        <v>424.15</v>
      </c>
      <c r="P176" t="s">
        <v>26</v>
      </c>
      <c r="Q176" t="s">
        <v>27</v>
      </c>
    </row>
    <row r="177" spans="1:17">
      <c r="A177" t="s">
        <v>496</v>
      </c>
      <c r="B177" s="1" t="s">
        <v>497</v>
      </c>
      <c r="C177" s="1" t="s">
        <v>19</v>
      </c>
      <c r="D177" s="1" t="s">
        <v>20</v>
      </c>
      <c r="E177" t="s">
        <v>498</v>
      </c>
      <c r="F177" t="s">
        <v>358</v>
      </c>
      <c r="G177" t="s">
        <v>45</v>
      </c>
      <c r="H177" t="s">
        <v>65</v>
      </c>
      <c r="I177" t="s">
        <v>94</v>
      </c>
      <c r="J177">
        <v>2</v>
      </c>
      <c r="K177">
        <v>899</v>
      </c>
      <c r="L177">
        <f>Table1[[#This Row],[Quantity]] * Table1[[#This Row],[UnitPrice]]</f>
        <v>1798</v>
      </c>
      <c r="M177" s="25">
        <v>0</v>
      </c>
      <c r="N177">
        <f>Table1[[#This Row],[Revenue]]*Table1[[#This Row],[Discount%]]/100</f>
        <v>0</v>
      </c>
      <c r="O177" s="6">
        <f>Table1[[#This Row],[Revenue]]-Table1[[#This Row],[Disc_amount]]</f>
        <v>1798</v>
      </c>
      <c r="P177" t="s">
        <v>33</v>
      </c>
      <c r="Q177" t="s">
        <v>27</v>
      </c>
    </row>
    <row r="178" spans="1:17">
      <c r="A178" t="s">
        <v>499</v>
      </c>
      <c r="B178" s="1" t="s">
        <v>497</v>
      </c>
      <c r="C178" s="1" t="s">
        <v>19</v>
      </c>
      <c r="D178" s="1" t="s">
        <v>20</v>
      </c>
      <c r="E178" t="s">
        <v>500</v>
      </c>
      <c r="F178" t="s">
        <v>501</v>
      </c>
      <c r="G178" t="s">
        <v>56</v>
      </c>
      <c r="H178" t="s">
        <v>108</v>
      </c>
      <c r="I178" t="s">
        <v>109</v>
      </c>
      <c r="J178">
        <v>3</v>
      </c>
      <c r="K178">
        <v>1499</v>
      </c>
      <c r="L178">
        <f>Table1[[#This Row],[Quantity]] * Table1[[#This Row],[UnitPrice]]</f>
        <v>4497</v>
      </c>
      <c r="M178" s="25">
        <v>0</v>
      </c>
      <c r="N178">
        <f>Table1[[#This Row],[Revenue]]*Table1[[#This Row],[Discount%]]/100</f>
        <v>0</v>
      </c>
      <c r="O178" s="6">
        <f>Table1[[#This Row],[Revenue]]-Table1[[#This Row],[Disc_amount]]</f>
        <v>4497</v>
      </c>
      <c r="P178" t="s">
        <v>33</v>
      </c>
      <c r="Q178" t="s">
        <v>27</v>
      </c>
    </row>
    <row r="179" spans="1:17">
      <c r="A179" t="s">
        <v>502</v>
      </c>
      <c r="B179" s="1" t="s">
        <v>497</v>
      </c>
      <c r="C179" s="1" t="s">
        <v>19</v>
      </c>
      <c r="D179" s="1" t="s">
        <v>20</v>
      </c>
      <c r="E179" t="s">
        <v>503</v>
      </c>
      <c r="F179" t="s">
        <v>504</v>
      </c>
      <c r="G179" t="s">
        <v>45</v>
      </c>
      <c r="H179" t="s">
        <v>57</v>
      </c>
      <c r="I179" t="s">
        <v>62</v>
      </c>
      <c r="J179">
        <v>2</v>
      </c>
      <c r="K179">
        <v>799</v>
      </c>
      <c r="L179">
        <f>Table1[[#This Row],[Quantity]] * Table1[[#This Row],[UnitPrice]]</f>
        <v>1598</v>
      </c>
      <c r="M179" s="25">
        <v>5</v>
      </c>
      <c r="N179">
        <f>Table1[[#This Row],[Revenue]]*Table1[[#This Row],[Discount%]]/100</f>
        <v>79.900000000000006</v>
      </c>
      <c r="O179" s="6">
        <f>Table1[[#This Row],[Revenue]]-Table1[[#This Row],[Disc_amount]]</f>
        <v>1518.1</v>
      </c>
      <c r="P179" t="s">
        <v>26</v>
      </c>
      <c r="Q179" t="s">
        <v>34</v>
      </c>
    </row>
    <row r="180" spans="1:17">
      <c r="A180" t="s">
        <v>505</v>
      </c>
      <c r="B180" s="1" t="s">
        <v>497</v>
      </c>
      <c r="C180" s="1" t="s">
        <v>19</v>
      </c>
      <c r="D180" s="1" t="s">
        <v>20</v>
      </c>
      <c r="E180" t="s">
        <v>506</v>
      </c>
      <c r="F180" t="s">
        <v>90</v>
      </c>
      <c r="G180" t="s">
        <v>23</v>
      </c>
      <c r="H180" t="s">
        <v>46</v>
      </c>
      <c r="I180" t="s">
        <v>154</v>
      </c>
      <c r="J180">
        <v>1</v>
      </c>
      <c r="K180">
        <v>299</v>
      </c>
      <c r="L180">
        <f>Table1[[#This Row],[Quantity]] * Table1[[#This Row],[UnitPrice]]</f>
        <v>299</v>
      </c>
      <c r="M180" s="25">
        <v>10</v>
      </c>
      <c r="N180">
        <f>Table1[[#This Row],[Revenue]]*Table1[[#This Row],[Discount%]]/100</f>
        <v>29.9</v>
      </c>
      <c r="O180" s="6">
        <f>Table1[[#This Row],[Revenue]]-Table1[[#This Row],[Disc_amount]]</f>
        <v>269.10000000000002</v>
      </c>
      <c r="P180" t="s">
        <v>52</v>
      </c>
      <c r="Q180" t="s">
        <v>27</v>
      </c>
    </row>
    <row r="181" spans="1:17">
      <c r="A181" t="s">
        <v>507</v>
      </c>
      <c r="B181" s="1" t="s">
        <v>497</v>
      </c>
      <c r="C181" s="1" t="s">
        <v>19</v>
      </c>
      <c r="D181" s="1" t="s">
        <v>20</v>
      </c>
      <c r="E181" t="s">
        <v>29</v>
      </c>
      <c r="F181" t="s">
        <v>30</v>
      </c>
      <c r="G181" t="s">
        <v>56</v>
      </c>
      <c r="H181" t="s">
        <v>24</v>
      </c>
      <c r="I181" t="s">
        <v>32</v>
      </c>
      <c r="J181">
        <v>1</v>
      </c>
      <c r="K181">
        <v>199</v>
      </c>
      <c r="L181">
        <f>Table1[[#This Row],[Quantity]] * Table1[[#This Row],[UnitPrice]]</f>
        <v>199</v>
      </c>
      <c r="M181" s="25">
        <v>15</v>
      </c>
      <c r="N181">
        <f>Table1[[#This Row],[Revenue]]*Table1[[#This Row],[Discount%]]/100</f>
        <v>29.85</v>
      </c>
      <c r="O181" s="6">
        <f>Table1[[#This Row],[Revenue]]-Table1[[#This Row],[Disc_amount]]</f>
        <v>169.15</v>
      </c>
      <c r="P181" t="s">
        <v>33</v>
      </c>
      <c r="Q181" t="s">
        <v>27</v>
      </c>
    </row>
    <row r="182" spans="1:17">
      <c r="A182" t="s">
        <v>508</v>
      </c>
      <c r="B182" s="1" t="s">
        <v>509</v>
      </c>
      <c r="C182" s="1" t="s">
        <v>19</v>
      </c>
      <c r="D182" s="1" t="s">
        <v>20</v>
      </c>
      <c r="E182" t="s">
        <v>510</v>
      </c>
      <c r="F182" t="s">
        <v>425</v>
      </c>
      <c r="G182" t="s">
        <v>23</v>
      </c>
      <c r="H182" t="s">
        <v>24</v>
      </c>
      <c r="I182" t="s">
        <v>25</v>
      </c>
      <c r="J182">
        <v>5</v>
      </c>
      <c r="K182">
        <v>99</v>
      </c>
      <c r="L182">
        <f>Table1[[#This Row],[Quantity]] * Table1[[#This Row],[UnitPrice]]</f>
        <v>495</v>
      </c>
      <c r="M182" s="25">
        <v>0</v>
      </c>
      <c r="N182">
        <f>Table1[[#This Row],[Revenue]]*Table1[[#This Row],[Discount%]]/100</f>
        <v>0</v>
      </c>
      <c r="O182" s="6">
        <f>Table1[[#This Row],[Revenue]]-Table1[[#This Row],[Disc_amount]]</f>
        <v>495</v>
      </c>
      <c r="P182" t="s">
        <v>26</v>
      </c>
      <c r="Q182" t="s">
        <v>27</v>
      </c>
    </row>
    <row r="183" spans="1:17">
      <c r="A183" t="s">
        <v>511</v>
      </c>
      <c r="B183" s="1" t="s">
        <v>509</v>
      </c>
      <c r="C183" s="1" t="s">
        <v>19</v>
      </c>
      <c r="D183" s="1" t="s">
        <v>20</v>
      </c>
      <c r="E183" t="s">
        <v>512</v>
      </c>
      <c r="F183" t="s">
        <v>513</v>
      </c>
      <c r="G183" t="s">
        <v>38</v>
      </c>
      <c r="H183" t="s">
        <v>65</v>
      </c>
      <c r="I183" t="s">
        <v>98</v>
      </c>
      <c r="J183">
        <v>3</v>
      </c>
      <c r="K183">
        <v>499</v>
      </c>
      <c r="L183">
        <f>Table1[[#This Row],[Quantity]] * Table1[[#This Row],[UnitPrice]]</f>
        <v>1497</v>
      </c>
      <c r="M183" s="25">
        <v>20</v>
      </c>
      <c r="N183">
        <f>Table1[[#This Row],[Revenue]]*Table1[[#This Row],[Discount%]]/100</f>
        <v>299.39999999999998</v>
      </c>
      <c r="O183" s="6">
        <f>Table1[[#This Row],[Revenue]]-Table1[[#This Row],[Disc_amount]]</f>
        <v>1197.5999999999999</v>
      </c>
      <c r="P183" t="s">
        <v>33</v>
      </c>
      <c r="Q183" t="s">
        <v>27</v>
      </c>
    </row>
    <row r="184" spans="1:17">
      <c r="A184" t="s">
        <v>514</v>
      </c>
      <c r="B184" s="1" t="s">
        <v>509</v>
      </c>
      <c r="C184" s="1" t="s">
        <v>19</v>
      </c>
      <c r="D184" s="1" t="s">
        <v>20</v>
      </c>
      <c r="E184" t="s">
        <v>515</v>
      </c>
      <c r="F184" t="s">
        <v>516</v>
      </c>
      <c r="G184" t="s">
        <v>23</v>
      </c>
      <c r="H184" t="s">
        <v>65</v>
      </c>
      <c r="I184" t="s">
        <v>98</v>
      </c>
      <c r="J184">
        <v>2</v>
      </c>
      <c r="K184">
        <v>499</v>
      </c>
      <c r="L184">
        <f>Table1[[#This Row],[Quantity]] * Table1[[#This Row],[UnitPrice]]</f>
        <v>998</v>
      </c>
      <c r="M184" s="25">
        <v>10</v>
      </c>
      <c r="N184">
        <f>Table1[[#This Row],[Revenue]]*Table1[[#This Row],[Discount%]]/100</f>
        <v>99.8</v>
      </c>
      <c r="O184" s="6">
        <f>Table1[[#This Row],[Revenue]]-Table1[[#This Row],[Disc_amount]]</f>
        <v>898.2</v>
      </c>
      <c r="P184" t="s">
        <v>52</v>
      </c>
      <c r="Q184" t="s">
        <v>34</v>
      </c>
    </row>
    <row r="185" spans="1:17">
      <c r="A185" t="s">
        <v>517</v>
      </c>
      <c r="B185" s="1" t="s">
        <v>509</v>
      </c>
      <c r="C185" s="1" t="s">
        <v>19</v>
      </c>
      <c r="D185" s="1" t="s">
        <v>20</v>
      </c>
      <c r="E185" t="s">
        <v>518</v>
      </c>
      <c r="F185" t="s">
        <v>519</v>
      </c>
      <c r="G185" t="s">
        <v>31</v>
      </c>
      <c r="H185" t="s">
        <v>46</v>
      </c>
      <c r="I185" t="s">
        <v>47</v>
      </c>
      <c r="J185">
        <v>3</v>
      </c>
      <c r="K185">
        <v>249</v>
      </c>
      <c r="L185">
        <f>Table1[[#This Row],[Quantity]] * Table1[[#This Row],[UnitPrice]]</f>
        <v>747</v>
      </c>
      <c r="M185" s="25">
        <v>0</v>
      </c>
      <c r="N185">
        <f>Table1[[#This Row],[Revenue]]*Table1[[#This Row],[Discount%]]/100</f>
        <v>0</v>
      </c>
      <c r="O185" s="6">
        <f>Table1[[#This Row],[Revenue]]-Table1[[#This Row],[Disc_amount]]</f>
        <v>747</v>
      </c>
      <c r="P185" t="s">
        <v>26</v>
      </c>
      <c r="Q185" t="s">
        <v>34</v>
      </c>
    </row>
    <row r="186" spans="1:17">
      <c r="A186" t="s">
        <v>520</v>
      </c>
      <c r="B186" s="1" t="s">
        <v>509</v>
      </c>
      <c r="C186" s="1" t="s">
        <v>19</v>
      </c>
      <c r="D186" s="1" t="s">
        <v>20</v>
      </c>
      <c r="E186" t="s">
        <v>521</v>
      </c>
      <c r="F186" t="s">
        <v>143</v>
      </c>
      <c r="G186" t="s">
        <v>23</v>
      </c>
      <c r="H186" t="s">
        <v>39</v>
      </c>
      <c r="I186" t="s">
        <v>140</v>
      </c>
      <c r="J186">
        <v>1</v>
      </c>
      <c r="K186">
        <v>1799</v>
      </c>
      <c r="L186">
        <f>Table1[[#This Row],[Quantity]] * Table1[[#This Row],[UnitPrice]]</f>
        <v>1799</v>
      </c>
      <c r="M186" s="25">
        <v>0</v>
      </c>
      <c r="N186">
        <f>Table1[[#This Row],[Revenue]]*Table1[[#This Row],[Discount%]]/100</f>
        <v>0</v>
      </c>
      <c r="O186" s="6">
        <f>Table1[[#This Row],[Revenue]]-Table1[[#This Row],[Disc_amount]]</f>
        <v>1799</v>
      </c>
      <c r="P186" t="s">
        <v>33</v>
      </c>
      <c r="Q186" t="s">
        <v>34</v>
      </c>
    </row>
    <row r="187" spans="1:17">
      <c r="A187" t="s">
        <v>522</v>
      </c>
      <c r="B187" s="1" t="s">
        <v>523</v>
      </c>
      <c r="C187" s="1" t="s">
        <v>524</v>
      </c>
      <c r="D187" s="1" t="s">
        <v>20</v>
      </c>
      <c r="E187" t="s">
        <v>525</v>
      </c>
      <c r="F187" t="s">
        <v>470</v>
      </c>
      <c r="G187" t="s">
        <v>56</v>
      </c>
      <c r="H187" t="s">
        <v>39</v>
      </c>
      <c r="I187" t="s">
        <v>140</v>
      </c>
      <c r="J187">
        <v>1</v>
      </c>
      <c r="K187">
        <v>1799</v>
      </c>
      <c r="L187">
        <f>Table1[[#This Row],[Quantity]] * Table1[[#This Row],[UnitPrice]]</f>
        <v>1799</v>
      </c>
      <c r="M187" s="25">
        <v>20</v>
      </c>
      <c r="N187">
        <f>Table1[[#This Row],[Revenue]]*Table1[[#This Row],[Discount%]]/100</f>
        <v>359.8</v>
      </c>
      <c r="O187" s="6">
        <f>Table1[[#This Row],[Revenue]]-Table1[[#This Row],[Disc_amount]]</f>
        <v>1439.2</v>
      </c>
      <c r="P187" t="s">
        <v>33</v>
      </c>
      <c r="Q187" t="s">
        <v>34</v>
      </c>
    </row>
    <row r="188" spans="1:17">
      <c r="A188" t="s">
        <v>526</v>
      </c>
      <c r="B188" s="1" t="s">
        <v>523</v>
      </c>
      <c r="C188" s="1" t="s">
        <v>524</v>
      </c>
      <c r="D188" s="1" t="s">
        <v>20</v>
      </c>
      <c r="E188" t="s">
        <v>521</v>
      </c>
      <c r="F188" t="s">
        <v>143</v>
      </c>
      <c r="G188" t="s">
        <v>31</v>
      </c>
      <c r="H188" t="s">
        <v>108</v>
      </c>
      <c r="I188" t="s">
        <v>130</v>
      </c>
      <c r="J188">
        <v>3</v>
      </c>
      <c r="K188">
        <v>699</v>
      </c>
      <c r="L188">
        <f>Table1[[#This Row],[Quantity]] * Table1[[#This Row],[UnitPrice]]</f>
        <v>2097</v>
      </c>
      <c r="M188" s="25">
        <v>0</v>
      </c>
      <c r="N188">
        <f>Table1[[#This Row],[Revenue]]*Table1[[#This Row],[Discount%]]/100</f>
        <v>0</v>
      </c>
      <c r="O188" s="6">
        <f>Table1[[#This Row],[Revenue]]-Table1[[#This Row],[Disc_amount]]</f>
        <v>2097</v>
      </c>
      <c r="P188" t="s">
        <v>86</v>
      </c>
      <c r="Q188" t="s">
        <v>34</v>
      </c>
    </row>
    <row r="189" spans="1:17">
      <c r="A189" t="s">
        <v>527</v>
      </c>
      <c r="B189" s="1" t="s">
        <v>523</v>
      </c>
      <c r="C189" s="1" t="s">
        <v>524</v>
      </c>
      <c r="D189" s="1" t="s">
        <v>20</v>
      </c>
      <c r="E189" t="s">
        <v>515</v>
      </c>
      <c r="F189" t="s">
        <v>516</v>
      </c>
      <c r="G189" t="s">
        <v>45</v>
      </c>
      <c r="H189" t="s">
        <v>57</v>
      </c>
      <c r="I189" t="s">
        <v>62</v>
      </c>
      <c r="J189">
        <v>4</v>
      </c>
      <c r="K189">
        <v>799</v>
      </c>
      <c r="L189">
        <f>Table1[[#This Row],[Quantity]] * Table1[[#This Row],[UnitPrice]]</f>
        <v>3196</v>
      </c>
      <c r="M189" s="25">
        <v>0</v>
      </c>
      <c r="N189">
        <f>Table1[[#This Row],[Revenue]]*Table1[[#This Row],[Discount%]]/100</f>
        <v>0</v>
      </c>
      <c r="O189" s="6">
        <f>Table1[[#This Row],[Revenue]]-Table1[[#This Row],[Disc_amount]]</f>
        <v>3196</v>
      </c>
      <c r="P189" t="s">
        <v>52</v>
      </c>
      <c r="Q189" t="s">
        <v>27</v>
      </c>
    </row>
    <row r="190" spans="1:17">
      <c r="A190" t="s">
        <v>528</v>
      </c>
      <c r="B190" s="1" t="s">
        <v>523</v>
      </c>
      <c r="C190" s="1" t="s">
        <v>524</v>
      </c>
      <c r="D190" s="1" t="s">
        <v>20</v>
      </c>
      <c r="E190" t="s">
        <v>506</v>
      </c>
      <c r="F190" t="s">
        <v>90</v>
      </c>
      <c r="G190" t="s">
        <v>31</v>
      </c>
      <c r="H190" t="s">
        <v>46</v>
      </c>
      <c r="I190" t="s">
        <v>47</v>
      </c>
      <c r="J190">
        <v>2</v>
      </c>
      <c r="K190">
        <v>249</v>
      </c>
      <c r="L190">
        <f>Table1[[#This Row],[Quantity]] * Table1[[#This Row],[UnitPrice]]</f>
        <v>498</v>
      </c>
      <c r="M190" s="25">
        <v>0</v>
      </c>
      <c r="N190">
        <f>Table1[[#This Row],[Revenue]]*Table1[[#This Row],[Discount%]]/100</f>
        <v>0</v>
      </c>
      <c r="O190" s="6">
        <f>Table1[[#This Row],[Revenue]]-Table1[[#This Row],[Disc_amount]]</f>
        <v>498</v>
      </c>
      <c r="P190" t="s">
        <v>33</v>
      </c>
      <c r="Q190" t="s">
        <v>34</v>
      </c>
    </row>
    <row r="191" spans="1:17">
      <c r="A191" t="s">
        <v>529</v>
      </c>
      <c r="B191" s="1" t="s">
        <v>523</v>
      </c>
      <c r="C191" s="1" t="s">
        <v>524</v>
      </c>
      <c r="D191" s="1" t="s">
        <v>20</v>
      </c>
      <c r="E191" t="s">
        <v>220</v>
      </c>
      <c r="F191" t="s">
        <v>153</v>
      </c>
      <c r="G191" t="s">
        <v>38</v>
      </c>
      <c r="H191" t="s">
        <v>108</v>
      </c>
      <c r="I191" t="s">
        <v>109</v>
      </c>
      <c r="J191">
        <v>4</v>
      </c>
      <c r="K191">
        <v>1499</v>
      </c>
      <c r="L191">
        <f>Table1[[#This Row],[Quantity]] * Table1[[#This Row],[UnitPrice]]</f>
        <v>5996</v>
      </c>
      <c r="M191" s="25">
        <v>15</v>
      </c>
      <c r="N191">
        <f>Table1[[#This Row],[Revenue]]*Table1[[#This Row],[Discount%]]/100</f>
        <v>899.4</v>
      </c>
      <c r="O191" s="6">
        <f>Table1[[#This Row],[Revenue]]-Table1[[#This Row],[Disc_amount]]</f>
        <v>5096.6000000000004</v>
      </c>
      <c r="P191" t="s">
        <v>26</v>
      </c>
      <c r="Q191" t="s">
        <v>34</v>
      </c>
    </row>
    <row r="192" spans="1:17">
      <c r="A192" t="s">
        <v>530</v>
      </c>
      <c r="B192" s="1" t="s">
        <v>523</v>
      </c>
      <c r="C192" s="1" t="s">
        <v>524</v>
      </c>
      <c r="D192" s="1" t="s">
        <v>20</v>
      </c>
      <c r="E192" t="s">
        <v>531</v>
      </c>
      <c r="F192" t="s">
        <v>295</v>
      </c>
      <c r="G192" t="s">
        <v>38</v>
      </c>
      <c r="H192" t="s">
        <v>70</v>
      </c>
      <c r="I192" t="s">
        <v>91</v>
      </c>
      <c r="J192">
        <v>3</v>
      </c>
      <c r="K192">
        <v>549</v>
      </c>
      <c r="L192">
        <f>Table1[[#This Row],[Quantity]] * Table1[[#This Row],[UnitPrice]]</f>
        <v>1647</v>
      </c>
      <c r="M192" s="25">
        <v>10</v>
      </c>
      <c r="N192">
        <f>Table1[[#This Row],[Revenue]]*Table1[[#This Row],[Discount%]]/100</f>
        <v>164.7</v>
      </c>
      <c r="O192" s="6">
        <f>Table1[[#This Row],[Revenue]]-Table1[[#This Row],[Disc_amount]]</f>
        <v>1482.3</v>
      </c>
      <c r="P192" t="s">
        <v>52</v>
      </c>
      <c r="Q192" t="s">
        <v>27</v>
      </c>
    </row>
    <row r="193" spans="1:17">
      <c r="A193" t="s">
        <v>532</v>
      </c>
      <c r="B193" s="1" t="s">
        <v>523</v>
      </c>
      <c r="C193" s="1" t="s">
        <v>524</v>
      </c>
      <c r="D193" s="1" t="s">
        <v>20</v>
      </c>
      <c r="E193" t="s">
        <v>533</v>
      </c>
      <c r="F193" t="s">
        <v>534</v>
      </c>
      <c r="G193" t="s">
        <v>31</v>
      </c>
      <c r="H193" t="s">
        <v>46</v>
      </c>
      <c r="I193" t="s">
        <v>154</v>
      </c>
      <c r="J193">
        <v>3</v>
      </c>
      <c r="K193">
        <v>299</v>
      </c>
      <c r="L193">
        <f>Table1[[#This Row],[Quantity]] * Table1[[#This Row],[UnitPrice]]</f>
        <v>897</v>
      </c>
      <c r="M193" s="25">
        <v>20</v>
      </c>
      <c r="N193">
        <f>Table1[[#This Row],[Revenue]]*Table1[[#This Row],[Discount%]]/100</f>
        <v>179.4</v>
      </c>
      <c r="O193" s="6">
        <f>Table1[[#This Row],[Revenue]]-Table1[[#This Row],[Disc_amount]]</f>
        <v>717.6</v>
      </c>
      <c r="P193" t="s">
        <v>86</v>
      </c>
      <c r="Q193" t="s">
        <v>27</v>
      </c>
    </row>
    <row r="194" spans="1:17">
      <c r="A194" t="s">
        <v>535</v>
      </c>
      <c r="B194" s="1" t="s">
        <v>523</v>
      </c>
      <c r="C194" s="1" t="s">
        <v>524</v>
      </c>
      <c r="D194" s="1" t="s">
        <v>20</v>
      </c>
      <c r="E194" t="s">
        <v>536</v>
      </c>
      <c r="F194" t="s">
        <v>295</v>
      </c>
      <c r="G194" t="s">
        <v>31</v>
      </c>
      <c r="H194" t="s">
        <v>108</v>
      </c>
      <c r="I194" t="s">
        <v>109</v>
      </c>
      <c r="J194">
        <v>3</v>
      </c>
      <c r="K194">
        <v>1499</v>
      </c>
      <c r="L194">
        <f>Table1[[#This Row],[Quantity]] * Table1[[#This Row],[UnitPrice]]</f>
        <v>4497</v>
      </c>
      <c r="M194" s="25">
        <v>20</v>
      </c>
      <c r="N194">
        <f>Table1[[#This Row],[Revenue]]*Table1[[#This Row],[Discount%]]/100</f>
        <v>899.4</v>
      </c>
      <c r="O194" s="6">
        <f>Table1[[#This Row],[Revenue]]-Table1[[#This Row],[Disc_amount]]</f>
        <v>3597.6</v>
      </c>
      <c r="P194" t="s">
        <v>52</v>
      </c>
      <c r="Q194" t="s">
        <v>27</v>
      </c>
    </row>
    <row r="195" spans="1:17">
      <c r="A195" t="s">
        <v>537</v>
      </c>
      <c r="B195" s="1" t="s">
        <v>538</v>
      </c>
      <c r="C195" s="1" t="s">
        <v>524</v>
      </c>
      <c r="D195" s="1" t="s">
        <v>20</v>
      </c>
      <c r="E195" t="s">
        <v>539</v>
      </c>
      <c r="F195" t="s">
        <v>298</v>
      </c>
      <c r="G195" t="s">
        <v>38</v>
      </c>
      <c r="H195" t="s">
        <v>65</v>
      </c>
      <c r="I195" t="s">
        <v>98</v>
      </c>
      <c r="J195">
        <v>2</v>
      </c>
      <c r="K195">
        <v>499</v>
      </c>
      <c r="L195">
        <f>Table1[[#This Row],[Quantity]] * Table1[[#This Row],[UnitPrice]]</f>
        <v>998</v>
      </c>
      <c r="M195" s="25">
        <v>0</v>
      </c>
      <c r="N195">
        <f>Table1[[#This Row],[Revenue]]*Table1[[#This Row],[Discount%]]/100</f>
        <v>0</v>
      </c>
      <c r="O195" s="6">
        <f>Table1[[#This Row],[Revenue]]-Table1[[#This Row],[Disc_amount]]</f>
        <v>998</v>
      </c>
      <c r="P195" t="s">
        <v>26</v>
      </c>
      <c r="Q195" t="s">
        <v>27</v>
      </c>
    </row>
    <row r="196" spans="1:17">
      <c r="A196" t="s">
        <v>540</v>
      </c>
      <c r="B196" s="1" t="s">
        <v>538</v>
      </c>
      <c r="C196" s="1" t="s">
        <v>524</v>
      </c>
      <c r="D196" s="1" t="s">
        <v>20</v>
      </c>
      <c r="E196" t="s">
        <v>541</v>
      </c>
      <c r="F196" t="s">
        <v>314</v>
      </c>
      <c r="G196" t="s">
        <v>31</v>
      </c>
      <c r="H196" t="s">
        <v>57</v>
      </c>
      <c r="I196" t="s">
        <v>62</v>
      </c>
      <c r="J196">
        <v>1</v>
      </c>
      <c r="K196">
        <v>799</v>
      </c>
      <c r="L196">
        <f>Table1[[#This Row],[Quantity]] * Table1[[#This Row],[UnitPrice]]</f>
        <v>799</v>
      </c>
      <c r="M196" s="25">
        <v>5</v>
      </c>
      <c r="N196">
        <f>Table1[[#This Row],[Revenue]]*Table1[[#This Row],[Discount%]]/100</f>
        <v>39.950000000000003</v>
      </c>
      <c r="O196" s="6">
        <f>Table1[[#This Row],[Revenue]]-Table1[[#This Row],[Disc_amount]]</f>
        <v>759.05</v>
      </c>
      <c r="P196" t="s">
        <v>26</v>
      </c>
      <c r="Q196" t="s">
        <v>27</v>
      </c>
    </row>
    <row r="197" spans="1:17">
      <c r="A197" t="s">
        <v>542</v>
      </c>
      <c r="B197" s="1" t="s">
        <v>538</v>
      </c>
      <c r="C197" s="1" t="s">
        <v>524</v>
      </c>
      <c r="D197" s="1" t="s">
        <v>20</v>
      </c>
      <c r="E197" t="s">
        <v>332</v>
      </c>
      <c r="F197" t="s">
        <v>107</v>
      </c>
      <c r="G197" t="s">
        <v>31</v>
      </c>
      <c r="H197" t="s">
        <v>39</v>
      </c>
      <c r="I197" t="s">
        <v>140</v>
      </c>
      <c r="J197">
        <v>2</v>
      </c>
      <c r="K197">
        <v>1799</v>
      </c>
      <c r="L197">
        <f>Table1[[#This Row],[Quantity]] * Table1[[#This Row],[UnitPrice]]</f>
        <v>3598</v>
      </c>
      <c r="M197" s="25">
        <v>10</v>
      </c>
      <c r="N197">
        <f>Table1[[#This Row],[Revenue]]*Table1[[#This Row],[Discount%]]/100</f>
        <v>359.8</v>
      </c>
      <c r="O197" s="6">
        <f>Table1[[#This Row],[Revenue]]-Table1[[#This Row],[Disc_amount]]</f>
        <v>3238.2</v>
      </c>
      <c r="P197" t="s">
        <v>26</v>
      </c>
      <c r="Q197" t="s">
        <v>27</v>
      </c>
    </row>
    <row r="198" spans="1:17">
      <c r="A198" t="s">
        <v>543</v>
      </c>
      <c r="B198" s="1" t="s">
        <v>544</v>
      </c>
      <c r="C198" s="1" t="s">
        <v>524</v>
      </c>
      <c r="D198" s="1" t="s">
        <v>20</v>
      </c>
      <c r="E198" t="s">
        <v>545</v>
      </c>
      <c r="F198" t="s">
        <v>546</v>
      </c>
      <c r="G198" t="s">
        <v>23</v>
      </c>
      <c r="H198" t="s">
        <v>108</v>
      </c>
      <c r="I198" t="s">
        <v>130</v>
      </c>
      <c r="J198">
        <v>1</v>
      </c>
      <c r="K198">
        <v>699</v>
      </c>
      <c r="L198">
        <f>Table1[[#This Row],[Quantity]] * Table1[[#This Row],[UnitPrice]]</f>
        <v>699</v>
      </c>
      <c r="M198" s="25">
        <v>0</v>
      </c>
      <c r="N198">
        <f>Table1[[#This Row],[Revenue]]*Table1[[#This Row],[Discount%]]/100</f>
        <v>0</v>
      </c>
      <c r="O198" s="6">
        <f>Table1[[#This Row],[Revenue]]-Table1[[#This Row],[Disc_amount]]</f>
        <v>699</v>
      </c>
      <c r="P198" t="s">
        <v>26</v>
      </c>
      <c r="Q198" t="s">
        <v>27</v>
      </c>
    </row>
    <row r="199" spans="1:17">
      <c r="A199" t="s">
        <v>547</v>
      </c>
      <c r="B199" s="1" t="s">
        <v>544</v>
      </c>
      <c r="C199" s="1" t="s">
        <v>524</v>
      </c>
      <c r="D199" s="1" t="s">
        <v>20</v>
      </c>
      <c r="E199" t="s">
        <v>493</v>
      </c>
      <c r="F199" t="s">
        <v>348</v>
      </c>
      <c r="G199" t="s">
        <v>38</v>
      </c>
      <c r="H199" t="s">
        <v>39</v>
      </c>
      <c r="I199" t="s">
        <v>40</v>
      </c>
      <c r="J199">
        <v>5</v>
      </c>
      <c r="K199">
        <v>599</v>
      </c>
      <c r="L199">
        <f>Table1[[#This Row],[Quantity]] * Table1[[#This Row],[UnitPrice]]</f>
        <v>2995</v>
      </c>
      <c r="M199" s="25">
        <v>5</v>
      </c>
      <c r="N199">
        <f>Table1[[#This Row],[Revenue]]*Table1[[#This Row],[Discount%]]/100</f>
        <v>149.75</v>
      </c>
      <c r="O199" s="6">
        <f>Table1[[#This Row],[Revenue]]-Table1[[#This Row],[Disc_amount]]</f>
        <v>2845.25</v>
      </c>
      <c r="P199" t="s">
        <v>41</v>
      </c>
      <c r="Q199" t="s">
        <v>27</v>
      </c>
    </row>
    <row r="200" spans="1:17">
      <c r="A200" t="s">
        <v>548</v>
      </c>
      <c r="B200" s="1" t="s">
        <v>544</v>
      </c>
      <c r="C200" s="1" t="s">
        <v>524</v>
      </c>
      <c r="D200" s="1" t="s">
        <v>20</v>
      </c>
      <c r="E200" t="s">
        <v>405</v>
      </c>
      <c r="F200" t="s">
        <v>248</v>
      </c>
      <c r="G200" t="s">
        <v>23</v>
      </c>
      <c r="H200" t="s">
        <v>108</v>
      </c>
      <c r="I200" t="s">
        <v>130</v>
      </c>
      <c r="J200">
        <v>3</v>
      </c>
      <c r="K200">
        <v>699</v>
      </c>
      <c r="L200">
        <f>Table1[[#This Row],[Quantity]] * Table1[[#This Row],[UnitPrice]]</f>
        <v>2097</v>
      </c>
      <c r="M200" s="25">
        <v>15</v>
      </c>
      <c r="N200">
        <f>Table1[[#This Row],[Revenue]]*Table1[[#This Row],[Discount%]]/100</f>
        <v>314.55</v>
      </c>
      <c r="O200" s="6">
        <f>Table1[[#This Row],[Revenue]]-Table1[[#This Row],[Disc_amount]]</f>
        <v>1782.45</v>
      </c>
      <c r="P200" t="s">
        <v>41</v>
      </c>
      <c r="Q200" t="s">
        <v>34</v>
      </c>
    </row>
    <row r="201" spans="1:17">
      <c r="A201" t="s">
        <v>549</v>
      </c>
      <c r="B201" s="1" t="s">
        <v>544</v>
      </c>
      <c r="C201" s="1" t="s">
        <v>524</v>
      </c>
      <c r="D201" s="1" t="s">
        <v>20</v>
      </c>
      <c r="E201" t="s">
        <v>178</v>
      </c>
      <c r="F201" t="s">
        <v>179</v>
      </c>
      <c r="G201" t="s">
        <v>38</v>
      </c>
      <c r="H201" t="s">
        <v>70</v>
      </c>
      <c r="I201" t="s">
        <v>91</v>
      </c>
      <c r="J201">
        <v>2</v>
      </c>
      <c r="K201">
        <v>549</v>
      </c>
      <c r="L201">
        <f>Table1[[#This Row],[Quantity]] * Table1[[#This Row],[UnitPrice]]</f>
        <v>1098</v>
      </c>
      <c r="M201" s="25">
        <v>5</v>
      </c>
      <c r="N201">
        <f>Table1[[#This Row],[Revenue]]*Table1[[#This Row],[Discount%]]/100</f>
        <v>54.9</v>
      </c>
      <c r="O201" s="6">
        <f>Table1[[#This Row],[Revenue]]-Table1[[#This Row],[Disc_amount]]</f>
        <v>1043.0999999999999</v>
      </c>
      <c r="P201" t="s">
        <v>86</v>
      </c>
      <c r="Q201" t="s">
        <v>34</v>
      </c>
    </row>
    <row r="202" spans="1:17">
      <c r="A202" t="s">
        <v>550</v>
      </c>
      <c r="B202" s="1" t="s">
        <v>551</v>
      </c>
      <c r="C202" s="1" t="s">
        <v>524</v>
      </c>
      <c r="D202" s="1" t="s">
        <v>20</v>
      </c>
      <c r="E202" t="s">
        <v>552</v>
      </c>
      <c r="F202" t="s">
        <v>553</v>
      </c>
      <c r="G202" t="s">
        <v>38</v>
      </c>
      <c r="H202" t="s">
        <v>65</v>
      </c>
      <c r="I202" t="s">
        <v>98</v>
      </c>
      <c r="J202">
        <v>3</v>
      </c>
      <c r="K202">
        <v>499</v>
      </c>
      <c r="L202">
        <f>Table1[[#This Row],[Quantity]] * Table1[[#This Row],[UnitPrice]]</f>
        <v>1497</v>
      </c>
      <c r="M202" s="25">
        <v>0</v>
      </c>
      <c r="N202">
        <f>Table1[[#This Row],[Revenue]]*Table1[[#This Row],[Discount%]]/100</f>
        <v>0</v>
      </c>
      <c r="O202" s="6">
        <f>Table1[[#This Row],[Revenue]]-Table1[[#This Row],[Disc_amount]]</f>
        <v>1497</v>
      </c>
      <c r="P202" t="s">
        <v>26</v>
      </c>
      <c r="Q202" t="s">
        <v>27</v>
      </c>
    </row>
    <row r="203" spans="1:17">
      <c r="A203" t="s">
        <v>554</v>
      </c>
      <c r="B203" s="1" t="s">
        <v>551</v>
      </c>
      <c r="C203" s="1" t="s">
        <v>524</v>
      </c>
      <c r="D203" s="1" t="s">
        <v>20</v>
      </c>
      <c r="E203" t="s">
        <v>555</v>
      </c>
      <c r="F203" t="s">
        <v>384</v>
      </c>
      <c r="G203" t="s">
        <v>23</v>
      </c>
      <c r="H203" t="s">
        <v>39</v>
      </c>
      <c r="I203" t="s">
        <v>51</v>
      </c>
      <c r="J203">
        <v>1</v>
      </c>
      <c r="K203">
        <v>2999</v>
      </c>
      <c r="L203">
        <f>Table1[[#This Row],[Quantity]] * Table1[[#This Row],[UnitPrice]]</f>
        <v>2999</v>
      </c>
      <c r="M203" s="25">
        <v>10</v>
      </c>
      <c r="N203">
        <f>Table1[[#This Row],[Revenue]]*Table1[[#This Row],[Discount%]]/100</f>
        <v>299.89999999999998</v>
      </c>
      <c r="O203" s="6">
        <f>Table1[[#This Row],[Revenue]]-Table1[[#This Row],[Disc_amount]]</f>
        <v>2699.1</v>
      </c>
      <c r="P203" t="s">
        <v>52</v>
      </c>
      <c r="Q203" t="s">
        <v>27</v>
      </c>
    </row>
    <row r="204" spans="1:17">
      <c r="A204" t="s">
        <v>556</v>
      </c>
      <c r="B204" s="1" t="s">
        <v>551</v>
      </c>
      <c r="C204" s="1" t="s">
        <v>524</v>
      </c>
      <c r="D204" s="1" t="s">
        <v>20</v>
      </c>
      <c r="E204" t="s">
        <v>469</v>
      </c>
      <c r="F204" t="s">
        <v>470</v>
      </c>
      <c r="G204" t="s">
        <v>31</v>
      </c>
      <c r="H204" t="s">
        <v>108</v>
      </c>
      <c r="I204" t="s">
        <v>109</v>
      </c>
      <c r="J204">
        <v>1</v>
      </c>
      <c r="K204">
        <v>1499</v>
      </c>
      <c r="L204">
        <f>Table1[[#This Row],[Quantity]] * Table1[[#This Row],[UnitPrice]]</f>
        <v>1499</v>
      </c>
      <c r="M204" s="25">
        <v>20</v>
      </c>
      <c r="N204">
        <f>Table1[[#This Row],[Revenue]]*Table1[[#This Row],[Discount%]]/100</f>
        <v>299.8</v>
      </c>
      <c r="O204" s="6">
        <f>Table1[[#This Row],[Revenue]]-Table1[[#This Row],[Disc_amount]]</f>
        <v>1199.2</v>
      </c>
      <c r="P204" t="s">
        <v>26</v>
      </c>
      <c r="Q204" t="s">
        <v>27</v>
      </c>
    </row>
    <row r="205" spans="1:17">
      <c r="A205" t="s">
        <v>557</v>
      </c>
      <c r="B205" s="1" t="s">
        <v>551</v>
      </c>
      <c r="C205" s="1" t="s">
        <v>524</v>
      </c>
      <c r="D205" s="1" t="s">
        <v>20</v>
      </c>
      <c r="E205" t="s">
        <v>286</v>
      </c>
      <c r="F205" t="s">
        <v>287</v>
      </c>
      <c r="G205" t="s">
        <v>56</v>
      </c>
      <c r="H205" t="s">
        <v>39</v>
      </c>
      <c r="I205" t="s">
        <v>51</v>
      </c>
      <c r="J205">
        <v>2</v>
      </c>
      <c r="K205">
        <v>2999</v>
      </c>
      <c r="L205">
        <f>Table1[[#This Row],[Quantity]] * Table1[[#This Row],[UnitPrice]]</f>
        <v>5998</v>
      </c>
      <c r="M205" s="25">
        <v>5</v>
      </c>
      <c r="N205">
        <f>Table1[[#This Row],[Revenue]]*Table1[[#This Row],[Discount%]]/100</f>
        <v>299.89999999999998</v>
      </c>
      <c r="O205" s="6">
        <f>Table1[[#This Row],[Revenue]]-Table1[[#This Row],[Disc_amount]]</f>
        <v>5698.1</v>
      </c>
      <c r="P205" t="s">
        <v>33</v>
      </c>
      <c r="Q205" t="s">
        <v>27</v>
      </c>
    </row>
    <row r="206" spans="1:17">
      <c r="A206" t="s">
        <v>558</v>
      </c>
      <c r="B206" s="1" t="s">
        <v>551</v>
      </c>
      <c r="C206" s="1" t="s">
        <v>524</v>
      </c>
      <c r="D206" s="1" t="s">
        <v>20</v>
      </c>
      <c r="E206" t="s">
        <v>392</v>
      </c>
      <c r="F206" t="s">
        <v>236</v>
      </c>
      <c r="G206" t="s">
        <v>56</v>
      </c>
      <c r="H206" t="s">
        <v>108</v>
      </c>
      <c r="I206" t="s">
        <v>130</v>
      </c>
      <c r="J206">
        <v>1</v>
      </c>
      <c r="K206">
        <v>699</v>
      </c>
      <c r="L206">
        <f>Table1[[#This Row],[Quantity]] * Table1[[#This Row],[UnitPrice]]</f>
        <v>699</v>
      </c>
      <c r="M206" s="25">
        <v>0</v>
      </c>
      <c r="N206">
        <f>Table1[[#This Row],[Revenue]]*Table1[[#This Row],[Discount%]]/100</f>
        <v>0</v>
      </c>
      <c r="O206" s="6">
        <f>Table1[[#This Row],[Revenue]]-Table1[[#This Row],[Disc_amount]]</f>
        <v>699</v>
      </c>
      <c r="P206" t="s">
        <v>26</v>
      </c>
      <c r="Q206" t="s">
        <v>27</v>
      </c>
    </row>
    <row r="207" spans="1:17">
      <c r="A207" t="s">
        <v>559</v>
      </c>
      <c r="B207" s="1" t="s">
        <v>551</v>
      </c>
      <c r="C207" s="1" t="s">
        <v>524</v>
      </c>
      <c r="D207" s="1" t="s">
        <v>20</v>
      </c>
      <c r="E207" t="s">
        <v>36</v>
      </c>
      <c r="F207" t="s">
        <v>37</v>
      </c>
      <c r="G207" t="s">
        <v>23</v>
      </c>
      <c r="H207" t="s">
        <v>65</v>
      </c>
      <c r="I207" t="s">
        <v>94</v>
      </c>
      <c r="J207">
        <v>2</v>
      </c>
      <c r="K207">
        <v>899</v>
      </c>
      <c r="L207">
        <f>Table1[[#This Row],[Quantity]] * Table1[[#This Row],[UnitPrice]]</f>
        <v>1798</v>
      </c>
      <c r="M207" s="25">
        <v>0</v>
      </c>
      <c r="N207">
        <f>Table1[[#This Row],[Revenue]]*Table1[[#This Row],[Discount%]]/100</f>
        <v>0</v>
      </c>
      <c r="O207" s="6">
        <f>Table1[[#This Row],[Revenue]]-Table1[[#This Row],[Disc_amount]]</f>
        <v>1798</v>
      </c>
      <c r="P207" t="s">
        <v>86</v>
      </c>
      <c r="Q207" t="s">
        <v>27</v>
      </c>
    </row>
    <row r="208" spans="1:17">
      <c r="A208" t="s">
        <v>560</v>
      </c>
      <c r="B208" s="1" t="s">
        <v>551</v>
      </c>
      <c r="C208" s="1" t="s">
        <v>524</v>
      </c>
      <c r="D208" s="1" t="s">
        <v>20</v>
      </c>
      <c r="E208" t="s">
        <v>561</v>
      </c>
      <c r="F208" t="s">
        <v>562</v>
      </c>
      <c r="G208" t="s">
        <v>23</v>
      </c>
      <c r="H208" t="s">
        <v>65</v>
      </c>
      <c r="I208" t="s">
        <v>66</v>
      </c>
      <c r="J208">
        <v>3</v>
      </c>
      <c r="K208">
        <v>1999</v>
      </c>
      <c r="L208">
        <f>Table1[[#This Row],[Quantity]] * Table1[[#This Row],[UnitPrice]]</f>
        <v>5997</v>
      </c>
      <c r="M208" s="25">
        <v>0</v>
      </c>
      <c r="N208">
        <f>Table1[[#This Row],[Revenue]]*Table1[[#This Row],[Discount%]]/100</f>
        <v>0</v>
      </c>
      <c r="O208" s="6">
        <f>Table1[[#This Row],[Revenue]]-Table1[[#This Row],[Disc_amount]]</f>
        <v>5997</v>
      </c>
      <c r="P208" t="s">
        <v>26</v>
      </c>
      <c r="Q208" t="s">
        <v>34</v>
      </c>
    </row>
    <row r="209" spans="1:17">
      <c r="A209" t="s">
        <v>563</v>
      </c>
      <c r="B209" s="1" t="s">
        <v>564</v>
      </c>
      <c r="C209" s="1" t="s">
        <v>524</v>
      </c>
      <c r="D209" s="1" t="s">
        <v>20</v>
      </c>
      <c r="E209" t="s">
        <v>565</v>
      </c>
      <c r="F209" t="s">
        <v>203</v>
      </c>
      <c r="G209" t="s">
        <v>23</v>
      </c>
      <c r="H209" t="s">
        <v>24</v>
      </c>
      <c r="I209" t="s">
        <v>32</v>
      </c>
      <c r="J209">
        <v>1</v>
      </c>
      <c r="K209">
        <v>199</v>
      </c>
      <c r="L209">
        <f>Table1[[#This Row],[Quantity]] * Table1[[#This Row],[UnitPrice]]</f>
        <v>199</v>
      </c>
      <c r="M209" s="25">
        <v>10</v>
      </c>
      <c r="N209">
        <f>Table1[[#This Row],[Revenue]]*Table1[[#This Row],[Discount%]]/100</f>
        <v>19.899999999999999</v>
      </c>
      <c r="O209" s="6">
        <f>Table1[[#This Row],[Revenue]]-Table1[[#This Row],[Disc_amount]]</f>
        <v>179.1</v>
      </c>
      <c r="P209" t="s">
        <v>33</v>
      </c>
      <c r="Q209" t="s">
        <v>34</v>
      </c>
    </row>
    <row r="210" spans="1:17">
      <c r="A210" t="s">
        <v>566</v>
      </c>
      <c r="B210" s="1" t="s">
        <v>564</v>
      </c>
      <c r="C210" s="1" t="s">
        <v>524</v>
      </c>
      <c r="D210" s="1" t="s">
        <v>20</v>
      </c>
      <c r="E210" t="s">
        <v>484</v>
      </c>
      <c r="F210" t="s">
        <v>485</v>
      </c>
      <c r="G210" t="s">
        <v>56</v>
      </c>
      <c r="H210" t="s">
        <v>57</v>
      </c>
      <c r="I210" t="s">
        <v>58</v>
      </c>
      <c r="J210">
        <v>1</v>
      </c>
      <c r="K210">
        <v>1299</v>
      </c>
      <c r="L210">
        <f>Table1[[#This Row],[Quantity]] * Table1[[#This Row],[UnitPrice]]</f>
        <v>1299</v>
      </c>
      <c r="M210" s="25">
        <v>20</v>
      </c>
      <c r="N210">
        <f>Table1[[#This Row],[Revenue]]*Table1[[#This Row],[Discount%]]/100</f>
        <v>259.8</v>
      </c>
      <c r="O210" s="6">
        <f>Table1[[#This Row],[Revenue]]-Table1[[#This Row],[Disc_amount]]</f>
        <v>1039.2</v>
      </c>
      <c r="P210" t="s">
        <v>41</v>
      </c>
      <c r="Q210" t="s">
        <v>27</v>
      </c>
    </row>
    <row r="211" spans="1:17">
      <c r="A211" t="s">
        <v>567</v>
      </c>
      <c r="B211" s="1" t="s">
        <v>564</v>
      </c>
      <c r="C211" s="1" t="s">
        <v>524</v>
      </c>
      <c r="D211" s="1" t="s">
        <v>20</v>
      </c>
      <c r="E211" t="s">
        <v>568</v>
      </c>
      <c r="F211" t="s">
        <v>569</v>
      </c>
      <c r="G211" t="s">
        <v>31</v>
      </c>
      <c r="H211" t="s">
        <v>39</v>
      </c>
      <c r="I211" t="s">
        <v>140</v>
      </c>
      <c r="J211">
        <v>1</v>
      </c>
      <c r="K211">
        <v>1799</v>
      </c>
      <c r="L211">
        <f>Table1[[#This Row],[Quantity]] * Table1[[#This Row],[UnitPrice]]</f>
        <v>1799</v>
      </c>
      <c r="M211" s="25">
        <v>5</v>
      </c>
      <c r="N211">
        <f>Table1[[#This Row],[Revenue]]*Table1[[#This Row],[Discount%]]/100</f>
        <v>89.95</v>
      </c>
      <c r="O211" s="6">
        <f>Table1[[#This Row],[Revenue]]-Table1[[#This Row],[Disc_amount]]</f>
        <v>1709.05</v>
      </c>
      <c r="P211" t="s">
        <v>33</v>
      </c>
      <c r="Q211" t="s">
        <v>27</v>
      </c>
    </row>
    <row r="212" spans="1:17">
      <c r="A212" t="s">
        <v>570</v>
      </c>
      <c r="B212" s="1" t="s">
        <v>564</v>
      </c>
      <c r="C212" s="1" t="s">
        <v>524</v>
      </c>
      <c r="D212" s="1" t="s">
        <v>20</v>
      </c>
      <c r="E212" t="s">
        <v>414</v>
      </c>
      <c r="F212" t="s">
        <v>415</v>
      </c>
      <c r="G212" t="s">
        <v>45</v>
      </c>
      <c r="H212" t="s">
        <v>108</v>
      </c>
      <c r="I212" t="s">
        <v>130</v>
      </c>
      <c r="J212">
        <v>3</v>
      </c>
      <c r="K212">
        <v>699</v>
      </c>
      <c r="L212">
        <f>Table1[[#This Row],[Quantity]] * Table1[[#This Row],[UnitPrice]]</f>
        <v>2097</v>
      </c>
      <c r="M212" s="25">
        <v>0</v>
      </c>
      <c r="N212">
        <f>Table1[[#This Row],[Revenue]]*Table1[[#This Row],[Discount%]]/100</f>
        <v>0</v>
      </c>
      <c r="O212" s="6">
        <f>Table1[[#This Row],[Revenue]]-Table1[[#This Row],[Disc_amount]]</f>
        <v>2097</v>
      </c>
      <c r="P212" t="s">
        <v>33</v>
      </c>
      <c r="Q212" t="s">
        <v>27</v>
      </c>
    </row>
    <row r="213" spans="1:17">
      <c r="A213" t="s">
        <v>571</v>
      </c>
      <c r="B213" s="1" t="s">
        <v>564</v>
      </c>
      <c r="C213" s="1" t="s">
        <v>524</v>
      </c>
      <c r="D213" s="1" t="s">
        <v>20</v>
      </c>
      <c r="E213" t="s">
        <v>371</v>
      </c>
      <c r="F213" t="s">
        <v>118</v>
      </c>
      <c r="G213" t="s">
        <v>23</v>
      </c>
      <c r="H213" t="s">
        <v>46</v>
      </c>
      <c r="I213" t="s">
        <v>47</v>
      </c>
      <c r="J213">
        <v>3</v>
      </c>
      <c r="K213">
        <v>249</v>
      </c>
      <c r="L213">
        <f>Table1[[#This Row],[Quantity]] * Table1[[#This Row],[UnitPrice]]</f>
        <v>747</v>
      </c>
      <c r="M213" s="25">
        <v>0</v>
      </c>
      <c r="N213">
        <f>Table1[[#This Row],[Revenue]]*Table1[[#This Row],[Discount%]]/100</f>
        <v>0</v>
      </c>
      <c r="O213" s="6">
        <f>Table1[[#This Row],[Revenue]]-Table1[[#This Row],[Disc_amount]]</f>
        <v>747</v>
      </c>
      <c r="P213" t="s">
        <v>26</v>
      </c>
      <c r="Q213" t="s">
        <v>34</v>
      </c>
    </row>
    <row r="214" spans="1:17">
      <c r="A214" t="s">
        <v>572</v>
      </c>
      <c r="B214" s="1" t="s">
        <v>564</v>
      </c>
      <c r="C214" s="1" t="s">
        <v>524</v>
      </c>
      <c r="D214" s="1" t="s">
        <v>20</v>
      </c>
      <c r="E214" t="s">
        <v>573</v>
      </c>
      <c r="F214" t="s">
        <v>574</v>
      </c>
      <c r="G214" t="s">
        <v>31</v>
      </c>
      <c r="H214" t="s">
        <v>65</v>
      </c>
      <c r="I214" t="s">
        <v>98</v>
      </c>
      <c r="J214">
        <v>2</v>
      </c>
      <c r="K214">
        <v>499</v>
      </c>
      <c r="L214">
        <f>Table1[[#This Row],[Quantity]] * Table1[[#This Row],[UnitPrice]]</f>
        <v>998</v>
      </c>
      <c r="M214" s="25">
        <v>5</v>
      </c>
      <c r="N214">
        <f>Table1[[#This Row],[Revenue]]*Table1[[#This Row],[Discount%]]/100</f>
        <v>49.9</v>
      </c>
      <c r="O214" s="6">
        <f>Table1[[#This Row],[Revenue]]-Table1[[#This Row],[Disc_amount]]</f>
        <v>948.1</v>
      </c>
      <c r="P214" t="s">
        <v>52</v>
      </c>
      <c r="Q214" t="s">
        <v>27</v>
      </c>
    </row>
    <row r="215" spans="1:17">
      <c r="A215" t="s">
        <v>575</v>
      </c>
      <c r="B215" s="1" t="s">
        <v>564</v>
      </c>
      <c r="C215" s="1" t="s">
        <v>524</v>
      </c>
      <c r="D215" s="1" t="s">
        <v>20</v>
      </c>
      <c r="E215" t="s">
        <v>120</v>
      </c>
      <c r="F215" t="s">
        <v>107</v>
      </c>
      <c r="G215" t="s">
        <v>31</v>
      </c>
      <c r="H215" t="s">
        <v>65</v>
      </c>
      <c r="I215" t="s">
        <v>98</v>
      </c>
      <c r="J215">
        <v>1</v>
      </c>
      <c r="K215">
        <v>499</v>
      </c>
      <c r="L215">
        <f>Table1[[#This Row],[Quantity]] * Table1[[#This Row],[UnitPrice]]</f>
        <v>499</v>
      </c>
      <c r="M215" s="25">
        <v>0</v>
      </c>
      <c r="N215">
        <f>Table1[[#This Row],[Revenue]]*Table1[[#This Row],[Discount%]]/100</f>
        <v>0</v>
      </c>
      <c r="O215" s="6">
        <f>Table1[[#This Row],[Revenue]]-Table1[[#This Row],[Disc_amount]]</f>
        <v>499</v>
      </c>
      <c r="P215" t="s">
        <v>26</v>
      </c>
      <c r="Q215" t="s">
        <v>27</v>
      </c>
    </row>
    <row r="216" spans="1:17">
      <c r="A216" t="s">
        <v>576</v>
      </c>
      <c r="B216" s="1" t="s">
        <v>564</v>
      </c>
      <c r="C216" s="1" t="s">
        <v>524</v>
      </c>
      <c r="D216" s="1" t="s">
        <v>20</v>
      </c>
      <c r="E216" t="s">
        <v>106</v>
      </c>
      <c r="F216" t="s">
        <v>107</v>
      </c>
      <c r="G216" t="s">
        <v>45</v>
      </c>
      <c r="H216" t="s">
        <v>108</v>
      </c>
      <c r="I216" t="s">
        <v>109</v>
      </c>
      <c r="J216">
        <v>2</v>
      </c>
      <c r="K216">
        <v>1499</v>
      </c>
      <c r="L216">
        <f>Table1[[#This Row],[Quantity]] * Table1[[#This Row],[UnitPrice]]</f>
        <v>2998</v>
      </c>
      <c r="M216" s="25">
        <v>0</v>
      </c>
      <c r="N216">
        <f>Table1[[#This Row],[Revenue]]*Table1[[#This Row],[Discount%]]/100</f>
        <v>0</v>
      </c>
      <c r="O216" s="6">
        <f>Table1[[#This Row],[Revenue]]-Table1[[#This Row],[Disc_amount]]</f>
        <v>2998</v>
      </c>
      <c r="P216" t="s">
        <v>26</v>
      </c>
      <c r="Q216" t="s">
        <v>34</v>
      </c>
    </row>
    <row r="217" spans="1:17">
      <c r="A217" t="s">
        <v>577</v>
      </c>
      <c r="B217" s="1" t="s">
        <v>564</v>
      </c>
      <c r="C217" s="1" t="s">
        <v>524</v>
      </c>
      <c r="D217" s="1" t="s">
        <v>20</v>
      </c>
      <c r="E217" t="s">
        <v>578</v>
      </c>
      <c r="F217" t="s">
        <v>579</v>
      </c>
      <c r="G217" t="s">
        <v>45</v>
      </c>
      <c r="H217" t="s">
        <v>24</v>
      </c>
      <c r="I217" t="s">
        <v>25</v>
      </c>
      <c r="J217">
        <v>1</v>
      </c>
      <c r="K217">
        <v>99</v>
      </c>
      <c r="L217">
        <f>Table1[[#This Row],[Quantity]] * Table1[[#This Row],[UnitPrice]]</f>
        <v>99</v>
      </c>
      <c r="M217" s="25">
        <v>5</v>
      </c>
      <c r="N217">
        <f>Table1[[#This Row],[Revenue]]*Table1[[#This Row],[Discount%]]/100</f>
        <v>4.95</v>
      </c>
      <c r="O217" s="6">
        <f>Table1[[#This Row],[Revenue]]-Table1[[#This Row],[Disc_amount]]</f>
        <v>94.05</v>
      </c>
      <c r="P217" t="s">
        <v>26</v>
      </c>
      <c r="Q217" t="s">
        <v>27</v>
      </c>
    </row>
    <row r="218" spans="1:17">
      <c r="A218" t="s">
        <v>580</v>
      </c>
      <c r="B218" s="1" t="s">
        <v>581</v>
      </c>
      <c r="C218" s="1" t="s">
        <v>524</v>
      </c>
      <c r="D218" s="1" t="s">
        <v>20</v>
      </c>
      <c r="E218" t="s">
        <v>292</v>
      </c>
      <c r="F218" t="s">
        <v>129</v>
      </c>
      <c r="G218" t="s">
        <v>38</v>
      </c>
      <c r="H218" t="s">
        <v>57</v>
      </c>
      <c r="I218" t="s">
        <v>62</v>
      </c>
      <c r="J218">
        <v>3</v>
      </c>
      <c r="K218">
        <v>799</v>
      </c>
      <c r="L218">
        <f>Table1[[#This Row],[Quantity]] * Table1[[#This Row],[UnitPrice]]</f>
        <v>2397</v>
      </c>
      <c r="M218" s="25">
        <v>20</v>
      </c>
      <c r="N218">
        <f>Table1[[#This Row],[Revenue]]*Table1[[#This Row],[Discount%]]/100</f>
        <v>479.4</v>
      </c>
      <c r="O218" s="6">
        <f>Table1[[#This Row],[Revenue]]-Table1[[#This Row],[Disc_amount]]</f>
        <v>1917.6</v>
      </c>
      <c r="P218" t="s">
        <v>86</v>
      </c>
      <c r="Q218" t="s">
        <v>27</v>
      </c>
    </row>
    <row r="219" spans="1:17">
      <c r="A219" t="s">
        <v>582</v>
      </c>
      <c r="B219" s="1" t="s">
        <v>581</v>
      </c>
      <c r="C219" s="1" t="s">
        <v>524</v>
      </c>
      <c r="D219" s="1" t="s">
        <v>20</v>
      </c>
      <c r="E219" t="s">
        <v>583</v>
      </c>
      <c r="F219" t="s">
        <v>584</v>
      </c>
      <c r="G219" t="s">
        <v>31</v>
      </c>
      <c r="H219" t="s">
        <v>39</v>
      </c>
      <c r="I219" t="s">
        <v>40</v>
      </c>
      <c r="J219">
        <v>1</v>
      </c>
      <c r="K219">
        <v>599</v>
      </c>
      <c r="L219">
        <f>Table1[[#This Row],[Quantity]] * Table1[[#This Row],[UnitPrice]]</f>
        <v>599</v>
      </c>
      <c r="M219" s="25">
        <v>15</v>
      </c>
      <c r="N219">
        <f>Table1[[#This Row],[Revenue]]*Table1[[#This Row],[Discount%]]/100</f>
        <v>89.85</v>
      </c>
      <c r="O219" s="6">
        <f>Table1[[#This Row],[Revenue]]-Table1[[#This Row],[Disc_amount]]</f>
        <v>509.15</v>
      </c>
      <c r="P219" t="s">
        <v>86</v>
      </c>
      <c r="Q219" t="s">
        <v>27</v>
      </c>
    </row>
    <row r="220" spans="1:17">
      <c r="A220" t="s">
        <v>585</v>
      </c>
      <c r="B220" s="1" t="s">
        <v>581</v>
      </c>
      <c r="C220" s="1" t="s">
        <v>524</v>
      </c>
      <c r="D220" s="1" t="s">
        <v>20</v>
      </c>
      <c r="E220" t="s">
        <v>586</v>
      </c>
      <c r="F220" t="s">
        <v>587</v>
      </c>
      <c r="G220" t="s">
        <v>23</v>
      </c>
      <c r="H220" t="s">
        <v>46</v>
      </c>
      <c r="I220" t="s">
        <v>154</v>
      </c>
      <c r="J220">
        <v>3</v>
      </c>
      <c r="K220">
        <v>299</v>
      </c>
      <c r="L220">
        <f>Table1[[#This Row],[Quantity]] * Table1[[#This Row],[UnitPrice]]</f>
        <v>897</v>
      </c>
      <c r="M220" s="25">
        <v>0</v>
      </c>
      <c r="N220">
        <f>Table1[[#This Row],[Revenue]]*Table1[[#This Row],[Discount%]]/100</f>
        <v>0</v>
      </c>
      <c r="O220" s="6">
        <f>Table1[[#This Row],[Revenue]]-Table1[[#This Row],[Disc_amount]]</f>
        <v>897</v>
      </c>
      <c r="P220" t="s">
        <v>33</v>
      </c>
      <c r="Q220" t="s">
        <v>27</v>
      </c>
    </row>
    <row r="221" spans="1:17">
      <c r="A221" t="s">
        <v>588</v>
      </c>
      <c r="B221" s="1" t="s">
        <v>581</v>
      </c>
      <c r="C221" s="1" t="s">
        <v>524</v>
      </c>
      <c r="D221" s="1" t="s">
        <v>20</v>
      </c>
      <c r="E221" t="s">
        <v>589</v>
      </c>
      <c r="F221" t="s">
        <v>501</v>
      </c>
      <c r="G221" t="s">
        <v>38</v>
      </c>
      <c r="H221" t="s">
        <v>57</v>
      </c>
      <c r="I221" t="s">
        <v>62</v>
      </c>
      <c r="J221">
        <v>2</v>
      </c>
      <c r="K221">
        <v>799</v>
      </c>
      <c r="L221">
        <f>Table1[[#This Row],[Quantity]] * Table1[[#This Row],[UnitPrice]]</f>
        <v>1598</v>
      </c>
      <c r="M221" s="25">
        <v>5</v>
      </c>
      <c r="N221">
        <f>Table1[[#This Row],[Revenue]]*Table1[[#This Row],[Discount%]]/100</f>
        <v>79.900000000000006</v>
      </c>
      <c r="O221" s="6">
        <f>Table1[[#This Row],[Revenue]]-Table1[[#This Row],[Disc_amount]]</f>
        <v>1518.1</v>
      </c>
      <c r="P221" t="s">
        <v>33</v>
      </c>
      <c r="Q221" t="s">
        <v>27</v>
      </c>
    </row>
    <row r="222" spans="1:17">
      <c r="A222" t="s">
        <v>590</v>
      </c>
      <c r="B222" s="1" t="s">
        <v>591</v>
      </c>
      <c r="C222" s="1" t="s">
        <v>524</v>
      </c>
      <c r="D222" s="1" t="s">
        <v>20</v>
      </c>
      <c r="E222" t="s">
        <v>592</v>
      </c>
      <c r="F222" t="s">
        <v>268</v>
      </c>
      <c r="G222" t="s">
        <v>23</v>
      </c>
      <c r="H222" t="s">
        <v>24</v>
      </c>
      <c r="I222" t="s">
        <v>32</v>
      </c>
      <c r="J222">
        <v>4</v>
      </c>
      <c r="K222">
        <v>199</v>
      </c>
      <c r="L222">
        <f>Table1[[#This Row],[Quantity]] * Table1[[#This Row],[UnitPrice]]</f>
        <v>796</v>
      </c>
      <c r="M222" s="25">
        <v>0</v>
      </c>
      <c r="N222">
        <f>Table1[[#This Row],[Revenue]]*Table1[[#This Row],[Discount%]]/100</f>
        <v>0</v>
      </c>
      <c r="O222" s="6">
        <f>Table1[[#This Row],[Revenue]]-Table1[[#This Row],[Disc_amount]]</f>
        <v>796</v>
      </c>
      <c r="P222" t="s">
        <v>26</v>
      </c>
      <c r="Q222" t="s">
        <v>34</v>
      </c>
    </row>
    <row r="223" spans="1:17">
      <c r="A223" t="s">
        <v>593</v>
      </c>
      <c r="B223" s="1" t="s">
        <v>591</v>
      </c>
      <c r="C223" s="1" t="s">
        <v>524</v>
      </c>
      <c r="D223" s="1" t="s">
        <v>20</v>
      </c>
      <c r="E223" t="s">
        <v>594</v>
      </c>
      <c r="F223" t="s">
        <v>546</v>
      </c>
      <c r="G223" t="s">
        <v>31</v>
      </c>
      <c r="H223" t="s">
        <v>70</v>
      </c>
      <c r="I223" t="s">
        <v>71</v>
      </c>
      <c r="J223">
        <v>1</v>
      </c>
      <c r="K223">
        <v>349</v>
      </c>
      <c r="L223">
        <f>Table1[[#This Row],[Quantity]] * Table1[[#This Row],[UnitPrice]]</f>
        <v>349</v>
      </c>
      <c r="M223" s="25">
        <v>10</v>
      </c>
      <c r="N223">
        <f>Table1[[#This Row],[Revenue]]*Table1[[#This Row],[Discount%]]/100</f>
        <v>34.9</v>
      </c>
      <c r="O223" s="6">
        <f>Table1[[#This Row],[Revenue]]-Table1[[#This Row],[Disc_amount]]</f>
        <v>314.10000000000002</v>
      </c>
      <c r="P223" t="s">
        <v>26</v>
      </c>
      <c r="Q223" t="s">
        <v>27</v>
      </c>
    </row>
    <row r="224" spans="1:17">
      <c r="A224" t="s">
        <v>595</v>
      </c>
      <c r="B224" s="1" t="s">
        <v>591</v>
      </c>
      <c r="C224" s="1" t="s">
        <v>524</v>
      </c>
      <c r="D224" s="1" t="s">
        <v>20</v>
      </c>
      <c r="E224" t="s">
        <v>596</v>
      </c>
      <c r="F224" t="s">
        <v>597</v>
      </c>
      <c r="G224" t="s">
        <v>38</v>
      </c>
      <c r="H224" t="s">
        <v>70</v>
      </c>
      <c r="I224" t="s">
        <v>91</v>
      </c>
      <c r="J224">
        <v>3</v>
      </c>
      <c r="K224">
        <v>549</v>
      </c>
      <c r="L224">
        <f>Table1[[#This Row],[Quantity]] * Table1[[#This Row],[UnitPrice]]</f>
        <v>1647</v>
      </c>
      <c r="M224" s="25">
        <v>20</v>
      </c>
      <c r="N224">
        <f>Table1[[#This Row],[Revenue]]*Table1[[#This Row],[Discount%]]/100</f>
        <v>329.4</v>
      </c>
      <c r="O224" s="6">
        <f>Table1[[#This Row],[Revenue]]-Table1[[#This Row],[Disc_amount]]</f>
        <v>1317.6</v>
      </c>
      <c r="P224" t="s">
        <v>86</v>
      </c>
      <c r="Q224" t="s">
        <v>27</v>
      </c>
    </row>
    <row r="225" spans="1:17">
      <c r="A225" t="s">
        <v>598</v>
      </c>
      <c r="B225" s="1" t="s">
        <v>591</v>
      </c>
      <c r="C225" s="1" t="s">
        <v>524</v>
      </c>
      <c r="D225" s="1" t="s">
        <v>20</v>
      </c>
      <c r="E225" t="s">
        <v>599</v>
      </c>
      <c r="F225" t="s">
        <v>600</v>
      </c>
      <c r="G225" t="s">
        <v>31</v>
      </c>
      <c r="H225" t="s">
        <v>39</v>
      </c>
      <c r="I225" t="s">
        <v>51</v>
      </c>
      <c r="J225">
        <v>2</v>
      </c>
      <c r="K225">
        <v>2999</v>
      </c>
      <c r="L225">
        <f>Table1[[#This Row],[Quantity]] * Table1[[#This Row],[UnitPrice]]</f>
        <v>5998</v>
      </c>
      <c r="M225" s="25">
        <v>5</v>
      </c>
      <c r="N225">
        <f>Table1[[#This Row],[Revenue]]*Table1[[#This Row],[Discount%]]/100</f>
        <v>299.89999999999998</v>
      </c>
      <c r="O225" s="6">
        <f>Table1[[#This Row],[Revenue]]-Table1[[#This Row],[Disc_amount]]</f>
        <v>5698.1</v>
      </c>
      <c r="P225" t="s">
        <v>33</v>
      </c>
      <c r="Q225" t="s">
        <v>27</v>
      </c>
    </row>
    <row r="226" spans="1:17">
      <c r="A226" t="s">
        <v>601</v>
      </c>
      <c r="B226" s="1" t="s">
        <v>602</v>
      </c>
      <c r="C226" s="1" t="s">
        <v>524</v>
      </c>
      <c r="D226" s="1" t="s">
        <v>20</v>
      </c>
      <c r="E226" t="s">
        <v>603</v>
      </c>
      <c r="F226" t="s">
        <v>604</v>
      </c>
      <c r="G226" t="s">
        <v>23</v>
      </c>
      <c r="H226" t="s">
        <v>46</v>
      </c>
      <c r="I226" t="s">
        <v>154</v>
      </c>
      <c r="J226">
        <v>1</v>
      </c>
      <c r="K226">
        <v>299</v>
      </c>
      <c r="L226">
        <f>Table1[[#This Row],[Quantity]] * Table1[[#This Row],[UnitPrice]]</f>
        <v>299</v>
      </c>
      <c r="M226" s="25">
        <v>0</v>
      </c>
      <c r="N226">
        <f>Table1[[#This Row],[Revenue]]*Table1[[#This Row],[Discount%]]/100</f>
        <v>0</v>
      </c>
      <c r="O226" s="6">
        <f>Table1[[#This Row],[Revenue]]-Table1[[#This Row],[Disc_amount]]</f>
        <v>299</v>
      </c>
      <c r="P226" t="s">
        <v>52</v>
      </c>
      <c r="Q226" t="s">
        <v>27</v>
      </c>
    </row>
    <row r="227" spans="1:17">
      <c r="A227" t="s">
        <v>605</v>
      </c>
      <c r="B227" s="1" t="s">
        <v>602</v>
      </c>
      <c r="C227" s="1" t="s">
        <v>524</v>
      </c>
      <c r="D227" s="1" t="s">
        <v>20</v>
      </c>
      <c r="E227" t="s">
        <v>606</v>
      </c>
      <c r="F227" t="s">
        <v>607</v>
      </c>
      <c r="G227" t="s">
        <v>56</v>
      </c>
      <c r="H227" t="s">
        <v>46</v>
      </c>
      <c r="I227" t="s">
        <v>154</v>
      </c>
      <c r="J227">
        <v>3</v>
      </c>
      <c r="K227">
        <v>299</v>
      </c>
      <c r="L227">
        <f>Table1[[#This Row],[Quantity]] * Table1[[#This Row],[UnitPrice]]</f>
        <v>897</v>
      </c>
      <c r="M227" s="25">
        <v>0</v>
      </c>
      <c r="N227">
        <f>Table1[[#This Row],[Revenue]]*Table1[[#This Row],[Discount%]]/100</f>
        <v>0</v>
      </c>
      <c r="O227" s="6">
        <f>Table1[[#This Row],[Revenue]]-Table1[[#This Row],[Disc_amount]]</f>
        <v>897</v>
      </c>
      <c r="P227" t="s">
        <v>86</v>
      </c>
      <c r="Q227" t="s">
        <v>34</v>
      </c>
    </row>
    <row r="228" spans="1:17">
      <c r="A228" t="s">
        <v>608</v>
      </c>
      <c r="B228" s="1" t="s">
        <v>602</v>
      </c>
      <c r="C228" s="1" t="s">
        <v>524</v>
      </c>
      <c r="D228" s="1" t="s">
        <v>20</v>
      </c>
      <c r="E228" t="s">
        <v>212</v>
      </c>
      <c r="F228" t="s">
        <v>213</v>
      </c>
      <c r="G228" t="s">
        <v>23</v>
      </c>
      <c r="H228" t="s">
        <v>24</v>
      </c>
      <c r="I228" t="s">
        <v>25</v>
      </c>
      <c r="J228">
        <v>1</v>
      </c>
      <c r="K228">
        <v>99</v>
      </c>
      <c r="L228">
        <f>Table1[[#This Row],[Quantity]] * Table1[[#This Row],[UnitPrice]]</f>
        <v>99</v>
      </c>
      <c r="M228" s="25">
        <v>10</v>
      </c>
      <c r="N228">
        <f>Table1[[#This Row],[Revenue]]*Table1[[#This Row],[Discount%]]/100</f>
        <v>9.9</v>
      </c>
      <c r="O228" s="6">
        <f>Table1[[#This Row],[Revenue]]-Table1[[#This Row],[Disc_amount]]</f>
        <v>89.1</v>
      </c>
      <c r="P228" t="s">
        <v>33</v>
      </c>
      <c r="Q228" t="s">
        <v>27</v>
      </c>
    </row>
    <row r="229" spans="1:17">
      <c r="A229" t="s">
        <v>609</v>
      </c>
      <c r="B229" s="1" t="s">
        <v>602</v>
      </c>
      <c r="C229" s="1" t="s">
        <v>524</v>
      </c>
      <c r="D229" s="1" t="s">
        <v>20</v>
      </c>
      <c r="E229" t="s">
        <v>241</v>
      </c>
      <c r="F229" t="s">
        <v>242</v>
      </c>
      <c r="G229" t="s">
        <v>38</v>
      </c>
      <c r="H229" t="s">
        <v>57</v>
      </c>
      <c r="I229" t="s">
        <v>62</v>
      </c>
      <c r="J229">
        <v>4</v>
      </c>
      <c r="K229">
        <v>799</v>
      </c>
      <c r="L229">
        <f>Table1[[#This Row],[Quantity]] * Table1[[#This Row],[UnitPrice]]</f>
        <v>3196</v>
      </c>
      <c r="M229" s="25">
        <v>20</v>
      </c>
      <c r="N229">
        <f>Table1[[#This Row],[Revenue]]*Table1[[#This Row],[Discount%]]/100</f>
        <v>639.20000000000005</v>
      </c>
      <c r="O229" s="6">
        <f>Table1[[#This Row],[Revenue]]-Table1[[#This Row],[Disc_amount]]</f>
        <v>2556.8000000000002</v>
      </c>
      <c r="P229" t="s">
        <v>86</v>
      </c>
      <c r="Q229" t="s">
        <v>27</v>
      </c>
    </row>
    <row r="230" spans="1:17">
      <c r="A230" t="s">
        <v>610</v>
      </c>
      <c r="B230" s="1" t="s">
        <v>602</v>
      </c>
      <c r="C230" s="1" t="s">
        <v>524</v>
      </c>
      <c r="D230" s="1" t="s">
        <v>20</v>
      </c>
      <c r="E230" t="s">
        <v>122</v>
      </c>
      <c r="F230" t="s">
        <v>123</v>
      </c>
      <c r="G230" t="s">
        <v>31</v>
      </c>
      <c r="H230" t="s">
        <v>70</v>
      </c>
      <c r="I230" t="s">
        <v>91</v>
      </c>
      <c r="J230">
        <v>1</v>
      </c>
      <c r="K230">
        <v>549</v>
      </c>
      <c r="L230">
        <f>Table1[[#This Row],[Quantity]] * Table1[[#This Row],[UnitPrice]]</f>
        <v>549</v>
      </c>
      <c r="M230" s="25">
        <v>10</v>
      </c>
      <c r="N230">
        <f>Table1[[#This Row],[Revenue]]*Table1[[#This Row],[Discount%]]/100</f>
        <v>54.9</v>
      </c>
      <c r="O230" s="6">
        <f>Table1[[#This Row],[Revenue]]-Table1[[#This Row],[Disc_amount]]</f>
        <v>494.1</v>
      </c>
      <c r="P230" t="s">
        <v>41</v>
      </c>
      <c r="Q230" t="s">
        <v>34</v>
      </c>
    </row>
    <row r="231" spans="1:17">
      <c r="A231" t="s">
        <v>611</v>
      </c>
      <c r="B231" s="1" t="s">
        <v>602</v>
      </c>
      <c r="C231" s="1" t="s">
        <v>524</v>
      </c>
      <c r="D231" s="1" t="s">
        <v>20</v>
      </c>
      <c r="E231" t="s">
        <v>612</v>
      </c>
      <c r="F231" t="s">
        <v>613</v>
      </c>
      <c r="G231" t="s">
        <v>31</v>
      </c>
      <c r="H231" t="s">
        <v>65</v>
      </c>
      <c r="I231" t="s">
        <v>98</v>
      </c>
      <c r="J231">
        <v>1</v>
      </c>
      <c r="K231">
        <v>499</v>
      </c>
      <c r="L231">
        <f>Table1[[#This Row],[Quantity]] * Table1[[#This Row],[UnitPrice]]</f>
        <v>499</v>
      </c>
      <c r="M231" s="25">
        <v>20</v>
      </c>
      <c r="N231">
        <f>Table1[[#This Row],[Revenue]]*Table1[[#This Row],[Discount%]]/100</f>
        <v>99.8</v>
      </c>
      <c r="O231" s="6">
        <f>Table1[[#This Row],[Revenue]]-Table1[[#This Row],[Disc_amount]]</f>
        <v>399.2</v>
      </c>
      <c r="P231" t="s">
        <v>33</v>
      </c>
      <c r="Q231" t="s">
        <v>27</v>
      </c>
    </row>
    <row r="232" spans="1:17">
      <c r="A232" t="s">
        <v>614</v>
      </c>
      <c r="B232" s="1" t="s">
        <v>602</v>
      </c>
      <c r="C232" s="1" t="s">
        <v>524</v>
      </c>
      <c r="D232" s="1" t="s">
        <v>20</v>
      </c>
      <c r="E232" t="s">
        <v>347</v>
      </c>
      <c r="F232" t="s">
        <v>348</v>
      </c>
      <c r="G232" t="s">
        <v>31</v>
      </c>
      <c r="H232" t="s">
        <v>39</v>
      </c>
      <c r="I232" t="s">
        <v>140</v>
      </c>
      <c r="J232">
        <v>2</v>
      </c>
      <c r="K232">
        <v>1799</v>
      </c>
      <c r="L232">
        <f>Table1[[#This Row],[Quantity]] * Table1[[#This Row],[UnitPrice]]</f>
        <v>3598</v>
      </c>
      <c r="M232" s="25">
        <v>15</v>
      </c>
      <c r="N232">
        <f>Table1[[#This Row],[Revenue]]*Table1[[#This Row],[Discount%]]/100</f>
        <v>539.70000000000005</v>
      </c>
      <c r="O232" s="6">
        <f>Table1[[#This Row],[Revenue]]-Table1[[#This Row],[Disc_amount]]</f>
        <v>3058.3</v>
      </c>
      <c r="P232" t="s">
        <v>26</v>
      </c>
      <c r="Q232" t="s">
        <v>27</v>
      </c>
    </row>
    <row r="233" spans="1:17">
      <c r="A233" t="s">
        <v>615</v>
      </c>
      <c r="B233" s="1" t="s">
        <v>602</v>
      </c>
      <c r="C233" s="1" t="s">
        <v>524</v>
      </c>
      <c r="D233" s="1" t="s">
        <v>20</v>
      </c>
      <c r="E233" t="s">
        <v>616</v>
      </c>
      <c r="F233" t="s">
        <v>617</v>
      </c>
      <c r="G233" t="s">
        <v>23</v>
      </c>
      <c r="H233" t="s">
        <v>46</v>
      </c>
      <c r="I233" t="s">
        <v>154</v>
      </c>
      <c r="J233">
        <v>3</v>
      </c>
      <c r="K233">
        <v>299</v>
      </c>
      <c r="L233">
        <f>Table1[[#This Row],[Quantity]] * Table1[[#This Row],[UnitPrice]]</f>
        <v>897</v>
      </c>
      <c r="M233" s="25">
        <v>0</v>
      </c>
      <c r="N233">
        <f>Table1[[#This Row],[Revenue]]*Table1[[#This Row],[Discount%]]/100</f>
        <v>0</v>
      </c>
      <c r="O233" s="6">
        <f>Table1[[#This Row],[Revenue]]-Table1[[#This Row],[Disc_amount]]</f>
        <v>897</v>
      </c>
      <c r="P233" t="s">
        <v>52</v>
      </c>
      <c r="Q233" t="s">
        <v>27</v>
      </c>
    </row>
    <row r="234" spans="1:17">
      <c r="A234" t="s">
        <v>618</v>
      </c>
      <c r="B234" s="1" t="s">
        <v>602</v>
      </c>
      <c r="C234" s="1" t="s">
        <v>524</v>
      </c>
      <c r="D234" s="1" t="s">
        <v>20</v>
      </c>
      <c r="E234" t="s">
        <v>120</v>
      </c>
      <c r="F234" t="s">
        <v>107</v>
      </c>
      <c r="G234" t="s">
        <v>23</v>
      </c>
      <c r="H234" t="s">
        <v>57</v>
      </c>
      <c r="I234" t="s">
        <v>58</v>
      </c>
      <c r="J234">
        <v>2</v>
      </c>
      <c r="K234">
        <v>1299</v>
      </c>
      <c r="L234">
        <f>Table1[[#This Row],[Quantity]] * Table1[[#This Row],[UnitPrice]]</f>
        <v>2598</v>
      </c>
      <c r="M234" s="25">
        <v>10</v>
      </c>
      <c r="N234">
        <f>Table1[[#This Row],[Revenue]]*Table1[[#This Row],[Discount%]]/100</f>
        <v>259.8</v>
      </c>
      <c r="O234" s="6">
        <f>Table1[[#This Row],[Revenue]]-Table1[[#This Row],[Disc_amount]]</f>
        <v>2338.1999999999998</v>
      </c>
      <c r="P234" t="s">
        <v>26</v>
      </c>
      <c r="Q234" t="s">
        <v>27</v>
      </c>
    </row>
    <row r="235" spans="1:17">
      <c r="A235" t="s">
        <v>619</v>
      </c>
      <c r="B235" s="1" t="s">
        <v>602</v>
      </c>
      <c r="C235" s="1" t="s">
        <v>524</v>
      </c>
      <c r="D235" s="1" t="s">
        <v>20</v>
      </c>
      <c r="E235" t="s">
        <v>282</v>
      </c>
      <c r="F235" t="s">
        <v>283</v>
      </c>
      <c r="G235" t="s">
        <v>38</v>
      </c>
      <c r="H235" t="s">
        <v>46</v>
      </c>
      <c r="I235" t="s">
        <v>47</v>
      </c>
      <c r="J235">
        <v>1</v>
      </c>
      <c r="K235">
        <v>249</v>
      </c>
      <c r="L235">
        <f>Table1[[#This Row],[Quantity]] * Table1[[#This Row],[UnitPrice]]</f>
        <v>249</v>
      </c>
      <c r="M235" s="25">
        <v>0</v>
      </c>
      <c r="N235">
        <f>Table1[[#This Row],[Revenue]]*Table1[[#This Row],[Discount%]]/100</f>
        <v>0</v>
      </c>
      <c r="O235" s="6">
        <f>Table1[[#This Row],[Revenue]]-Table1[[#This Row],[Disc_amount]]</f>
        <v>249</v>
      </c>
      <c r="P235" t="s">
        <v>41</v>
      </c>
      <c r="Q235" t="s">
        <v>34</v>
      </c>
    </row>
    <row r="236" spans="1:17">
      <c r="A236" t="s">
        <v>620</v>
      </c>
      <c r="B236" s="1" t="s">
        <v>621</v>
      </c>
      <c r="C236" s="1" t="s">
        <v>524</v>
      </c>
      <c r="D236" s="1" t="s">
        <v>20</v>
      </c>
      <c r="E236" t="s">
        <v>622</v>
      </c>
      <c r="F236" t="s">
        <v>623</v>
      </c>
      <c r="G236" t="s">
        <v>56</v>
      </c>
      <c r="H236" t="s">
        <v>57</v>
      </c>
      <c r="I236" t="s">
        <v>58</v>
      </c>
      <c r="J236">
        <v>1</v>
      </c>
      <c r="K236">
        <v>1299</v>
      </c>
      <c r="L236">
        <f>Table1[[#This Row],[Quantity]] * Table1[[#This Row],[UnitPrice]]</f>
        <v>1299</v>
      </c>
      <c r="M236" s="25">
        <v>20</v>
      </c>
      <c r="N236">
        <f>Table1[[#This Row],[Revenue]]*Table1[[#This Row],[Discount%]]/100</f>
        <v>259.8</v>
      </c>
      <c r="O236" s="6">
        <f>Table1[[#This Row],[Revenue]]-Table1[[#This Row],[Disc_amount]]</f>
        <v>1039.2</v>
      </c>
      <c r="P236" t="s">
        <v>41</v>
      </c>
      <c r="Q236" t="s">
        <v>27</v>
      </c>
    </row>
    <row r="237" spans="1:17">
      <c r="A237" t="s">
        <v>624</v>
      </c>
      <c r="B237" s="1" t="s">
        <v>621</v>
      </c>
      <c r="C237" s="1" t="s">
        <v>524</v>
      </c>
      <c r="D237" s="1" t="s">
        <v>20</v>
      </c>
      <c r="E237" t="s">
        <v>409</v>
      </c>
      <c r="F237" t="s">
        <v>410</v>
      </c>
      <c r="G237" t="s">
        <v>23</v>
      </c>
      <c r="H237" t="s">
        <v>70</v>
      </c>
      <c r="I237" t="s">
        <v>91</v>
      </c>
      <c r="J237">
        <v>1</v>
      </c>
      <c r="K237">
        <v>549</v>
      </c>
      <c r="L237">
        <f>Table1[[#This Row],[Quantity]] * Table1[[#This Row],[UnitPrice]]</f>
        <v>549</v>
      </c>
      <c r="M237" s="25">
        <v>0</v>
      </c>
      <c r="N237">
        <f>Table1[[#This Row],[Revenue]]*Table1[[#This Row],[Discount%]]/100</f>
        <v>0</v>
      </c>
      <c r="O237" s="6">
        <f>Table1[[#This Row],[Revenue]]-Table1[[#This Row],[Disc_amount]]</f>
        <v>549</v>
      </c>
      <c r="P237" t="s">
        <v>52</v>
      </c>
      <c r="Q237" t="s">
        <v>27</v>
      </c>
    </row>
    <row r="238" spans="1:17">
      <c r="A238" t="s">
        <v>625</v>
      </c>
      <c r="B238" s="1" t="s">
        <v>621</v>
      </c>
      <c r="C238" s="1" t="s">
        <v>524</v>
      </c>
      <c r="D238" s="1" t="s">
        <v>20</v>
      </c>
      <c r="E238" t="s">
        <v>626</v>
      </c>
      <c r="F238" t="s">
        <v>376</v>
      </c>
      <c r="G238" t="s">
        <v>45</v>
      </c>
      <c r="H238" t="s">
        <v>57</v>
      </c>
      <c r="I238" t="s">
        <v>62</v>
      </c>
      <c r="J238">
        <v>3</v>
      </c>
      <c r="K238">
        <v>799</v>
      </c>
      <c r="L238">
        <f>Table1[[#This Row],[Quantity]] * Table1[[#This Row],[UnitPrice]]</f>
        <v>2397</v>
      </c>
      <c r="M238" s="25">
        <v>0</v>
      </c>
      <c r="N238">
        <f>Table1[[#This Row],[Revenue]]*Table1[[#This Row],[Discount%]]/100</f>
        <v>0</v>
      </c>
      <c r="O238" s="6">
        <f>Table1[[#This Row],[Revenue]]-Table1[[#This Row],[Disc_amount]]</f>
        <v>2397</v>
      </c>
      <c r="P238" t="s">
        <v>52</v>
      </c>
      <c r="Q238" t="s">
        <v>27</v>
      </c>
    </row>
    <row r="239" spans="1:17">
      <c r="A239" t="s">
        <v>627</v>
      </c>
      <c r="B239" s="1" t="s">
        <v>621</v>
      </c>
      <c r="C239" s="1" t="s">
        <v>524</v>
      </c>
      <c r="D239" s="1" t="s">
        <v>20</v>
      </c>
      <c r="E239" t="s">
        <v>628</v>
      </c>
      <c r="F239" t="s">
        <v>245</v>
      </c>
      <c r="G239" t="s">
        <v>23</v>
      </c>
      <c r="H239" t="s">
        <v>24</v>
      </c>
      <c r="I239" t="s">
        <v>25</v>
      </c>
      <c r="J239">
        <v>1</v>
      </c>
      <c r="K239">
        <v>99</v>
      </c>
      <c r="L239">
        <f>Table1[[#This Row],[Quantity]] * Table1[[#This Row],[UnitPrice]]</f>
        <v>99</v>
      </c>
      <c r="M239" s="25">
        <v>0</v>
      </c>
      <c r="N239">
        <f>Table1[[#This Row],[Revenue]]*Table1[[#This Row],[Discount%]]/100</f>
        <v>0</v>
      </c>
      <c r="O239" s="6">
        <f>Table1[[#This Row],[Revenue]]-Table1[[#This Row],[Disc_amount]]</f>
        <v>99</v>
      </c>
      <c r="P239" t="s">
        <v>26</v>
      </c>
      <c r="Q239" t="s">
        <v>34</v>
      </c>
    </row>
    <row r="240" spans="1:17">
      <c r="A240" t="s">
        <v>629</v>
      </c>
      <c r="B240" s="1" t="s">
        <v>621</v>
      </c>
      <c r="C240" s="1" t="s">
        <v>524</v>
      </c>
      <c r="D240" s="1" t="s">
        <v>20</v>
      </c>
      <c r="E240" t="s">
        <v>616</v>
      </c>
      <c r="F240" t="s">
        <v>617</v>
      </c>
      <c r="G240" t="s">
        <v>31</v>
      </c>
      <c r="H240" t="s">
        <v>70</v>
      </c>
      <c r="I240" t="s">
        <v>71</v>
      </c>
      <c r="J240">
        <v>2</v>
      </c>
      <c r="K240">
        <v>349</v>
      </c>
      <c r="L240">
        <f>Table1[[#This Row],[Quantity]] * Table1[[#This Row],[UnitPrice]]</f>
        <v>698</v>
      </c>
      <c r="M240" s="25">
        <v>0</v>
      </c>
      <c r="N240">
        <f>Table1[[#This Row],[Revenue]]*Table1[[#This Row],[Discount%]]/100</f>
        <v>0</v>
      </c>
      <c r="O240" s="6">
        <f>Table1[[#This Row],[Revenue]]-Table1[[#This Row],[Disc_amount]]</f>
        <v>698</v>
      </c>
      <c r="P240" t="s">
        <v>26</v>
      </c>
      <c r="Q240" t="s">
        <v>27</v>
      </c>
    </row>
    <row r="241" spans="1:17">
      <c r="A241" t="s">
        <v>630</v>
      </c>
      <c r="B241" s="1" t="s">
        <v>631</v>
      </c>
      <c r="C241" s="1" t="s">
        <v>524</v>
      </c>
      <c r="D241" s="1" t="s">
        <v>20</v>
      </c>
      <c r="E241" t="s">
        <v>252</v>
      </c>
      <c r="F241" t="s">
        <v>253</v>
      </c>
      <c r="G241" t="s">
        <v>38</v>
      </c>
      <c r="H241" t="s">
        <v>57</v>
      </c>
      <c r="I241" t="s">
        <v>62</v>
      </c>
      <c r="J241">
        <v>2</v>
      </c>
      <c r="K241">
        <v>799</v>
      </c>
      <c r="L241">
        <f>Table1[[#This Row],[Quantity]] * Table1[[#This Row],[UnitPrice]]</f>
        <v>1598</v>
      </c>
      <c r="M241" s="25">
        <v>20</v>
      </c>
      <c r="N241">
        <f>Table1[[#This Row],[Revenue]]*Table1[[#This Row],[Discount%]]/100</f>
        <v>319.60000000000002</v>
      </c>
      <c r="O241" s="6">
        <f>Table1[[#This Row],[Revenue]]-Table1[[#This Row],[Disc_amount]]</f>
        <v>1278.4000000000001</v>
      </c>
      <c r="P241" t="s">
        <v>33</v>
      </c>
      <c r="Q241" t="s">
        <v>34</v>
      </c>
    </row>
    <row r="242" spans="1:17">
      <c r="A242" t="s">
        <v>632</v>
      </c>
      <c r="B242" s="1" t="s">
        <v>631</v>
      </c>
      <c r="C242" s="1" t="s">
        <v>524</v>
      </c>
      <c r="D242" s="1" t="s">
        <v>20</v>
      </c>
      <c r="E242" t="s">
        <v>386</v>
      </c>
      <c r="F242" t="s">
        <v>183</v>
      </c>
      <c r="G242" t="s">
        <v>31</v>
      </c>
      <c r="H242" t="s">
        <v>65</v>
      </c>
      <c r="I242" t="s">
        <v>94</v>
      </c>
      <c r="J242">
        <v>1</v>
      </c>
      <c r="K242">
        <v>899</v>
      </c>
      <c r="L242">
        <f>Table1[[#This Row],[Quantity]] * Table1[[#This Row],[UnitPrice]]</f>
        <v>899</v>
      </c>
      <c r="M242" s="25">
        <v>15</v>
      </c>
      <c r="N242">
        <f>Table1[[#This Row],[Revenue]]*Table1[[#This Row],[Discount%]]/100</f>
        <v>134.85</v>
      </c>
      <c r="O242" s="6">
        <f>Table1[[#This Row],[Revenue]]-Table1[[#This Row],[Disc_amount]]</f>
        <v>764.15</v>
      </c>
      <c r="P242" t="s">
        <v>86</v>
      </c>
      <c r="Q242" t="s">
        <v>34</v>
      </c>
    </row>
    <row r="243" spans="1:17">
      <c r="A243" t="s">
        <v>633</v>
      </c>
      <c r="B243" s="1" t="s">
        <v>631</v>
      </c>
      <c r="C243" s="1" t="s">
        <v>524</v>
      </c>
      <c r="D243" s="1" t="s">
        <v>20</v>
      </c>
      <c r="E243" t="s">
        <v>294</v>
      </c>
      <c r="F243" t="s">
        <v>295</v>
      </c>
      <c r="G243" t="s">
        <v>56</v>
      </c>
      <c r="H243" t="s">
        <v>57</v>
      </c>
      <c r="I243" t="s">
        <v>62</v>
      </c>
      <c r="J243">
        <v>2</v>
      </c>
      <c r="K243">
        <v>799</v>
      </c>
      <c r="L243">
        <f>Table1[[#This Row],[Quantity]] * Table1[[#This Row],[UnitPrice]]</f>
        <v>1598</v>
      </c>
      <c r="M243" s="25">
        <v>5</v>
      </c>
      <c r="N243">
        <f>Table1[[#This Row],[Revenue]]*Table1[[#This Row],[Discount%]]/100</f>
        <v>79.900000000000006</v>
      </c>
      <c r="O243" s="6">
        <f>Table1[[#This Row],[Revenue]]-Table1[[#This Row],[Disc_amount]]</f>
        <v>1518.1</v>
      </c>
      <c r="P243" t="s">
        <v>33</v>
      </c>
      <c r="Q243" t="s">
        <v>27</v>
      </c>
    </row>
    <row r="244" spans="1:17">
      <c r="A244" t="s">
        <v>634</v>
      </c>
      <c r="B244" s="1" t="s">
        <v>631</v>
      </c>
      <c r="C244" s="1" t="s">
        <v>524</v>
      </c>
      <c r="D244" s="1" t="s">
        <v>20</v>
      </c>
      <c r="E244" t="s">
        <v>392</v>
      </c>
      <c r="F244" t="s">
        <v>236</v>
      </c>
      <c r="G244" t="s">
        <v>23</v>
      </c>
      <c r="H244" t="s">
        <v>65</v>
      </c>
      <c r="I244" t="s">
        <v>94</v>
      </c>
      <c r="J244">
        <v>1</v>
      </c>
      <c r="K244">
        <v>899</v>
      </c>
      <c r="L244">
        <f>Table1[[#This Row],[Quantity]] * Table1[[#This Row],[UnitPrice]]</f>
        <v>899</v>
      </c>
      <c r="M244" s="25">
        <v>5</v>
      </c>
      <c r="N244">
        <f>Table1[[#This Row],[Revenue]]*Table1[[#This Row],[Discount%]]/100</f>
        <v>44.95</v>
      </c>
      <c r="O244" s="6">
        <f>Table1[[#This Row],[Revenue]]-Table1[[#This Row],[Disc_amount]]</f>
        <v>854.05</v>
      </c>
      <c r="P244" t="s">
        <v>41</v>
      </c>
      <c r="Q244" t="s">
        <v>27</v>
      </c>
    </row>
    <row r="245" spans="1:17">
      <c r="A245" t="s">
        <v>635</v>
      </c>
      <c r="B245" s="1" t="s">
        <v>631</v>
      </c>
      <c r="C245" s="1" t="s">
        <v>524</v>
      </c>
      <c r="D245" s="1" t="s">
        <v>20</v>
      </c>
      <c r="E245" t="s">
        <v>636</v>
      </c>
      <c r="F245" t="s">
        <v>61</v>
      </c>
      <c r="G245" t="s">
        <v>31</v>
      </c>
      <c r="H245" t="s">
        <v>65</v>
      </c>
      <c r="I245" t="s">
        <v>98</v>
      </c>
      <c r="J245">
        <v>1</v>
      </c>
      <c r="K245">
        <v>499</v>
      </c>
      <c r="L245">
        <f>Table1[[#This Row],[Quantity]] * Table1[[#This Row],[UnitPrice]]</f>
        <v>499</v>
      </c>
      <c r="M245" s="25">
        <v>0</v>
      </c>
      <c r="N245">
        <f>Table1[[#This Row],[Revenue]]*Table1[[#This Row],[Discount%]]/100</f>
        <v>0</v>
      </c>
      <c r="O245" s="6">
        <f>Table1[[#This Row],[Revenue]]-Table1[[#This Row],[Disc_amount]]</f>
        <v>499</v>
      </c>
      <c r="P245" t="s">
        <v>86</v>
      </c>
      <c r="Q245" t="s">
        <v>27</v>
      </c>
    </row>
    <row r="246" spans="1:17">
      <c r="A246" t="s">
        <v>637</v>
      </c>
      <c r="B246" s="1" t="s">
        <v>631</v>
      </c>
      <c r="C246" s="1" t="s">
        <v>524</v>
      </c>
      <c r="D246" s="1" t="s">
        <v>20</v>
      </c>
      <c r="E246" t="s">
        <v>638</v>
      </c>
      <c r="F246" t="s">
        <v>335</v>
      </c>
      <c r="G246" t="s">
        <v>38</v>
      </c>
      <c r="H246" t="s">
        <v>39</v>
      </c>
      <c r="I246" t="s">
        <v>40</v>
      </c>
      <c r="J246">
        <v>4</v>
      </c>
      <c r="K246">
        <v>599</v>
      </c>
      <c r="L246">
        <f>Table1[[#This Row],[Quantity]] * Table1[[#This Row],[UnitPrice]]</f>
        <v>2396</v>
      </c>
      <c r="M246" s="25">
        <v>0</v>
      </c>
      <c r="N246">
        <f>Table1[[#This Row],[Revenue]]*Table1[[#This Row],[Discount%]]/100</f>
        <v>0</v>
      </c>
      <c r="O246" s="6">
        <f>Table1[[#This Row],[Revenue]]-Table1[[#This Row],[Disc_amount]]</f>
        <v>2396</v>
      </c>
      <c r="P246" t="s">
        <v>86</v>
      </c>
      <c r="Q246" t="s">
        <v>27</v>
      </c>
    </row>
    <row r="247" spans="1:17">
      <c r="A247" t="s">
        <v>639</v>
      </c>
      <c r="B247" s="1" t="s">
        <v>631</v>
      </c>
      <c r="C247" s="1" t="s">
        <v>524</v>
      </c>
      <c r="D247" s="1" t="s">
        <v>20</v>
      </c>
      <c r="E247" t="s">
        <v>640</v>
      </c>
      <c r="F247" t="s">
        <v>225</v>
      </c>
      <c r="G247" t="s">
        <v>56</v>
      </c>
      <c r="H247" t="s">
        <v>24</v>
      </c>
      <c r="I247" t="s">
        <v>32</v>
      </c>
      <c r="J247">
        <v>1</v>
      </c>
      <c r="K247">
        <v>199</v>
      </c>
      <c r="L247">
        <f>Table1[[#This Row],[Quantity]] * Table1[[#This Row],[UnitPrice]]</f>
        <v>199</v>
      </c>
      <c r="M247" s="25">
        <v>5</v>
      </c>
      <c r="N247">
        <f>Table1[[#This Row],[Revenue]]*Table1[[#This Row],[Discount%]]/100</f>
        <v>9.9499999999999993</v>
      </c>
      <c r="O247" s="6">
        <f>Table1[[#This Row],[Revenue]]-Table1[[#This Row],[Disc_amount]]</f>
        <v>189.05</v>
      </c>
      <c r="P247" t="s">
        <v>52</v>
      </c>
      <c r="Q247" t="s">
        <v>27</v>
      </c>
    </row>
    <row r="248" spans="1:17">
      <c r="A248" t="s">
        <v>641</v>
      </c>
      <c r="B248" s="1" t="s">
        <v>631</v>
      </c>
      <c r="C248" s="1" t="s">
        <v>524</v>
      </c>
      <c r="D248" s="1" t="s">
        <v>20</v>
      </c>
      <c r="E248" t="s">
        <v>344</v>
      </c>
      <c r="F248" t="s">
        <v>345</v>
      </c>
      <c r="G248" t="s">
        <v>23</v>
      </c>
      <c r="H248" t="s">
        <v>46</v>
      </c>
      <c r="I248" t="s">
        <v>47</v>
      </c>
      <c r="J248">
        <v>3</v>
      </c>
      <c r="K248">
        <v>249</v>
      </c>
      <c r="L248">
        <f>Table1[[#This Row],[Quantity]] * Table1[[#This Row],[UnitPrice]]</f>
        <v>747</v>
      </c>
      <c r="M248" s="25">
        <v>0</v>
      </c>
      <c r="N248">
        <f>Table1[[#This Row],[Revenue]]*Table1[[#This Row],[Discount%]]/100</f>
        <v>0</v>
      </c>
      <c r="O248" s="6">
        <f>Table1[[#This Row],[Revenue]]-Table1[[#This Row],[Disc_amount]]</f>
        <v>747</v>
      </c>
      <c r="P248" t="s">
        <v>33</v>
      </c>
      <c r="Q248" t="s">
        <v>27</v>
      </c>
    </row>
    <row r="249" spans="1:17">
      <c r="A249" t="s">
        <v>642</v>
      </c>
      <c r="B249" s="1" t="s">
        <v>643</v>
      </c>
      <c r="C249" s="1" t="s">
        <v>524</v>
      </c>
      <c r="D249" s="1" t="s">
        <v>20</v>
      </c>
      <c r="E249" t="s">
        <v>255</v>
      </c>
      <c r="F249" t="s">
        <v>256</v>
      </c>
      <c r="G249" t="s">
        <v>45</v>
      </c>
      <c r="H249" t="s">
        <v>46</v>
      </c>
      <c r="I249" t="s">
        <v>47</v>
      </c>
      <c r="J249">
        <v>3</v>
      </c>
      <c r="K249">
        <v>249</v>
      </c>
      <c r="L249">
        <f>Table1[[#This Row],[Quantity]] * Table1[[#This Row],[UnitPrice]]</f>
        <v>747</v>
      </c>
      <c r="M249" s="25">
        <v>20</v>
      </c>
      <c r="N249">
        <f>Table1[[#This Row],[Revenue]]*Table1[[#This Row],[Discount%]]/100</f>
        <v>149.4</v>
      </c>
      <c r="O249" s="6">
        <f>Table1[[#This Row],[Revenue]]-Table1[[#This Row],[Disc_amount]]</f>
        <v>597.6</v>
      </c>
      <c r="P249" t="s">
        <v>52</v>
      </c>
      <c r="Q249" t="s">
        <v>34</v>
      </c>
    </row>
    <row r="250" spans="1:17">
      <c r="A250" t="s">
        <v>644</v>
      </c>
      <c r="B250" s="1" t="s">
        <v>643</v>
      </c>
      <c r="C250" s="1" t="s">
        <v>524</v>
      </c>
      <c r="D250" s="1" t="s">
        <v>20</v>
      </c>
      <c r="E250" t="s">
        <v>645</v>
      </c>
      <c r="F250" t="s">
        <v>248</v>
      </c>
      <c r="G250" t="s">
        <v>31</v>
      </c>
      <c r="H250" t="s">
        <v>65</v>
      </c>
      <c r="I250" t="s">
        <v>66</v>
      </c>
      <c r="J250">
        <v>4</v>
      </c>
      <c r="K250">
        <v>1999</v>
      </c>
      <c r="L250">
        <f>Table1[[#This Row],[Quantity]] * Table1[[#This Row],[UnitPrice]]</f>
        <v>7996</v>
      </c>
      <c r="M250" s="25">
        <v>0</v>
      </c>
      <c r="N250">
        <f>Table1[[#This Row],[Revenue]]*Table1[[#This Row],[Discount%]]/100</f>
        <v>0</v>
      </c>
      <c r="O250" s="6">
        <f>Table1[[#This Row],[Revenue]]-Table1[[#This Row],[Disc_amount]]</f>
        <v>7996</v>
      </c>
      <c r="P250" t="s">
        <v>41</v>
      </c>
      <c r="Q250" t="s">
        <v>27</v>
      </c>
    </row>
    <row r="251" spans="1:17">
      <c r="A251" t="s">
        <v>646</v>
      </c>
      <c r="B251" s="1" t="s">
        <v>643</v>
      </c>
      <c r="C251" s="1" t="s">
        <v>524</v>
      </c>
      <c r="D251" s="1" t="s">
        <v>20</v>
      </c>
      <c r="E251" t="s">
        <v>149</v>
      </c>
      <c r="F251" t="s">
        <v>150</v>
      </c>
      <c r="G251" t="s">
        <v>38</v>
      </c>
      <c r="H251" t="s">
        <v>108</v>
      </c>
      <c r="I251" t="s">
        <v>130</v>
      </c>
      <c r="J251">
        <v>3</v>
      </c>
      <c r="K251">
        <v>699</v>
      </c>
      <c r="L251">
        <f>Table1[[#This Row],[Quantity]] * Table1[[#This Row],[UnitPrice]]</f>
        <v>2097</v>
      </c>
      <c r="M251" s="25">
        <v>5</v>
      </c>
      <c r="N251">
        <f>Table1[[#This Row],[Revenue]]*Table1[[#This Row],[Discount%]]/100</f>
        <v>104.85</v>
      </c>
      <c r="O251" s="6">
        <f>Table1[[#This Row],[Revenue]]-Table1[[#This Row],[Disc_amount]]</f>
        <v>1992.15</v>
      </c>
      <c r="P251" t="s">
        <v>41</v>
      </c>
      <c r="Q251" t="s">
        <v>27</v>
      </c>
    </row>
    <row r="252" spans="1:17">
      <c r="A252" t="s">
        <v>647</v>
      </c>
      <c r="B252" s="1" t="s">
        <v>643</v>
      </c>
      <c r="C252" s="1" t="s">
        <v>524</v>
      </c>
      <c r="D252" s="1" t="s">
        <v>20</v>
      </c>
      <c r="E252" t="s">
        <v>648</v>
      </c>
      <c r="F252" t="s">
        <v>213</v>
      </c>
      <c r="G252" t="s">
        <v>38</v>
      </c>
      <c r="H252" t="s">
        <v>70</v>
      </c>
      <c r="I252" t="s">
        <v>71</v>
      </c>
      <c r="J252">
        <v>3</v>
      </c>
      <c r="K252">
        <v>349</v>
      </c>
      <c r="L252">
        <f>Table1[[#This Row],[Quantity]] * Table1[[#This Row],[UnitPrice]]</f>
        <v>1047</v>
      </c>
      <c r="M252" s="25">
        <v>10</v>
      </c>
      <c r="N252">
        <f>Table1[[#This Row],[Revenue]]*Table1[[#This Row],[Discount%]]/100</f>
        <v>104.7</v>
      </c>
      <c r="O252" s="6">
        <f>Table1[[#This Row],[Revenue]]-Table1[[#This Row],[Disc_amount]]</f>
        <v>942.3</v>
      </c>
      <c r="P252" t="s">
        <v>86</v>
      </c>
      <c r="Q252" t="s">
        <v>27</v>
      </c>
    </row>
    <row r="253" spans="1:17">
      <c r="A253" t="s">
        <v>649</v>
      </c>
      <c r="B253" s="1" t="s">
        <v>650</v>
      </c>
      <c r="C253" s="1" t="s">
        <v>524</v>
      </c>
      <c r="D253" s="1" t="s">
        <v>20</v>
      </c>
      <c r="E253" t="s">
        <v>282</v>
      </c>
      <c r="F253" t="s">
        <v>283</v>
      </c>
      <c r="G253" t="s">
        <v>38</v>
      </c>
      <c r="H253" t="s">
        <v>39</v>
      </c>
      <c r="I253" t="s">
        <v>51</v>
      </c>
      <c r="J253">
        <v>3</v>
      </c>
      <c r="K253">
        <v>2999</v>
      </c>
      <c r="L253">
        <f>Table1[[#This Row],[Quantity]] * Table1[[#This Row],[UnitPrice]]</f>
        <v>8997</v>
      </c>
      <c r="M253" s="25">
        <v>5</v>
      </c>
      <c r="N253">
        <f>Table1[[#This Row],[Revenue]]*Table1[[#This Row],[Discount%]]/100</f>
        <v>449.85</v>
      </c>
      <c r="O253" s="6">
        <f>Table1[[#This Row],[Revenue]]-Table1[[#This Row],[Disc_amount]]</f>
        <v>8547.15</v>
      </c>
      <c r="P253" t="s">
        <v>33</v>
      </c>
      <c r="Q253" t="s">
        <v>27</v>
      </c>
    </row>
    <row r="254" spans="1:17">
      <c r="A254" t="s">
        <v>651</v>
      </c>
      <c r="B254" s="1" t="s">
        <v>650</v>
      </c>
      <c r="C254" s="1" t="s">
        <v>524</v>
      </c>
      <c r="D254" s="1" t="s">
        <v>20</v>
      </c>
      <c r="E254" t="s">
        <v>652</v>
      </c>
      <c r="F254" t="s">
        <v>443</v>
      </c>
      <c r="G254" t="s">
        <v>38</v>
      </c>
      <c r="H254" t="s">
        <v>39</v>
      </c>
      <c r="I254" t="s">
        <v>51</v>
      </c>
      <c r="J254">
        <v>1</v>
      </c>
      <c r="K254">
        <v>2999</v>
      </c>
      <c r="L254">
        <f>Table1[[#This Row],[Quantity]] * Table1[[#This Row],[UnitPrice]]</f>
        <v>2999</v>
      </c>
      <c r="M254" s="25">
        <v>0</v>
      </c>
      <c r="N254">
        <f>Table1[[#This Row],[Revenue]]*Table1[[#This Row],[Discount%]]/100</f>
        <v>0</v>
      </c>
      <c r="O254" s="6">
        <f>Table1[[#This Row],[Revenue]]-Table1[[#This Row],[Disc_amount]]</f>
        <v>2999</v>
      </c>
      <c r="P254" t="s">
        <v>41</v>
      </c>
      <c r="Q254" t="s">
        <v>27</v>
      </c>
    </row>
    <row r="255" spans="1:17">
      <c r="A255" t="s">
        <v>653</v>
      </c>
      <c r="B255" s="1" t="s">
        <v>650</v>
      </c>
      <c r="C255" s="1" t="s">
        <v>524</v>
      </c>
      <c r="D255" s="1" t="s">
        <v>20</v>
      </c>
      <c r="E255" t="s">
        <v>506</v>
      </c>
      <c r="F255" t="s">
        <v>90</v>
      </c>
      <c r="G255" t="s">
        <v>45</v>
      </c>
      <c r="H255" t="s">
        <v>39</v>
      </c>
      <c r="I255" t="s">
        <v>140</v>
      </c>
      <c r="J255">
        <v>1</v>
      </c>
      <c r="K255">
        <v>1799</v>
      </c>
      <c r="L255">
        <f>Table1[[#This Row],[Quantity]] * Table1[[#This Row],[UnitPrice]]</f>
        <v>1799</v>
      </c>
      <c r="M255" s="25">
        <v>15</v>
      </c>
      <c r="N255">
        <f>Table1[[#This Row],[Revenue]]*Table1[[#This Row],[Discount%]]/100</f>
        <v>269.85000000000002</v>
      </c>
      <c r="O255" s="6">
        <f>Table1[[#This Row],[Revenue]]-Table1[[#This Row],[Disc_amount]]</f>
        <v>1529.15</v>
      </c>
      <c r="P255" t="s">
        <v>86</v>
      </c>
      <c r="Q255" t="s">
        <v>27</v>
      </c>
    </row>
    <row r="256" spans="1:17">
      <c r="A256" t="s">
        <v>654</v>
      </c>
      <c r="B256" s="1" t="s">
        <v>650</v>
      </c>
      <c r="C256" s="1" t="s">
        <v>524</v>
      </c>
      <c r="D256" s="1" t="s">
        <v>20</v>
      </c>
      <c r="E256" t="s">
        <v>655</v>
      </c>
      <c r="F256" t="s">
        <v>195</v>
      </c>
      <c r="G256" t="s">
        <v>23</v>
      </c>
      <c r="H256" t="s">
        <v>39</v>
      </c>
      <c r="I256" t="s">
        <v>140</v>
      </c>
      <c r="J256">
        <v>2</v>
      </c>
      <c r="K256">
        <v>1799</v>
      </c>
      <c r="L256">
        <f>Table1[[#This Row],[Quantity]] * Table1[[#This Row],[UnitPrice]]</f>
        <v>3598</v>
      </c>
      <c r="M256" s="25">
        <v>0</v>
      </c>
      <c r="N256">
        <f>Table1[[#This Row],[Revenue]]*Table1[[#This Row],[Discount%]]/100</f>
        <v>0</v>
      </c>
      <c r="O256" s="6">
        <f>Table1[[#This Row],[Revenue]]-Table1[[#This Row],[Disc_amount]]</f>
        <v>3598</v>
      </c>
      <c r="P256" t="s">
        <v>52</v>
      </c>
      <c r="Q256" t="s">
        <v>27</v>
      </c>
    </row>
    <row r="257" spans="1:17">
      <c r="A257" t="s">
        <v>656</v>
      </c>
      <c r="B257" s="1" t="s">
        <v>650</v>
      </c>
      <c r="C257" s="1" t="s">
        <v>524</v>
      </c>
      <c r="D257" s="1" t="s">
        <v>20</v>
      </c>
      <c r="E257" t="s">
        <v>657</v>
      </c>
      <c r="F257" t="s">
        <v>147</v>
      </c>
      <c r="G257" t="s">
        <v>38</v>
      </c>
      <c r="H257" t="s">
        <v>24</v>
      </c>
      <c r="I257" t="s">
        <v>32</v>
      </c>
      <c r="J257">
        <v>1</v>
      </c>
      <c r="K257">
        <v>199</v>
      </c>
      <c r="L257">
        <f>Table1[[#This Row],[Quantity]] * Table1[[#This Row],[UnitPrice]]</f>
        <v>199</v>
      </c>
      <c r="M257" s="25">
        <v>0</v>
      </c>
      <c r="N257">
        <f>Table1[[#This Row],[Revenue]]*Table1[[#This Row],[Discount%]]/100</f>
        <v>0</v>
      </c>
      <c r="O257" s="6">
        <f>Table1[[#This Row],[Revenue]]-Table1[[#This Row],[Disc_amount]]</f>
        <v>199</v>
      </c>
      <c r="P257" t="s">
        <v>26</v>
      </c>
      <c r="Q257" t="s">
        <v>27</v>
      </c>
    </row>
    <row r="258" spans="1:17">
      <c r="A258" t="s">
        <v>658</v>
      </c>
      <c r="B258" s="1" t="s">
        <v>650</v>
      </c>
      <c r="C258" s="1" t="s">
        <v>524</v>
      </c>
      <c r="D258" s="1" t="s">
        <v>20</v>
      </c>
      <c r="E258" t="s">
        <v>659</v>
      </c>
      <c r="F258" t="s">
        <v>253</v>
      </c>
      <c r="G258" t="s">
        <v>45</v>
      </c>
      <c r="H258" t="s">
        <v>70</v>
      </c>
      <c r="I258" t="s">
        <v>71</v>
      </c>
      <c r="J258">
        <v>1</v>
      </c>
      <c r="K258">
        <v>349</v>
      </c>
      <c r="L258">
        <f>Table1[[#This Row],[Quantity]] * Table1[[#This Row],[UnitPrice]]</f>
        <v>349</v>
      </c>
      <c r="M258" s="25">
        <v>0</v>
      </c>
      <c r="N258">
        <f>Table1[[#This Row],[Revenue]]*Table1[[#This Row],[Discount%]]/100</f>
        <v>0</v>
      </c>
      <c r="O258" s="6">
        <f>Table1[[#This Row],[Revenue]]-Table1[[#This Row],[Disc_amount]]</f>
        <v>349</v>
      </c>
      <c r="P258" t="s">
        <v>41</v>
      </c>
      <c r="Q258" t="s">
        <v>27</v>
      </c>
    </row>
    <row r="259" spans="1:17">
      <c r="A259" t="s">
        <v>660</v>
      </c>
      <c r="B259" s="1" t="s">
        <v>661</v>
      </c>
      <c r="C259" s="1" t="s">
        <v>524</v>
      </c>
      <c r="D259" s="1" t="s">
        <v>20</v>
      </c>
      <c r="E259" t="s">
        <v>662</v>
      </c>
      <c r="F259" t="s">
        <v>450</v>
      </c>
      <c r="G259" t="s">
        <v>45</v>
      </c>
      <c r="H259" t="s">
        <v>46</v>
      </c>
      <c r="I259" t="s">
        <v>47</v>
      </c>
      <c r="J259">
        <v>2</v>
      </c>
      <c r="K259">
        <v>249</v>
      </c>
      <c r="L259">
        <f>Table1[[#This Row],[Quantity]] * Table1[[#This Row],[UnitPrice]]</f>
        <v>498</v>
      </c>
      <c r="M259" s="25">
        <v>15</v>
      </c>
      <c r="N259">
        <f>Table1[[#This Row],[Revenue]]*Table1[[#This Row],[Discount%]]/100</f>
        <v>74.7</v>
      </c>
      <c r="O259" s="6">
        <f>Table1[[#This Row],[Revenue]]-Table1[[#This Row],[Disc_amount]]</f>
        <v>423.3</v>
      </c>
      <c r="P259" t="s">
        <v>33</v>
      </c>
      <c r="Q259" t="s">
        <v>27</v>
      </c>
    </row>
    <row r="260" spans="1:17">
      <c r="A260" t="s">
        <v>663</v>
      </c>
      <c r="B260" s="1" t="s">
        <v>661</v>
      </c>
      <c r="C260" s="1" t="s">
        <v>524</v>
      </c>
      <c r="D260" s="1" t="s">
        <v>20</v>
      </c>
      <c r="E260" t="s">
        <v>228</v>
      </c>
      <c r="F260" t="s">
        <v>229</v>
      </c>
      <c r="G260" t="s">
        <v>23</v>
      </c>
      <c r="H260" t="s">
        <v>108</v>
      </c>
      <c r="I260" t="s">
        <v>109</v>
      </c>
      <c r="J260">
        <v>2</v>
      </c>
      <c r="K260">
        <v>1499</v>
      </c>
      <c r="L260">
        <f>Table1[[#This Row],[Quantity]] * Table1[[#This Row],[UnitPrice]]</f>
        <v>2998</v>
      </c>
      <c r="M260" s="25">
        <v>0</v>
      </c>
      <c r="N260">
        <f>Table1[[#This Row],[Revenue]]*Table1[[#This Row],[Discount%]]/100</f>
        <v>0</v>
      </c>
      <c r="O260" s="6">
        <f>Table1[[#This Row],[Revenue]]-Table1[[#This Row],[Disc_amount]]</f>
        <v>2998</v>
      </c>
      <c r="P260" t="s">
        <v>41</v>
      </c>
      <c r="Q260" t="s">
        <v>27</v>
      </c>
    </row>
    <row r="261" spans="1:17">
      <c r="A261" t="s">
        <v>664</v>
      </c>
      <c r="B261" s="1" t="s">
        <v>661</v>
      </c>
      <c r="C261" s="1" t="s">
        <v>524</v>
      </c>
      <c r="D261" s="1" t="s">
        <v>20</v>
      </c>
      <c r="E261" t="s">
        <v>665</v>
      </c>
      <c r="F261" t="s">
        <v>666</v>
      </c>
      <c r="G261" t="s">
        <v>45</v>
      </c>
      <c r="H261" t="s">
        <v>24</v>
      </c>
      <c r="I261" t="s">
        <v>32</v>
      </c>
      <c r="J261">
        <v>1</v>
      </c>
      <c r="K261">
        <v>199</v>
      </c>
      <c r="L261">
        <f>Table1[[#This Row],[Quantity]] * Table1[[#This Row],[UnitPrice]]</f>
        <v>199</v>
      </c>
      <c r="M261" s="25">
        <v>20</v>
      </c>
      <c r="N261">
        <f>Table1[[#This Row],[Revenue]]*Table1[[#This Row],[Discount%]]/100</f>
        <v>39.799999999999997</v>
      </c>
      <c r="O261" s="6">
        <f>Table1[[#This Row],[Revenue]]-Table1[[#This Row],[Disc_amount]]</f>
        <v>159.19999999999999</v>
      </c>
      <c r="P261" t="s">
        <v>26</v>
      </c>
      <c r="Q261" t="s">
        <v>27</v>
      </c>
    </row>
    <row r="262" spans="1:17">
      <c r="A262" t="s">
        <v>667</v>
      </c>
      <c r="B262" s="1" t="s">
        <v>661</v>
      </c>
      <c r="C262" s="1" t="s">
        <v>524</v>
      </c>
      <c r="D262" s="1" t="s">
        <v>20</v>
      </c>
      <c r="E262" t="s">
        <v>668</v>
      </c>
      <c r="F262" t="s">
        <v>669</v>
      </c>
      <c r="G262" t="s">
        <v>38</v>
      </c>
      <c r="H262" t="s">
        <v>46</v>
      </c>
      <c r="I262" t="s">
        <v>154</v>
      </c>
      <c r="J262">
        <v>1</v>
      </c>
      <c r="K262">
        <v>299</v>
      </c>
      <c r="L262">
        <f>Table1[[#This Row],[Quantity]] * Table1[[#This Row],[UnitPrice]]</f>
        <v>299</v>
      </c>
      <c r="M262" s="25">
        <v>0</v>
      </c>
      <c r="N262">
        <f>Table1[[#This Row],[Revenue]]*Table1[[#This Row],[Discount%]]/100</f>
        <v>0</v>
      </c>
      <c r="O262" s="6">
        <f>Table1[[#This Row],[Revenue]]-Table1[[#This Row],[Disc_amount]]</f>
        <v>299</v>
      </c>
      <c r="P262" t="s">
        <v>26</v>
      </c>
      <c r="Q262" t="s">
        <v>34</v>
      </c>
    </row>
    <row r="263" spans="1:17">
      <c r="A263" t="s">
        <v>670</v>
      </c>
      <c r="B263" s="1" t="s">
        <v>671</v>
      </c>
      <c r="C263" s="1" t="s">
        <v>524</v>
      </c>
      <c r="D263" s="1" t="s">
        <v>20</v>
      </c>
      <c r="E263" t="s">
        <v>347</v>
      </c>
      <c r="F263" t="s">
        <v>348</v>
      </c>
      <c r="G263" t="s">
        <v>23</v>
      </c>
      <c r="H263" t="s">
        <v>65</v>
      </c>
      <c r="I263" t="s">
        <v>66</v>
      </c>
      <c r="J263">
        <v>3</v>
      </c>
      <c r="K263">
        <v>1999</v>
      </c>
      <c r="L263">
        <f>Table1[[#This Row],[Quantity]] * Table1[[#This Row],[UnitPrice]]</f>
        <v>5997</v>
      </c>
      <c r="M263" s="25">
        <v>5</v>
      </c>
      <c r="N263">
        <f>Table1[[#This Row],[Revenue]]*Table1[[#This Row],[Discount%]]/100</f>
        <v>299.85000000000002</v>
      </c>
      <c r="O263" s="6">
        <f>Table1[[#This Row],[Revenue]]-Table1[[#This Row],[Disc_amount]]</f>
        <v>5697.15</v>
      </c>
      <c r="P263" t="s">
        <v>52</v>
      </c>
      <c r="Q263" t="s">
        <v>27</v>
      </c>
    </row>
    <row r="264" spans="1:17">
      <c r="A264" t="s">
        <v>672</v>
      </c>
      <c r="B264" s="1" t="s">
        <v>671</v>
      </c>
      <c r="C264" s="1" t="s">
        <v>524</v>
      </c>
      <c r="D264" s="1" t="s">
        <v>20</v>
      </c>
      <c r="E264" t="s">
        <v>424</v>
      </c>
      <c r="F264" t="s">
        <v>425</v>
      </c>
      <c r="G264" t="s">
        <v>23</v>
      </c>
      <c r="H264" t="s">
        <v>24</v>
      </c>
      <c r="I264" t="s">
        <v>32</v>
      </c>
      <c r="J264">
        <v>4</v>
      </c>
      <c r="K264">
        <v>199</v>
      </c>
      <c r="L264">
        <f>Table1[[#This Row],[Quantity]] * Table1[[#This Row],[UnitPrice]]</f>
        <v>796</v>
      </c>
      <c r="M264" s="25">
        <v>5</v>
      </c>
      <c r="N264">
        <f>Table1[[#This Row],[Revenue]]*Table1[[#This Row],[Discount%]]/100</f>
        <v>39.799999999999997</v>
      </c>
      <c r="O264" s="6">
        <f>Table1[[#This Row],[Revenue]]-Table1[[#This Row],[Disc_amount]]</f>
        <v>756.2</v>
      </c>
      <c r="P264" t="s">
        <v>33</v>
      </c>
      <c r="Q264" t="s">
        <v>27</v>
      </c>
    </row>
    <row r="265" spans="1:17">
      <c r="A265" t="s">
        <v>673</v>
      </c>
      <c r="B265" s="1" t="s">
        <v>671</v>
      </c>
      <c r="C265" s="1" t="s">
        <v>524</v>
      </c>
      <c r="D265" s="1" t="s">
        <v>20</v>
      </c>
      <c r="E265" t="s">
        <v>674</v>
      </c>
      <c r="F265" t="s">
        <v>675</v>
      </c>
      <c r="G265" t="s">
        <v>45</v>
      </c>
      <c r="H265" t="s">
        <v>39</v>
      </c>
      <c r="I265" t="s">
        <v>40</v>
      </c>
      <c r="J265">
        <v>3</v>
      </c>
      <c r="K265">
        <v>599</v>
      </c>
      <c r="L265">
        <f>Table1[[#This Row],[Quantity]] * Table1[[#This Row],[UnitPrice]]</f>
        <v>1797</v>
      </c>
      <c r="M265" s="25">
        <v>10</v>
      </c>
      <c r="N265">
        <f>Table1[[#This Row],[Revenue]]*Table1[[#This Row],[Discount%]]/100</f>
        <v>179.7</v>
      </c>
      <c r="O265" s="6">
        <f>Table1[[#This Row],[Revenue]]-Table1[[#This Row],[Disc_amount]]</f>
        <v>1617.3</v>
      </c>
      <c r="P265" t="s">
        <v>33</v>
      </c>
      <c r="Q265" t="s">
        <v>34</v>
      </c>
    </row>
    <row r="266" spans="1:17">
      <c r="A266" t="s">
        <v>676</v>
      </c>
      <c r="B266" s="1" t="s">
        <v>671</v>
      </c>
      <c r="C266" s="1" t="s">
        <v>524</v>
      </c>
      <c r="D266" s="1" t="s">
        <v>20</v>
      </c>
      <c r="E266" t="s">
        <v>677</v>
      </c>
      <c r="F266" t="s">
        <v>597</v>
      </c>
      <c r="G266" t="s">
        <v>23</v>
      </c>
      <c r="H266" t="s">
        <v>108</v>
      </c>
      <c r="I266" t="s">
        <v>130</v>
      </c>
      <c r="J266">
        <v>3</v>
      </c>
      <c r="K266">
        <v>699</v>
      </c>
      <c r="L266">
        <f>Table1[[#This Row],[Quantity]] * Table1[[#This Row],[UnitPrice]]</f>
        <v>2097</v>
      </c>
      <c r="M266" s="25">
        <v>20</v>
      </c>
      <c r="N266">
        <f>Table1[[#This Row],[Revenue]]*Table1[[#This Row],[Discount%]]/100</f>
        <v>419.4</v>
      </c>
      <c r="O266" s="6">
        <f>Table1[[#This Row],[Revenue]]-Table1[[#This Row],[Disc_amount]]</f>
        <v>1677.6</v>
      </c>
      <c r="P266" t="s">
        <v>52</v>
      </c>
      <c r="Q266" t="s">
        <v>27</v>
      </c>
    </row>
    <row r="267" spans="1:17">
      <c r="A267" t="s">
        <v>678</v>
      </c>
      <c r="B267" s="1" t="s">
        <v>671</v>
      </c>
      <c r="C267" s="1" t="s">
        <v>524</v>
      </c>
      <c r="D267" s="1" t="s">
        <v>20</v>
      </c>
      <c r="E267" t="s">
        <v>325</v>
      </c>
      <c r="F267" t="s">
        <v>326</v>
      </c>
      <c r="G267" t="s">
        <v>56</v>
      </c>
      <c r="H267" t="s">
        <v>108</v>
      </c>
      <c r="I267" t="s">
        <v>109</v>
      </c>
      <c r="J267">
        <v>1</v>
      </c>
      <c r="K267">
        <v>1499</v>
      </c>
      <c r="L267">
        <f>Table1[[#This Row],[Quantity]] * Table1[[#This Row],[UnitPrice]]</f>
        <v>1499</v>
      </c>
      <c r="M267" s="25">
        <v>5</v>
      </c>
      <c r="N267">
        <f>Table1[[#This Row],[Revenue]]*Table1[[#This Row],[Discount%]]/100</f>
        <v>74.95</v>
      </c>
      <c r="O267" s="6">
        <f>Table1[[#This Row],[Revenue]]-Table1[[#This Row],[Disc_amount]]</f>
        <v>1424.05</v>
      </c>
      <c r="P267" t="s">
        <v>41</v>
      </c>
      <c r="Q267" t="s">
        <v>27</v>
      </c>
    </row>
    <row r="268" spans="1:17">
      <c r="A268" t="s">
        <v>679</v>
      </c>
      <c r="B268" s="1" t="s">
        <v>671</v>
      </c>
      <c r="C268" s="1" t="s">
        <v>524</v>
      </c>
      <c r="D268" s="1" t="s">
        <v>20</v>
      </c>
      <c r="E268" t="s">
        <v>680</v>
      </c>
      <c r="F268" t="s">
        <v>22</v>
      </c>
      <c r="G268" t="s">
        <v>38</v>
      </c>
      <c r="H268" t="s">
        <v>24</v>
      </c>
      <c r="I268" t="s">
        <v>32</v>
      </c>
      <c r="J268">
        <v>2</v>
      </c>
      <c r="K268">
        <v>199</v>
      </c>
      <c r="L268">
        <f>Table1[[#This Row],[Quantity]] * Table1[[#This Row],[UnitPrice]]</f>
        <v>398</v>
      </c>
      <c r="M268" s="25">
        <v>20</v>
      </c>
      <c r="N268">
        <f>Table1[[#This Row],[Revenue]]*Table1[[#This Row],[Discount%]]/100</f>
        <v>79.599999999999994</v>
      </c>
      <c r="O268" s="6">
        <f>Table1[[#This Row],[Revenue]]-Table1[[#This Row],[Disc_amount]]</f>
        <v>318.39999999999998</v>
      </c>
      <c r="P268" t="s">
        <v>41</v>
      </c>
      <c r="Q268" t="s">
        <v>27</v>
      </c>
    </row>
    <row r="269" spans="1:17">
      <c r="A269" t="s">
        <v>681</v>
      </c>
      <c r="B269" s="1" t="s">
        <v>682</v>
      </c>
      <c r="C269" s="1" t="s">
        <v>524</v>
      </c>
      <c r="D269" s="1" t="s">
        <v>20</v>
      </c>
      <c r="E269" t="s">
        <v>126</v>
      </c>
      <c r="F269" t="s">
        <v>77</v>
      </c>
      <c r="G269" t="s">
        <v>45</v>
      </c>
      <c r="H269" t="s">
        <v>24</v>
      </c>
      <c r="I269" t="s">
        <v>32</v>
      </c>
      <c r="J269">
        <v>2</v>
      </c>
      <c r="K269">
        <v>199</v>
      </c>
      <c r="L269">
        <f>Table1[[#This Row],[Quantity]] * Table1[[#This Row],[UnitPrice]]</f>
        <v>398</v>
      </c>
      <c r="M269" s="25">
        <v>15</v>
      </c>
      <c r="N269">
        <f>Table1[[#This Row],[Revenue]]*Table1[[#This Row],[Discount%]]/100</f>
        <v>59.7</v>
      </c>
      <c r="O269" s="6">
        <f>Table1[[#This Row],[Revenue]]-Table1[[#This Row],[Disc_amount]]</f>
        <v>338.3</v>
      </c>
      <c r="P269" t="s">
        <v>26</v>
      </c>
      <c r="Q269" t="s">
        <v>27</v>
      </c>
    </row>
    <row r="270" spans="1:17">
      <c r="A270" t="s">
        <v>683</v>
      </c>
      <c r="B270" s="1" t="s">
        <v>682</v>
      </c>
      <c r="C270" s="1" t="s">
        <v>524</v>
      </c>
      <c r="D270" s="1" t="s">
        <v>20</v>
      </c>
      <c r="E270" t="s">
        <v>383</v>
      </c>
      <c r="F270" t="s">
        <v>384</v>
      </c>
      <c r="G270" t="s">
        <v>31</v>
      </c>
      <c r="H270" t="s">
        <v>39</v>
      </c>
      <c r="I270" t="s">
        <v>51</v>
      </c>
      <c r="J270">
        <v>3</v>
      </c>
      <c r="K270">
        <v>2999</v>
      </c>
      <c r="L270">
        <f>Table1[[#This Row],[Quantity]] * Table1[[#This Row],[UnitPrice]]</f>
        <v>8997</v>
      </c>
      <c r="M270" s="25">
        <v>0</v>
      </c>
      <c r="N270">
        <f>Table1[[#This Row],[Revenue]]*Table1[[#This Row],[Discount%]]/100</f>
        <v>0</v>
      </c>
      <c r="O270" s="6">
        <f>Table1[[#This Row],[Revenue]]-Table1[[#This Row],[Disc_amount]]</f>
        <v>8997</v>
      </c>
      <c r="P270" t="s">
        <v>52</v>
      </c>
      <c r="Q270" t="s">
        <v>27</v>
      </c>
    </row>
    <row r="271" spans="1:17">
      <c r="A271" t="s">
        <v>684</v>
      </c>
      <c r="B271" s="1" t="s">
        <v>682</v>
      </c>
      <c r="C271" s="1" t="s">
        <v>524</v>
      </c>
      <c r="D271" s="1" t="s">
        <v>20</v>
      </c>
      <c r="E271" t="s">
        <v>665</v>
      </c>
      <c r="F271" t="s">
        <v>666</v>
      </c>
      <c r="G271" t="s">
        <v>56</v>
      </c>
      <c r="H271" t="s">
        <v>39</v>
      </c>
      <c r="I271" t="s">
        <v>140</v>
      </c>
      <c r="J271">
        <v>1</v>
      </c>
      <c r="K271">
        <v>1799</v>
      </c>
      <c r="L271">
        <f>Table1[[#This Row],[Quantity]] * Table1[[#This Row],[UnitPrice]]</f>
        <v>1799</v>
      </c>
      <c r="M271" s="25">
        <v>0</v>
      </c>
      <c r="N271">
        <f>Table1[[#This Row],[Revenue]]*Table1[[#This Row],[Discount%]]/100</f>
        <v>0</v>
      </c>
      <c r="O271" s="6">
        <f>Table1[[#This Row],[Revenue]]-Table1[[#This Row],[Disc_amount]]</f>
        <v>1799</v>
      </c>
      <c r="P271" t="s">
        <v>26</v>
      </c>
      <c r="Q271" t="s">
        <v>34</v>
      </c>
    </row>
    <row r="272" spans="1:17">
      <c r="A272" t="s">
        <v>685</v>
      </c>
      <c r="B272" s="1" t="s">
        <v>682</v>
      </c>
      <c r="C272" s="1" t="s">
        <v>524</v>
      </c>
      <c r="D272" s="1" t="s">
        <v>20</v>
      </c>
      <c r="E272" t="s">
        <v>686</v>
      </c>
      <c r="F272" t="s">
        <v>443</v>
      </c>
      <c r="G272" t="s">
        <v>56</v>
      </c>
      <c r="H272" t="s">
        <v>24</v>
      </c>
      <c r="I272" t="s">
        <v>32</v>
      </c>
      <c r="J272">
        <v>2</v>
      </c>
      <c r="K272">
        <v>199</v>
      </c>
      <c r="L272">
        <f>Table1[[#This Row],[Quantity]] * Table1[[#This Row],[UnitPrice]]</f>
        <v>398</v>
      </c>
      <c r="M272" s="25">
        <v>0</v>
      </c>
      <c r="N272">
        <f>Table1[[#This Row],[Revenue]]*Table1[[#This Row],[Discount%]]/100</f>
        <v>0</v>
      </c>
      <c r="O272" s="6">
        <f>Table1[[#This Row],[Revenue]]-Table1[[#This Row],[Disc_amount]]</f>
        <v>398</v>
      </c>
      <c r="P272" t="s">
        <v>26</v>
      </c>
      <c r="Q272" t="s">
        <v>34</v>
      </c>
    </row>
    <row r="273" spans="1:17">
      <c r="A273" t="s">
        <v>687</v>
      </c>
      <c r="B273" s="1" t="s">
        <v>682</v>
      </c>
      <c r="C273" s="1" t="s">
        <v>524</v>
      </c>
      <c r="D273" s="1" t="s">
        <v>20</v>
      </c>
      <c r="E273" t="s">
        <v>464</v>
      </c>
      <c r="F273" t="s">
        <v>465</v>
      </c>
      <c r="G273" t="s">
        <v>45</v>
      </c>
      <c r="H273" t="s">
        <v>108</v>
      </c>
      <c r="I273" t="s">
        <v>130</v>
      </c>
      <c r="J273">
        <v>2</v>
      </c>
      <c r="K273">
        <v>699</v>
      </c>
      <c r="L273">
        <f>Table1[[#This Row],[Quantity]] * Table1[[#This Row],[UnitPrice]]</f>
        <v>1398</v>
      </c>
      <c r="M273" s="25">
        <v>15</v>
      </c>
      <c r="N273">
        <f>Table1[[#This Row],[Revenue]]*Table1[[#This Row],[Discount%]]/100</f>
        <v>209.7</v>
      </c>
      <c r="O273" s="6">
        <f>Table1[[#This Row],[Revenue]]-Table1[[#This Row],[Disc_amount]]</f>
        <v>1188.3</v>
      </c>
      <c r="P273" t="s">
        <v>52</v>
      </c>
      <c r="Q273" t="s">
        <v>27</v>
      </c>
    </row>
    <row r="274" spans="1:17">
      <c r="A274" t="s">
        <v>688</v>
      </c>
      <c r="B274" s="1" t="s">
        <v>682</v>
      </c>
      <c r="C274" s="1" t="s">
        <v>524</v>
      </c>
      <c r="D274" s="1" t="s">
        <v>20</v>
      </c>
      <c r="E274" t="s">
        <v>169</v>
      </c>
      <c r="F274" t="s">
        <v>170</v>
      </c>
      <c r="G274" t="s">
        <v>56</v>
      </c>
      <c r="H274" t="s">
        <v>108</v>
      </c>
      <c r="I274" t="s">
        <v>109</v>
      </c>
      <c r="J274">
        <v>1</v>
      </c>
      <c r="K274">
        <v>1499</v>
      </c>
      <c r="L274">
        <f>Table1[[#This Row],[Quantity]] * Table1[[#This Row],[UnitPrice]]</f>
        <v>1499</v>
      </c>
      <c r="M274" s="25">
        <v>5</v>
      </c>
      <c r="N274">
        <f>Table1[[#This Row],[Revenue]]*Table1[[#This Row],[Discount%]]/100</f>
        <v>74.95</v>
      </c>
      <c r="O274" s="6">
        <f>Table1[[#This Row],[Revenue]]-Table1[[#This Row],[Disc_amount]]</f>
        <v>1424.05</v>
      </c>
      <c r="P274" t="s">
        <v>33</v>
      </c>
      <c r="Q274" t="s">
        <v>27</v>
      </c>
    </row>
    <row r="275" spans="1:17">
      <c r="A275" t="s">
        <v>689</v>
      </c>
      <c r="B275" s="1" t="s">
        <v>690</v>
      </c>
      <c r="C275" s="1" t="s">
        <v>524</v>
      </c>
      <c r="D275" s="1" t="s">
        <v>20</v>
      </c>
      <c r="E275" t="s">
        <v>691</v>
      </c>
      <c r="F275" t="s">
        <v>338</v>
      </c>
      <c r="G275" t="s">
        <v>45</v>
      </c>
      <c r="H275" t="s">
        <v>65</v>
      </c>
      <c r="I275" t="s">
        <v>98</v>
      </c>
      <c r="J275">
        <v>1</v>
      </c>
      <c r="K275">
        <v>499</v>
      </c>
      <c r="L275">
        <f>Table1[[#This Row],[Quantity]] * Table1[[#This Row],[UnitPrice]]</f>
        <v>499</v>
      </c>
      <c r="M275" s="25">
        <v>5</v>
      </c>
      <c r="N275">
        <f>Table1[[#This Row],[Revenue]]*Table1[[#This Row],[Discount%]]/100</f>
        <v>24.95</v>
      </c>
      <c r="O275" s="6">
        <f>Table1[[#This Row],[Revenue]]-Table1[[#This Row],[Disc_amount]]</f>
        <v>474.05</v>
      </c>
      <c r="P275" t="s">
        <v>41</v>
      </c>
      <c r="Q275" t="s">
        <v>27</v>
      </c>
    </row>
    <row r="276" spans="1:17">
      <c r="A276" t="s">
        <v>692</v>
      </c>
      <c r="B276" s="1" t="s">
        <v>690</v>
      </c>
      <c r="C276" s="1" t="s">
        <v>524</v>
      </c>
      <c r="D276" s="1" t="s">
        <v>20</v>
      </c>
      <c r="E276" t="s">
        <v>693</v>
      </c>
      <c r="F276" t="s">
        <v>694</v>
      </c>
      <c r="G276" t="s">
        <v>31</v>
      </c>
      <c r="H276" t="s">
        <v>39</v>
      </c>
      <c r="I276" t="s">
        <v>140</v>
      </c>
      <c r="J276">
        <v>2</v>
      </c>
      <c r="K276">
        <v>1799</v>
      </c>
      <c r="L276">
        <f>Table1[[#This Row],[Quantity]] * Table1[[#This Row],[UnitPrice]]</f>
        <v>3598</v>
      </c>
      <c r="M276" s="25">
        <v>20</v>
      </c>
      <c r="N276">
        <f>Table1[[#This Row],[Revenue]]*Table1[[#This Row],[Discount%]]/100</f>
        <v>719.6</v>
      </c>
      <c r="O276" s="6">
        <f>Table1[[#This Row],[Revenue]]-Table1[[#This Row],[Disc_amount]]</f>
        <v>2878.4</v>
      </c>
      <c r="P276" t="s">
        <v>41</v>
      </c>
      <c r="Q276" t="s">
        <v>27</v>
      </c>
    </row>
    <row r="277" spans="1:17">
      <c r="A277" t="s">
        <v>695</v>
      </c>
      <c r="B277" s="1" t="s">
        <v>690</v>
      </c>
      <c r="C277" s="1" t="s">
        <v>524</v>
      </c>
      <c r="D277" s="1" t="s">
        <v>20</v>
      </c>
      <c r="E277" t="s">
        <v>341</v>
      </c>
      <c r="F277" t="s">
        <v>342</v>
      </c>
      <c r="G277" t="s">
        <v>45</v>
      </c>
      <c r="H277" t="s">
        <v>65</v>
      </c>
      <c r="I277" t="s">
        <v>98</v>
      </c>
      <c r="J277">
        <v>4</v>
      </c>
      <c r="K277">
        <v>499</v>
      </c>
      <c r="L277">
        <f>Table1[[#This Row],[Quantity]] * Table1[[#This Row],[UnitPrice]]</f>
        <v>1996</v>
      </c>
      <c r="M277" s="25">
        <v>10</v>
      </c>
      <c r="N277">
        <f>Table1[[#This Row],[Revenue]]*Table1[[#This Row],[Discount%]]/100</f>
        <v>199.6</v>
      </c>
      <c r="O277" s="6">
        <f>Table1[[#This Row],[Revenue]]-Table1[[#This Row],[Disc_amount]]</f>
        <v>1796.4</v>
      </c>
      <c r="P277" t="s">
        <v>52</v>
      </c>
      <c r="Q277" t="s">
        <v>27</v>
      </c>
    </row>
    <row r="278" spans="1:17">
      <c r="A278" t="s">
        <v>696</v>
      </c>
      <c r="B278" s="1" t="s">
        <v>690</v>
      </c>
      <c r="C278" s="1" t="s">
        <v>524</v>
      </c>
      <c r="D278" s="1" t="s">
        <v>20</v>
      </c>
      <c r="E278" t="s">
        <v>697</v>
      </c>
      <c r="F278" t="s">
        <v>698</v>
      </c>
      <c r="G278" t="s">
        <v>38</v>
      </c>
      <c r="H278" t="s">
        <v>39</v>
      </c>
      <c r="I278" t="s">
        <v>40</v>
      </c>
      <c r="J278">
        <v>1</v>
      </c>
      <c r="K278">
        <v>599</v>
      </c>
      <c r="L278">
        <f>Table1[[#This Row],[Quantity]] * Table1[[#This Row],[UnitPrice]]</f>
        <v>599</v>
      </c>
      <c r="M278" s="25">
        <v>15</v>
      </c>
      <c r="N278">
        <f>Table1[[#This Row],[Revenue]]*Table1[[#This Row],[Discount%]]/100</f>
        <v>89.85</v>
      </c>
      <c r="O278" s="6">
        <f>Table1[[#This Row],[Revenue]]-Table1[[#This Row],[Disc_amount]]</f>
        <v>509.15</v>
      </c>
      <c r="P278" t="s">
        <v>33</v>
      </c>
      <c r="Q278" t="s">
        <v>34</v>
      </c>
    </row>
    <row r="279" spans="1:17">
      <c r="A279" t="s">
        <v>699</v>
      </c>
      <c r="B279" s="1" t="s">
        <v>700</v>
      </c>
      <c r="C279" s="1" t="s">
        <v>524</v>
      </c>
      <c r="D279" s="1" t="s">
        <v>20</v>
      </c>
      <c r="E279" t="s">
        <v>701</v>
      </c>
      <c r="F279" t="s">
        <v>379</v>
      </c>
      <c r="G279" t="s">
        <v>23</v>
      </c>
      <c r="H279" t="s">
        <v>108</v>
      </c>
      <c r="I279" t="s">
        <v>130</v>
      </c>
      <c r="J279">
        <v>2</v>
      </c>
      <c r="K279">
        <v>699</v>
      </c>
      <c r="L279">
        <f>Table1[[#This Row],[Quantity]] * Table1[[#This Row],[UnitPrice]]</f>
        <v>1398</v>
      </c>
      <c r="M279" s="25">
        <v>5</v>
      </c>
      <c r="N279">
        <f>Table1[[#This Row],[Revenue]]*Table1[[#This Row],[Discount%]]/100</f>
        <v>69.900000000000006</v>
      </c>
      <c r="O279" s="6">
        <f>Table1[[#This Row],[Revenue]]-Table1[[#This Row],[Disc_amount]]</f>
        <v>1328.1</v>
      </c>
      <c r="P279" t="s">
        <v>41</v>
      </c>
      <c r="Q279" t="s">
        <v>27</v>
      </c>
    </row>
    <row r="280" spans="1:17">
      <c r="A280" t="s">
        <v>702</v>
      </c>
      <c r="B280" s="1" t="s">
        <v>703</v>
      </c>
      <c r="C280" s="1" t="s">
        <v>524</v>
      </c>
      <c r="D280" s="1" t="s">
        <v>20</v>
      </c>
      <c r="E280" t="s">
        <v>286</v>
      </c>
      <c r="F280" t="s">
        <v>287</v>
      </c>
      <c r="G280" t="s">
        <v>38</v>
      </c>
      <c r="H280" t="s">
        <v>70</v>
      </c>
      <c r="I280" t="s">
        <v>91</v>
      </c>
      <c r="J280">
        <v>1</v>
      </c>
      <c r="K280">
        <v>549</v>
      </c>
      <c r="L280">
        <f>Table1[[#This Row],[Quantity]] * Table1[[#This Row],[UnitPrice]]</f>
        <v>549</v>
      </c>
      <c r="M280" s="25">
        <v>0</v>
      </c>
      <c r="N280">
        <f>Table1[[#This Row],[Revenue]]*Table1[[#This Row],[Discount%]]/100</f>
        <v>0</v>
      </c>
      <c r="O280" s="6">
        <f>Table1[[#This Row],[Revenue]]-Table1[[#This Row],[Disc_amount]]</f>
        <v>549</v>
      </c>
      <c r="P280" t="s">
        <v>26</v>
      </c>
      <c r="Q280" t="s">
        <v>34</v>
      </c>
    </row>
    <row r="281" spans="1:17">
      <c r="A281" t="s">
        <v>704</v>
      </c>
      <c r="B281" s="1" t="s">
        <v>703</v>
      </c>
      <c r="C281" s="1" t="s">
        <v>524</v>
      </c>
      <c r="D281" s="1" t="s">
        <v>20</v>
      </c>
      <c r="E281" t="s">
        <v>705</v>
      </c>
      <c r="F281" t="s">
        <v>501</v>
      </c>
      <c r="G281" t="s">
        <v>31</v>
      </c>
      <c r="H281" t="s">
        <v>24</v>
      </c>
      <c r="I281" t="s">
        <v>25</v>
      </c>
      <c r="J281">
        <v>1</v>
      </c>
      <c r="K281">
        <v>99</v>
      </c>
      <c r="L281">
        <f>Table1[[#This Row],[Quantity]] * Table1[[#This Row],[UnitPrice]]</f>
        <v>99</v>
      </c>
      <c r="M281" s="25">
        <v>10</v>
      </c>
      <c r="N281">
        <f>Table1[[#This Row],[Revenue]]*Table1[[#This Row],[Discount%]]/100</f>
        <v>9.9</v>
      </c>
      <c r="O281" s="6">
        <f>Table1[[#This Row],[Revenue]]-Table1[[#This Row],[Disc_amount]]</f>
        <v>89.1</v>
      </c>
      <c r="P281" t="s">
        <v>52</v>
      </c>
      <c r="Q281" t="s">
        <v>27</v>
      </c>
    </row>
    <row r="282" spans="1:17">
      <c r="A282" t="s">
        <v>706</v>
      </c>
      <c r="B282" s="1" t="s">
        <v>703</v>
      </c>
      <c r="C282" s="1" t="s">
        <v>524</v>
      </c>
      <c r="D282" s="1" t="s">
        <v>20</v>
      </c>
      <c r="E282" t="s">
        <v>707</v>
      </c>
      <c r="F282" t="s">
        <v>242</v>
      </c>
      <c r="G282" t="s">
        <v>56</v>
      </c>
      <c r="H282" t="s">
        <v>46</v>
      </c>
      <c r="I282" t="s">
        <v>47</v>
      </c>
      <c r="J282">
        <v>1</v>
      </c>
      <c r="K282">
        <v>249</v>
      </c>
      <c r="L282">
        <f>Table1[[#This Row],[Quantity]] * Table1[[#This Row],[UnitPrice]]</f>
        <v>249</v>
      </c>
      <c r="M282" s="25">
        <v>0</v>
      </c>
      <c r="N282">
        <f>Table1[[#This Row],[Revenue]]*Table1[[#This Row],[Discount%]]/100</f>
        <v>0</v>
      </c>
      <c r="O282" s="6">
        <f>Table1[[#This Row],[Revenue]]-Table1[[#This Row],[Disc_amount]]</f>
        <v>249</v>
      </c>
      <c r="P282" t="s">
        <v>26</v>
      </c>
      <c r="Q282" t="s">
        <v>34</v>
      </c>
    </row>
    <row r="283" spans="1:17">
      <c r="A283" t="s">
        <v>708</v>
      </c>
      <c r="B283" s="1" t="s">
        <v>703</v>
      </c>
      <c r="C283" s="1" t="s">
        <v>524</v>
      </c>
      <c r="D283" s="1" t="s">
        <v>20</v>
      </c>
      <c r="E283" t="s">
        <v>709</v>
      </c>
      <c r="F283" t="s">
        <v>694</v>
      </c>
      <c r="G283" t="s">
        <v>31</v>
      </c>
      <c r="H283" t="s">
        <v>108</v>
      </c>
      <c r="I283" t="s">
        <v>130</v>
      </c>
      <c r="J283">
        <v>4</v>
      </c>
      <c r="K283">
        <v>699</v>
      </c>
      <c r="L283">
        <f>Table1[[#This Row],[Quantity]] * Table1[[#This Row],[UnitPrice]]</f>
        <v>2796</v>
      </c>
      <c r="M283" s="25">
        <v>5</v>
      </c>
      <c r="N283">
        <f>Table1[[#This Row],[Revenue]]*Table1[[#This Row],[Discount%]]/100</f>
        <v>139.80000000000001</v>
      </c>
      <c r="O283" s="6">
        <f>Table1[[#This Row],[Revenue]]-Table1[[#This Row],[Disc_amount]]</f>
        <v>2656.2</v>
      </c>
      <c r="P283" t="s">
        <v>41</v>
      </c>
      <c r="Q283" t="s">
        <v>27</v>
      </c>
    </row>
    <row r="284" spans="1:17">
      <c r="A284" t="s">
        <v>710</v>
      </c>
      <c r="B284" s="1" t="s">
        <v>711</v>
      </c>
      <c r="C284" s="1" t="s">
        <v>524</v>
      </c>
      <c r="D284" s="1" t="s">
        <v>20</v>
      </c>
      <c r="E284" t="s">
        <v>106</v>
      </c>
      <c r="F284" t="s">
        <v>107</v>
      </c>
      <c r="G284" t="s">
        <v>56</v>
      </c>
      <c r="H284" t="s">
        <v>108</v>
      </c>
      <c r="I284" t="s">
        <v>130</v>
      </c>
      <c r="J284">
        <v>1</v>
      </c>
      <c r="K284">
        <v>699</v>
      </c>
      <c r="L284">
        <f>Table1[[#This Row],[Quantity]] * Table1[[#This Row],[UnitPrice]]</f>
        <v>699</v>
      </c>
      <c r="M284" s="25">
        <v>10</v>
      </c>
      <c r="N284">
        <f>Table1[[#This Row],[Revenue]]*Table1[[#This Row],[Discount%]]/100</f>
        <v>69.900000000000006</v>
      </c>
      <c r="O284" s="6">
        <f>Table1[[#This Row],[Revenue]]-Table1[[#This Row],[Disc_amount]]</f>
        <v>629.1</v>
      </c>
      <c r="P284" t="s">
        <v>26</v>
      </c>
      <c r="Q284" t="s">
        <v>34</v>
      </c>
    </row>
    <row r="285" spans="1:17">
      <c r="A285" t="s">
        <v>712</v>
      </c>
      <c r="B285" s="1" t="s">
        <v>711</v>
      </c>
      <c r="C285" s="1" t="s">
        <v>524</v>
      </c>
      <c r="D285" s="1" t="s">
        <v>20</v>
      </c>
      <c r="E285" t="s">
        <v>713</v>
      </c>
      <c r="F285" t="s">
        <v>714</v>
      </c>
      <c r="G285" t="s">
        <v>23</v>
      </c>
      <c r="H285" t="s">
        <v>46</v>
      </c>
      <c r="I285" t="s">
        <v>154</v>
      </c>
      <c r="J285">
        <v>1</v>
      </c>
      <c r="K285">
        <v>299</v>
      </c>
      <c r="L285">
        <f>Table1[[#This Row],[Quantity]] * Table1[[#This Row],[UnitPrice]]</f>
        <v>299</v>
      </c>
      <c r="M285" s="25">
        <v>0</v>
      </c>
      <c r="N285">
        <f>Table1[[#This Row],[Revenue]]*Table1[[#This Row],[Discount%]]/100</f>
        <v>0</v>
      </c>
      <c r="O285" s="6">
        <f>Table1[[#This Row],[Revenue]]-Table1[[#This Row],[Disc_amount]]</f>
        <v>299</v>
      </c>
      <c r="P285" t="s">
        <v>41</v>
      </c>
      <c r="Q285" t="s">
        <v>27</v>
      </c>
    </row>
    <row r="286" spans="1:17">
      <c r="A286" t="s">
        <v>715</v>
      </c>
      <c r="B286" s="1" t="s">
        <v>711</v>
      </c>
      <c r="C286" s="1" t="s">
        <v>524</v>
      </c>
      <c r="D286" s="1" t="s">
        <v>20</v>
      </c>
      <c r="E286" t="s">
        <v>716</v>
      </c>
      <c r="F286" t="s">
        <v>717</v>
      </c>
      <c r="G286" t="s">
        <v>38</v>
      </c>
      <c r="H286" t="s">
        <v>46</v>
      </c>
      <c r="I286" t="s">
        <v>154</v>
      </c>
      <c r="J286">
        <v>1</v>
      </c>
      <c r="K286">
        <v>299</v>
      </c>
      <c r="L286">
        <f>Table1[[#This Row],[Quantity]] * Table1[[#This Row],[UnitPrice]]</f>
        <v>299</v>
      </c>
      <c r="M286" s="25">
        <v>0</v>
      </c>
      <c r="N286">
        <f>Table1[[#This Row],[Revenue]]*Table1[[#This Row],[Discount%]]/100</f>
        <v>0</v>
      </c>
      <c r="O286" s="6">
        <f>Table1[[#This Row],[Revenue]]-Table1[[#This Row],[Disc_amount]]</f>
        <v>299</v>
      </c>
      <c r="P286" t="s">
        <v>41</v>
      </c>
      <c r="Q286" t="s">
        <v>34</v>
      </c>
    </row>
    <row r="287" spans="1:17">
      <c r="A287" t="s">
        <v>718</v>
      </c>
      <c r="B287" s="1" t="s">
        <v>711</v>
      </c>
      <c r="C287" s="1" t="s">
        <v>524</v>
      </c>
      <c r="D287" s="1" t="s">
        <v>20</v>
      </c>
      <c r="E287" t="s">
        <v>275</v>
      </c>
      <c r="F287" t="s">
        <v>276</v>
      </c>
      <c r="G287" t="s">
        <v>23</v>
      </c>
      <c r="H287" t="s">
        <v>39</v>
      </c>
      <c r="I287" t="s">
        <v>140</v>
      </c>
      <c r="J287">
        <v>2</v>
      </c>
      <c r="K287">
        <v>1799</v>
      </c>
      <c r="L287">
        <f>Table1[[#This Row],[Quantity]] * Table1[[#This Row],[UnitPrice]]</f>
        <v>3598</v>
      </c>
      <c r="M287" s="25">
        <v>15</v>
      </c>
      <c r="N287">
        <f>Table1[[#This Row],[Revenue]]*Table1[[#This Row],[Discount%]]/100</f>
        <v>539.70000000000005</v>
      </c>
      <c r="O287" s="6">
        <f>Table1[[#This Row],[Revenue]]-Table1[[#This Row],[Disc_amount]]</f>
        <v>3058.3</v>
      </c>
      <c r="P287" t="s">
        <v>26</v>
      </c>
      <c r="Q287" t="s">
        <v>34</v>
      </c>
    </row>
    <row r="288" spans="1:17">
      <c r="A288" t="s">
        <v>719</v>
      </c>
      <c r="B288" s="1" t="s">
        <v>711</v>
      </c>
      <c r="C288" s="1" t="s">
        <v>524</v>
      </c>
      <c r="D288" s="1" t="s">
        <v>20</v>
      </c>
      <c r="E288" t="s">
        <v>165</v>
      </c>
      <c r="F288" t="s">
        <v>166</v>
      </c>
      <c r="G288" t="s">
        <v>56</v>
      </c>
      <c r="H288" t="s">
        <v>70</v>
      </c>
      <c r="I288" t="s">
        <v>71</v>
      </c>
      <c r="J288">
        <v>1</v>
      </c>
      <c r="K288">
        <v>349</v>
      </c>
      <c r="L288">
        <f>Table1[[#This Row],[Quantity]] * Table1[[#This Row],[UnitPrice]]</f>
        <v>349</v>
      </c>
      <c r="M288" s="25">
        <v>20</v>
      </c>
      <c r="N288">
        <f>Table1[[#This Row],[Revenue]]*Table1[[#This Row],[Discount%]]/100</f>
        <v>69.8</v>
      </c>
      <c r="O288" s="6">
        <f>Table1[[#This Row],[Revenue]]-Table1[[#This Row],[Disc_amount]]</f>
        <v>279.2</v>
      </c>
      <c r="P288" t="s">
        <v>41</v>
      </c>
      <c r="Q288" t="s">
        <v>27</v>
      </c>
    </row>
    <row r="289" spans="1:17">
      <c r="A289" t="s">
        <v>720</v>
      </c>
      <c r="B289" s="1" t="s">
        <v>721</v>
      </c>
      <c r="C289" s="1" t="s">
        <v>524</v>
      </c>
      <c r="D289" s="1" t="s">
        <v>20</v>
      </c>
      <c r="E289" t="s">
        <v>722</v>
      </c>
      <c r="F289" t="s">
        <v>723</v>
      </c>
      <c r="G289" t="s">
        <v>23</v>
      </c>
      <c r="H289" t="s">
        <v>57</v>
      </c>
      <c r="I289" t="s">
        <v>62</v>
      </c>
      <c r="J289">
        <v>1</v>
      </c>
      <c r="K289">
        <v>799</v>
      </c>
      <c r="L289">
        <f>Table1[[#This Row],[Quantity]] * Table1[[#This Row],[UnitPrice]]</f>
        <v>799</v>
      </c>
      <c r="M289" s="25">
        <v>0</v>
      </c>
      <c r="N289">
        <f>Table1[[#This Row],[Revenue]]*Table1[[#This Row],[Discount%]]/100</f>
        <v>0</v>
      </c>
      <c r="O289" s="6">
        <f>Table1[[#This Row],[Revenue]]-Table1[[#This Row],[Disc_amount]]</f>
        <v>799</v>
      </c>
      <c r="P289" t="s">
        <v>41</v>
      </c>
      <c r="Q289" t="s">
        <v>27</v>
      </c>
    </row>
    <row r="290" spans="1:17">
      <c r="A290" t="s">
        <v>724</v>
      </c>
      <c r="B290" s="1" t="s">
        <v>721</v>
      </c>
      <c r="C290" s="1" t="s">
        <v>524</v>
      </c>
      <c r="D290" s="1" t="s">
        <v>20</v>
      </c>
      <c r="E290" t="s">
        <v>725</v>
      </c>
      <c r="F290" t="s">
        <v>726</v>
      </c>
      <c r="G290" t="s">
        <v>23</v>
      </c>
      <c r="H290" t="s">
        <v>46</v>
      </c>
      <c r="I290" t="s">
        <v>154</v>
      </c>
      <c r="J290">
        <v>2</v>
      </c>
      <c r="K290">
        <v>299</v>
      </c>
      <c r="L290">
        <f>Table1[[#This Row],[Quantity]] * Table1[[#This Row],[UnitPrice]]</f>
        <v>598</v>
      </c>
      <c r="M290" s="25">
        <v>5</v>
      </c>
      <c r="N290">
        <f>Table1[[#This Row],[Revenue]]*Table1[[#This Row],[Discount%]]/100</f>
        <v>29.9</v>
      </c>
      <c r="O290" s="6">
        <f>Table1[[#This Row],[Revenue]]-Table1[[#This Row],[Disc_amount]]</f>
        <v>568.1</v>
      </c>
      <c r="P290" t="s">
        <v>33</v>
      </c>
      <c r="Q290" t="s">
        <v>27</v>
      </c>
    </row>
    <row r="291" spans="1:17">
      <c r="A291" t="s">
        <v>727</v>
      </c>
      <c r="B291" s="1" t="s">
        <v>721</v>
      </c>
      <c r="C291" s="1" t="s">
        <v>524</v>
      </c>
      <c r="D291" s="1" t="s">
        <v>20</v>
      </c>
      <c r="E291" t="s">
        <v>583</v>
      </c>
      <c r="F291" t="s">
        <v>584</v>
      </c>
      <c r="G291" t="s">
        <v>56</v>
      </c>
      <c r="H291" t="s">
        <v>39</v>
      </c>
      <c r="I291" t="s">
        <v>140</v>
      </c>
      <c r="J291">
        <v>1</v>
      </c>
      <c r="K291">
        <v>1799</v>
      </c>
      <c r="L291">
        <f>Table1[[#This Row],[Quantity]] * Table1[[#This Row],[UnitPrice]]</f>
        <v>1799</v>
      </c>
      <c r="M291" s="25">
        <v>20</v>
      </c>
      <c r="N291">
        <f>Table1[[#This Row],[Revenue]]*Table1[[#This Row],[Discount%]]/100</f>
        <v>359.8</v>
      </c>
      <c r="O291" s="6">
        <f>Table1[[#This Row],[Revenue]]-Table1[[#This Row],[Disc_amount]]</f>
        <v>1439.2</v>
      </c>
      <c r="P291" t="s">
        <v>26</v>
      </c>
      <c r="Q291" t="s">
        <v>27</v>
      </c>
    </row>
    <row r="292" spans="1:17">
      <c r="A292" t="s">
        <v>728</v>
      </c>
      <c r="B292" s="1" t="s">
        <v>721</v>
      </c>
      <c r="C292" s="1" t="s">
        <v>524</v>
      </c>
      <c r="D292" s="1" t="s">
        <v>20</v>
      </c>
      <c r="E292" t="s">
        <v>729</v>
      </c>
      <c r="F292" t="s">
        <v>730</v>
      </c>
      <c r="G292" t="s">
        <v>45</v>
      </c>
      <c r="H292" t="s">
        <v>24</v>
      </c>
      <c r="I292" t="s">
        <v>32</v>
      </c>
      <c r="J292">
        <v>1</v>
      </c>
      <c r="K292">
        <v>199</v>
      </c>
      <c r="L292">
        <f>Table1[[#This Row],[Quantity]] * Table1[[#This Row],[UnitPrice]]</f>
        <v>199</v>
      </c>
      <c r="M292" s="25">
        <v>20</v>
      </c>
      <c r="N292">
        <f>Table1[[#This Row],[Revenue]]*Table1[[#This Row],[Discount%]]/100</f>
        <v>39.799999999999997</v>
      </c>
      <c r="O292" s="6">
        <f>Table1[[#This Row],[Revenue]]-Table1[[#This Row],[Disc_amount]]</f>
        <v>159.19999999999999</v>
      </c>
      <c r="P292" t="s">
        <v>26</v>
      </c>
      <c r="Q292" t="s">
        <v>27</v>
      </c>
    </row>
    <row r="293" spans="1:17">
      <c r="A293" t="s">
        <v>731</v>
      </c>
      <c r="B293" s="1" t="s">
        <v>721</v>
      </c>
      <c r="C293" s="1" t="s">
        <v>524</v>
      </c>
      <c r="D293" s="1" t="s">
        <v>20</v>
      </c>
      <c r="E293" t="s">
        <v>182</v>
      </c>
      <c r="F293" t="s">
        <v>183</v>
      </c>
      <c r="G293" t="s">
        <v>38</v>
      </c>
      <c r="H293" t="s">
        <v>39</v>
      </c>
      <c r="I293" t="s">
        <v>51</v>
      </c>
      <c r="J293">
        <v>1</v>
      </c>
      <c r="K293">
        <v>2999</v>
      </c>
      <c r="L293">
        <f>Table1[[#This Row],[Quantity]] * Table1[[#This Row],[UnitPrice]]</f>
        <v>2999</v>
      </c>
      <c r="M293" s="25">
        <v>0</v>
      </c>
      <c r="N293">
        <f>Table1[[#This Row],[Revenue]]*Table1[[#This Row],[Discount%]]/100</f>
        <v>0</v>
      </c>
      <c r="O293" s="6">
        <f>Table1[[#This Row],[Revenue]]-Table1[[#This Row],[Disc_amount]]</f>
        <v>2999</v>
      </c>
      <c r="P293" t="s">
        <v>52</v>
      </c>
      <c r="Q293" t="s">
        <v>27</v>
      </c>
    </row>
    <row r="294" spans="1:17">
      <c r="A294" t="s">
        <v>732</v>
      </c>
      <c r="B294" s="1" t="s">
        <v>721</v>
      </c>
      <c r="C294" s="1" t="s">
        <v>524</v>
      </c>
      <c r="D294" s="1" t="s">
        <v>20</v>
      </c>
      <c r="E294" t="s">
        <v>733</v>
      </c>
      <c r="F294" t="s">
        <v>734</v>
      </c>
      <c r="G294" t="s">
        <v>56</v>
      </c>
      <c r="H294" t="s">
        <v>57</v>
      </c>
      <c r="I294" t="s">
        <v>58</v>
      </c>
      <c r="J294">
        <v>3</v>
      </c>
      <c r="K294">
        <v>1299</v>
      </c>
      <c r="L294">
        <f>Table1[[#This Row],[Quantity]] * Table1[[#This Row],[UnitPrice]]</f>
        <v>3897</v>
      </c>
      <c r="M294" s="25">
        <v>0</v>
      </c>
      <c r="N294">
        <f>Table1[[#This Row],[Revenue]]*Table1[[#This Row],[Discount%]]/100</f>
        <v>0</v>
      </c>
      <c r="O294" s="6">
        <f>Table1[[#This Row],[Revenue]]-Table1[[#This Row],[Disc_amount]]</f>
        <v>3897</v>
      </c>
      <c r="P294" t="s">
        <v>33</v>
      </c>
      <c r="Q294" t="s">
        <v>34</v>
      </c>
    </row>
    <row r="295" spans="1:17">
      <c r="A295" t="s">
        <v>735</v>
      </c>
      <c r="B295" s="1" t="s">
        <v>736</v>
      </c>
      <c r="C295" s="1" t="s">
        <v>524</v>
      </c>
      <c r="D295" s="1" t="s">
        <v>20</v>
      </c>
      <c r="E295" t="s">
        <v>332</v>
      </c>
      <c r="F295" t="s">
        <v>107</v>
      </c>
      <c r="G295" t="s">
        <v>56</v>
      </c>
      <c r="H295" t="s">
        <v>39</v>
      </c>
      <c r="I295" t="s">
        <v>140</v>
      </c>
      <c r="J295">
        <v>2</v>
      </c>
      <c r="K295">
        <v>1799</v>
      </c>
      <c r="L295">
        <f>Table1[[#This Row],[Quantity]] * Table1[[#This Row],[UnitPrice]]</f>
        <v>3598</v>
      </c>
      <c r="M295" s="25">
        <v>20</v>
      </c>
      <c r="N295">
        <f>Table1[[#This Row],[Revenue]]*Table1[[#This Row],[Discount%]]/100</f>
        <v>719.6</v>
      </c>
      <c r="O295" s="6">
        <f>Table1[[#This Row],[Revenue]]-Table1[[#This Row],[Disc_amount]]</f>
        <v>2878.4</v>
      </c>
      <c r="P295" t="s">
        <v>33</v>
      </c>
      <c r="Q295" t="s">
        <v>34</v>
      </c>
    </row>
    <row r="296" spans="1:17">
      <c r="A296" t="s">
        <v>737</v>
      </c>
      <c r="B296" s="1" t="s">
        <v>736</v>
      </c>
      <c r="C296" s="1" t="s">
        <v>524</v>
      </c>
      <c r="D296" s="1" t="s">
        <v>20</v>
      </c>
      <c r="E296" t="s">
        <v>231</v>
      </c>
      <c r="F296" t="s">
        <v>173</v>
      </c>
      <c r="G296" t="s">
        <v>31</v>
      </c>
      <c r="H296" t="s">
        <v>24</v>
      </c>
      <c r="I296" t="s">
        <v>32</v>
      </c>
      <c r="J296">
        <v>1</v>
      </c>
      <c r="K296">
        <v>199</v>
      </c>
      <c r="L296">
        <f>Table1[[#This Row],[Quantity]] * Table1[[#This Row],[UnitPrice]]</f>
        <v>199</v>
      </c>
      <c r="M296" s="25">
        <v>5</v>
      </c>
      <c r="N296">
        <f>Table1[[#This Row],[Revenue]]*Table1[[#This Row],[Discount%]]/100</f>
        <v>9.9499999999999993</v>
      </c>
      <c r="O296" s="6">
        <f>Table1[[#This Row],[Revenue]]-Table1[[#This Row],[Disc_amount]]</f>
        <v>189.05</v>
      </c>
      <c r="P296" t="s">
        <v>26</v>
      </c>
      <c r="Q296" t="s">
        <v>27</v>
      </c>
    </row>
    <row r="297" spans="1:17">
      <c r="A297" t="s">
        <v>738</v>
      </c>
      <c r="B297" s="1" t="s">
        <v>736</v>
      </c>
      <c r="C297" s="1" t="s">
        <v>524</v>
      </c>
      <c r="D297" s="1" t="s">
        <v>20</v>
      </c>
      <c r="E297" t="s">
        <v>500</v>
      </c>
      <c r="F297" t="s">
        <v>501</v>
      </c>
      <c r="G297" t="s">
        <v>38</v>
      </c>
      <c r="H297" t="s">
        <v>108</v>
      </c>
      <c r="I297" t="s">
        <v>109</v>
      </c>
      <c r="J297">
        <v>1</v>
      </c>
      <c r="K297">
        <v>1499</v>
      </c>
      <c r="L297">
        <f>Table1[[#This Row],[Quantity]] * Table1[[#This Row],[UnitPrice]]</f>
        <v>1499</v>
      </c>
      <c r="M297" s="25">
        <v>0</v>
      </c>
      <c r="N297">
        <f>Table1[[#This Row],[Revenue]]*Table1[[#This Row],[Discount%]]/100</f>
        <v>0</v>
      </c>
      <c r="O297" s="6">
        <f>Table1[[#This Row],[Revenue]]-Table1[[#This Row],[Disc_amount]]</f>
        <v>1499</v>
      </c>
      <c r="P297" t="s">
        <v>41</v>
      </c>
      <c r="Q297" t="s">
        <v>34</v>
      </c>
    </row>
    <row r="298" spans="1:17">
      <c r="A298" t="s">
        <v>739</v>
      </c>
      <c r="B298" s="1" t="s">
        <v>736</v>
      </c>
      <c r="C298" s="1" t="s">
        <v>524</v>
      </c>
      <c r="D298" s="1" t="s">
        <v>20</v>
      </c>
      <c r="E298" t="s">
        <v>740</v>
      </c>
      <c r="F298" t="s">
        <v>376</v>
      </c>
      <c r="G298" t="s">
        <v>31</v>
      </c>
      <c r="H298" t="s">
        <v>24</v>
      </c>
      <c r="I298" t="s">
        <v>32</v>
      </c>
      <c r="J298">
        <v>3</v>
      </c>
      <c r="K298">
        <v>199</v>
      </c>
      <c r="L298">
        <f>Table1[[#This Row],[Quantity]] * Table1[[#This Row],[UnitPrice]]</f>
        <v>597</v>
      </c>
      <c r="M298" s="25">
        <v>10</v>
      </c>
      <c r="N298">
        <f>Table1[[#This Row],[Revenue]]*Table1[[#This Row],[Discount%]]/100</f>
        <v>59.7</v>
      </c>
      <c r="O298" s="6">
        <f>Table1[[#This Row],[Revenue]]-Table1[[#This Row],[Disc_amount]]</f>
        <v>537.29999999999995</v>
      </c>
      <c r="P298" t="s">
        <v>41</v>
      </c>
      <c r="Q298" t="s">
        <v>34</v>
      </c>
    </row>
    <row r="299" spans="1:17">
      <c r="A299" t="s">
        <v>741</v>
      </c>
      <c r="B299" s="1" t="s">
        <v>736</v>
      </c>
      <c r="C299" s="1" t="s">
        <v>524</v>
      </c>
      <c r="D299" s="1" t="s">
        <v>20</v>
      </c>
      <c r="E299" t="s">
        <v>652</v>
      </c>
      <c r="F299" t="s">
        <v>443</v>
      </c>
      <c r="G299" t="s">
        <v>23</v>
      </c>
      <c r="H299" t="s">
        <v>46</v>
      </c>
      <c r="I299" t="s">
        <v>154</v>
      </c>
      <c r="J299">
        <v>3</v>
      </c>
      <c r="K299">
        <v>299</v>
      </c>
      <c r="L299">
        <f>Table1[[#This Row],[Quantity]] * Table1[[#This Row],[UnitPrice]]</f>
        <v>897</v>
      </c>
      <c r="M299" s="25">
        <v>0</v>
      </c>
      <c r="N299">
        <f>Table1[[#This Row],[Revenue]]*Table1[[#This Row],[Discount%]]/100</f>
        <v>0</v>
      </c>
      <c r="O299" s="6">
        <f>Table1[[#This Row],[Revenue]]-Table1[[#This Row],[Disc_amount]]</f>
        <v>897</v>
      </c>
      <c r="P299" t="s">
        <v>26</v>
      </c>
      <c r="Q299" t="s">
        <v>27</v>
      </c>
    </row>
    <row r="300" spans="1:17">
      <c r="A300" t="s">
        <v>742</v>
      </c>
      <c r="B300" s="1" t="s">
        <v>736</v>
      </c>
      <c r="C300" s="1" t="s">
        <v>524</v>
      </c>
      <c r="D300" s="1" t="s">
        <v>20</v>
      </c>
      <c r="E300" t="s">
        <v>152</v>
      </c>
      <c r="F300" t="s">
        <v>153</v>
      </c>
      <c r="G300" t="s">
        <v>45</v>
      </c>
      <c r="H300" t="s">
        <v>24</v>
      </c>
      <c r="I300" t="s">
        <v>25</v>
      </c>
      <c r="J300">
        <v>1</v>
      </c>
      <c r="K300">
        <v>99</v>
      </c>
      <c r="L300">
        <f>Table1[[#This Row],[Quantity]] * Table1[[#This Row],[UnitPrice]]</f>
        <v>99</v>
      </c>
      <c r="M300" s="25">
        <v>0</v>
      </c>
      <c r="N300">
        <f>Table1[[#This Row],[Revenue]]*Table1[[#This Row],[Discount%]]/100</f>
        <v>0</v>
      </c>
      <c r="O300" s="6">
        <f>Table1[[#This Row],[Revenue]]-Table1[[#This Row],[Disc_amount]]</f>
        <v>99</v>
      </c>
      <c r="P300" t="s">
        <v>26</v>
      </c>
      <c r="Q300" t="s">
        <v>27</v>
      </c>
    </row>
    <row r="301" spans="1:17">
      <c r="A301" t="s">
        <v>743</v>
      </c>
      <c r="B301" s="1" t="s">
        <v>736</v>
      </c>
      <c r="C301" s="1" t="s">
        <v>524</v>
      </c>
      <c r="D301" s="1" t="s">
        <v>20</v>
      </c>
      <c r="E301" t="s">
        <v>606</v>
      </c>
      <c r="F301" t="s">
        <v>607</v>
      </c>
      <c r="G301" t="s">
        <v>31</v>
      </c>
      <c r="H301" t="s">
        <v>24</v>
      </c>
      <c r="I301" t="s">
        <v>25</v>
      </c>
      <c r="J301">
        <v>1</v>
      </c>
      <c r="K301">
        <v>99</v>
      </c>
      <c r="L301">
        <f>Table1[[#This Row],[Quantity]] * Table1[[#This Row],[UnitPrice]]</f>
        <v>99</v>
      </c>
      <c r="M301" s="25">
        <v>10</v>
      </c>
      <c r="N301">
        <f>Table1[[#This Row],[Revenue]]*Table1[[#This Row],[Discount%]]/100</f>
        <v>9.9</v>
      </c>
      <c r="O301" s="6">
        <f>Table1[[#This Row],[Revenue]]-Table1[[#This Row],[Disc_amount]]</f>
        <v>89.1</v>
      </c>
      <c r="P301" t="s">
        <v>41</v>
      </c>
      <c r="Q301" t="s">
        <v>34</v>
      </c>
    </row>
    <row r="302" spans="1:17">
      <c r="A302" t="s">
        <v>744</v>
      </c>
      <c r="B302" s="1" t="s">
        <v>736</v>
      </c>
      <c r="C302" s="1" t="s">
        <v>524</v>
      </c>
      <c r="D302" s="1" t="s">
        <v>20</v>
      </c>
      <c r="E302" t="s">
        <v>745</v>
      </c>
      <c r="F302" t="s">
        <v>519</v>
      </c>
      <c r="G302" t="s">
        <v>23</v>
      </c>
      <c r="H302" t="s">
        <v>24</v>
      </c>
      <c r="I302" t="s">
        <v>32</v>
      </c>
      <c r="J302">
        <v>3</v>
      </c>
      <c r="K302">
        <v>199</v>
      </c>
      <c r="L302">
        <f>Table1[[#This Row],[Quantity]] * Table1[[#This Row],[UnitPrice]]</f>
        <v>597</v>
      </c>
      <c r="M302" s="25">
        <v>15</v>
      </c>
      <c r="N302">
        <f>Table1[[#This Row],[Revenue]]*Table1[[#This Row],[Discount%]]/100</f>
        <v>89.55</v>
      </c>
      <c r="O302" s="6">
        <f>Table1[[#This Row],[Revenue]]-Table1[[#This Row],[Disc_amount]]</f>
        <v>507.45</v>
      </c>
      <c r="P302" t="s">
        <v>41</v>
      </c>
      <c r="Q302" t="s">
        <v>27</v>
      </c>
    </row>
    <row r="303" spans="1:17">
      <c r="A303" t="s">
        <v>746</v>
      </c>
      <c r="B303" s="1" t="s">
        <v>736</v>
      </c>
      <c r="C303" s="1" t="s">
        <v>524</v>
      </c>
      <c r="D303" s="1" t="s">
        <v>20</v>
      </c>
      <c r="E303" t="s">
        <v>747</v>
      </c>
      <c r="F303" t="s">
        <v>748</v>
      </c>
      <c r="G303" t="s">
        <v>56</v>
      </c>
      <c r="H303" t="s">
        <v>70</v>
      </c>
      <c r="I303" t="s">
        <v>91</v>
      </c>
      <c r="J303">
        <v>3</v>
      </c>
      <c r="K303">
        <v>549</v>
      </c>
      <c r="L303">
        <f>Table1[[#This Row],[Quantity]] * Table1[[#This Row],[UnitPrice]]</f>
        <v>1647</v>
      </c>
      <c r="M303" s="25">
        <v>10</v>
      </c>
      <c r="N303">
        <f>Table1[[#This Row],[Revenue]]*Table1[[#This Row],[Discount%]]/100</f>
        <v>164.7</v>
      </c>
      <c r="O303" s="6">
        <f>Table1[[#This Row],[Revenue]]-Table1[[#This Row],[Disc_amount]]</f>
        <v>1482.3</v>
      </c>
      <c r="P303" t="s">
        <v>33</v>
      </c>
      <c r="Q303" t="s">
        <v>34</v>
      </c>
    </row>
    <row r="304" spans="1:17">
      <c r="A304" t="s">
        <v>749</v>
      </c>
      <c r="B304" s="1" t="s">
        <v>736</v>
      </c>
      <c r="C304" s="1" t="s">
        <v>524</v>
      </c>
      <c r="D304" s="1" t="s">
        <v>20</v>
      </c>
      <c r="E304" t="s">
        <v>750</v>
      </c>
      <c r="F304" t="s">
        <v>83</v>
      </c>
      <c r="G304" t="s">
        <v>38</v>
      </c>
      <c r="H304" t="s">
        <v>108</v>
      </c>
      <c r="I304" t="s">
        <v>130</v>
      </c>
      <c r="J304">
        <v>1</v>
      </c>
      <c r="K304">
        <v>699</v>
      </c>
      <c r="L304">
        <f>Table1[[#This Row],[Quantity]] * Table1[[#This Row],[UnitPrice]]</f>
        <v>699</v>
      </c>
      <c r="M304" s="25">
        <v>0</v>
      </c>
      <c r="N304">
        <f>Table1[[#This Row],[Revenue]]*Table1[[#This Row],[Discount%]]/100</f>
        <v>0</v>
      </c>
      <c r="O304" s="6">
        <f>Table1[[#This Row],[Revenue]]-Table1[[#This Row],[Disc_amount]]</f>
        <v>699</v>
      </c>
      <c r="P304" t="s">
        <v>52</v>
      </c>
      <c r="Q304" t="s">
        <v>27</v>
      </c>
    </row>
    <row r="305" spans="1:17">
      <c r="A305" t="s">
        <v>751</v>
      </c>
      <c r="B305" s="1" t="s">
        <v>752</v>
      </c>
      <c r="C305" s="1" t="s">
        <v>524</v>
      </c>
      <c r="D305" s="1" t="s">
        <v>20</v>
      </c>
      <c r="E305" t="s">
        <v>405</v>
      </c>
      <c r="F305" t="s">
        <v>248</v>
      </c>
      <c r="G305" t="s">
        <v>45</v>
      </c>
      <c r="H305" t="s">
        <v>108</v>
      </c>
      <c r="I305" t="s">
        <v>130</v>
      </c>
      <c r="J305">
        <v>5</v>
      </c>
      <c r="K305">
        <v>699</v>
      </c>
      <c r="L305">
        <f>Table1[[#This Row],[Quantity]] * Table1[[#This Row],[UnitPrice]]</f>
        <v>3495</v>
      </c>
      <c r="M305" s="25">
        <v>0</v>
      </c>
      <c r="N305">
        <f>Table1[[#This Row],[Revenue]]*Table1[[#This Row],[Discount%]]/100</f>
        <v>0</v>
      </c>
      <c r="O305" s="6">
        <f>Table1[[#This Row],[Revenue]]-Table1[[#This Row],[Disc_amount]]</f>
        <v>3495</v>
      </c>
      <c r="P305" t="s">
        <v>52</v>
      </c>
      <c r="Q305" t="s">
        <v>27</v>
      </c>
    </row>
    <row r="306" spans="1:17">
      <c r="A306" t="s">
        <v>753</v>
      </c>
      <c r="B306" s="1" t="s">
        <v>752</v>
      </c>
      <c r="C306" s="1" t="s">
        <v>524</v>
      </c>
      <c r="D306" s="1" t="s">
        <v>20</v>
      </c>
      <c r="E306" t="s">
        <v>636</v>
      </c>
      <c r="F306" t="s">
        <v>61</v>
      </c>
      <c r="G306" t="s">
        <v>56</v>
      </c>
      <c r="H306" t="s">
        <v>46</v>
      </c>
      <c r="I306" t="s">
        <v>47</v>
      </c>
      <c r="J306">
        <v>1</v>
      </c>
      <c r="K306">
        <v>249</v>
      </c>
      <c r="L306">
        <f>Table1[[#This Row],[Quantity]] * Table1[[#This Row],[UnitPrice]]</f>
        <v>249</v>
      </c>
      <c r="M306" s="25">
        <v>0</v>
      </c>
      <c r="N306">
        <f>Table1[[#This Row],[Revenue]]*Table1[[#This Row],[Discount%]]/100</f>
        <v>0</v>
      </c>
      <c r="O306" s="6">
        <f>Table1[[#This Row],[Revenue]]-Table1[[#This Row],[Disc_amount]]</f>
        <v>249</v>
      </c>
      <c r="P306" t="s">
        <v>33</v>
      </c>
      <c r="Q306" t="s">
        <v>27</v>
      </c>
    </row>
    <row r="307" spans="1:17">
      <c r="A307" t="s">
        <v>754</v>
      </c>
      <c r="B307" s="1" t="s">
        <v>752</v>
      </c>
      <c r="C307" s="1" t="s">
        <v>524</v>
      </c>
      <c r="D307" s="1" t="s">
        <v>20</v>
      </c>
      <c r="E307" t="s">
        <v>755</v>
      </c>
      <c r="F307" t="s">
        <v>756</v>
      </c>
      <c r="G307" t="s">
        <v>31</v>
      </c>
      <c r="H307" t="s">
        <v>39</v>
      </c>
      <c r="I307" t="s">
        <v>51</v>
      </c>
      <c r="J307">
        <v>1</v>
      </c>
      <c r="K307">
        <v>2999</v>
      </c>
      <c r="L307">
        <f>Table1[[#This Row],[Quantity]] * Table1[[#This Row],[UnitPrice]]</f>
        <v>2999</v>
      </c>
      <c r="M307" s="25">
        <v>10</v>
      </c>
      <c r="N307">
        <f>Table1[[#This Row],[Revenue]]*Table1[[#This Row],[Discount%]]/100</f>
        <v>299.89999999999998</v>
      </c>
      <c r="O307" s="6">
        <f>Table1[[#This Row],[Revenue]]-Table1[[#This Row],[Disc_amount]]</f>
        <v>2699.1</v>
      </c>
      <c r="P307" t="s">
        <v>41</v>
      </c>
      <c r="Q307" t="s">
        <v>27</v>
      </c>
    </row>
    <row r="308" spans="1:17">
      <c r="A308" t="s">
        <v>757</v>
      </c>
      <c r="B308" s="1" t="s">
        <v>752</v>
      </c>
      <c r="C308" s="1" t="s">
        <v>524</v>
      </c>
      <c r="D308" s="1" t="s">
        <v>20</v>
      </c>
      <c r="E308" t="s">
        <v>758</v>
      </c>
      <c r="F308" t="s">
        <v>759</v>
      </c>
      <c r="G308" t="s">
        <v>31</v>
      </c>
      <c r="H308" t="s">
        <v>57</v>
      </c>
      <c r="I308" t="s">
        <v>58</v>
      </c>
      <c r="J308">
        <v>2</v>
      </c>
      <c r="K308">
        <v>1299</v>
      </c>
      <c r="L308">
        <f>Table1[[#This Row],[Quantity]] * Table1[[#This Row],[UnitPrice]]</f>
        <v>2598</v>
      </c>
      <c r="M308" s="25">
        <v>0</v>
      </c>
      <c r="N308">
        <f>Table1[[#This Row],[Revenue]]*Table1[[#This Row],[Discount%]]/100</f>
        <v>0</v>
      </c>
      <c r="O308" s="6">
        <f>Table1[[#This Row],[Revenue]]-Table1[[#This Row],[Disc_amount]]</f>
        <v>2598</v>
      </c>
      <c r="P308" t="s">
        <v>33</v>
      </c>
      <c r="Q308" t="s">
        <v>27</v>
      </c>
    </row>
    <row r="309" spans="1:17">
      <c r="A309" t="s">
        <v>760</v>
      </c>
      <c r="B309" s="1" t="s">
        <v>752</v>
      </c>
      <c r="C309" s="1" t="s">
        <v>524</v>
      </c>
      <c r="D309" s="1" t="s">
        <v>20</v>
      </c>
      <c r="E309" t="s">
        <v>761</v>
      </c>
      <c r="F309" t="s">
        <v>44</v>
      </c>
      <c r="G309" t="s">
        <v>56</v>
      </c>
      <c r="H309" t="s">
        <v>57</v>
      </c>
      <c r="I309" t="s">
        <v>62</v>
      </c>
      <c r="J309">
        <v>2</v>
      </c>
      <c r="K309">
        <v>799</v>
      </c>
      <c r="L309">
        <f>Table1[[#This Row],[Quantity]] * Table1[[#This Row],[UnitPrice]]</f>
        <v>1598</v>
      </c>
      <c r="M309" s="25">
        <v>15</v>
      </c>
      <c r="N309">
        <f>Table1[[#This Row],[Revenue]]*Table1[[#This Row],[Discount%]]/100</f>
        <v>239.7</v>
      </c>
      <c r="O309" s="6">
        <f>Table1[[#This Row],[Revenue]]-Table1[[#This Row],[Disc_amount]]</f>
        <v>1358.3</v>
      </c>
      <c r="P309" t="s">
        <v>33</v>
      </c>
      <c r="Q309" t="s">
        <v>27</v>
      </c>
    </row>
    <row r="310" spans="1:17">
      <c r="A310" t="s">
        <v>762</v>
      </c>
      <c r="B310" s="1" t="s">
        <v>752</v>
      </c>
      <c r="C310" s="1" t="s">
        <v>524</v>
      </c>
      <c r="D310" s="1" t="s">
        <v>20</v>
      </c>
      <c r="E310" t="s">
        <v>763</v>
      </c>
      <c r="F310" t="s">
        <v>118</v>
      </c>
      <c r="G310" t="s">
        <v>38</v>
      </c>
      <c r="H310" t="s">
        <v>46</v>
      </c>
      <c r="I310" t="s">
        <v>154</v>
      </c>
      <c r="J310">
        <v>1</v>
      </c>
      <c r="K310">
        <v>299</v>
      </c>
      <c r="L310">
        <f>Table1[[#This Row],[Quantity]] * Table1[[#This Row],[UnitPrice]]</f>
        <v>299</v>
      </c>
      <c r="M310" s="25">
        <v>0</v>
      </c>
      <c r="N310">
        <f>Table1[[#This Row],[Revenue]]*Table1[[#This Row],[Discount%]]/100</f>
        <v>0</v>
      </c>
      <c r="O310" s="6">
        <f>Table1[[#This Row],[Revenue]]-Table1[[#This Row],[Disc_amount]]</f>
        <v>299</v>
      </c>
      <c r="P310" t="s">
        <v>86</v>
      </c>
      <c r="Q310" t="s">
        <v>34</v>
      </c>
    </row>
    <row r="311" spans="1:17">
      <c r="A311" t="s">
        <v>764</v>
      </c>
      <c r="B311" s="1" t="s">
        <v>765</v>
      </c>
      <c r="C311" s="1" t="s">
        <v>524</v>
      </c>
      <c r="D311" s="1" t="s">
        <v>20</v>
      </c>
      <c r="E311" t="s">
        <v>766</v>
      </c>
      <c r="F311" t="s">
        <v>767</v>
      </c>
      <c r="G311" t="s">
        <v>45</v>
      </c>
      <c r="H311" t="s">
        <v>70</v>
      </c>
      <c r="I311" t="s">
        <v>71</v>
      </c>
      <c r="J311">
        <v>1</v>
      </c>
      <c r="K311">
        <v>349</v>
      </c>
      <c r="L311">
        <f>Table1[[#This Row],[Quantity]] * Table1[[#This Row],[UnitPrice]]</f>
        <v>349</v>
      </c>
      <c r="M311" s="25">
        <v>15</v>
      </c>
      <c r="N311">
        <f>Table1[[#This Row],[Revenue]]*Table1[[#This Row],[Discount%]]/100</f>
        <v>52.35</v>
      </c>
      <c r="O311" s="6">
        <f>Table1[[#This Row],[Revenue]]-Table1[[#This Row],[Disc_amount]]</f>
        <v>296.64999999999998</v>
      </c>
      <c r="P311" t="s">
        <v>52</v>
      </c>
      <c r="Q311" t="s">
        <v>27</v>
      </c>
    </row>
    <row r="312" spans="1:17">
      <c r="A312" t="s">
        <v>768</v>
      </c>
      <c r="B312" s="1" t="s">
        <v>765</v>
      </c>
      <c r="C312" s="1" t="s">
        <v>524</v>
      </c>
      <c r="D312" s="1" t="s">
        <v>20</v>
      </c>
      <c r="E312" t="s">
        <v>769</v>
      </c>
      <c r="F312" t="s">
        <v>101</v>
      </c>
      <c r="G312" t="s">
        <v>56</v>
      </c>
      <c r="H312" t="s">
        <v>70</v>
      </c>
      <c r="I312" t="s">
        <v>91</v>
      </c>
      <c r="J312">
        <v>1</v>
      </c>
      <c r="K312">
        <v>549</v>
      </c>
      <c r="L312">
        <f>Table1[[#This Row],[Quantity]] * Table1[[#This Row],[UnitPrice]]</f>
        <v>549</v>
      </c>
      <c r="M312" s="25">
        <v>5</v>
      </c>
      <c r="N312">
        <f>Table1[[#This Row],[Revenue]]*Table1[[#This Row],[Discount%]]/100</f>
        <v>27.45</v>
      </c>
      <c r="O312" s="6">
        <f>Table1[[#This Row],[Revenue]]-Table1[[#This Row],[Disc_amount]]</f>
        <v>521.54999999999995</v>
      </c>
      <c r="P312" t="s">
        <v>33</v>
      </c>
      <c r="Q312" t="s">
        <v>27</v>
      </c>
    </row>
    <row r="313" spans="1:17">
      <c r="A313" t="s">
        <v>770</v>
      </c>
      <c r="B313" s="1" t="s">
        <v>765</v>
      </c>
      <c r="C313" s="1" t="s">
        <v>524</v>
      </c>
      <c r="D313" s="1" t="s">
        <v>20</v>
      </c>
      <c r="E313" t="s">
        <v>722</v>
      </c>
      <c r="F313" t="s">
        <v>723</v>
      </c>
      <c r="G313" t="s">
        <v>56</v>
      </c>
      <c r="H313" t="s">
        <v>57</v>
      </c>
      <c r="I313" t="s">
        <v>62</v>
      </c>
      <c r="J313">
        <v>1</v>
      </c>
      <c r="K313">
        <v>799</v>
      </c>
      <c r="L313">
        <f>Table1[[#This Row],[Quantity]] * Table1[[#This Row],[UnitPrice]]</f>
        <v>799</v>
      </c>
      <c r="M313" s="25">
        <v>5</v>
      </c>
      <c r="N313">
        <f>Table1[[#This Row],[Revenue]]*Table1[[#This Row],[Discount%]]/100</f>
        <v>39.950000000000003</v>
      </c>
      <c r="O313" s="6">
        <f>Table1[[#This Row],[Revenue]]-Table1[[#This Row],[Disc_amount]]</f>
        <v>759.05</v>
      </c>
      <c r="P313" t="s">
        <v>52</v>
      </c>
      <c r="Q313" t="s">
        <v>27</v>
      </c>
    </row>
    <row r="314" spans="1:17">
      <c r="A314" t="s">
        <v>771</v>
      </c>
      <c r="B314" s="1" t="s">
        <v>765</v>
      </c>
      <c r="C314" s="1" t="s">
        <v>524</v>
      </c>
      <c r="D314" s="1" t="s">
        <v>20</v>
      </c>
      <c r="E314" t="s">
        <v>93</v>
      </c>
      <c r="F314" t="s">
        <v>77</v>
      </c>
      <c r="G314" t="s">
        <v>23</v>
      </c>
      <c r="H314" t="s">
        <v>46</v>
      </c>
      <c r="I314" t="s">
        <v>154</v>
      </c>
      <c r="J314">
        <v>1</v>
      </c>
      <c r="K314">
        <v>299</v>
      </c>
      <c r="L314">
        <f>Table1[[#This Row],[Quantity]] * Table1[[#This Row],[UnitPrice]]</f>
        <v>299</v>
      </c>
      <c r="M314" s="25">
        <v>20</v>
      </c>
      <c r="N314">
        <f>Table1[[#This Row],[Revenue]]*Table1[[#This Row],[Discount%]]/100</f>
        <v>59.8</v>
      </c>
      <c r="O314" s="6">
        <f>Table1[[#This Row],[Revenue]]-Table1[[#This Row],[Disc_amount]]</f>
        <v>239.2</v>
      </c>
      <c r="P314" t="s">
        <v>26</v>
      </c>
      <c r="Q314" t="s">
        <v>34</v>
      </c>
    </row>
    <row r="315" spans="1:17">
      <c r="A315" t="s">
        <v>772</v>
      </c>
      <c r="B315" s="1" t="s">
        <v>765</v>
      </c>
      <c r="C315" s="1" t="s">
        <v>524</v>
      </c>
      <c r="D315" s="1" t="s">
        <v>20</v>
      </c>
      <c r="E315" t="s">
        <v>267</v>
      </c>
      <c r="F315" t="s">
        <v>268</v>
      </c>
      <c r="G315" t="s">
        <v>38</v>
      </c>
      <c r="H315" t="s">
        <v>24</v>
      </c>
      <c r="I315" t="s">
        <v>25</v>
      </c>
      <c r="J315">
        <v>1</v>
      </c>
      <c r="K315">
        <v>99</v>
      </c>
      <c r="L315">
        <f>Table1[[#This Row],[Quantity]] * Table1[[#This Row],[UnitPrice]]</f>
        <v>99</v>
      </c>
      <c r="M315" s="25">
        <v>0</v>
      </c>
      <c r="N315">
        <f>Table1[[#This Row],[Revenue]]*Table1[[#This Row],[Discount%]]/100</f>
        <v>0</v>
      </c>
      <c r="O315" s="6">
        <f>Table1[[#This Row],[Revenue]]-Table1[[#This Row],[Disc_amount]]</f>
        <v>99</v>
      </c>
      <c r="P315" t="s">
        <v>52</v>
      </c>
      <c r="Q315" t="s">
        <v>27</v>
      </c>
    </row>
    <row r="316" spans="1:17">
      <c r="A316" t="s">
        <v>773</v>
      </c>
      <c r="B316" s="1" t="s">
        <v>765</v>
      </c>
      <c r="C316" s="1" t="s">
        <v>524</v>
      </c>
      <c r="D316" s="1" t="s">
        <v>20</v>
      </c>
      <c r="E316" t="s">
        <v>235</v>
      </c>
      <c r="F316" t="s">
        <v>236</v>
      </c>
      <c r="G316" t="s">
        <v>45</v>
      </c>
      <c r="H316" t="s">
        <v>70</v>
      </c>
      <c r="I316" t="s">
        <v>91</v>
      </c>
      <c r="J316">
        <v>1</v>
      </c>
      <c r="K316">
        <v>549</v>
      </c>
      <c r="L316">
        <f>Table1[[#This Row],[Quantity]] * Table1[[#This Row],[UnitPrice]]</f>
        <v>549</v>
      </c>
      <c r="M316" s="25">
        <v>5</v>
      </c>
      <c r="N316">
        <f>Table1[[#This Row],[Revenue]]*Table1[[#This Row],[Discount%]]/100</f>
        <v>27.45</v>
      </c>
      <c r="O316" s="6">
        <f>Table1[[#This Row],[Revenue]]-Table1[[#This Row],[Disc_amount]]</f>
        <v>521.54999999999995</v>
      </c>
      <c r="P316" t="s">
        <v>86</v>
      </c>
      <c r="Q316" t="s">
        <v>27</v>
      </c>
    </row>
    <row r="317" spans="1:17">
      <c r="A317" t="s">
        <v>774</v>
      </c>
      <c r="B317" s="1" t="s">
        <v>775</v>
      </c>
      <c r="C317" s="1" t="s">
        <v>524</v>
      </c>
      <c r="D317" s="1" t="s">
        <v>20</v>
      </c>
      <c r="E317" t="s">
        <v>776</v>
      </c>
      <c r="F317" t="s">
        <v>153</v>
      </c>
      <c r="G317" t="s">
        <v>23</v>
      </c>
      <c r="H317" t="s">
        <v>39</v>
      </c>
      <c r="I317" t="s">
        <v>40</v>
      </c>
      <c r="J317">
        <v>3</v>
      </c>
      <c r="K317">
        <v>599</v>
      </c>
      <c r="L317">
        <f>Table1[[#This Row],[Quantity]] * Table1[[#This Row],[UnitPrice]]</f>
        <v>1797</v>
      </c>
      <c r="M317" s="25">
        <v>5</v>
      </c>
      <c r="N317">
        <f>Table1[[#This Row],[Revenue]]*Table1[[#This Row],[Discount%]]/100</f>
        <v>89.85</v>
      </c>
      <c r="O317" s="6">
        <f>Table1[[#This Row],[Revenue]]-Table1[[#This Row],[Disc_amount]]</f>
        <v>1707.15</v>
      </c>
      <c r="P317" t="s">
        <v>52</v>
      </c>
      <c r="Q317" t="s">
        <v>27</v>
      </c>
    </row>
    <row r="318" spans="1:17">
      <c r="A318" t="s">
        <v>777</v>
      </c>
      <c r="B318" s="1" t="s">
        <v>775</v>
      </c>
      <c r="C318" s="1" t="s">
        <v>524</v>
      </c>
      <c r="D318" s="1" t="s">
        <v>20</v>
      </c>
      <c r="E318" t="s">
        <v>778</v>
      </c>
      <c r="F318" t="s">
        <v>287</v>
      </c>
      <c r="G318" t="s">
        <v>56</v>
      </c>
      <c r="H318" t="s">
        <v>39</v>
      </c>
      <c r="I318" t="s">
        <v>140</v>
      </c>
      <c r="J318">
        <v>1</v>
      </c>
      <c r="K318">
        <v>1799</v>
      </c>
      <c r="L318">
        <f>Table1[[#This Row],[Quantity]] * Table1[[#This Row],[UnitPrice]]</f>
        <v>1799</v>
      </c>
      <c r="M318" s="25">
        <v>5</v>
      </c>
      <c r="N318">
        <f>Table1[[#This Row],[Revenue]]*Table1[[#This Row],[Discount%]]/100</f>
        <v>89.95</v>
      </c>
      <c r="O318" s="6">
        <f>Table1[[#This Row],[Revenue]]-Table1[[#This Row],[Disc_amount]]</f>
        <v>1709.05</v>
      </c>
      <c r="P318" t="s">
        <v>26</v>
      </c>
      <c r="Q318" t="s">
        <v>27</v>
      </c>
    </row>
    <row r="319" spans="1:17">
      <c r="A319" t="s">
        <v>779</v>
      </c>
      <c r="B319" s="1" t="s">
        <v>775</v>
      </c>
      <c r="C319" s="1" t="s">
        <v>524</v>
      </c>
      <c r="D319" s="1" t="s">
        <v>20</v>
      </c>
      <c r="E319" t="s">
        <v>780</v>
      </c>
      <c r="F319" t="s">
        <v>504</v>
      </c>
      <c r="G319" t="s">
        <v>56</v>
      </c>
      <c r="H319" t="s">
        <v>39</v>
      </c>
      <c r="I319" t="s">
        <v>40</v>
      </c>
      <c r="J319">
        <v>1</v>
      </c>
      <c r="K319">
        <v>599</v>
      </c>
      <c r="L319">
        <f>Table1[[#This Row],[Quantity]] * Table1[[#This Row],[UnitPrice]]</f>
        <v>599</v>
      </c>
      <c r="M319" s="25">
        <v>0</v>
      </c>
      <c r="N319">
        <f>Table1[[#This Row],[Revenue]]*Table1[[#This Row],[Discount%]]/100</f>
        <v>0</v>
      </c>
      <c r="O319" s="6">
        <f>Table1[[#This Row],[Revenue]]-Table1[[#This Row],[Disc_amount]]</f>
        <v>599</v>
      </c>
      <c r="P319" t="s">
        <v>26</v>
      </c>
      <c r="Q319" t="s">
        <v>27</v>
      </c>
    </row>
    <row r="320" spans="1:17">
      <c r="A320" t="s">
        <v>781</v>
      </c>
      <c r="B320" s="1" t="s">
        <v>775</v>
      </c>
      <c r="C320" s="1" t="s">
        <v>524</v>
      </c>
      <c r="D320" s="1" t="s">
        <v>20</v>
      </c>
      <c r="E320" t="s">
        <v>418</v>
      </c>
      <c r="F320" t="s">
        <v>147</v>
      </c>
      <c r="G320" t="s">
        <v>45</v>
      </c>
      <c r="H320" t="s">
        <v>39</v>
      </c>
      <c r="I320" t="s">
        <v>40</v>
      </c>
      <c r="J320">
        <v>3</v>
      </c>
      <c r="K320">
        <v>599</v>
      </c>
      <c r="L320">
        <f>Table1[[#This Row],[Quantity]] * Table1[[#This Row],[UnitPrice]]</f>
        <v>1797</v>
      </c>
      <c r="M320" s="25">
        <v>10</v>
      </c>
      <c r="N320">
        <f>Table1[[#This Row],[Revenue]]*Table1[[#This Row],[Discount%]]/100</f>
        <v>179.7</v>
      </c>
      <c r="O320" s="6">
        <f>Table1[[#This Row],[Revenue]]-Table1[[#This Row],[Disc_amount]]</f>
        <v>1617.3</v>
      </c>
      <c r="P320" t="s">
        <v>33</v>
      </c>
      <c r="Q320" t="s">
        <v>34</v>
      </c>
    </row>
    <row r="321" spans="1:17">
      <c r="A321" t="s">
        <v>782</v>
      </c>
      <c r="B321" s="1" t="s">
        <v>775</v>
      </c>
      <c r="C321" s="1" t="s">
        <v>524</v>
      </c>
      <c r="D321" s="1" t="s">
        <v>20</v>
      </c>
      <c r="E321" t="s">
        <v>783</v>
      </c>
      <c r="F321" t="s">
        <v>784</v>
      </c>
      <c r="G321" t="s">
        <v>56</v>
      </c>
      <c r="H321" t="s">
        <v>57</v>
      </c>
      <c r="I321" t="s">
        <v>58</v>
      </c>
      <c r="J321">
        <v>2</v>
      </c>
      <c r="K321">
        <v>1299</v>
      </c>
      <c r="L321">
        <f>Table1[[#This Row],[Quantity]] * Table1[[#This Row],[UnitPrice]]</f>
        <v>2598</v>
      </c>
      <c r="M321" s="25">
        <v>0</v>
      </c>
      <c r="N321">
        <f>Table1[[#This Row],[Revenue]]*Table1[[#This Row],[Discount%]]/100</f>
        <v>0</v>
      </c>
      <c r="O321" s="6">
        <f>Table1[[#This Row],[Revenue]]-Table1[[#This Row],[Disc_amount]]</f>
        <v>2598</v>
      </c>
      <c r="P321" t="s">
        <v>26</v>
      </c>
      <c r="Q321" t="s">
        <v>34</v>
      </c>
    </row>
    <row r="322" spans="1:17">
      <c r="A322" t="s">
        <v>785</v>
      </c>
      <c r="B322" s="1" t="s">
        <v>786</v>
      </c>
      <c r="C322" s="1" t="s">
        <v>524</v>
      </c>
      <c r="D322" s="1" t="s">
        <v>20</v>
      </c>
      <c r="E322" t="s">
        <v>787</v>
      </c>
      <c r="F322" t="s">
        <v>788</v>
      </c>
      <c r="G322" t="s">
        <v>31</v>
      </c>
      <c r="H322" t="s">
        <v>57</v>
      </c>
      <c r="I322" t="s">
        <v>58</v>
      </c>
      <c r="J322">
        <v>2</v>
      </c>
      <c r="K322">
        <v>1299</v>
      </c>
      <c r="L322">
        <f>Table1[[#This Row],[Quantity]] * Table1[[#This Row],[UnitPrice]]</f>
        <v>2598</v>
      </c>
      <c r="M322" s="25">
        <v>0</v>
      </c>
      <c r="N322">
        <f>Table1[[#This Row],[Revenue]]*Table1[[#This Row],[Discount%]]/100</f>
        <v>0</v>
      </c>
      <c r="O322" s="6">
        <f>Table1[[#This Row],[Revenue]]-Table1[[#This Row],[Disc_amount]]</f>
        <v>2598</v>
      </c>
      <c r="P322" t="s">
        <v>26</v>
      </c>
      <c r="Q322" t="s">
        <v>27</v>
      </c>
    </row>
    <row r="323" spans="1:17">
      <c r="A323" t="s">
        <v>789</v>
      </c>
      <c r="B323" s="1" t="s">
        <v>786</v>
      </c>
      <c r="C323" s="1" t="s">
        <v>524</v>
      </c>
      <c r="D323" s="1" t="s">
        <v>20</v>
      </c>
      <c r="E323" t="s">
        <v>282</v>
      </c>
      <c r="F323" t="s">
        <v>283</v>
      </c>
      <c r="G323" t="s">
        <v>23</v>
      </c>
      <c r="H323" t="s">
        <v>39</v>
      </c>
      <c r="I323" t="s">
        <v>40</v>
      </c>
      <c r="J323">
        <v>1</v>
      </c>
      <c r="K323">
        <v>599</v>
      </c>
      <c r="L323">
        <f>Table1[[#This Row],[Quantity]] * Table1[[#This Row],[UnitPrice]]</f>
        <v>599</v>
      </c>
      <c r="M323" s="25">
        <v>0</v>
      </c>
      <c r="N323">
        <f>Table1[[#This Row],[Revenue]]*Table1[[#This Row],[Discount%]]/100</f>
        <v>0</v>
      </c>
      <c r="O323" s="6">
        <f>Table1[[#This Row],[Revenue]]-Table1[[#This Row],[Disc_amount]]</f>
        <v>599</v>
      </c>
      <c r="P323" t="s">
        <v>26</v>
      </c>
      <c r="Q323" t="s">
        <v>34</v>
      </c>
    </row>
    <row r="324" spans="1:17">
      <c r="A324" t="s">
        <v>790</v>
      </c>
      <c r="B324" s="1" t="s">
        <v>786</v>
      </c>
      <c r="C324" s="1" t="s">
        <v>524</v>
      </c>
      <c r="D324" s="1" t="s">
        <v>20</v>
      </c>
      <c r="E324" t="s">
        <v>791</v>
      </c>
      <c r="F324" t="s">
        <v>37</v>
      </c>
      <c r="G324" t="s">
        <v>23</v>
      </c>
      <c r="H324" t="s">
        <v>39</v>
      </c>
      <c r="I324" t="s">
        <v>40</v>
      </c>
      <c r="J324">
        <v>1</v>
      </c>
      <c r="K324">
        <v>599</v>
      </c>
      <c r="L324">
        <f>Table1[[#This Row],[Quantity]] * Table1[[#This Row],[UnitPrice]]</f>
        <v>599</v>
      </c>
      <c r="M324" s="25">
        <v>0</v>
      </c>
      <c r="N324">
        <f>Table1[[#This Row],[Revenue]]*Table1[[#This Row],[Discount%]]/100</f>
        <v>0</v>
      </c>
      <c r="O324" s="6">
        <f>Table1[[#This Row],[Revenue]]-Table1[[#This Row],[Disc_amount]]</f>
        <v>599</v>
      </c>
      <c r="P324" t="s">
        <v>41</v>
      </c>
      <c r="Q324" t="s">
        <v>27</v>
      </c>
    </row>
    <row r="325" spans="1:17">
      <c r="A325" t="s">
        <v>792</v>
      </c>
      <c r="B325" s="1" t="s">
        <v>786</v>
      </c>
      <c r="C325" s="1" t="s">
        <v>524</v>
      </c>
      <c r="D325" s="1" t="s">
        <v>20</v>
      </c>
      <c r="E325" t="s">
        <v>793</v>
      </c>
      <c r="F325" t="s">
        <v>129</v>
      </c>
      <c r="G325" t="s">
        <v>31</v>
      </c>
      <c r="H325" t="s">
        <v>24</v>
      </c>
      <c r="I325" t="s">
        <v>25</v>
      </c>
      <c r="J325">
        <v>1</v>
      </c>
      <c r="K325">
        <v>99</v>
      </c>
      <c r="L325">
        <f>Table1[[#This Row],[Quantity]] * Table1[[#This Row],[UnitPrice]]</f>
        <v>99</v>
      </c>
      <c r="M325" s="25">
        <v>20</v>
      </c>
      <c r="N325">
        <f>Table1[[#This Row],[Revenue]]*Table1[[#This Row],[Discount%]]/100</f>
        <v>19.8</v>
      </c>
      <c r="O325" s="6">
        <f>Table1[[#This Row],[Revenue]]-Table1[[#This Row],[Disc_amount]]</f>
        <v>79.2</v>
      </c>
      <c r="P325" t="s">
        <v>26</v>
      </c>
      <c r="Q325" t="s">
        <v>27</v>
      </c>
    </row>
    <row r="326" spans="1:17">
      <c r="A326" t="s">
        <v>794</v>
      </c>
      <c r="B326" s="1" t="s">
        <v>786</v>
      </c>
      <c r="C326" s="1" t="s">
        <v>524</v>
      </c>
      <c r="D326" s="1" t="s">
        <v>20</v>
      </c>
      <c r="E326" t="s">
        <v>795</v>
      </c>
      <c r="F326" t="s">
        <v>796</v>
      </c>
      <c r="G326" t="s">
        <v>56</v>
      </c>
      <c r="H326" t="s">
        <v>65</v>
      </c>
      <c r="I326" t="s">
        <v>94</v>
      </c>
      <c r="J326">
        <v>2</v>
      </c>
      <c r="K326">
        <v>899</v>
      </c>
      <c r="L326">
        <f>Table1[[#This Row],[Quantity]] * Table1[[#This Row],[UnitPrice]]</f>
        <v>1798</v>
      </c>
      <c r="M326" s="25">
        <v>5</v>
      </c>
      <c r="N326">
        <f>Table1[[#This Row],[Revenue]]*Table1[[#This Row],[Discount%]]/100</f>
        <v>89.9</v>
      </c>
      <c r="O326" s="6">
        <f>Table1[[#This Row],[Revenue]]-Table1[[#This Row],[Disc_amount]]</f>
        <v>1708.1</v>
      </c>
      <c r="P326" t="s">
        <v>86</v>
      </c>
      <c r="Q326" t="s">
        <v>34</v>
      </c>
    </row>
    <row r="327" spans="1:17">
      <c r="A327" t="s">
        <v>797</v>
      </c>
      <c r="B327" s="1" t="s">
        <v>786</v>
      </c>
      <c r="C327" s="1" t="s">
        <v>524</v>
      </c>
      <c r="D327" s="1" t="s">
        <v>20</v>
      </c>
      <c r="E327" t="s">
        <v>798</v>
      </c>
      <c r="F327" t="s">
        <v>157</v>
      </c>
      <c r="G327" t="s">
        <v>38</v>
      </c>
      <c r="H327" t="s">
        <v>65</v>
      </c>
      <c r="I327" t="s">
        <v>94</v>
      </c>
      <c r="J327">
        <v>1</v>
      </c>
      <c r="K327">
        <v>899</v>
      </c>
      <c r="L327">
        <f>Table1[[#This Row],[Quantity]] * Table1[[#This Row],[UnitPrice]]</f>
        <v>899</v>
      </c>
      <c r="M327" s="25">
        <v>0</v>
      </c>
      <c r="N327">
        <f>Table1[[#This Row],[Revenue]]*Table1[[#This Row],[Discount%]]/100</f>
        <v>0</v>
      </c>
      <c r="O327" s="6">
        <f>Table1[[#This Row],[Revenue]]-Table1[[#This Row],[Disc_amount]]</f>
        <v>899</v>
      </c>
      <c r="P327" t="s">
        <v>86</v>
      </c>
      <c r="Q327" t="s">
        <v>27</v>
      </c>
    </row>
    <row r="328" spans="1:17">
      <c r="A328" t="s">
        <v>799</v>
      </c>
      <c r="B328" s="1" t="s">
        <v>786</v>
      </c>
      <c r="C328" s="1" t="s">
        <v>524</v>
      </c>
      <c r="D328" s="1" t="s">
        <v>20</v>
      </c>
      <c r="E328" t="s">
        <v>264</v>
      </c>
      <c r="F328" t="s">
        <v>265</v>
      </c>
      <c r="G328" t="s">
        <v>56</v>
      </c>
      <c r="H328" t="s">
        <v>39</v>
      </c>
      <c r="I328" t="s">
        <v>40</v>
      </c>
      <c r="J328">
        <v>2</v>
      </c>
      <c r="K328">
        <v>599</v>
      </c>
      <c r="L328">
        <f>Table1[[#This Row],[Quantity]] * Table1[[#This Row],[UnitPrice]]</f>
        <v>1198</v>
      </c>
      <c r="M328" s="25">
        <v>0</v>
      </c>
      <c r="N328">
        <f>Table1[[#This Row],[Revenue]]*Table1[[#This Row],[Discount%]]/100</f>
        <v>0</v>
      </c>
      <c r="O328" s="6">
        <f>Table1[[#This Row],[Revenue]]-Table1[[#This Row],[Disc_amount]]</f>
        <v>1198</v>
      </c>
      <c r="P328" t="s">
        <v>26</v>
      </c>
      <c r="Q328" t="s">
        <v>27</v>
      </c>
    </row>
    <row r="329" spans="1:17">
      <c r="A329" t="s">
        <v>800</v>
      </c>
      <c r="B329" s="1" t="s">
        <v>786</v>
      </c>
      <c r="C329" s="1" t="s">
        <v>524</v>
      </c>
      <c r="D329" s="1" t="s">
        <v>20</v>
      </c>
      <c r="E329" t="s">
        <v>801</v>
      </c>
      <c r="F329" t="s">
        <v>802</v>
      </c>
      <c r="G329" t="s">
        <v>45</v>
      </c>
      <c r="H329" t="s">
        <v>39</v>
      </c>
      <c r="I329" t="s">
        <v>140</v>
      </c>
      <c r="J329">
        <v>1</v>
      </c>
      <c r="K329">
        <v>1799</v>
      </c>
      <c r="L329">
        <f>Table1[[#This Row],[Quantity]] * Table1[[#This Row],[UnitPrice]]</f>
        <v>1799</v>
      </c>
      <c r="M329" s="25">
        <v>15</v>
      </c>
      <c r="N329">
        <f>Table1[[#This Row],[Revenue]]*Table1[[#This Row],[Discount%]]/100</f>
        <v>269.85000000000002</v>
      </c>
      <c r="O329" s="6">
        <f>Table1[[#This Row],[Revenue]]-Table1[[#This Row],[Disc_amount]]</f>
        <v>1529.15</v>
      </c>
      <c r="P329" t="s">
        <v>26</v>
      </c>
      <c r="Q329" t="s">
        <v>27</v>
      </c>
    </row>
    <row r="330" spans="1:17">
      <c r="A330" t="s">
        <v>803</v>
      </c>
      <c r="B330" s="1" t="s">
        <v>786</v>
      </c>
      <c r="C330" s="1" t="s">
        <v>524</v>
      </c>
      <c r="D330" s="1" t="s">
        <v>20</v>
      </c>
      <c r="E330" t="s">
        <v>503</v>
      </c>
      <c r="F330" t="s">
        <v>504</v>
      </c>
      <c r="G330" t="s">
        <v>56</v>
      </c>
      <c r="H330" t="s">
        <v>46</v>
      </c>
      <c r="I330" t="s">
        <v>47</v>
      </c>
      <c r="J330">
        <v>2</v>
      </c>
      <c r="K330">
        <v>249</v>
      </c>
      <c r="L330">
        <f>Table1[[#This Row],[Quantity]] * Table1[[#This Row],[UnitPrice]]</f>
        <v>498</v>
      </c>
      <c r="M330" s="25">
        <v>0</v>
      </c>
      <c r="N330">
        <f>Table1[[#This Row],[Revenue]]*Table1[[#This Row],[Discount%]]/100</f>
        <v>0</v>
      </c>
      <c r="O330" s="6">
        <f>Table1[[#This Row],[Revenue]]-Table1[[#This Row],[Disc_amount]]</f>
        <v>498</v>
      </c>
      <c r="P330" t="s">
        <v>26</v>
      </c>
      <c r="Q330" t="s">
        <v>27</v>
      </c>
    </row>
    <row r="331" spans="1:17">
      <c r="A331" t="s">
        <v>804</v>
      </c>
      <c r="B331" s="1" t="s">
        <v>786</v>
      </c>
      <c r="C331" s="1" t="s">
        <v>524</v>
      </c>
      <c r="D331" s="1" t="s">
        <v>20</v>
      </c>
      <c r="E331" t="s">
        <v>586</v>
      </c>
      <c r="F331" t="s">
        <v>587</v>
      </c>
      <c r="G331" t="s">
        <v>38</v>
      </c>
      <c r="H331" t="s">
        <v>108</v>
      </c>
      <c r="I331" t="s">
        <v>109</v>
      </c>
      <c r="J331">
        <v>3</v>
      </c>
      <c r="K331">
        <v>1499</v>
      </c>
      <c r="L331">
        <f>Table1[[#This Row],[Quantity]] * Table1[[#This Row],[UnitPrice]]</f>
        <v>4497</v>
      </c>
      <c r="M331" s="25">
        <v>15</v>
      </c>
      <c r="N331">
        <f>Table1[[#This Row],[Revenue]]*Table1[[#This Row],[Discount%]]/100</f>
        <v>674.55</v>
      </c>
      <c r="O331" s="6">
        <f>Table1[[#This Row],[Revenue]]-Table1[[#This Row],[Disc_amount]]</f>
        <v>3822.45</v>
      </c>
      <c r="P331" t="s">
        <v>33</v>
      </c>
      <c r="Q331" t="s">
        <v>34</v>
      </c>
    </row>
    <row r="332" spans="1:17">
      <c r="A332" t="s">
        <v>805</v>
      </c>
      <c r="B332" s="1" t="s">
        <v>786</v>
      </c>
      <c r="C332" s="1" t="s">
        <v>524</v>
      </c>
      <c r="D332" s="1" t="s">
        <v>20</v>
      </c>
      <c r="E332" t="s">
        <v>806</v>
      </c>
      <c r="F332" t="s">
        <v>139</v>
      </c>
      <c r="G332" t="s">
        <v>23</v>
      </c>
      <c r="H332" t="s">
        <v>24</v>
      </c>
      <c r="I332" t="s">
        <v>25</v>
      </c>
      <c r="J332">
        <v>1</v>
      </c>
      <c r="K332">
        <v>99</v>
      </c>
      <c r="L332">
        <f>Table1[[#This Row],[Quantity]] * Table1[[#This Row],[UnitPrice]]</f>
        <v>99</v>
      </c>
      <c r="M332" s="25">
        <v>20</v>
      </c>
      <c r="N332">
        <f>Table1[[#This Row],[Revenue]]*Table1[[#This Row],[Discount%]]/100</f>
        <v>19.8</v>
      </c>
      <c r="O332" s="6">
        <f>Table1[[#This Row],[Revenue]]-Table1[[#This Row],[Disc_amount]]</f>
        <v>79.2</v>
      </c>
      <c r="P332" t="s">
        <v>26</v>
      </c>
      <c r="Q332" t="s">
        <v>34</v>
      </c>
    </row>
    <row r="333" spans="1:17">
      <c r="A333" t="s">
        <v>807</v>
      </c>
      <c r="B333" s="1" t="s">
        <v>808</v>
      </c>
      <c r="C333" s="1" t="s">
        <v>524</v>
      </c>
      <c r="D333" s="1" t="s">
        <v>20</v>
      </c>
      <c r="E333" t="s">
        <v>43</v>
      </c>
      <c r="F333" t="s">
        <v>44</v>
      </c>
      <c r="G333" t="s">
        <v>31</v>
      </c>
      <c r="H333" t="s">
        <v>39</v>
      </c>
      <c r="I333" t="s">
        <v>140</v>
      </c>
      <c r="J333">
        <v>2</v>
      </c>
      <c r="K333">
        <v>1799</v>
      </c>
      <c r="L333">
        <f>Table1[[#This Row],[Quantity]] * Table1[[#This Row],[UnitPrice]]</f>
        <v>3598</v>
      </c>
      <c r="M333" s="25">
        <v>0</v>
      </c>
      <c r="N333">
        <f>Table1[[#This Row],[Revenue]]*Table1[[#This Row],[Discount%]]/100</f>
        <v>0</v>
      </c>
      <c r="O333" s="6">
        <f>Table1[[#This Row],[Revenue]]-Table1[[#This Row],[Disc_amount]]</f>
        <v>3598</v>
      </c>
      <c r="P333" t="s">
        <v>41</v>
      </c>
      <c r="Q333" t="s">
        <v>27</v>
      </c>
    </row>
    <row r="334" spans="1:17">
      <c r="A334" t="s">
        <v>809</v>
      </c>
      <c r="B334" s="1" t="s">
        <v>808</v>
      </c>
      <c r="C334" s="1" t="s">
        <v>524</v>
      </c>
      <c r="D334" s="1" t="s">
        <v>20</v>
      </c>
      <c r="E334" t="s">
        <v>282</v>
      </c>
      <c r="F334" t="s">
        <v>283</v>
      </c>
      <c r="G334" t="s">
        <v>38</v>
      </c>
      <c r="H334" t="s">
        <v>70</v>
      </c>
      <c r="I334" t="s">
        <v>91</v>
      </c>
      <c r="J334">
        <v>2</v>
      </c>
      <c r="K334">
        <v>549</v>
      </c>
      <c r="L334">
        <f>Table1[[#This Row],[Quantity]] * Table1[[#This Row],[UnitPrice]]</f>
        <v>1098</v>
      </c>
      <c r="M334" s="25">
        <v>20</v>
      </c>
      <c r="N334">
        <f>Table1[[#This Row],[Revenue]]*Table1[[#This Row],[Discount%]]/100</f>
        <v>219.6</v>
      </c>
      <c r="O334" s="6">
        <f>Table1[[#This Row],[Revenue]]-Table1[[#This Row],[Disc_amount]]</f>
        <v>878.4</v>
      </c>
      <c r="P334" t="s">
        <v>26</v>
      </c>
      <c r="Q334" t="s">
        <v>34</v>
      </c>
    </row>
    <row r="335" spans="1:17">
      <c r="A335" t="s">
        <v>810</v>
      </c>
      <c r="B335" s="1" t="s">
        <v>808</v>
      </c>
      <c r="C335" s="1" t="s">
        <v>524</v>
      </c>
      <c r="D335" s="1" t="s">
        <v>20</v>
      </c>
      <c r="E335" t="s">
        <v>811</v>
      </c>
      <c r="F335" t="s">
        <v>166</v>
      </c>
      <c r="G335" t="s">
        <v>23</v>
      </c>
      <c r="H335" t="s">
        <v>65</v>
      </c>
      <c r="I335" t="s">
        <v>94</v>
      </c>
      <c r="J335">
        <v>1</v>
      </c>
      <c r="K335">
        <v>899</v>
      </c>
      <c r="L335">
        <f>Table1[[#This Row],[Quantity]] * Table1[[#This Row],[UnitPrice]]</f>
        <v>899</v>
      </c>
      <c r="M335" s="25">
        <v>0</v>
      </c>
      <c r="N335">
        <f>Table1[[#This Row],[Revenue]]*Table1[[#This Row],[Discount%]]/100</f>
        <v>0</v>
      </c>
      <c r="O335" s="6">
        <f>Table1[[#This Row],[Revenue]]-Table1[[#This Row],[Disc_amount]]</f>
        <v>899</v>
      </c>
      <c r="P335" t="s">
        <v>41</v>
      </c>
      <c r="Q335" t="s">
        <v>27</v>
      </c>
    </row>
    <row r="336" spans="1:17">
      <c r="A336" t="s">
        <v>812</v>
      </c>
      <c r="B336" s="1" t="s">
        <v>808</v>
      </c>
      <c r="C336" s="1" t="s">
        <v>524</v>
      </c>
      <c r="D336" s="1" t="s">
        <v>20</v>
      </c>
      <c r="E336" t="s">
        <v>498</v>
      </c>
      <c r="F336" t="s">
        <v>358</v>
      </c>
      <c r="G336" t="s">
        <v>38</v>
      </c>
      <c r="H336" t="s">
        <v>108</v>
      </c>
      <c r="I336" t="s">
        <v>130</v>
      </c>
      <c r="J336">
        <v>1</v>
      </c>
      <c r="K336">
        <v>699</v>
      </c>
      <c r="L336">
        <f>Table1[[#This Row],[Quantity]] * Table1[[#This Row],[UnitPrice]]</f>
        <v>699</v>
      </c>
      <c r="M336" s="25">
        <v>0</v>
      </c>
      <c r="N336">
        <f>Table1[[#This Row],[Revenue]]*Table1[[#This Row],[Discount%]]/100</f>
        <v>0</v>
      </c>
      <c r="O336" s="6">
        <f>Table1[[#This Row],[Revenue]]-Table1[[#This Row],[Disc_amount]]</f>
        <v>699</v>
      </c>
      <c r="P336" t="s">
        <v>26</v>
      </c>
      <c r="Q336" t="s">
        <v>34</v>
      </c>
    </row>
    <row r="337" spans="1:17">
      <c r="A337" t="s">
        <v>813</v>
      </c>
      <c r="B337" s="1" t="s">
        <v>808</v>
      </c>
      <c r="C337" s="1" t="s">
        <v>524</v>
      </c>
      <c r="D337" s="1" t="s">
        <v>20</v>
      </c>
      <c r="E337" t="s">
        <v>325</v>
      </c>
      <c r="F337" t="s">
        <v>326</v>
      </c>
      <c r="G337" t="s">
        <v>31</v>
      </c>
      <c r="H337" t="s">
        <v>39</v>
      </c>
      <c r="I337" t="s">
        <v>40</v>
      </c>
      <c r="J337">
        <v>3</v>
      </c>
      <c r="K337">
        <v>599</v>
      </c>
      <c r="L337">
        <f>Table1[[#This Row],[Quantity]] * Table1[[#This Row],[UnitPrice]]</f>
        <v>1797</v>
      </c>
      <c r="M337" s="25">
        <v>5</v>
      </c>
      <c r="N337">
        <f>Table1[[#This Row],[Revenue]]*Table1[[#This Row],[Discount%]]/100</f>
        <v>89.85</v>
      </c>
      <c r="O337" s="6">
        <f>Table1[[#This Row],[Revenue]]-Table1[[#This Row],[Disc_amount]]</f>
        <v>1707.15</v>
      </c>
      <c r="P337" t="s">
        <v>41</v>
      </c>
      <c r="Q337" t="s">
        <v>27</v>
      </c>
    </row>
    <row r="338" spans="1:17">
      <c r="A338" t="s">
        <v>814</v>
      </c>
      <c r="B338" s="1" t="s">
        <v>808</v>
      </c>
      <c r="C338" s="1" t="s">
        <v>524</v>
      </c>
      <c r="D338" s="1" t="s">
        <v>20</v>
      </c>
      <c r="E338" t="s">
        <v>303</v>
      </c>
      <c r="F338" t="s">
        <v>304</v>
      </c>
      <c r="G338" t="s">
        <v>38</v>
      </c>
      <c r="H338" t="s">
        <v>108</v>
      </c>
      <c r="I338" t="s">
        <v>130</v>
      </c>
      <c r="J338">
        <v>2</v>
      </c>
      <c r="K338">
        <v>699</v>
      </c>
      <c r="L338">
        <f>Table1[[#This Row],[Quantity]] * Table1[[#This Row],[UnitPrice]]</f>
        <v>1398</v>
      </c>
      <c r="M338" s="25">
        <v>10</v>
      </c>
      <c r="N338">
        <f>Table1[[#This Row],[Revenue]]*Table1[[#This Row],[Discount%]]/100</f>
        <v>139.80000000000001</v>
      </c>
      <c r="O338" s="6">
        <f>Table1[[#This Row],[Revenue]]-Table1[[#This Row],[Disc_amount]]</f>
        <v>1258.2</v>
      </c>
      <c r="P338" t="s">
        <v>41</v>
      </c>
      <c r="Q338" t="s">
        <v>27</v>
      </c>
    </row>
    <row r="339" spans="1:17">
      <c r="A339" t="s">
        <v>815</v>
      </c>
      <c r="B339" s="1" t="s">
        <v>808</v>
      </c>
      <c r="C339" s="1" t="s">
        <v>524</v>
      </c>
      <c r="D339" s="1" t="s">
        <v>20</v>
      </c>
      <c r="E339" t="s">
        <v>36</v>
      </c>
      <c r="F339" t="s">
        <v>37</v>
      </c>
      <c r="G339" t="s">
        <v>38</v>
      </c>
      <c r="H339" t="s">
        <v>57</v>
      </c>
      <c r="I339" t="s">
        <v>58</v>
      </c>
      <c r="J339">
        <v>1</v>
      </c>
      <c r="K339">
        <v>1299</v>
      </c>
      <c r="L339">
        <f>Table1[[#This Row],[Quantity]] * Table1[[#This Row],[UnitPrice]]</f>
        <v>1299</v>
      </c>
      <c r="M339" s="25">
        <v>20</v>
      </c>
      <c r="N339">
        <f>Table1[[#This Row],[Revenue]]*Table1[[#This Row],[Discount%]]/100</f>
        <v>259.8</v>
      </c>
      <c r="O339" s="6">
        <f>Table1[[#This Row],[Revenue]]-Table1[[#This Row],[Disc_amount]]</f>
        <v>1039.2</v>
      </c>
      <c r="P339" t="s">
        <v>26</v>
      </c>
      <c r="Q339" t="s">
        <v>27</v>
      </c>
    </row>
    <row r="340" spans="1:17">
      <c r="A340" t="s">
        <v>816</v>
      </c>
      <c r="B340" s="1" t="s">
        <v>808</v>
      </c>
      <c r="C340" s="1" t="s">
        <v>524</v>
      </c>
      <c r="D340" s="1" t="s">
        <v>20</v>
      </c>
      <c r="E340" t="s">
        <v>817</v>
      </c>
      <c r="F340" t="s">
        <v>150</v>
      </c>
      <c r="G340" t="s">
        <v>38</v>
      </c>
      <c r="H340" t="s">
        <v>39</v>
      </c>
      <c r="I340" t="s">
        <v>51</v>
      </c>
      <c r="J340">
        <v>1</v>
      </c>
      <c r="K340">
        <v>2999</v>
      </c>
      <c r="L340">
        <f>Table1[[#This Row],[Quantity]] * Table1[[#This Row],[UnitPrice]]</f>
        <v>2999</v>
      </c>
      <c r="M340" s="25">
        <v>10</v>
      </c>
      <c r="N340">
        <f>Table1[[#This Row],[Revenue]]*Table1[[#This Row],[Discount%]]/100</f>
        <v>299.89999999999998</v>
      </c>
      <c r="O340" s="6">
        <f>Table1[[#This Row],[Revenue]]-Table1[[#This Row],[Disc_amount]]</f>
        <v>2699.1</v>
      </c>
      <c r="P340" t="s">
        <v>26</v>
      </c>
      <c r="Q340" t="s">
        <v>34</v>
      </c>
    </row>
    <row r="341" spans="1:17">
      <c r="A341" t="s">
        <v>818</v>
      </c>
      <c r="B341" s="1" t="s">
        <v>808</v>
      </c>
      <c r="C341" s="1" t="s">
        <v>524</v>
      </c>
      <c r="D341" s="1" t="s">
        <v>20</v>
      </c>
      <c r="E341" t="s">
        <v>525</v>
      </c>
      <c r="F341" t="s">
        <v>470</v>
      </c>
      <c r="G341" t="s">
        <v>56</v>
      </c>
      <c r="H341" t="s">
        <v>46</v>
      </c>
      <c r="I341" t="s">
        <v>154</v>
      </c>
      <c r="J341">
        <v>1</v>
      </c>
      <c r="K341">
        <v>299</v>
      </c>
      <c r="L341">
        <f>Table1[[#This Row],[Quantity]] * Table1[[#This Row],[UnitPrice]]</f>
        <v>299</v>
      </c>
      <c r="M341" s="25">
        <v>10</v>
      </c>
      <c r="N341">
        <f>Table1[[#This Row],[Revenue]]*Table1[[#This Row],[Discount%]]/100</f>
        <v>29.9</v>
      </c>
      <c r="O341" s="6">
        <f>Table1[[#This Row],[Revenue]]-Table1[[#This Row],[Disc_amount]]</f>
        <v>269.10000000000002</v>
      </c>
      <c r="P341" t="s">
        <v>52</v>
      </c>
      <c r="Q341" t="s">
        <v>27</v>
      </c>
    </row>
    <row r="342" spans="1:17">
      <c r="A342" t="s">
        <v>819</v>
      </c>
      <c r="B342" s="1" t="s">
        <v>820</v>
      </c>
      <c r="C342" s="1" t="s">
        <v>524</v>
      </c>
      <c r="D342" s="1" t="s">
        <v>20</v>
      </c>
      <c r="E342" t="s">
        <v>821</v>
      </c>
      <c r="F342" t="s">
        <v>714</v>
      </c>
      <c r="G342" t="s">
        <v>31</v>
      </c>
      <c r="H342" t="s">
        <v>65</v>
      </c>
      <c r="I342" t="s">
        <v>98</v>
      </c>
      <c r="J342">
        <v>3</v>
      </c>
      <c r="K342">
        <v>499</v>
      </c>
      <c r="L342">
        <f>Table1[[#This Row],[Quantity]] * Table1[[#This Row],[UnitPrice]]</f>
        <v>1497</v>
      </c>
      <c r="M342" s="25">
        <v>10</v>
      </c>
      <c r="N342">
        <f>Table1[[#This Row],[Revenue]]*Table1[[#This Row],[Discount%]]/100</f>
        <v>149.69999999999999</v>
      </c>
      <c r="O342" s="6">
        <f>Table1[[#This Row],[Revenue]]-Table1[[#This Row],[Disc_amount]]</f>
        <v>1347.3</v>
      </c>
      <c r="P342" t="s">
        <v>33</v>
      </c>
      <c r="Q342" t="s">
        <v>27</v>
      </c>
    </row>
    <row r="343" spans="1:17">
      <c r="A343" t="s">
        <v>822</v>
      </c>
      <c r="B343" s="1" t="s">
        <v>820</v>
      </c>
      <c r="C343" s="1" t="s">
        <v>524</v>
      </c>
      <c r="D343" s="1" t="s">
        <v>20</v>
      </c>
      <c r="E343" t="s">
        <v>709</v>
      </c>
      <c r="F343" t="s">
        <v>694</v>
      </c>
      <c r="G343" t="s">
        <v>45</v>
      </c>
      <c r="H343" t="s">
        <v>57</v>
      </c>
      <c r="I343" t="s">
        <v>62</v>
      </c>
      <c r="J343">
        <v>2</v>
      </c>
      <c r="K343">
        <v>799</v>
      </c>
      <c r="L343">
        <f>Table1[[#This Row],[Quantity]] * Table1[[#This Row],[UnitPrice]]</f>
        <v>1598</v>
      </c>
      <c r="M343" s="25">
        <v>0</v>
      </c>
      <c r="N343">
        <f>Table1[[#This Row],[Revenue]]*Table1[[#This Row],[Discount%]]/100</f>
        <v>0</v>
      </c>
      <c r="O343" s="6">
        <f>Table1[[#This Row],[Revenue]]-Table1[[#This Row],[Disc_amount]]</f>
        <v>1598</v>
      </c>
      <c r="P343" t="s">
        <v>52</v>
      </c>
      <c r="Q343" t="s">
        <v>27</v>
      </c>
    </row>
    <row r="344" spans="1:17">
      <c r="A344" t="s">
        <v>823</v>
      </c>
      <c r="B344" s="1" t="s">
        <v>820</v>
      </c>
      <c r="C344" s="1" t="s">
        <v>524</v>
      </c>
      <c r="D344" s="1" t="s">
        <v>20</v>
      </c>
      <c r="E344" t="s">
        <v>464</v>
      </c>
      <c r="F344" t="s">
        <v>465</v>
      </c>
      <c r="G344" t="s">
        <v>56</v>
      </c>
      <c r="H344" t="s">
        <v>39</v>
      </c>
      <c r="I344" t="s">
        <v>140</v>
      </c>
      <c r="J344">
        <v>1</v>
      </c>
      <c r="K344">
        <v>1799</v>
      </c>
      <c r="L344">
        <f>Table1[[#This Row],[Quantity]] * Table1[[#This Row],[UnitPrice]]</f>
        <v>1799</v>
      </c>
      <c r="M344" s="25">
        <v>20</v>
      </c>
      <c r="N344">
        <f>Table1[[#This Row],[Revenue]]*Table1[[#This Row],[Discount%]]/100</f>
        <v>359.8</v>
      </c>
      <c r="O344" s="6">
        <f>Table1[[#This Row],[Revenue]]-Table1[[#This Row],[Disc_amount]]</f>
        <v>1439.2</v>
      </c>
      <c r="P344" t="s">
        <v>41</v>
      </c>
      <c r="Q344" t="s">
        <v>34</v>
      </c>
    </row>
    <row r="345" spans="1:17">
      <c r="A345" t="s">
        <v>824</v>
      </c>
      <c r="B345" s="1" t="s">
        <v>820</v>
      </c>
      <c r="C345" s="1" t="s">
        <v>524</v>
      </c>
      <c r="D345" s="1" t="s">
        <v>20</v>
      </c>
      <c r="E345" t="s">
        <v>657</v>
      </c>
      <c r="F345" t="s">
        <v>147</v>
      </c>
      <c r="G345" t="s">
        <v>23</v>
      </c>
      <c r="H345" t="s">
        <v>65</v>
      </c>
      <c r="I345" t="s">
        <v>98</v>
      </c>
      <c r="J345">
        <v>3</v>
      </c>
      <c r="K345">
        <v>499</v>
      </c>
      <c r="L345">
        <f>Table1[[#This Row],[Quantity]] * Table1[[#This Row],[UnitPrice]]</f>
        <v>1497</v>
      </c>
      <c r="M345" s="25">
        <v>0</v>
      </c>
      <c r="N345">
        <f>Table1[[#This Row],[Revenue]]*Table1[[#This Row],[Discount%]]/100</f>
        <v>0</v>
      </c>
      <c r="O345" s="6">
        <f>Table1[[#This Row],[Revenue]]-Table1[[#This Row],[Disc_amount]]</f>
        <v>1497</v>
      </c>
      <c r="P345" t="s">
        <v>52</v>
      </c>
      <c r="Q345" t="s">
        <v>27</v>
      </c>
    </row>
    <row r="346" spans="1:17">
      <c r="A346" t="s">
        <v>825</v>
      </c>
      <c r="B346" s="1" t="s">
        <v>820</v>
      </c>
      <c r="C346" s="1" t="s">
        <v>524</v>
      </c>
      <c r="D346" s="1" t="s">
        <v>20</v>
      </c>
      <c r="E346" t="s">
        <v>686</v>
      </c>
      <c r="F346" t="s">
        <v>443</v>
      </c>
      <c r="G346" t="s">
        <v>45</v>
      </c>
      <c r="H346" t="s">
        <v>65</v>
      </c>
      <c r="I346" t="s">
        <v>98</v>
      </c>
      <c r="J346">
        <v>1</v>
      </c>
      <c r="K346">
        <v>499</v>
      </c>
      <c r="L346">
        <f>Table1[[#This Row],[Quantity]] * Table1[[#This Row],[UnitPrice]]</f>
        <v>499</v>
      </c>
      <c r="M346" s="25">
        <v>15</v>
      </c>
      <c r="N346">
        <f>Table1[[#This Row],[Revenue]]*Table1[[#This Row],[Discount%]]/100</f>
        <v>74.849999999999994</v>
      </c>
      <c r="O346" s="6">
        <f>Table1[[#This Row],[Revenue]]-Table1[[#This Row],[Disc_amount]]</f>
        <v>424.15</v>
      </c>
      <c r="P346" t="s">
        <v>41</v>
      </c>
      <c r="Q346" t="s">
        <v>34</v>
      </c>
    </row>
    <row r="347" spans="1:17">
      <c r="A347" t="s">
        <v>826</v>
      </c>
      <c r="B347" s="1" t="s">
        <v>820</v>
      </c>
      <c r="C347" s="1" t="s">
        <v>524</v>
      </c>
      <c r="D347" s="1" t="s">
        <v>20</v>
      </c>
      <c r="E347" t="s">
        <v>178</v>
      </c>
      <c r="F347" t="s">
        <v>179</v>
      </c>
      <c r="G347" t="s">
        <v>23</v>
      </c>
      <c r="H347" t="s">
        <v>24</v>
      </c>
      <c r="I347" t="s">
        <v>25</v>
      </c>
      <c r="J347">
        <v>1</v>
      </c>
      <c r="K347">
        <v>99</v>
      </c>
      <c r="L347">
        <f>Table1[[#This Row],[Quantity]] * Table1[[#This Row],[UnitPrice]]</f>
        <v>99</v>
      </c>
      <c r="M347" s="25">
        <v>0</v>
      </c>
      <c r="N347">
        <f>Table1[[#This Row],[Revenue]]*Table1[[#This Row],[Discount%]]/100</f>
        <v>0</v>
      </c>
      <c r="O347" s="6">
        <f>Table1[[#This Row],[Revenue]]-Table1[[#This Row],[Disc_amount]]</f>
        <v>99</v>
      </c>
      <c r="P347" t="s">
        <v>41</v>
      </c>
      <c r="Q347" t="s">
        <v>27</v>
      </c>
    </row>
    <row r="348" spans="1:17">
      <c r="A348" t="s">
        <v>827</v>
      </c>
      <c r="B348" s="1" t="s">
        <v>820</v>
      </c>
      <c r="C348" s="1" t="s">
        <v>524</v>
      </c>
      <c r="D348" s="1" t="s">
        <v>20</v>
      </c>
      <c r="E348" t="s">
        <v>165</v>
      </c>
      <c r="F348" t="s">
        <v>166</v>
      </c>
      <c r="G348" t="s">
        <v>31</v>
      </c>
      <c r="H348" t="s">
        <v>46</v>
      </c>
      <c r="I348" t="s">
        <v>154</v>
      </c>
      <c r="J348">
        <v>1</v>
      </c>
      <c r="K348">
        <v>299</v>
      </c>
      <c r="L348">
        <f>Table1[[#This Row],[Quantity]] * Table1[[#This Row],[UnitPrice]]</f>
        <v>299</v>
      </c>
      <c r="M348" s="25">
        <v>0</v>
      </c>
      <c r="N348">
        <f>Table1[[#This Row],[Revenue]]*Table1[[#This Row],[Discount%]]/100</f>
        <v>0</v>
      </c>
      <c r="O348" s="6">
        <f>Table1[[#This Row],[Revenue]]-Table1[[#This Row],[Disc_amount]]</f>
        <v>299</v>
      </c>
      <c r="P348" t="s">
        <v>26</v>
      </c>
      <c r="Q348" t="s">
        <v>27</v>
      </c>
    </row>
    <row r="349" spans="1:17">
      <c r="A349" t="s">
        <v>828</v>
      </c>
      <c r="B349" s="1" t="s">
        <v>820</v>
      </c>
      <c r="C349" s="1" t="s">
        <v>524</v>
      </c>
      <c r="D349" s="1" t="s">
        <v>20</v>
      </c>
      <c r="E349" t="s">
        <v>655</v>
      </c>
      <c r="F349" t="s">
        <v>195</v>
      </c>
      <c r="G349" t="s">
        <v>56</v>
      </c>
      <c r="H349" t="s">
        <v>39</v>
      </c>
      <c r="I349" t="s">
        <v>51</v>
      </c>
      <c r="J349">
        <v>1</v>
      </c>
      <c r="K349">
        <v>2999</v>
      </c>
      <c r="L349">
        <f>Table1[[#This Row],[Quantity]] * Table1[[#This Row],[UnitPrice]]</f>
        <v>2999</v>
      </c>
      <c r="M349" s="25">
        <v>5</v>
      </c>
      <c r="N349">
        <f>Table1[[#This Row],[Revenue]]*Table1[[#This Row],[Discount%]]/100</f>
        <v>149.94999999999999</v>
      </c>
      <c r="O349" s="6">
        <f>Table1[[#This Row],[Revenue]]-Table1[[#This Row],[Disc_amount]]</f>
        <v>2849.05</v>
      </c>
      <c r="P349" t="s">
        <v>26</v>
      </c>
      <c r="Q349" t="s">
        <v>27</v>
      </c>
    </row>
    <row r="350" spans="1:17">
      <c r="A350" t="s">
        <v>829</v>
      </c>
      <c r="B350" s="1" t="s">
        <v>830</v>
      </c>
      <c r="C350" s="1" t="s">
        <v>524</v>
      </c>
      <c r="D350" s="1" t="s">
        <v>20</v>
      </c>
      <c r="E350" t="s">
        <v>766</v>
      </c>
      <c r="F350" t="s">
        <v>767</v>
      </c>
      <c r="G350" t="s">
        <v>23</v>
      </c>
      <c r="H350" t="s">
        <v>108</v>
      </c>
      <c r="I350" t="s">
        <v>130</v>
      </c>
      <c r="J350">
        <v>2</v>
      </c>
      <c r="K350">
        <v>699</v>
      </c>
      <c r="L350">
        <f>Table1[[#This Row],[Quantity]] * Table1[[#This Row],[UnitPrice]]</f>
        <v>1398</v>
      </c>
      <c r="M350" s="25">
        <v>15</v>
      </c>
      <c r="N350">
        <f>Table1[[#This Row],[Revenue]]*Table1[[#This Row],[Discount%]]/100</f>
        <v>209.7</v>
      </c>
      <c r="O350" s="6">
        <f>Table1[[#This Row],[Revenue]]-Table1[[#This Row],[Disc_amount]]</f>
        <v>1188.3</v>
      </c>
      <c r="P350" t="s">
        <v>52</v>
      </c>
      <c r="Q350" t="s">
        <v>27</v>
      </c>
    </row>
    <row r="351" spans="1:17">
      <c r="A351" t="s">
        <v>831</v>
      </c>
      <c r="B351" s="1" t="s">
        <v>830</v>
      </c>
      <c r="C351" s="1" t="s">
        <v>524</v>
      </c>
      <c r="D351" s="1" t="s">
        <v>20</v>
      </c>
      <c r="E351" t="s">
        <v>832</v>
      </c>
      <c r="F351" t="s">
        <v>166</v>
      </c>
      <c r="G351" t="s">
        <v>56</v>
      </c>
      <c r="H351" t="s">
        <v>57</v>
      </c>
      <c r="I351" t="s">
        <v>62</v>
      </c>
      <c r="J351">
        <v>1</v>
      </c>
      <c r="K351">
        <v>799</v>
      </c>
      <c r="L351">
        <f>Table1[[#This Row],[Quantity]] * Table1[[#This Row],[UnitPrice]]</f>
        <v>799</v>
      </c>
      <c r="M351" s="25">
        <v>5</v>
      </c>
      <c r="N351">
        <f>Table1[[#This Row],[Revenue]]*Table1[[#This Row],[Discount%]]/100</f>
        <v>39.950000000000003</v>
      </c>
      <c r="O351" s="6">
        <f>Table1[[#This Row],[Revenue]]-Table1[[#This Row],[Disc_amount]]</f>
        <v>759.05</v>
      </c>
      <c r="P351" t="s">
        <v>86</v>
      </c>
      <c r="Q351" t="s">
        <v>27</v>
      </c>
    </row>
    <row r="352" spans="1:17">
      <c r="A352" t="s">
        <v>833</v>
      </c>
      <c r="B352" s="1" t="s">
        <v>830</v>
      </c>
      <c r="C352" s="1" t="s">
        <v>524</v>
      </c>
      <c r="D352" s="1" t="s">
        <v>20</v>
      </c>
      <c r="E352" t="s">
        <v>332</v>
      </c>
      <c r="F352" t="s">
        <v>107</v>
      </c>
      <c r="G352" t="s">
        <v>56</v>
      </c>
      <c r="H352" t="s">
        <v>65</v>
      </c>
      <c r="I352" t="s">
        <v>94</v>
      </c>
      <c r="J352">
        <v>1</v>
      </c>
      <c r="K352">
        <v>899</v>
      </c>
      <c r="L352">
        <f>Table1[[#This Row],[Quantity]] * Table1[[#This Row],[UnitPrice]]</f>
        <v>899</v>
      </c>
      <c r="M352" s="25">
        <v>0</v>
      </c>
      <c r="N352">
        <f>Table1[[#This Row],[Revenue]]*Table1[[#This Row],[Discount%]]/100</f>
        <v>0</v>
      </c>
      <c r="O352" s="6">
        <f>Table1[[#This Row],[Revenue]]-Table1[[#This Row],[Disc_amount]]</f>
        <v>899</v>
      </c>
      <c r="P352" t="s">
        <v>33</v>
      </c>
      <c r="Q352" t="s">
        <v>27</v>
      </c>
    </row>
    <row r="353" spans="1:17">
      <c r="A353" t="s">
        <v>834</v>
      </c>
      <c r="B353" s="1" t="s">
        <v>830</v>
      </c>
      <c r="C353" s="1" t="s">
        <v>524</v>
      </c>
      <c r="D353" s="1" t="s">
        <v>20</v>
      </c>
      <c r="E353" t="s">
        <v>835</v>
      </c>
      <c r="F353" t="s">
        <v>836</v>
      </c>
      <c r="G353" t="s">
        <v>38</v>
      </c>
      <c r="H353" t="s">
        <v>65</v>
      </c>
      <c r="I353" t="s">
        <v>98</v>
      </c>
      <c r="J353">
        <v>2</v>
      </c>
      <c r="K353">
        <v>499</v>
      </c>
      <c r="L353">
        <f>Table1[[#This Row],[Quantity]] * Table1[[#This Row],[UnitPrice]]</f>
        <v>998</v>
      </c>
      <c r="M353" s="25">
        <v>10</v>
      </c>
      <c r="N353">
        <f>Table1[[#This Row],[Revenue]]*Table1[[#This Row],[Discount%]]/100</f>
        <v>99.8</v>
      </c>
      <c r="O353" s="6">
        <f>Table1[[#This Row],[Revenue]]-Table1[[#This Row],[Disc_amount]]</f>
        <v>898.2</v>
      </c>
      <c r="P353" t="s">
        <v>52</v>
      </c>
      <c r="Q353" t="s">
        <v>27</v>
      </c>
    </row>
    <row r="354" spans="1:17">
      <c r="A354" t="s">
        <v>837</v>
      </c>
      <c r="B354" s="1" t="s">
        <v>830</v>
      </c>
      <c r="C354" s="1" t="s">
        <v>524</v>
      </c>
      <c r="D354" s="1" t="s">
        <v>20</v>
      </c>
      <c r="E354" t="s">
        <v>589</v>
      </c>
      <c r="F354" t="s">
        <v>501</v>
      </c>
      <c r="G354" t="s">
        <v>45</v>
      </c>
      <c r="H354" t="s">
        <v>39</v>
      </c>
      <c r="I354" t="s">
        <v>51</v>
      </c>
      <c r="J354">
        <v>1</v>
      </c>
      <c r="K354">
        <v>2999</v>
      </c>
      <c r="L354">
        <f>Table1[[#This Row],[Quantity]] * Table1[[#This Row],[UnitPrice]]</f>
        <v>2999</v>
      </c>
      <c r="M354" s="25">
        <v>15</v>
      </c>
      <c r="N354">
        <f>Table1[[#This Row],[Revenue]]*Table1[[#This Row],[Discount%]]/100</f>
        <v>449.85</v>
      </c>
      <c r="O354" s="6">
        <f>Table1[[#This Row],[Revenue]]-Table1[[#This Row],[Disc_amount]]</f>
        <v>2549.15</v>
      </c>
      <c r="P354" t="s">
        <v>41</v>
      </c>
      <c r="Q354" t="s">
        <v>27</v>
      </c>
    </row>
    <row r="355" spans="1:17">
      <c r="A355" t="s">
        <v>838</v>
      </c>
      <c r="B355" s="1" t="s">
        <v>523</v>
      </c>
      <c r="C355" s="1" t="s">
        <v>839</v>
      </c>
      <c r="D355" s="1" t="s">
        <v>20</v>
      </c>
      <c r="E355" t="s">
        <v>840</v>
      </c>
      <c r="F355" t="s">
        <v>462</v>
      </c>
      <c r="G355" t="s">
        <v>56</v>
      </c>
      <c r="H355" t="s">
        <v>70</v>
      </c>
      <c r="I355" t="s">
        <v>91</v>
      </c>
      <c r="J355">
        <v>2</v>
      </c>
      <c r="K355">
        <v>549</v>
      </c>
      <c r="L355">
        <f>Table1[[#This Row],[Quantity]] * Table1[[#This Row],[UnitPrice]]</f>
        <v>1098</v>
      </c>
      <c r="M355" s="25">
        <v>0</v>
      </c>
      <c r="N355">
        <f>Table1[[#This Row],[Revenue]]*Table1[[#This Row],[Discount%]]/100</f>
        <v>0</v>
      </c>
      <c r="O355" s="6">
        <f>Table1[[#This Row],[Revenue]]-Table1[[#This Row],[Disc_amount]]</f>
        <v>1098</v>
      </c>
      <c r="P355" t="s">
        <v>33</v>
      </c>
      <c r="Q355" t="s">
        <v>27</v>
      </c>
    </row>
    <row r="356" spans="1:17">
      <c r="A356" t="s">
        <v>841</v>
      </c>
      <c r="B356" s="1" t="s">
        <v>523</v>
      </c>
      <c r="C356" s="1" t="s">
        <v>839</v>
      </c>
      <c r="D356" s="1" t="s">
        <v>20</v>
      </c>
      <c r="E356" t="s">
        <v>640</v>
      </c>
      <c r="F356" t="s">
        <v>225</v>
      </c>
      <c r="G356" t="s">
        <v>56</v>
      </c>
      <c r="H356" t="s">
        <v>65</v>
      </c>
      <c r="I356" t="s">
        <v>98</v>
      </c>
      <c r="J356">
        <v>1</v>
      </c>
      <c r="K356">
        <v>499</v>
      </c>
      <c r="L356">
        <f>Table1[[#This Row],[Quantity]] * Table1[[#This Row],[UnitPrice]]</f>
        <v>499</v>
      </c>
      <c r="M356" s="25">
        <v>10</v>
      </c>
      <c r="N356">
        <f>Table1[[#This Row],[Revenue]]*Table1[[#This Row],[Discount%]]/100</f>
        <v>49.9</v>
      </c>
      <c r="O356" s="6">
        <f>Table1[[#This Row],[Revenue]]-Table1[[#This Row],[Disc_amount]]</f>
        <v>449.1</v>
      </c>
      <c r="P356" t="s">
        <v>26</v>
      </c>
      <c r="Q356" t="s">
        <v>34</v>
      </c>
    </row>
    <row r="357" spans="1:17">
      <c r="A357" t="s">
        <v>842</v>
      </c>
      <c r="B357" s="1" t="s">
        <v>523</v>
      </c>
      <c r="C357" s="1" t="s">
        <v>839</v>
      </c>
      <c r="D357" s="1" t="s">
        <v>20</v>
      </c>
      <c r="E357" t="s">
        <v>843</v>
      </c>
      <c r="F357" t="s">
        <v>501</v>
      </c>
      <c r="G357" t="s">
        <v>45</v>
      </c>
      <c r="H357" t="s">
        <v>46</v>
      </c>
      <c r="I357" t="s">
        <v>47</v>
      </c>
      <c r="J357">
        <v>2</v>
      </c>
      <c r="K357">
        <v>249</v>
      </c>
      <c r="L357">
        <f>Table1[[#This Row],[Quantity]] * Table1[[#This Row],[UnitPrice]]</f>
        <v>498</v>
      </c>
      <c r="M357" s="25">
        <v>0</v>
      </c>
      <c r="N357">
        <f>Table1[[#This Row],[Revenue]]*Table1[[#This Row],[Discount%]]/100</f>
        <v>0</v>
      </c>
      <c r="O357" s="6">
        <f>Table1[[#This Row],[Revenue]]-Table1[[#This Row],[Disc_amount]]</f>
        <v>498</v>
      </c>
      <c r="P357" t="s">
        <v>33</v>
      </c>
      <c r="Q357" t="s">
        <v>27</v>
      </c>
    </row>
    <row r="358" spans="1:17">
      <c r="A358" t="s">
        <v>844</v>
      </c>
      <c r="B358" s="1" t="s">
        <v>523</v>
      </c>
      <c r="C358" s="1" t="s">
        <v>839</v>
      </c>
      <c r="D358" s="1" t="s">
        <v>20</v>
      </c>
      <c r="E358" t="s">
        <v>758</v>
      </c>
      <c r="F358" t="s">
        <v>759</v>
      </c>
      <c r="G358" t="s">
        <v>45</v>
      </c>
      <c r="H358" t="s">
        <v>46</v>
      </c>
      <c r="I358" t="s">
        <v>154</v>
      </c>
      <c r="J358">
        <v>1</v>
      </c>
      <c r="K358">
        <v>299</v>
      </c>
      <c r="L358">
        <f>Table1[[#This Row],[Quantity]] * Table1[[#This Row],[UnitPrice]]</f>
        <v>299</v>
      </c>
      <c r="M358" s="25">
        <v>0</v>
      </c>
      <c r="N358">
        <f>Table1[[#This Row],[Revenue]]*Table1[[#This Row],[Discount%]]/100</f>
        <v>0</v>
      </c>
      <c r="O358" s="6">
        <f>Table1[[#This Row],[Revenue]]-Table1[[#This Row],[Disc_amount]]</f>
        <v>299</v>
      </c>
      <c r="P358" t="s">
        <v>26</v>
      </c>
      <c r="Q358" t="s">
        <v>27</v>
      </c>
    </row>
    <row r="359" spans="1:17">
      <c r="A359" t="s">
        <v>845</v>
      </c>
      <c r="B359" s="1" t="s">
        <v>523</v>
      </c>
      <c r="C359" s="1" t="s">
        <v>839</v>
      </c>
      <c r="D359" s="1" t="s">
        <v>20</v>
      </c>
      <c r="E359" t="s">
        <v>583</v>
      </c>
      <c r="F359" t="s">
        <v>584</v>
      </c>
      <c r="G359" t="s">
        <v>23</v>
      </c>
      <c r="H359" t="s">
        <v>24</v>
      </c>
      <c r="I359" t="s">
        <v>32</v>
      </c>
      <c r="J359">
        <v>1</v>
      </c>
      <c r="K359">
        <v>199</v>
      </c>
      <c r="L359">
        <f>Table1[[#This Row],[Quantity]] * Table1[[#This Row],[UnitPrice]]</f>
        <v>199</v>
      </c>
      <c r="M359" s="25">
        <v>15</v>
      </c>
      <c r="N359">
        <f>Table1[[#This Row],[Revenue]]*Table1[[#This Row],[Discount%]]/100</f>
        <v>29.85</v>
      </c>
      <c r="O359" s="6">
        <f>Table1[[#This Row],[Revenue]]-Table1[[#This Row],[Disc_amount]]</f>
        <v>169.15</v>
      </c>
      <c r="P359" t="s">
        <v>86</v>
      </c>
      <c r="Q359" t="s">
        <v>27</v>
      </c>
    </row>
    <row r="360" spans="1:17">
      <c r="A360" t="s">
        <v>846</v>
      </c>
      <c r="B360" s="1" t="s">
        <v>523</v>
      </c>
      <c r="C360" s="1" t="s">
        <v>839</v>
      </c>
      <c r="D360" s="1" t="s">
        <v>20</v>
      </c>
      <c r="E360" t="s">
        <v>847</v>
      </c>
      <c r="F360" t="s">
        <v>675</v>
      </c>
      <c r="G360" t="s">
        <v>56</v>
      </c>
      <c r="H360" t="s">
        <v>108</v>
      </c>
      <c r="I360" t="s">
        <v>130</v>
      </c>
      <c r="J360">
        <v>1</v>
      </c>
      <c r="K360">
        <v>699</v>
      </c>
      <c r="L360">
        <f>Table1[[#This Row],[Quantity]] * Table1[[#This Row],[UnitPrice]]</f>
        <v>699</v>
      </c>
      <c r="M360" s="25">
        <v>0</v>
      </c>
      <c r="N360">
        <f>Table1[[#This Row],[Revenue]]*Table1[[#This Row],[Discount%]]/100</f>
        <v>0</v>
      </c>
      <c r="O360" s="6">
        <f>Table1[[#This Row],[Revenue]]-Table1[[#This Row],[Disc_amount]]</f>
        <v>699</v>
      </c>
      <c r="P360" t="s">
        <v>26</v>
      </c>
      <c r="Q360" t="s">
        <v>27</v>
      </c>
    </row>
    <row r="361" spans="1:17">
      <c r="A361" t="s">
        <v>848</v>
      </c>
      <c r="B361" s="1" t="s">
        <v>523</v>
      </c>
      <c r="C361" s="1" t="s">
        <v>839</v>
      </c>
      <c r="D361" s="1" t="s">
        <v>20</v>
      </c>
      <c r="E361" t="s">
        <v>93</v>
      </c>
      <c r="F361" t="s">
        <v>77</v>
      </c>
      <c r="G361" t="s">
        <v>56</v>
      </c>
      <c r="H361" t="s">
        <v>46</v>
      </c>
      <c r="I361" t="s">
        <v>47</v>
      </c>
      <c r="J361">
        <v>4</v>
      </c>
      <c r="K361">
        <v>249</v>
      </c>
      <c r="L361">
        <f>Table1[[#This Row],[Quantity]] * Table1[[#This Row],[UnitPrice]]</f>
        <v>996</v>
      </c>
      <c r="M361" s="25">
        <v>10</v>
      </c>
      <c r="N361">
        <f>Table1[[#This Row],[Revenue]]*Table1[[#This Row],[Discount%]]/100</f>
        <v>99.6</v>
      </c>
      <c r="O361" s="6">
        <f>Table1[[#This Row],[Revenue]]-Table1[[#This Row],[Disc_amount]]</f>
        <v>896.4</v>
      </c>
      <c r="P361" t="s">
        <v>26</v>
      </c>
      <c r="Q361" t="s">
        <v>27</v>
      </c>
    </row>
    <row r="362" spans="1:17">
      <c r="A362" t="s">
        <v>849</v>
      </c>
      <c r="B362" s="1" t="s">
        <v>523</v>
      </c>
      <c r="C362" s="1" t="s">
        <v>839</v>
      </c>
      <c r="D362" s="1" t="s">
        <v>20</v>
      </c>
      <c r="E362" t="s">
        <v>850</v>
      </c>
      <c r="F362" t="s">
        <v>759</v>
      </c>
      <c r="G362" t="s">
        <v>31</v>
      </c>
      <c r="H362" t="s">
        <v>39</v>
      </c>
      <c r="I362" t="s">
        <v>140</v>
      </c>
      <c r="J362">
        <v>4</v>
      </c>
      <c r="K362">
        <v>1799</v>
      </c>
      <c r="L362">
        <f>Table1[[#This Row],[Quantity]] * Table1[[#This Row],[UnitPrice]]</f>
        <v>7196</v>
      </c>
      <c r="M362" s="25">
        <v>5</v>
      </c>
      <c r="N362">
        <f>Table1[[#This Row],[Revenue]]*Table1[[#This Row],[Discount%]]/100</f>
        <v>359.8</v>
      </c>
      <c r="O362" s="6">
        <f>Table1[[#This Row],[Revenue]]-Table1[[#This Row],[Disc_amount]]</f>
        <v>6836.2</v>
      </c>
      <c r="P362" t="s">
        <v>86</v>
      </c>
      <c r="Q362" t="s">
        <v>27</v>
      </c>
    </row>
    <row r="363" spans="1:17">
      <c r="A363" t="s">
        <v>851</v>
      </c>
      <c r="B363" s="1" t="s">
        <v>523</v>
      </c>
      <c r="C363" s="1" t="s">
        <v>839</v>
      </c>
      <c r="D363" s="1" t="s">
        <v>20</v>
      </c>
      <c r="E363" t="s">
        <v>852</v>
      </c>
      <c r="F363" t="s">
        <v>853</v>
      </c>
      <c r="G363" t="s">
        <v>56</v>
      </c>
      <c r="H363" t="s">
        <v>108</v>
      </c>
      <c r="I363" t="s">
        <v>109</v>
      </c>
      <c r="J363">
        <v>2</v>
      </c>
      <c r="K363">
        <v>1499</v>
      </c>
      <c r="L363">
        <f>Table1[[#This Row],[Quantity]] * Table1[[#This Row],[UnitPrice]]</f>
        <v>2998</v>
      </c>
      <c r="M363" s="25">
        <v>10</v>
      </c>
      <c r="N363">
        <f>Table1[[#This Row],[Revenue]]*Table1[[#This Row],[Discount%]]/100</f>
        <v>299.8</v>
      </c>
      <c r="O363" s="6">
        <f>Table1[[#This Row],[Revenue]]-Table1[[#This Row],[Disc_amount]]</f>
        <v>2698.2</v>
      </c>
      <c r="P363" t="s">
        <v>26</v>
      </c>
      <c r="Q363" t="s">
        <v>34</v>
      </c>
    </row>
    <row r="364" spans="1:17">
      <c r="A364" t="s">
        <v>854</v>
      </c>
      <c r="B364" s="1" t="s">
        <v>523</v>
      </c>
      <c r="C364" s="1" t="s">
        <v>839</v>
      </c>
      <c r="D364" s="1" t="s">
        <v>20</v>
      </c>
      <c r="E364" t="s">
        <v>855</v>
      </c>
      <c r="F364" t="s">
        <v>856</v>
      </c>
      <c r="G364" t="s">
        <v>45</v>
      </c>
      <c r="H364" t="s">
        <v>57</v>
      </c>
      <c r="I364" t="s">
        <v>62</v>
      </c>
      <c r="J364">
        <v>3</v>
      </c>
      <c r="K364">
        <v>799</v>
      </c>
      <c r="L364">
        <f>Table1[[#This Row],[Quantity]] * Table1[[#This Row],[UnitPrice]]</f>
        <v>2397</v>
      </c>
      <c r="M364" s="25">
        <v>10</v>
      </c>
      <c r="N364">
        <f>Table1[[#This Row],[Revenue]]*Table1[[#This Row],[Discount%]]/100</f>
        <v>239.7</v>
      </c>
      <c r="O364" s="6">
        <f>Table1[[#This Row],[Revenue]]-Table1[[#This Row],[Disc_amount]]</f>
        <v>2157.3000000000002</v>
      </c>
      <c r="P364" t="s">
        <v>26</v>
      </c>
      <c r="Q364" t="s">
        <v>27</v>
      </c>
    </row>
    <row r="365" spans="1:17">
      <c r="A365" t="s">
        <v>857</v>
      </c>
      <c r="B365" s="1" t="s">
        <v>538</v>
      </c>
      <c r="C365" s="1" t="s">
        <v>839</v>
      </c>
      <c r="D365" s="1" t="s">
        <v>20</v>
      </c>
      <c r="E365" t="s">
        <v>297</v>
      </c>
      <c r="F365" t="s">
        <v>298</v>
      </c>
      <c r="G365" t="s">
        <v>23</v>
      </c>
      <c r="H365" t="s">
        <v>39</v>
      </c>
      <c r="I365" t="s">
        <v>51</v>
      </c>
      <c r="J365">
        <v>1</v>
      </c>
      <c r="K365">
        <v>2999</v>
      </c>
      <c r="L365">
        <f>Table1[[#This Row],[Quantity]] * Table1[[#This Row],[UnitPrice]]</f>
        <v>2999</v>
      </c>
      <c r="M365" s="25">
        <v>20</v>
      </c>
      <c r="N365">
        <f>Table1[[#This Row],[Revenue]]*Table1[[#This Row],[Discount%]]/100</f>
        <v>599.79999999999995</v>
      </c>
      <c r="O365" s="6">
        <f>Table1[[#This Row],[Revenue]]-Table1[[#This Row],[Disc_amount]]</f>
        <v>2399.1999999999998</v>
      </c>
      <c r="P365" t="s">
        <v>41</v>
      </c>
      <c r="Q365" t="s">
        <v>27</v>
      </c>
    </row>
    <row r="366" spans="1:17">
      <c r="A366" t="s">
        <v>858</v>
      </c>
      <c r="B366" s="1" t="s">
        <v>538</v>
      </c>
      <c r="C366" s="1" t="s">
        <v>839</v>
      </c>
      <c r="D366" s="1" t="s">
        <v>20</v>
      </c>
      <c r="E366" t="s">
        <v>396</v>
      </c>
      <c r="F366" t="s">
        <v>323</v>
      </c>
      <c r="G366" t="s">
        <v>38</v>
      </c>
      <c r="H366" t="s">
        <v>39</v>
      </c>
      <c r="I366" t="s">
        <v>51</v>
      </c>
      <c r="J366">
        <v>2</v>
      </c>
      <c r="K366">
        <v>2999</v>
      </c>
      <c r="L366">
        <f>Table1[[#This Row],[Quantity]] * Table1[[#This Row],[UnitPrice]]</f>
        <v>5998</v>
      </c>
      <c r="M366" s="25">
        <v>0</v>
      </c>
      <c r="N366">
        <f>Table1[[#This Row],[Revenue]]*Table1[[#This Row],[Discount%]]/100</f>
        <v>0</v>
      </c>
      <c r="O366" s="6">
        <f>Table1[[#This Row],[Revenue]]-Table1[[#This Row],[Disc_amount]]</f>
        <v>5998</v>
      </c>
      <c r="P366" t="s">
        <v>52</v>
      </c>
      <c r="Q366" t="s">
        <v>27</v>
      </c>
    </row>
    <row r="367" spans="1:17">
      <c r="A367" t="s">
        <v>859</v>
      </c>
      <c r="B367" s="1" t="s">
        <v>538</v>
      </c>
      <c r="C367" s="1" t="s">
        <v>839</v>
      </c>
      <c r="D367" s="1" t="s">
        <v>20</v>
      </c>
      <c r="E367" t="s">
        <v>100</v>
      </c>
      <c r="F367" t="s">
        <v>101</v>
      </c>
      <c r="G367" t="s">
        <v>56</v>
      </c>
      <c r="H367" t="s">
        <v>46</v>
      </c>
      <c r="I367" t="s">
        <v>47</v>
      </c>
      <c r="J367">
        <v>2</v>
      </c>
      <c r="K367">
        <v>249</v>
      </c>
      <c r="L367">
        <f>Table1[[#This Row],[Quantity]] * Table1[[#This Row],[UnitPrice]]</f>
        <v>498</v>
      </c>
      <c r="M367" s="25">
        <v>20</v>
      </c>
      <c r="N367">
        <f>Table1[[#This Row],[Revenue]]*Table1[[#This Row],[Discount%]]/100</f>
        <v>99.6</v>
      </c>
      <c r="O367" s="6">
        <f>Table1[[#This Row],[Revenue]]-Table1[[#This Row],[Disc_amount]]</f>
        <v>398.4</v>
      </c>
      <c r="P367" t="s">
        <v>52</v>
      </c>
      <c r="Q367" t="s">
        <v>34</v>
      </c>
    </row>
    <row r="368" spans="1:17">
      <c r="A368" t="s">
        <v>860</v>
      </c>
      <c r="B368" s="1" t="s">
        <v>538</v>
      </c>
      <c r="C368" s="1" t="s">
        <v>839</v>
      </c>
      <c r="D368" s="1" t="s">
        <v>20</v>
      </c>
      <c r="E368" t="s">
        <v>405</v>
      </c>
      <c r="F368" t="s">
        <v>248</v>
      </c>
      <c r="G368" t="s">
        <v>56</v>
      </c>
      <c r="H368" t="s">
        <v>65</v>
      </c>
      <c r="I368" t="s">
        <v>98</v>
      </c>
      <c r="J368">
        <v>1</v>
      </c>
      <c r="K368">
        <v>499</v>
      </c>
      <c r="L368">
        <f>Table1[[#This Row],[Quantity]] * Table1[[#This Row],[UnitPrice]]</f>
        <v>499</v>
      </c>
      <c r="M368" s="25">
        <v>0</v>
      </c>
      <c r="N368">
        <f>Table1[[#This Row],[Revenue]]*Table1[[#This Row],[Discount%]]/100</f>
        <v>0</v>
      </c>
      <c r="O368" s="6">
        <f>Table1[[#This Row],[Revenue]]-Table1[[#This Row],[Disc_amount]]</f>
        <v>499</v>
      </c>
      <c r="P368" t="s">
        <v>52</v>
      </c>
      <c r="Q368" t="s">
        <v>27</v>
      </c>
    </row>
    <row r="369" spans="1:17">
      <c r="A369" t="s">
        <v>861</v>
      </c>
      <c r="B369" s="1" t="s">
        <v>538</v>
      </c>
      <c r="C369" s="1" t="s">
        <v>839</v>
      </c>
      <c r="D369" s="1" t="s">
        <v>20</v>
      </c>
      <c r="E369" t="s">
        <v>862</v>
      </c>
      <c r="F369" t="s">
        <v>863</v>
      </c>
      <c r="G369" t="s">
        <v>23</v>
      </c>
      <c r="H369" t="s">
        <v>65</v>
      </c>
      <c r="I369" t="s">
        <v>98</v>
      </c>
      <c r="J369">
        <v>1</v>
      </c>
      <c r="K369">
        <v>499</v>
      </c>
      <c r="L369">
        <f>Table1[[#This Row],[Quantity]] * Table1[[#This Row],[UnitPrice]]</f>
        <v>499</v>
      </c>
      <c r="M369" s="25">
        <v>5</v>
      </c>
      <c r="N369">
        <f>Table1[[#This Row],[Revenue]]*Table1[[#This Row],[Discount%]]/100</f>
        <v>24.95</v>
      </c>
      <c r="O369" s="6">
        <f>Table1[[#This Row],[Revenue]]-Table1[[#This Row],[Disc_amount]]</f>
        <v>474.05</v>
      </c>
      <c r="P369" t="s">
        <v>41</v>
      </c>
      <c r="Q369" t="s">
        <v>27</v>
      </c>
    </row>
    <row r="370" spans="1:17">
      <c r="A370" t="s">
        <v>864</v>
      </c>
      <c r="B370" s="1" t="s">
        <v>538</v>
      </c>
      <c r="C370" s="1" t="s">
        <v>839</v>
      </c>
      <c r="D370" s="1" t="s">
        <v>20</v>
      </c>
      <c r="E370" t="s">
        <v>865</v>
      </c>
      <c r="F370" t="s">
        <v>355</v>
      </c>
      <c r="G370" t="s">
        <v>38</v>
      </c>
      <c r="H370" t="s">
        <v>39</v>
      </c>
      <c r="I370" t="s">
        <v>140</v>
      </c>
      <c r="J370">
        <v>1</v>
      </c>
      <c r="K370">
        <v>1799</v>
      </c>
      <c r="L370">
        <f>Table1[[#This Row],[Quantity]] * Table1[[#This Row],[UnitPrice]]</f>
        <v>1799</v>
      </c>
      <c r="M370" s="25">
        <v>20</v>
      </c>
      <c r="N370">
        <f>Table1[[#This Row],[Revenue]]*Table1[[#This Row],[Discount%]]/100</f>
        <v>359.8</v>
      </c>
      <c r="O370" s="6">
        <f>Table1[[#This Row],[Revenue]]-Table1[[#This Row],[Disc_amount]]</f>
        <v>1439.2</v>
      </c>
      <c r="P370" t="s">
        <v>41</v>
      </c>
      <c r="Q370" t="s">
        <v>34</v>
      </c>
    </row>
    <row r="371" spans="1:17">
      <c r="A371" t="s">
        <v>866</v>
      </c>
      <c r="B371" s="1" t="s">
        <v>538</v>
      </c>
      <c r="C371" s="1" t="s">
        <v>839</v>
      </c>
      <c r="D371" s="1" t="s">
        <v>20</v>
      </c>
      <c r="E371" t="s">
        <v>867</v>
      </c>
      <c r="F371" t="s">
        <v>617</v>
      </c>
      <c r="G371" t="s">
        <v>23</v>
      </c>
      <c r="H371" t="s">
        <v>65</v>
      </c>
      <c r="I371" t="s">
        <v>98</v>
      </c>
      <c r="J371">
        <v>1</v>
      </c>
      <c r="K371">
        <v>499</v>
      </c>
      <c r="L371">
        <f>Table1[[#This Row],[Quantity]] * Table1[[#This Row],[UnitPrice]]</f>
        <v>499</v>
      </c>
      <c r="M371" s="25">
        <v>15</v>
      </c>
      <c r="N371">
        <f>Table1[[#This Row],[Revenue]]*Table1[[#This Row],[Discount%]]/100</f>
        <v>74.849999999999994</v>
      </c>
      <c r="O371" s="6">
        <f>Table1[[#This Row],[Revenue]]-Table1[[#This Row],[Disc_amount]]</f>
        <v>424.15</v>
      </c>
      <c r="P371" t="s">
        <v>33</v>
      </c>
      <c r="Q371" t="s">
        <v>27</v>
      </c>
    </row>
    <row r="372" spans="1:17">
      <c r="A372" t="s">
        <v>868</v>
      </c>
      <c r="B372" s="1" t="s">
        <v>538</v>
      </c>
      <c r="C372" s="1" t="s">
        <v>839</v>
      </c>
      <c r="D372" s="1" t="s">
        <v>20</v>
      </c>
      <c r="E372" t="s">
        <v>220</v>
      </c>
      <c r="F372" t="s">
        <v>153</v>
      </c>
      <c r="G372" t="s">
        <v>23</v>
      </c>
      <c r="H372" t="s">
        <v>70</v>
      </c>
      <c r="I372" t="s">
        <v>91</v>
      </c>
      <c r="J372">
        <v>2</v>
      </c>
      <c r="K372">
        <v>549</v>
      </c>
      <c r="L372">
        <f>Table1[[#This Row],[Quantity]] * Table1[[#This Row],[UnitPrice]]</f>
        <v>1098</v>
      </c>
      <c r="M372" s="25">
        <v>0</v>
      </c>
      <c r="N372">
        <f>Table1[[#This Row],[Revenue]]*Table1[[#This Row],[Discount%]]/100</f>
        <v>0</v>
      </c>
      <c r="O372" s="6">
        <f>Table1[[#This Row],[Revenue]]-Table1[[#This Row],[Disc_amount]]</f>
        <v>1098</v>
      </c>
      <c r="P372" t="s">
        <v>52</v>
      </c>
      <c r="Q372" t="s">
        <v>34</v>
      </c>
    </row>
    <row r="373" spans="1:17">
      <c r="A373" t="s">
        <v>869</v>
      </c>
      <c r="B373" s="1" t="s">
        <v>538</v>
      </c>
      <c r="C373" s="1" t="s">
        <v>839</v>
      </c>
      <c r="D373" s="1" t="s">
        <v>20</v>
      </c>
      <c r="E373" t="s">
        <v>870</v>
      </c>
      <c r="F373" t="s">
        <v>669</v>
      </c>
      <c r="G373" t="s">
        <v>31</v>
      </c>
      <c r="H373" t="s">
        <v>65</v>
      </c>
      <c r="I373" t="s">
        <v>66</v>
      </c>
      <c r="J373">
        <v>1</v>
      </c>
      <c r="K373">
        <v>1999</v>
      </c>
      <c r="L373">
        <f>Table1[[#This Row],[Quantity]] * Table1[[#This Row],[UnitPrice]]</f>
        <v>1999</v>
      </c>
      <c r="M373" s="25">
        <v>15</v>
      </c>
      <c r="N373">
        <f>Table1[[#This Row],[Revenue]]*Table1[[#This Row],[Discount%]]/100</f>
        <v>299.85000000000002</v>
      </c>
      <c r="O373" s="6">
        <f>Table1[[#This Row],[Revenue]]-Table1[[#This Row],[Disc_amount]]</f>
        <v>1699.15</v>
      </c>
      <c r="P373" t="s">
        <v>86</v>
      </c>
      <c r="Q373" t="s">
        <v>27</v>
      </c>
    </row>
    <row r="374" spans="1:17">
      <c r="A374" t="s">
        <v>871</v>
      </c>
      <c r="B374" s="1" t="s">
        <v>538</v>
      </c>
      <c r="C374" s="1" t="s">
        <v>839</v>
      </c>
      <c r="D374" s="1" t="s">
        <v>20</v>
      </c>
      <c r="E374" t="s">
        <v>872</v>
      </c>
      <c r="F374" t="s">
        <v>873</v>
      </c>
      <c r="G374" t="s">
        <v>31</v>
      </c>
      <c r="H374" t="s">
        <v>39</v>
      </c>
      <c r="I374" t="s">
        <v>140</v>
      </c>
      <c r="J374">
        <v>2</v>
      </c>
      <c r="K374">
        <v>1799</v>
      </c>
      <c r="L374">
        <f>Table1[[#This Row],[Quantity]] * Table1[[#This Row],[UnitPrice]]</f>
        <v>3598</v>
      </c>
      <c r="M374" s="25">
        <v>10</v>
      </c>
      <c r="N374">
        <f>Table1[[#This Row],[Revenue]]*Table1[[#This Row],[Discount%]]/100</f>
        <v>359.8</v>
      </c>
      <c r="O374" s="6">
        <f>Table1[[#This Row],[Revenue]]-Table1[[#This Row],[Disc_amount]]</f>
        <v>3238.2</v>
      </c>
      <c r="P374" t="s">
        <v>33</v>
      </c>
      <c r="Q374" t="s">
        <v>27</v>
      </c>
    </row>
    <row r="375" spans="1:17">
      <c r="A375" t="s">
        <v>874</v>
      </c>
      <c r="B375" s="1" t="s">
        <v>544</v>
      </c>
      <c r="C375" s="1" t="s">
        <v>839</v>
      </c>
      <c r="D375" s="1" t="s">
        <v>20</v>
      </c>
      <c r="E375" t="s">
        <v>875</v>
      </c>
      <c r="F375" t="s">
        <v>876</v>
      </c>
      <c r="G375" t="s">
        <v>38</v>
      </c>
      <c r="H375" t="s">
        <v>57</v>
      </c>
      <c r="I375" t="s">
        <v>62</v>
      </c>
      <c r="J375">
        <v>1</v>
      </c>
      <c r="K375">
        <v>799</v>
      </c>
      <c r="L375">
        <f>Table1[[#This Row],[Quantity]] * Table1[[#This Row],[UnitPrice]]</f>
        <v>799</v>
      </c>
      <c r="M375" s="25">
        <v>5</v>
      </c>
      <c r="N375">
        <f>Table1[[#This Row],[Revenue]]*Table1[[#This Row],[Discount%]]/100</f>
        <v>39.950000000000003</v>
      </c>
      <c r="O375" s="6">
        <f>Table1[[#This Row],[Revenue]]-Table1[[#This Row],[Disc_amount]]</f>
        <v>759.05</v>
      </c>
      <c r="P375" t="s">
        <v>26</v>
      </c>
      <c r="Q375" t="s">
        <v>27</v>
      </c>
    </row>
    <row r="376" spans="1:17">
      <c r="A376" t="s">
        <v>877</v>
      </c>
      <c r="B376" s="1" t="s">
        <v>544</v>
      </c>
      <c r="C376" s="1" t="s">
        <v>839</v>
      </c>
      <c r="D376" s="1" t="s">
        <v>20</v>
      </c>
      <c r="E376" t="s">
        <v>878</v>
      </c>
      <c r="F376" t="s">
        <v>879</v>
      </c>
      <c r="G376" t="s">
        <v>56</v>
      </c>
      <c r="H376" t="s">
        <v>108</v>
      </c>
      <c r="I376" t="s">
        <v>109</v>
      </c>
      <c r="J376">
        <v>2</v>
      </c>
      <c r="K376">
        <v>1499</v>
      </c>
      <c r="L376">
        <f>Table1[[#This Row],[Quantity]] * Table1[[#This Row],[UnitPrice]]</f>
        <v>2998</v>
      </c>
      <c r="M376" s="25">
        <v>15</v>
      </c>
      <c r="N376">
        <f>Table1[[#This Row],[Revenue]]*Table1[[#This Row],[Discount%]]/100</f>
        <v>449.7</v>
      </c>
      <c r="O376" s="6">
        <f>Table1[[#This Row],[Revenue]]-Table1[[#This Row],[Disc_amount]]</f>
        <v>2548.3000000000002</v>
      </c>
      <c r="P376" t="s">
        <v>26</v>
      </c>
      <c r="Q376" t="s">
        <v>34</v>
      </c>
    </row>
    <row r="377" spans="1:17">
      <c r="A377" t="s">
        <v>880</v>
      </c>
      <c r="B377" s="1" t="s">
        <v>544</v>
      </c>
      <c r="C377" s="1" t="s">
        <v>839</v>
      </c>
      <c r="D377" s="1" t="s">
        <v>20</v>
      </c>
      <c r="E377" t="s">
        <v>778</v>
      </c>
      <c r="F377" t="s">
        <v>287</v>
      </c>
      <c r="G377" t="s">
        <v>23</v>
      </c>
      <c r="H377" t="s">
        <v>57</v>
      </c>
      <c r="I377" t="s">
        <v>62</v>
      </c>
      <c r="J377">
        <v>4</v>
      </c>
      <c r="K377">
        <v>799</v>
      </c>
      <c r="L377">
        <f>Table1[[#This Row],[Quantity]] * Table1[[#This Row],[UnitPrice]]</f>
        <v>3196</v>
      </c>
      <c r="M377" s="25">
        <v>0</v>
      </c>
      <c r="N377">
        <f>Table1[[#This Row],[Revenue]]*Table1[[#This Row],[Discount%]]/100</f>
        <v>0</v>
      </c>
      <c r="O377" s="6">
        <f>Table1[[#This Row],[Revenue]]-Table1[[#This Row],[Disc_amount]]</f>
        <v>3196</v>
      </c>
      <c r="P377" t="s">
        <v>41</v>
      </c>
      <c r="Q377" t="s">
        <v>27</v>
      </c>
    </row>
    <row r="378" spans="1:17">
      <c r="A378" t="s">
        <v>881</v>
      </c>
      <c r="B378" s="1" t="s">
        <v>544</v>
      </c>
      <c r="C378" s="1" t="s">
        <v>839</v>
      </c>
      <c r="D378" s="1" t="s">
        <v>20</v>
      </c>
      <c r="E378" t="s">
        <v>409</v>
      </c>
      <c r="F378" t="s">
        <v>410</v>
      </c>
      <c r="G378" t="s">
        <v>31</v>
      </c>
      <c r="H378" t="s">
        <v>46</v>
      </c>
      <c r="I378" t="s">
        <v>47</v>
      </c>
      <c r="J378">
        <v>1</v>
      </c>
      <c r="K378">
        <v>249</v>
      </c>
      <c r="L378">
        <f>Table1[[#This Row],[Quantity]] * Table1[[#This Row],[UnitPrice]]</f>
        <v>249</v>
      </c>
      <c r="M378" s="25">
        <v>0</v>
      </c>
      <c r="N378">
        <f>Table1[[#This Row],[Revenue]]*Table1[[#This Row],[Discount%]]/100</f>
        <v>0</v>
      </c>
      <c r="O378" s="6">
        <f>Table1[[#This Row],[Revenue]]-Table1[[#This Row],[Disc_amount]]</f>
        <v>249</v>
      </c>
      <c r="P378" t="s">
        <v>26</v>
      </c>
      <c r="Q378" t="s">
        <v>34</v>
      </c>
    </row>
    <row r="379" spans="1:17">
      <c r="A379" t="s">
        <v>882</v>
      </c>
      <c r="B379" s="1" t="s">
        <v>551</v>
      </c>
      <c r="C379" s="1" t="s">
        <v>839</v>
      </c>
      <c r="D379" s="1" t="s">
        <v>20</v>
      </c>
      <c r="E379" t="s">
        <v>306</v>
      </c>
      <c r="F379" t="s">
        <v>307</v>
      </c>
      <c r="G379" t="s">
        <v>56</v>
      </c>
      <c r="H379" t="s">
        <v>65</v>
      </c>
      <c r="I379" t="s">
        <v>98</v>
      </c>
      <c r="J379">
        <v>1</v>
      </c>
      <c r="K379">
        <v>499</v>
      </c>
      <c r="L379">
        <f>Table1[[#This Row],[Quantity]] * Table1[[#This Row],[UnitPrice]]</f>
        <v>499</v>
      </c>
      <c r="M379" s="25">
        <v>15</v>
      </c>
      <c r="N379">
        <f>Table1[[#This Row],[Revenue]]*Table1[[#This Row],[Discount%]]/100</f>
        <v>74.849999999999994</v>
      </c>
      <c r="O379" s="6">
        <f>Table1[[#This Row],[Revenue]]-Table1[[#This Row],[Disc_amount]]</f>
        <v>424.15</v>
      </c>
      <c r="P379" t="s">
        <v>52</v>
      </c>
      <c r="Q379" t="s">
        <v>27</v>
      </c>
    </row>
    <row r="380" spans="1:17">
      <c r="A380" t="s">
        <v>883</v>
      </c>
      <c r="B380" s="1" t="s">
        <v>551</v>
      </c>
      <c r="C380" s="1" t="s">
        <v>839</v>
      </c>
      <c r="D380" s="1" t="s">
        <v>20</v>
      </c>
      <c r="E380" t="s">
        <v>884</v>
      </c>
      <c r="F380" t="s">
        <v>160</v>
      </c>
      <c r="G380" t="s">
        <v>38</v>
      </c>
      <c r="H380" t="s">
        <v>46</v>
      </c>
      <c r="I380" t="s">
        <v>154</v>
      </c>
      <c r="J380">
        <v>1</v>
      </c>
      <c r="K380">
        <v>299</v>
      </c>
      <c r="L380">
        <f>Table1[[#This Row],[Quantity]] * Table1[[#This Row],[UnitPrice]]</f>
        <v>299</v>
      </c>
      <c r="M380" s="25">
        <v>0</v>
      </c>
      <c r="N380">
        <f>Table1[[#This Row],[Revenue]]*Table1[[#This Row],[Discount%]]/100</f>
        <v>0</v>
      </c>
      <c r="O380" s="6">
        <f>Table1[[#This Row],[Revenue]]-Table1[[#This Row],[Disc_amount]]</f>
        <v>299</v>
      </c>
      <c r="P380" t="s">
        <v>86</v>
      </c>
      <c r="Q380" t="s">
        <v>34</v>
      </c>
    </row>
    <row r="381" spans="1:17">
      <c r="A381" t="s">
        <v>885</v>
      </c>
      <c r="B381" s="1" t="s">
        <v>551</v>
      </c>
      <c r="C381" s="1" t="s">
        <v>839</v>
      </c>
      <c r="D381" s="1" t="s">
        <v>20</v>
      </c>
      <c r="E381" t="s">
        <v>886</v>
      </c>
      <c r="F381" t="s">
        <v>74</v>
      </c>
      <c r="G381" t="s">
        <v>45</v>
      </c>
      <c r="H381" t="s">
        <v>65</v>
      </c>
      <c r="I381" t="s">
        <v>98</v>
      </c>
      <c r="J381">
        <v>1</v>
      </c>
      <c r="K381">
        <v>499</v>
      </c>
      <c r="L381">
        <f>Table1[[#This Row],[Quantity]] * Table1[[#This Row],[UnitPrice]]</f>
        <v>499</v>
      </c>
      <c r="M381" s="25">
        <v>15</v>
      </c>
      <c r="N381">
        <f>Table1[[#This Row],[Revenue]]*Table1[[#This Row],[Discount%]]/100</f>
        <v>74.849999999999994</v>
      </c>
      <c r="O381" s="6">
        <f>Table1[[#This Row],[Revenue]]-Table1[[#This Row],[Disc_amount]]</f>
        <v>424.15</v>
      </c>
      <c r="P381" t="s">
        <v>26</v>
      </c>
      <c r="Q381" t="s">
        <v>27</v>
      </c>
    </row>
    <row r="382" spans="1:17">
      <c r="A382" t="s">
        <v>887</v>
      </c>
      <c r="B382" s="1" t="s">
        <v>551</v>
      </c>
      <c r="C382" s="1" t="s">
        <v>839</v>
      </c>
      <c r="D382" s="1" t="s">
        <v>20</v>
      </c>
      <c r="E382" t="s">
        <v>888</v>
      </c>
      <c r="F382" t="s">
        <v>698</v>
      </c>
      <c r="G382" t="s">
        <v>56</v>
      </c>
      <c r="H382" t="s">
        <v>65</v>
      </c>
      <c r="I382" t="s">
        <v>98</v>
      </c>
      <c r="J382">
        <v>1</v>
      </c>
      <c r="K382">
        <v>499</v>
      </c>
      <c r="L382">
        <f>Table1[[#This Row],[Quantity]] * Table1[[#This Row],[UnitPrice]]</f>
        <v>499</v>
      </c>
      <c r="M382" s="25">
        <v>20</v>
      </c>
      <c r="N382">
        <f>Table1[[#This Row],[Revenue]]*Table1[[#This Row],[Discount%]]/100</f>
        <v>99.8</v>
      </c>
      <c r="O382" s="6">
        <f>Table1[[#This Row],[Revenue]]-Table1[[#This Row],[Disc_amount]]</f>
        <v>399.2</v>
      </c>
      <c r="P382" t="s">
        <v>86</v>
      </c>
      <c r="Q382" t="s">
        <v>34</v>
      </c>
    </row>
    <row r="383" spans="1:17">
      <c r="A383" t="s">
        <v>889</v>
      </c>
      <c r="B383" s="1" t="s">
        <v>551</v>
      </c>
      <c r="C383" s="1" t="s">
        <v>839</v>
      </c>
      <c r="D383" s="1" t="s">
        <v>20</v>
      </c>
      <c r="E383" t="s">
        <v>850</v>
      </c>
      <c r="F383" t="s">
        <v>759</v>
      </c>
      <c r="G383" t="s">
        <v>56</v>
      </c>
      <c r="H383" t="s">
        <v>46</v>
      </c>
      <c r="I383" t="s">
        <v>154</v>
      </c>
      <c r="J383">
        <v>3</v>
      </c>
      <c r="K383">
        <v>299</v>
      </c>
      <c r="L383">
        <f>Table1[[#This Row],[Quantity]] * Table1[[#This Row],[UnitPrice]]</f>
        <v>897</v>
      </c>
      <c r="M383" s="25">
        <v>15</v>
      </c>
      <c r="N383">
        <f>Table1[[#This Row],[Revenue]]*Table1[[#This Row],[Discount%]]/100</f>
        <v>134.55000000000001</v>
      </c>
      <c r="O383" s="6">
        <f>Table1[[#This Row],[Revenue]]-Table1[[#This Row],[Disc_amount]]</f>
        <v>762.45</v>
      </c>
      <c r="P383" t="s">
        <v>41</v>
      </c>
      <c r="Q383" t="s">
        <v>27</v>
      </c>
    </row>
    <row r="384" spans="1:17">
      <c r="A384" t="s">
        <v>890</v>
      </c>
      <c r="B384" s="1" t="s">
        <v>551</v>
      </c>
      <c r="C384" s="1" t="s">
        <v>839</v>
      </c>
      <c r="D384" s="1" t="s">
        <v>20</v>
      </c>
      <c r="E384" t="s">
        <v>165</v>
      </c>
      <c r="F384" t="s">
        <v>166</v>
      </c>
      <c r="G384" t="s">
        <v>38</v>
      </c>
      <c r="H384" t="s">
        <v>24</v>
      </c>
      <c r="I384" t="s">
        <v>25</v>
      </c>
      <c r="J384">
        <v>2</v>
      </c>
      <c r="K384">
        <v>99</v>
      </c>
      <c r="L384">
        <f>Table1[[#This Row],[Quantity]] * Table1[[#This Row],[UnitPrice]]</f>
        <v>198</v>
      </c>
      <c r="M384" s="25">
        <v>15</v>
      </c>
      <c r="N384">
        <f>Table1[[#This Row],[Revenue]]*Table1[[#This Row],[Discount%]]/100</f>
        <v>29.7</v>
      </c>
      <c r="O384" s="6">
        <f>Table1[[#This Row],[Revenue]]-Table1[[#This Row],[Disc_amount]]</f>
        <v>168.3</v>
      </c>
      <c r="P384" t="s">
        <v>26</v>
      </c>
      <c r="Q384" t="s">
        <v>34</v>
      </c>
    </row>
    <row r="385" spans="1:17">
      <c r="A385" t="s">
        <v>891</v>
      </c>
      <c r="B385" s="1" t="s">
        <v>551</v>
      </c>
      <c r="C385" s="1" t="s">
        <v>839</v>
      </c>
      <c r="D385" s="1" t="s">
        <v>20</v>
      </c>
      <c r="E385" t="s">
        <v>352</v>
      </c>
      <c r="F385" t="s">
        <v>134</v>
      </c>
      <c r="G385" t="s">
        <v>31</v>
      </c>
      <c r="H385" t="s">
        <v>46</v>
      </c>
      <c r="I385" t="s">
        <v>154</v>
      </c>
      <c r="J385">
        <v>2</v>
      </c>
      <c r="K385">
        <v>299</v>
      </c>
      <c r="L385">
        <f>Table1[[#This Row],[Quantity]] * Table1[[#This Row],[UnitPrice]]</f>
        <v>598</v>
      </c>
      <c r="M385" s="25">
        <v>20</v>
      </c>
      <c r="N385">
        <f>Table1[[#This Row],[Revenue]]*Table1[[#This Row],[Discount%]]/100</f>
        <v>119.6</v>
      </c>
      <c r="O385" s="6">
        <f>Table1[[#This Row],[Revenue]]-Table1[[#This Row],[Disc_amount]]</f>
        <v>478.4</v>
      </c>
      <c r="P385" t="s">
        <v>26</v>
      </c>
      <c r="Q385" t="s">
        <v>27</v>
      </c>
    </row>
    <row r="386" spans="1:17">
      <c r="A386" t="s">
        <v>892</v>
      </c>
      <c r="B386" s="1" t="s">
        <v>551</v>
      </c>
      <c r="C386" s="1" t="s">
        <v>839</v>
      </c>
      <c r="D386" s="1" t="s">
        <v>20</v>
      </c>
      <c r="E386" t="s">
        <v>893</v>
      </c>
      <c r="F386" t="s">
        <v>434</v>
      </c>
      <c r="G386" t="s">
        <v>56</v>
      </c>
      <c r="H386" t="s">
        <v>70</v>
      </c>
      <c r="I386" t="s">
        <v>91</v>
      </c>
      <c r="J386">
        <v>5</v>
      </c>
      <c r="K386">
        <v>549</v>
      </c>
      <c r="L386">
        <f>Table1[[#This Row],[Quantity]] * Table1[[#This Row],[UnitPrice]]</f>
        <v>2745</v>
      </c>
      <c r="M386" s="25">
        <v>10</v>
      </c>
      <c r="N386">
        <f>Table1[[#This Row],[Revenue]]*Table1[[#This Row],[Discount%]]/100</f>
        <v>274.5</v>
      </c>
      <c r="O386" s="6">
        <f>Table1[[#This Row],[Revenue]]-Table1[[#This Row],[Disc_amount]]</f>
        <v>2470.5</v>
      </c>
      <c r="P386" t="s">
        <v>26</v>
      </c>
      <c r="Q386" t="s">
        <v>27</v>
      </c>
    </row>
    <row r="387" spans="1:17">
      <c r="A387" t="s">
        <v>894</v>
      </c>
      <c r="B387" s="1" t="s">
        <v>551</v>
      </c>
      <c r="C387" s="1" t="s">
        <v>839</v>
      </c>
      <c r="D387" s="1" t="s">
        <v>20</v>
      </c>
      <c r="E387" t="s">
        <v>895</v>
      </c>
      <c r="F387" t="s">
        <v>759</v>
      </c>
      <c r="G387" t="s">
        <v>23</v>
      </c>
      <c r="H387" t="s">
        <v>46</v>
      </c>
      <c r="I387" t="s">
        <v>154</v>
      </c>
      <c r="J387">
        <v>1</v>
      </c>
      <c r="K387">
        <v>299</v>
      </c>
      <c r="L387">
        <f>Table1[[#This Row],[Quantity]] * Table1[[#This Row],[UnitPrice]]</f>
        <v>299</v>
      </c>
      <c r="M387" s="25">
        <v>5</v>
      </c>
      <c r="N387">
        <f>Table1[[#This Row],[Revenue]]*Table1[[#This Row],[Discount%]]/100</f>
        <v>14.95</v>
      </c>
      <c r="O387" s="6">
        <f>Table1[[#This Row],[Revenue]]-Table1[[#This Row],[Disc_amount]]</f>
        <v>284.05</v>
      </c>
      <c r="P387" t="s">
        <v>33</v>
      </c>
      <c r="Q387" t="s">
        <v>34</v>
      </c>
    </row>
    <row r="388" spans="1:17">
      <c r="A388" t="s">
        <v>896</v>
      </c>
      <c r="B388" s="1" t="s">
        <v>551</v>
      </c>
      <c r="C388" s="1" t="s">
        <v>839</v>
      </c>
      <c r="D388" s="1" t="s">
        <v>20</v>
      </c>
      <c r="E388" t="s">
        <v>258</v>
      </c>
      <c r="F388" t="s">
        <v>259</v>
      </c>
      <c r="G388" t="s">
        <v>38</v>
      </c>
      <c r="H388" t="s">
        <v>57</v>
      </c>
      <c r="I388" t="s">
        <v>62</v>
      </c>
      <c r="J388">
        <v>2</v>
      </c>
      <c r="K388">
        <v>799</v>
      </c>
      <c r="L388">
        <f>Table1[[#This Row],[Quantity]] * Table1[[#This Row],[UnitPrice]]</f>
        <v>1598</v>
      </c>
      <c r="M388" s="25">
        <v>0</v>
      </c>
      <c r="N388">
        <f>Table1[[#This Row],[Revenue]]*Table1[[#This Row],[Discount%]]/100</f>
        <v>0</v>
      </c>
      <c r="O388" s="6">
        <f>Table1[[#This Row],[Revenue]]-Table1[[#This Row],[Disc_amount]]</f>
        <v>1598</v>
      </c>
      <c r="P388" t="s">
        <v>33</v>
      </c>
      <c r="Q388" t="s">
        <v>34</v>
      </c>
    </row>
    <row r="389" spans="1:17">
      <c r="A389" t="s">
        <v>897</v>
      </c>
      <c r="B389" s="1" t="s">
        <v>551</v>
      </c>
      <c r="C389" s="1" t="s">
        <v>839</v>
      </c>
      <c r="D389" s="1" t="s">
        <v>20</v>
      </c>
      <c r="E389" t="s">
        <v>493</v>
      </c>
      <c r="F389" t="s">
        <v>348</v>
      </c>
      <c r="G389" t="s">
        <v>31</v>
      </c>
      <c r="H389" t="s">
        <v>24</v>
      </c>
      <c r="I389" t="s">
        <v>32</v>
      </c>
      <c r="J389">
        <v>3</v>
      </c>
      <c r="K389">
        <v>199</v>
      </c>
      <c r="L389">
        <f>Table1[[#This Row],[Quantity]] * Table1[[#This Row],[UnitPrice]]</f>
        <v>597</v>
      </c>
      <c r="M389" s="25">
        <v>20</v>
      </c>
      <c r="N389">
        <f>Table1[[#This Row],[Revenue]]*Table1[[#This Row],[Discount%]]/100</f>
        <v>119.4</v>
      </c>
      <c r="O389" s="6">
        <f>Table1[[#This Row],[Revenue]]-Table1[[#This Row],[Disc_amount]]</f>
        <v>477.6</v>
      </c>
      <c r="P389" t="s">
        <v>26</v>
      </c>
      <c r="Q389" t="s">
        <v>27</v>
      </c>
    </row>
    <row r="390" spans="1:17">
      <c r="A390" t="s">
        <v>898</v>
      </c>
      <c r="B390" s="1" t="s">
        <v>551</v>
      </c>
      <c r="C390" s="1" t="s">
        <v>839</v>
      </c>
      <c r="D390" s="1" t="s">
        <v>20</v>
      </c>
      <c r="E390" t="s">
        <v>899</v>
      </c>
      <c r="F390" t="s">
        <v>900</v>
      </c>
      <c r="G390" t="s">
        <v>56</v>
      </c>
      <c r="H390" t="s">
        <v>39</v>
      </c>
      <c r="I390" t="s">
        <v>51</v>
      </c>
      <c r="J390">
        <v>5</v>
      </c>
      <c r="K390">
        <v>2999</v>
      </c>
      <c r="L390">
        <f>Table1[[#This Row],[Quantity]] * Table1[[#This Row],[UnitPrice]]</f>
        <v>14995</v>
      </c>
      <c r="M390" s="25">
        <v>20</v>
      </c>
      <c r="N390">
        <f>Table1[[#This Row],[Revenue]]*Table1[[#This Row],[Discount%]]/100</f>
        <v>2999</v>
      </c>
      <c r="O390" s="6">
        <f>Table1[[#This Row],[Revenue]]-Table1[[#This Row],[Disc_amount]]</f>
        <v>11996</v>
      </c>
      <c r="P390" t="s">
        <v>86</v>
      </c>
      <c r="Q390" t="s">
        <v>34</v>
      </c>
    </row>
    <row r="391" spans="1:17">
      <c r="A391" t="s">
        <v>901</v>
      </c>
      <c r="B391" s="1" t="s">
        <v>564</v>
      </c>
      <c r="C391" s="1" t="s">
        <v>839</v>
      </c>
      <c r="D391" s="1" t="s">
        <v>20</v>
      </c>
      <c r="E391" t="s">
        <v>469</v>
      </c>
      <c r="F391" t="s">
        <v>470</v>
      </c>
      <c r="G391" t="s">
        <v>45</v>
      </c>
      <c r="H391" t="s">
        <v>70</v>
      </c>
      <c r="I391" t="s">
        <v>71</v>
      </c>
      <c r="J391">
        <v>3</v>
      </c>
      <c r="K391">
        <v>349</v>
      </c>
      <c r="L391">
        <f>Table1[[#This Row],[Quantity]] * Table1[[#This Row],[UnitPrice]]</f>
        <v>1047</v>
      </c>
      <c r="M391" s="25">
        <v>5</v>
      </c>
      <c r="N391">
        <f>Table1[[#This Row],[Revenue]]*Table1[[#This Row],[Discount%]]/100</f>
        <v>52.35</v>
      </c>
      <c r="O391" s="6">
        <f>Table1[[#This Row],[Revenue]]-Table1[[#This Row],[Disc_amount]]</f>
        <v>994.65</v>
      </c>
      <c r="P391" t="s">
        <v>52</v>
      </c>
      <c r="Q391" t="s">
        <v>34</v>
      </c>
    </row>
    <row r="392" spans="1:17">
      <c r="A392" t="s">
        <v>902</v>
      </c>
      <c r="B392" s="1" t="s">
        <v>564</v>
      </c>
      <c r="C392" s="1" t="s">
        <v>839</v>
      </c>
      <c r="D392" s="1" t="s">
        <v>20</v>
      </c>
      <c r="E392" t="s">
        <v>886</v>
      </c>
      <c r="F392" t="s">
        <v>74</v>
      </c>
      <c r="G392" t="s">
        <v>31</v>
      </c>
      <c r="H392" t="s">
        <v>65</v>
      </c>
      <c r="I392" t="s">
        <v>98</v>
      </c>
      <c r="J392">
        <v>3</v>
      </c>
      <c r="K392">
        <v>499</v>
      </c>
      <c r="L392">
        <f>Table1[[#This Row],[Quantity]] * Table1[[#This Row],[UnitPrice]]</f>
        <v>1497</v>
      </c>
      <c r="M392" s="25">
        <v>15</v>
      </c>
      <c r="N392">
        <f>Table1[[#This Row],[Revenue]]*Table1[[#This Row],[Discount%]]/100</f>
        <v>224.55</v>
      </c>
      <c r="O392" s="6">
        <f>Table1[[#This Row],[Revenue]]-Table1[[#This Row],[Disc_amount]]</f>
        <v>1272.45</v>
      </c>
      <c r="P392" t="s">
        <v>33</v>
      </c>
      <c r="Q392" t="s">
        <v>27</v>
      </c>
    </row>
    <row r="393" spans="1:17">
      <c r="A393" t="s">
        <v>903</v>
      </c>
      <c r="B393" s="1" t="s">
        <v>564</v>
      </c>
      <c r="C393" s="1" t="s">
        <v>839</v>
      </c>
      <c r="D393" s="1" t="s">
        <v>20</v>
      </c>
      <c r="E393" t="s">
        <v>904</v>
      </c>
      <c r="F393" t="s">
        <v>191</v>
      </c>
      <c r="G393" t="s">
        <v>38</v>
      </c>
      <c r="H393" t="s">
        <v>39</v>
      </c>
      <c r="I393" t="s">
        <v>140</v>
      </c>
      <c r="J393">
        <v>3</v>
      </c>
      <c r="K393">
        <v>1799</v>
      </c>
      <c r="L393">
        <f>Table1[[#This Row],[Quantity]] * Table1[[#This Row],[UnitPrice]]</f>
        <v>5397</v>
      </c>
      <c r="M393" s="25">
        <v>20</v>
      </c>
      <c r="N393">
        <f>Table1[[#This Row],[Revenue]]*Table1[[#This Row],[Discount%]]/100</f>
        <v>1079.4000000000001</v>
      </c>
      <c r="O393" s="6">
        <f>Table1[[#This Row],[Revenue]]-Table1[[#This Row],[Disc_amount]]</f>
        <v>4317.6000000000004</v>
      </c>
      <c r="P393" t="s">
        <v>41</v>
      </c>
      <c r="Q393" t="s">
        <v>34</v>
      </c>
    </row>
    <row r="394" spans="1:17">
      <c r="A394" t="s">
        <v>905</v>
      </c>
      <c r="B394" s="1" t="s">
        <v>564</v>
      </c>
      <c r="C394" s="1" t="s">
        <v>839</v>
      </c>
      <c r="D394" s="1" t="s">
        <v>20</v>
      </c>
      <c r="E394" t="s">
        <v>906</v>
      </c>
      <c r="F394" t="s">
        <v>907</v>
      </c>
      <c r="G394" t="s">
        <v>38</v>
      </c>
      <c r="H394" t="s">
        <v>108</v>
      </c>
      <c r="I394" t="s">
        <v>130</v>
      </c>
      <c r="J394">
        <v>1</v>
      </c>
      <c r="K394">
        <v>699</v>
      </c>
      <c r="L394">
        <f>Table1[[#This Row],[Quantity]] * Table1[[#This Row],[UnitPrice]]</f>
        <v>699</v>
      </c>
      <c r="M394" s="25">
        <v>10</v>
      </c>
      <c r="N394">
        <f>Table1[[#This Row],[Revenue]]*Table1[[#This Row],[Discount%]]/100</f>
        <v>69.900000000000006</v>
      </c>
      <c r="O394" s="6">
        <f>Table1[[#This Row],[Revenue]]-Table1[[#This Row],[Disc_amount]]</f>
        <v>629.1</v>
      </c>
      <c r="P394" t="s">
        <v>86</v>
      </c>
      <c r="Q394" t="s">
        <v>34</v>
      </c>
    </row>
    <row r="395" spans="1:17">
      <c r="A395" t="s">
        <v>908</v>
      </c>
      <c r="B395" s="1" t="s">
        <v>564</v>
      </c>
      <c r="C395" s="1" t="s">
        <v>839</v>
      </c>
      <c r="D395" s="1" t="s">
        <v>20</v>
      </c>
      <c r="E395" t="s">
        <v>197</v>
      </c>
      <c r="F395" t="s">
        <v>198</v>
      </c>
      <c r="G395" t="s">
        <v>23</v>
      </c>
      <c r="H395" t="s">
        <v>24</v>
      </c>
      <c r="I395" t="s">
        <v>25</v>
      </c>
      <c r="J395">
        <v>4</v>
      </c>
      <c r="K395">
        <v>99</v>
      </c>
      <c r="L395">
        <f>Table1[[#This Row],[Quantity]] * Table1[[#This Row],[UnitPrice]]</f>
        <v>396</v>
      </c>
      <c r="M395" s="25">
        <v>0</v>
      </c>
      <c r="N395">
        <f>Table1[[#This Row],[Revenue]]*Table1[[#This Row],[Discount%]]/100</f>
        <v>0</v>
      </c>
      <c r="O395" s="6">
        <f>Table1[[#This Row],[Revenue]]-Table1[[#This Row],[Disc_amount]]</f>
        <v>396</v>
      </c>
      <c r="P395" t="s">
        <v>41</v>
      </c>
      <c r="Q395" t="s">
        <v>27</v>
      </c>
    </row>
    <row r="396" spans="1:17">
      <c r="A396" t="s">
        <v>909</v>
      </c>
      <c r="B396" s="1" t="s">
        <v>564</v>
      </c>
      <c r="C396" s="1" t="s">
        <v>839</v>
      </c>
      <c r="D396" s="1" t="s">
        <v>20</v>
      </c>
      <c r="E396" t="s">
        <v>212</v>
      </c>
      <c r="F396" t="s">
        <v>213</v>
      </c>
      <c r="G396" t="s">
        <v>38</v>
      </c>
      <c r="H396" t="s">
        <v>46</v>
      </c>
      <c r="I396" t="s">
        <v>154</v>
      </c>
      <c r="J396">
        <v>1</v>
      </c>
      <c r="K396">
        <v>299</v>
      </c>
      <c r="L396">
        <f>Table1[[#This Row],[Quantity]] * Table1[[#This Row],[UnitPrice]]</f>
        <v>299</v>
      </c>
      <c r="M396" s="25">
        <v>0</v>
      </c>
      <c r="N396">
        <f>Table1[[#This Row],[Revenue]]*Table1[[#This Row],[Discount%]]/100</f>
        <v>0</v>
      </c>
      <c r="O396" s="6">
        <f>Table1[[#This Row],[Revenue]]-Table1[[#This Row],[Disc_amount]]</f>
        <v>299</v>
      </c>
      <c r="P396" t="s">
        <v>86</v>
      </c>
      <c r="Q396" t="s">
        <v>27</v>
      </c>
    </row>
    <row r="397" spans="1:17">
      <c r="A397" t="s">
        <v>910</v>
      </c>
      <c r="B397" s="1" t="s">
        <v>581</v>
      </c>
      <c r="C397" s="1" t="s">
        <v>839</v>
      </c>
      <c r="D397" s="1" t="s">
        <v>20</v>
      </c>
      <c r="E397" t="s">
        <v>238</v>
      </c>
      <c r="F397" t="s">
        <v>239</v>
      </c>
      <c r="G397" t="s">
        <v>31</v>
      </c>
      <c r="H397" t="s">
        <v>46</v>
      </c>
      <c r="I397" t="s">
        <v>47</v>
      </c>
      <c r="J397">
        <v>2</v>
      </c>
      <c r="K397">
        <v>249</v>
      </c>
      <c r="L397">
        <f>Table1[[#This Row],[Quantity]] * Table1[[#This Row],[UnitPrice]]</f>
        <v>498</v>
      </c>
      <c r="M397" s="25">
        <v>0</v>
      </c>
      <c r="N397">
        <f>Table1[[#This Row],[Revenue]]*Table1[[#This Row],[Discount%]]/100</f>
        <v>0</v>
      </c>
      <c r="O397" s="6">
        <f>Table1[[#This Row],[Revenue]]-Table1[[#This Row],[Disc_amount]]</f>
        <v>498</v>
      </c>
      <c r="P397" t="s">
        <v>26</v>
      </c>
      <c r="Q397" t="s">
        <v>34</v>
      </c>
    </row>
    <row r="398" spans="1:17">
      <c r="A398" t="s">
        <v>911</v>
      </c>
      <c r="B398" s="1" t="s">
        <v>581</v>
      </c>
      <c r="C398" s="1" t="s">
        <v>839</v>
      </c>
      <c r="D398" s="1" t="s">
        <v>20</v>
      </c>
      <c r="E398" t="s">
        <v>159</v>
      </c>
      <c r="F398" t="s">
        <v>160</v>
      </c>
      <c r="G398" t="s">
        <v>38</v>
      </c>
      <c r="H398" t="s">
        <v>24</v>
      </c>
      <c r="I398" t="s">
        <v>25</v>
      </c>
      <c r="J398">
        <v>5</v>
      </c>
      <c r="K398">
        <v>99</v>
      </c>
      <c r="L398">
        <f>Table1[[#This Row],[Quantity]] * Table1[[#This Row],[UnitPrice]]</f>
        <v>495</v>
      </c>
      <c r="M398" s="25">
        <v>5</v>
      </c>
      <c r="N398">
        <f>Table1[[#This Row],[Revenue]]*Table1[[#This Row],[Discount%]]/100</f>
        <v>24.75</v>
      </c>
      <c r="O398" s="6">
        <f>Table1[[#This Row],[Revenue]]-Table1[[#This Row],[Disc_amount]]</f>
        <v>470.25</v>
      </c>
      <c r="P398" t="s">
        <v>41</v>
      </c>
      <c r="Q398" t="s">
        <v>27</v>
      </c>
    </row>
    <row r="399" spans="1:17">
      <c r="A399" t="s">
        <v>912</v>
      </c>
      <c r="B399" s="1" t="s">
        <v>581</v>
      </c>
      <c r="C399" s="1" t="s">
        <v>839</v>
      </c>
      <c r="D399" s="1" t="s">
        <v>20</v>
      </c>
      <c r="E399" t="s">
        <v>811</v>
      </c>
      <c r="F399" t="s">
        <v>166</v>
      </c>
      <c r="G399" t="s">
        <v>31</v>
      </c>
      <c r="H399" t="s">
        <v>108</v>
      </c>
      <c r="I399" t="s">
        <v>109</v>
      </c>
      <c r="J399">
        <v>1</v>
      </c>
      <c r="K399">
        <v>1499</v>
      </c>
      <c r="L399">
        <f>Table1[[#This Row],[Quantity]] * Table1[[#This Row],[UnitPrice]]</f>
        <v>1499</v>
      </c>
      <c r="M399" s="25">
        <v>0</v>
      </c>
      <c r="N399">
        <f>Table1[[#This Row],[Revenue]]*Table1[[#This Row],[Discount%]]/100</f>
        <v>0</v>
      </c>
      <c r="O399" s="6">
        <f>Table1[[#This Row],[Revenue]]-Table1[[#This Row],[Disc_amount]]</f>
        <v>1499</v>
      </c>
      <c r="P399" t="s">
        <v>26</v>
      </c>
      <c r="Q399" t="s">
        <v>34</v>
      </c>
    </row>
    <row r="400" spans="1:17">
      <c r="A400" t="s">
        <v>913</v>
      </c>
      <c r="B400" s="1" t="s">
        <v>581</v>
      </c>
      <c r="C400" s="1" t="s">
        <v>839</v>
      </c>
      <c r="D400" s="1" t="s">
        <v>20</v>
      </c>
      <c r="E400" t="s">
        <v>500</v>
      </c>
      <c r="F400" t="s">
        <v>501</v>
      </c>
      <c r="G400" t="s">
        <v>23</v>
      </c>
      <c r="H400" t="s">
        <v>46</v>
      </c>
      <c r="I400" t="s">
        <v>154</v>
      </c>
      <c r="J400">
        <v>1</v>
      </c>
      <c r="K400">
        <v>299</v>
      </c>
      <c r="L400">
        <f>Table1[[#This Row],[Quantity]] * Table1[[#This Row],[UnitPrice]]</f>
        <v>299</v>
      </c>
      <c r="M400" s="25">
        <v>20</v>
      </c>
      <c r="N400">
        <f>Table1[[#This Row],[Revenue]]*Table1[[#This Row],[Discount%]]/100</f>
        <v>59.8</v>
      </c>
      <c r="O400" s="6">
        <f>Table1[[#This Row],[Revenue]]-Table1[[#This Row],[Disc_amount]]</f>
        <v>239.2</v>
      </c>
      <c r="P400" t="s">
        <v>33</v>
      </c>
      <c r="Q400" t="s">
        <v>27</v>
      </c>
    </row>
    <row r="401" spans="1:17">
      <c r="A401" t="s">
        <v>914</v>
      </c>
      <c r="B401" s="1" t="s">
        <v>581</v>
      </c>
      <c r="C401" s="1" t="s">
        <v>839</v>
      </c>
      <c r="D401" s="1" t="s">
        <v>20</v>
      </c>
      <c r="E401" t="s">
        <v>915</v>
      </c>
      <c r="F401" t="s">
        <v>345</v>
      </c>
      <c r="G401" t="s">
        <v>45</v>
      </c>
      <c r="H401" t="s">
        <v>65</v>
      </c>
      <c r="I401" t="s">
        <v>94</v>
      </c>
      <c r="J401">
        <v>2</v>
      </c>
      <c r="K401">
        <v>899</v>
      </c>
      <c r="L401">
        <f>Table1[[#This Row],[Quantity]] * Table1[[#This Row],[UnitPrice]]</f>
        <v>1798</v>
      </c>
      <c r="M401" s="25">
        <v>0</v>
      </c>
      <c r="N401">
        <f>Table1[[#This Row],[Revenue]]*Table1[[#This Row],[Discount%]]/100</f>
        <v>0</v>
      </c>
      <c r="O401" s="6">
        <f>Table1[[#This Row],[Revenue]]-Table1[[#This Row],[Disc_amount]]</f>
        <v>1798</v>
      </c>
      <c r="P401" t="s">
        <v>33</v>
      </c>
      <c r="Q401" t="s">
        <v>27</v>
      </c>
    </row>
    <row r="402" spans="1:17">
      <c r="A402" t="s">
        <v>916</v>
      </c>
      <c r="B402" s="1" t="s">
        <v>591</v>
      </c>
      <c r="C402" s="1" t="s">
        <v>839</v>
      </c>
      <c r="D402" s="1" t="s">
        <v>20</v>
      </c>
      <c r="E402" t="s">
        <v>332</v>
      </c>
      <c r="F402" t="s">
        <v>107</v>
      </c>
      <c r="G402" t="s">
        <v>38</v>
      </c>
      <c r="H402" t="s">
        <v>24</v>
      </c>
      <c r="I402" t="s">
        <v>32</v>
      </c>
      <c r="J402">
        <v>1</v>
      </c>
      <c r="K402">
        <v>199</v>
      </c>
      <c r="L402">
        <f>Table1[[#This Row],[Quantity]] * Table1[[#This Row],[UnitPrice]]</f>
        <v>199</v>
      </c>
      <c r="M402" s="25">
        <v>0</v>
      </c>
      <c r="N402">
        <f>Table1[[#This Row],[Revenue]]*Table1[[#This Row],[Discount%]]/100</f>
        <v>0</v>
      </c>
      <c r="O402" s="6">
        <f>Table1[[#This Row],[Revenue]]-Table1[[#This Row],[Disc_amount]]</f>
        <v>199</v>
      </c>
      <c r="P402" t="s">
        <v>26</v>
      </c>
      <c r="Q402" t="s">
        <v>27</v>
      </c>
    </row>
    <row r="403" spans="1:17">
      <c r="A403" t="s">
        <v>917</v>
      </c>
      <c r="B403" s="1" t="s">
        <v>591</v>
      </c>
      <c r="C403" s="1" t="s">
        <v>839</v>
      </c>
      <c r="D403" s="1" t="s">
        <v>20</v>
      </c>
      <c r="E403" t="s">
        <v>729</v>
      </c>
      <c r="F403" t="s">
        <v>730</v>
      </c>
      <c r="G403" t="s">
        <v>31</v>
      </c>
      <c r="H403" t="s">
        <v>65</v>
      </c>
      <c r="I403" t="s">
        <v>98</v>
      </c>
      <c r="J403">
        <v>1</v>
      </c>
      <c r="K403">
        <v>499</v>
      </c>
      <c r="L403">
        <f>Table1[[#This Row],[Quantity]] * Table1[[#This Row],[UnitPrice]]</f>
        <v>499</v>
      </c>
      <c r="M403" s="25">
        <v>5</v>
      </c>
      <c r="N403">
        <f>Table1[[#This Row],[Revenue]]*Table1[[#This Row],[Discount%]]/100</f>
        <v>24.95</v>
      </c>
      <c r="O403" s="6">
        <f>Table1[[#This Row],[Revenue]]-Table1[[#This Row],[Disc_amount]]</f>
        <v>474.05</v>
      </c>
      <c r="P403" t="s">
        <v>41</v>
      </c>
      <c r="Q403" t="s">
        <v>27</v>
      </c>
    </row>
    <row r="404" spans="1:17">
      <c r="A404" t="s">
        <v>918</v>
      </c>
      <c r="B404" s="1" t="s">
        <v>591</v>
      </c>
      <c r="C404" s="1" t="s">
        <v>839</v>
      </c>
      <c r="D404" s="1" t="s">
        <v>20</v>
      </c>
      <c r="E404" t="s">
        <v>165</v>
      </c>
      <c r="F404" t="s">
        <v>166</v>
      </c>
      <c r="G404" t="s">
        <v>23</v>
      </c>
      <c r="H404" t="s">
        <v>39</v>
      </c>
      <c r="I404" t="s">
        <v>51</v>
      </c>
      <c r="J404">
        <v>1</v>
      </c>
      <c r="K404">
        <v>2999</v>
      </c>
      <c r="L404">
        <f>Table1[[#This Row],[Quantity]] * Table1[[#This Row],[UnitPrice]]</f>
        <v>2999</v>
      </c>
      <c r="M404" s="25">
        <v>10</v>
      </c>
      <c r="N404">
        <f>Table1[[#This Row],[Revenue]]*Table1[[#This Row],[Discount%]]/100</f>
        <v>299.89999999999998</v>
      </c>
      <c r="O404" s="6">
        <f>Table1[[#This Row],[Revenue]]-Table1[[#This Row],[Disc_amount]]</f>
        <v>2699.1</v>
      </c>
      <c r="P404" t="s">
        <v>52</v>
      </c>
      <c r="Q404" t="s">
        <v>34</v>
      </c>
    </row>
    <row r="405" spans="1:17">
      <c r="A405" t="s">
        <v>919</v>
      </c>
      <c r="B405" s="1" t="s">
        <v>591</v>
      </c>
      <c r="C405" s="1" t="s">
        <v>839</v>
      </c>
      <c r="D405" s="1" t="s">
        <v>20</v>
      </c>
      <c r="E405" t="s">
        <v>536</v>
      </c>
      <c r="F405" t="s">
        <v>295</v>
      </c>
      <c r="G405" t="s">
        <v>45</v>
      </c>
      <c r="H405" t="s">
        <v>39</v>
      </c>
      <c r="I405" t="s">
        <v>51</v>
      </c>
      <c r="J405">
        <v>3</v>
      </c>
      <c r="K405">
        <v>2999</v>
      </c>
      <c r="L405">
        <f>Table1[[#This Row],[Quantity]] * Table1[[#This Row],[UnitPrice]]</f>
        <v>8997</v>
      </c>
      <c r="M405" s="25">
        <v>0</v>
      </c>
      <c r="N405">
        <f>Table1[[#This Row],[Revenue]]*Table1[[#This Row],[Discount%]]/100</f>
        <v>0</v>
      </c>
      <c r="O405" s="6">
        <f>Table1[[#This Row],[Revenue]]-Table1[[#This Row],[Disc_amount]]</f>
        <v>8997</v>
      </c>
      <c r="P405" t="s">
        <v>52</v>
      </c>
      <c r="Q405" t="s">
        <v>34</v>
      </c>
    </row>
    <row r="406" spans="1:17">
      <c r="A406" t="s">
        <v>920</v>
      </c>
      <c r="B406" s="1" t="s">
        <v>591</v>
      </c>
      <c r="C406" s="1" t="s">
        <v>839</v>
      </c>
      <c r="D406" s="1" t="s">
        <v>20</v>
      </c>
      <c r="E406" t="s">
        <v>921</v>
      </c>
      <c r="F406" t="s">
        <v>104</v>
      </c>
      <c r="G406" t="s">
        <v>45</v>
      </c>
      <c r="H406" t="s">
        <v>46</v>
      </c>
      <c r="I406" t="s">
        <v>47</v>
      </c>
      <c r="J406">
        <v>4</v>
      </c>
      <c r="K406">
        <v>249</v>
      </c>
      <c r="L406">
        <f>Table1[[#This Row],[Quantity]] * Table1[[#This Row],[UnitPrice]]</f>
        <v>996</v>
      </c>
      <c r="M406" s="25">
        <v>0</v>
      </c>
      <c r="N406">
        <f>Table1[[#This Row],[Revenue]]*Table1[[#This Row],[Discount%]]/100</f>
        <v>0</v>
      </c>
      <c r="O406" s="6">
        <f>Table1[[#This Row],[Revenue]]-Table1[[#This Row],[Disc_amount]]</f>
        <v>996</v>
      </c>
      <c r="P406" t="s">
        <v>26</v>
      </c>
      <c r="Q406" t="s">
        <v>27</v>
      </c>
    </row>
    <row r="407" spans="1:17">
      <c r="A407" t="s">
        <v>922</v>
      </c>
      <c r="B407" s="1" t="s">
        <v>591</v>
      </c>
      <c r="C407" s="1" t="s">
        <v>839</v>
      </c>
      <c r="D407" s="1" t="s">
        <v>20</v>
      </c>
      <c r="E407" t="s">
        <v>539</v>
      </c>
      <c r="F407" t="s">
        <v>298</v>
      </c>
      <c r="G407" t="s">
        <v>56</v>
      </c>
      <c r="H407" t="s">
        <v>108</v>
      </c>
      <c r="I407" t="s">
        <v>130</v>
      </c>
      <c r="J407">
        <v>2</v>
      </c>
      <c r="K407">
        <v>699</v>
      </c>
      <c r="L407">
        <f>Table1[[#This Row],[Quantity]] * Table1[[#This Row],[UnitPrice]]</f>
        <v>1398</v>
      </c>
      <c r="M407" s="25">
        <v>0</v>
      </c>
      <c r="N407">
        <f>Table1[[#This Row],[Revenue]]*Table1[[#This Row],[Discount%]]/100</f>
        <v>0</v>
      </c>
      <c r="O407" s="6">
        <f>Table1[[#This Row],[Revenue]]-Table1[[#This Row],[Disc_amount]]</f>
        <v>1398</v>
      </c>
      <c r="P407" t="s">
        <v>33</v>
      </c>
      <c r="Q407" t="s">
        <v>27</v>
      </c>
    </row>
    <row r="408" spans="1:17">
      <c r="A408" t="s">
        <v>923</v>
      </c>
      <c r="B408" s="1" t="s">
        <v>591</v>
      </c>
      <c r="C408" s="1" t="s">
        <v>839</v>
      </c>
      <c r="D408" s="1" t="s">
        <v>20</v>
      </c>
      <c r="E408" t="s">
        <v>662</v>
      </c>
      <c r="F408" t="s">
        <v>450</v>
      </c>
      <c r="G408" t="s">
        <v>38</v>
      </c>
      <c r="H408" t="s">
        <v>65</v>
      </c>
      <c r="I408" t="s">
        <v>94</v>
      </c>
      <c r="J408">
        <v>4</v>
      </c>
      <c r="K408">
        <v>899</v>
      </c>
      <c r="L408">
        <f>Table1[[#This Row],[Quantity]] * Table1[[#This Row],[UnitPrice]]</f>
        <v>3596</v>
      </c>
      <c r="M408" s="25">
        <v>0</v>
      </c>
      <c r="N408">
        <f>Table1[[#This Row],[Revenue]]*Table1[[#This Row],[Discount%]]/100</f>
        <v>0</v>
      </c>
      <c r="O408" s="6">
        <f>Table1[[#This Row],[Revenue]]-Table1[[#This Row],[Disc_amount]]</f>
        <v>3596</v>
      </c>
      <c r="P408" t="s">
        <v>26</v>
      </c>
      <c r="Q408" t="s">
        <v>27</v>
      </c>
    </row>
    <row r="409" spans="1:17">
      <c r="A409" t="s">
        <v>924</v>
      </c>
      <c r="B409" s="1" t="s">
        <v>591</v>
      </c>
      <c r="C409" s="1" t="s">
        <v>839</v>
      </c>
      <c r="D409" s="1" t="s">
        <v>20</v>
      </c>
      <c r="E409" t="s">
        <v>925</v>
      </c>
      <c r="F409" t="s">
        <v>248</v>
      </c>
      <c r="G409" t="s">
        <v>38</v>
      </c>
      <c r="H409" t="s">
        <v>46</v>
      </c>
      <c r="I409" t="s">
        <v>154</v>
      </c>
      <c r="J409">
        <v>3</v>
      </c>
      <c r="K409">
        <v>299</v>
      </c>
      <c r="L409">
        <f>Table1[[#This Row],[Quantity]] * Table1[[#This Row],[UnitPrice]]</f>
        <v>897</v>
      </c>
      <c r="M409" s="25">
        <v>20</v>
      </c>
      <c r="N409">
        <f>Table1[[#This Row],[Revenue]]*Table1[[#This Row],[Discount%]]/100</f>
        <v>179.4</v>
      </c>
      <c r="O409" s="6">
        <f>Table1[[#This Row],[Revenue]]-Table1[[#This Row],[Disc_amount]]</f>
        <v>717.6</v>
      </c>
      <c r="P409" t="s">
        <v>26</v>
      </c>
      <c r="Q409" t="s">
        <v>34</v>
      </c>
    </row>
    <row r="410" spans="1:17">
      <c r="A410" t="s">
        <v>926</v>
      </c>
      <c r="B410" s="1" t="s">
        <v>602</v>
      </c>
      <c r="C410" s="1" t="s">
        <v>839</v>
      </c>
      <c r="D410" s="1" t="s">
        <v>20</v>
      </c>
      <c r="E410" t="s">
        <v>275</v>
      </c>
      <c r="F410" t="s">
        <v>276</v>
      </c>
      <c r="G410" t="s">
        <v>23</v>
      </c>
      <c r="H410" t="s">
        <v>46</v>
      </c>
      <c r="I410" t="s">
        <v>47</v>
      </c>
      <c r="J410">
        <v>1</v>
      </c>
      <c r="K410">
        <v>249</v>
      </c>
      <c r="L410">
        <f>Table1[[#This Row],[Quantity]] * Table1[[#This Row],[UnitPrice]]</f>
        <v>249</v>
      </c>
      <c r="M410" s="25">
        <v>5</v>
      </c>
      <c r="N410">
        <f>Table1[[#This Row],[Revenue]]*Table1[[#This Row],[Discount%]]/100</f>
        <v>12.45</v>
      </c>
      <c r="O410" s="6">
        <f>Table1[[#This Row],[Revenue]]-Table1[[#This Row],[Disc_amount]]</f>
        <v>236.55</v>
      </c>
      <c r="P410" t="s">
        <v>33</v>
      </c>
      <c r="Q410" t="s">
        <v>27</v>
      </c>
    </row>
    <row r="411" spans="1:17">
      <c r="A411" t="s">
        <v>927</v>
      </c>
      <c r="B411" s="1" t="s">
        <v>602</v>
      </c>
      <c r="C411" s="1" t="s">
        <v>839</v>
      </c>
      <c r="D411" s="1" t="s">
        <v>20</v>
      </c>
      <c r="E411" t="s">
        <v>928</v>
      </c>
      <c r="F411" t="s">
        <v>147</v>
      </c>
      <c r="G411" t="s">
        <v>23</v>
      </c>
      <c r="H411" t="s">
        <v>65</v>
      </c>
      <c r="I411" t="s">
        <v>66</v>
      </c>
      <c r="J411">
        <v>1</v>
      </c>
      <c r="K411">
        <v>1999</v>
      </c>
      <c r="L411">
        <f>Table1[[#This Row],[Quantity]] * Table1[[#This Row],[UnitPrice]]</f>
        <v>1999</v>
      </c>
      <c r="M411" s="25">
        <v>10</v>
      </c>
      <c r="N411">
        <f>Table1[[#This Row],[Revenue]]*Table1[[#This Row],[Discount%]]/100</f>
        <v>199.9</v>
      </c>
      <c r="O411" s="6">
        <f>Table1[[#This Row],[Revenue]]-Table1[[#This Row],[Disc_amount]]</f>
        <v>1799.1</v>
      </c>
      <c r="P411" t="s">
        <v>52</v>
      </c>
      <c r="Q411" t="s">
        <v>27</v>
      </c>
    </row>
    <row r="412" spans="1:17">
      <c r="A412" t="s">
        <v>929</v>
      </c>
      <c r="B412" s="1" t="s">
        <v>602</v>
      </c>
      <c r="C412" s="1" t="s">
        <v>839</v>
      </c>
      <c r="D412" s="1" t="s">
        <v>20</v>
      </c>
      <c r="E412" t="s">
        <v>383</v>
      </c>
      <c r="F412" t="s">
        <v>384</v>
      </c>
      <c r="G412" t="s">
        <v>31</v>
      </c>
      <c r="H412" t="s">
        <v>24</v>
      </c>
      <c r="I412" t="s">
        <v>25</v>
      </c>
      <c r="J412">
        <v>3</v>
      </c>
      <c r="K412">
        <v>99</v>
      </c>
      <c r="L412">
        <f>Table1[[#This Row],[Quantity]] * Table1[[#This Row],[UnitPrice]]</f>
        <v>297</v>
      </c>
      <c r="M412" s="25">
        <v>20</v>
      </c>
      <c r="N412">
        <f>Table1[[#This Row],[Revenue]]*Table1[[#This Row],[Discount%]]/100</f>
        <v>59.4</v>
      </c>
      <c r="O412" s="6">
        <f>Table1[[#This Row],[Revenue]]-Table1[[#This Row],[Disc_amount]]</f>
        <v>237.6</v>
      </c>
      <c r="P412" t="s">
        <v>33</v>
      </c>
      <c r="Q412" t="s">
        <v>27</v>
      </c>
    </row>
    <row r="413" spans="1:17">
      <c r="A413" t="s">
        <v>930</v>
      </c>
      <c r="B413" s="1" t="s">
        <v>602</v>
      </c>
      <c r="C413" s="1" t="s">
        <v>839</v>
      </c>
      <c r="D413" s="1" t="s">
        <v>20</v>
      </c>
      <c r="E413" t="s">
        <v>931</v>
      </c>
      <c r="F413" t="s">
        <v>115</v>
      </c>
      <c r="G413" t="s">
        <v>38</v>
      </c>
      <c r="H413" t="s">
        <v>65</v>
      </c>
      <c r="I413" t="s">
        <v>66</v>
      </c>
      <c r="J413">
        <v>2</v>
      </c>
      <c r="K413">
        <v>1999</v>
      </c>
      <c r="L413">
        <f>Table1[[#This Row],[Quantity]] * Table1[[#This Row],[UnitPrice]]</f>
        <v>3998</v>
      </c>
      <c r="M413" s="25">
        <v>0</v>
      </c>
      <c r="N413">
        <f>Table1[[#This Row],[Revenue]]*Table1[[#This Row],[Discount%]]/100</f>
        <v>0</v>
      </c>
      <c r="O413" s="6">
        <f>Table1[[#This Row],[Revenue]]-Table1[[#This Row],[Disc_amount]]</f>
        <v>3998</v>
      </c>
      <c r="P413" t="s">
        <v>33</v>
      </c>
      <c r="Q413" t="s">
        <v>27</v>
      </c>
    </row>
    <row r="414" spans="1:17">
      <c r="A414" t="s">
        <v>932</v>
      </c>
      <c r="B414" s="1" t="s">
        <v>602</v>
      </c>
      <c r="C414" s="1" t="s">
        <v>839</v>
      </c>
      <c r="D414" s="1" t="s">
        <v>20</v>
      </c>
      <c r="E414" t="s">
        <v>933</v>
      </c>
      <c r="F414" t="s">
        <v>853</v>
      </c>
      <c r="G414" t="s">
        <v>23</v>
      </c>
      <c r="H414" t="s">
        <v>39</v>
      </c>
      <c r="I414" t="s">
        <v>51</v>
      </c>
      <c r="J414">
        <v>3</v>
      </c>
      <c r="K414">
        <v>2999</v>
      </c>
      <c r="L414">
        <f>Table1[[#This Row],[Quantity]] * Table1[[#This Row],[UnitPrice]]</f>
        <v>8997</v>
      </c>
      <c r="M414" s="25">
        <v>15</v>
      </c>
      <c r="N414">
        <f>Table1[[#This Row],[Revenue]]*Table1[[#This Row],[Discount%]]/100</f>
        <v>1349.55</v>
      </c>
      <c r="O414" s="6">
        <f>Table1[[#This Row],[Revenue]]-Table1[[#This Row],[Disc_amount]]</f>
        <v>7647.45</v>
      </c>
      <c r="P414" t="s">
        <v>33</v>
      </c>
      <c r="Q414" t="s">
        <v>27</v>
      </c>
    </row>
    <row r="415" spans="1:17">
      <c r="A415" t="s">
        <v>934</v>
      </c>
      <c r="B415" s="1" t="s">
        <v>602</v>
      </c>
      <c r="C415" s="1" t="s">
        <v>839</v>
      </c>
      <c r="D415" s="1" t="s">
        <v>20</v>
      </c>
      <c r="E415" t="s">
        <v>870</v>
      </c>
      <c r="F415" t="s">
        <v>669</v>
      </c>
      <c r="G415" t="s">
        <v>38</v>
      </c>
      <c r="H415" t="s">
        <v>24</v>
      </c>
      <c r="I415" t="s">
        <v>25</v>
      </c>
      <c r="J415">
        <v>1</v>
      </c>
      <c r="K415">
        <v>99</v>
      </c>
      <c r="L415">
        <f>Table1[[#This Row],[Quantity]] * Table1[[#This Row],[UnitPrice]]</f>
        <v>99</v>
      </c>
      <c r="M415" s="25">
        <v>0</v>
      </c>
      <c r="N415">
        <f>Table1[[#This Row],[Revenue]]*Table1[[#This Row],[Discount%]]/100</f>
        <v>0</v>
      </c>
      <c r="O415" s="6">
        <f>Table1[[#This Row],[Revenue]]-Table1[[#This Row],[Disc_amount]]</f>
        <v>99</v>
      </c>
      <c r="P415" t="s">
        <v>33</v>
      </c>
      <c r="Q415" t="s">
        <v>27</v>
      </c>
    </row>
    <row r="416" spans="1:17">
      <c r="A416" t="s">
        <v>935</v>
      </c>
      <c r="B416" s="1" t="s">
        <v>602</v>
      </c>
      <c r="C416" s="1" t="s">
        <v>839</v>
      </c>
      <c r="D416" s="1" t="s">
        <v>20</v>
      </c>
      <c r="E416" t="s">
        <v>936</v>
      </c>
      <c r="F416" t="s">
        <v>229</v>
      </c>
      <c r="G416" t="s">
        <v>38</v>
      </c>
      <c r="H416" t="s">
        <v>24</v>
      </c>
      <c r="I416" t="s">
        <v>32</v>
      </c>
      <c r="J416">
        <v>2</v>
      </c>
      <c r="K416">
        <v>199</v>
      </c>
      <c r="L416">
        <f>Table1[[#This Row],[Quantity]] * Table1[[#This Row],[UnitPrice]]</f>
        <v>398</v>
      </c>
      <c r="M416" s="25">
        <v>10</v>
      </c>
      <c r="N416">
        <f>Table1[[#This Row],[Revenue]]*Table1[[#This Row],[Discount%]]/100</f>
        <v>39.799999999999997</v>
      </c>
      <c r="O416" s="6">
        <f>Table1[[#This Row],[Revenue]]-Table1[[#This Row],[Disc_amount]]</f>
        <v>358.2</v>
      </c>
      <c r="P416" t="s">
        <v>33</v>
      </c>
      <c r="Q416" t="s">
        <v>27</v>
      </c>
    </row>
    <row r="417" spans="1:17">
      <c r="A417" t="s">
        <v>937</v>
      </c>
      <c r="B417" s="1" t="s">
        <v>602</v>
      </c>
      <c r="C417" s="1" t="s">
        <v>839</v>
      </c>
      <c r="D417" s="1" t="s">
        <v>20</v>
      </c>
      <c r="E417" t="s">
        <v>938</v>
      </c>
      <c r="F417" t="s">
        <v>187</v>
      </c>
      <c r="G417" t="s">
        <v>38</v>
      </c>
      <c r="H417" t="s">
        <v>24</v>
      </c>
      <c r="I417" t="s">
        <v>32</v>
      </c>
      <c r="J417">
        <v>3</v>
      </c>
      <c r="K417">
        <v>199</v>
      </c>
      <c r="L417">
        <f>Table1[[#This Row],[Quantity]] * Table1[[#This Row],[UnitPrice]]</f>
        <v>597</v>
      </c>
      <c r="M417" s="25">
        <v>0</v>
      </c>
      <c r="N417">
        <f>Table1[[#This Row],[Revenue]]*Table1[[#This Row],[Discount%]]/100</f>
        <v>0</v>
      </c>
      <c r="O417" s="6">
        <f>Table1[[#This Row],[Revenue]]-Table1[[#This Row],[Disc_amount]]</f>
        <v>597</v>
      </c>
      <c r="P417" t="s">
        <v>33</v>
      </c>
      <c r="Q417" t="s">
        <v>27</v>
      </c>
    </row>
    <row r="418" spans="1:17">
      <c r="A418" t="s">
        <v>939</v>
      </c>
      <c r="B418" s="1" t="s">
        <v>621</v>
      </c>
      <c r="C418" s="1" t="s">
        <v>839</v>
      </c>
      <c r="D418" s="1" t="s">
        <v>20</v>
      </c>
      <c r="E418" t="s">
        <v>843</v>
      </c>
      <c r="F418" t="s">
        <v>501</v>
      </c>
      <c r="G418" t="s">
        <v>45</v>
      </c>
      <c r="H418" t="s">
        <v>46</v>
      </c>
      <c r="I418" t="s">
        <v>47</v>
      </c>
      <c r="J418">
        <v>3</v>
      </c>
      <c r="K418">
        <v>249</v>
      </c>
      <c r="L418">
        <f>Table1[[#This Row],[Quantity]] * Table1[[#This Row],[UnitPrice]]</f>
        <v>747</v>
      </c>
      <c r="M418" s="25">
        <v>0</v>
      </c>
      <c r="N418">
        <f>Table1[[#This Row],[Revenue]]*Table1[[#This Row],[Discount%]]/100</f>
        <v>0</v>
      </c>
      <c r="O418" s="6">
        <f>Table1[[#This Row],[Revenue]]-Table1[[#This Row],[Disc_amount]]</f>
        <v>747</v>
      </c>
      <c r="P418" t="s">
        <v>33</v>
      </c>
      <c r="Q418" t="s">
        <v>34</v>
      </c>
    </row>
    <row r="419" spans="1:17">
      <c r="A419" t="s">
        <v>940</v>
      </c>
      <c r="B419" s="1" t="s">
        <v>621</v>
      </c>
      <c r="C419" s="1" t="s">
        <v>839</v>
      </c>
      <c r="D419" s="1" t="s">
        <v>20</v>
      </c>
      <c r="E419" t="s">
        <v>194</v>
      </c>
      <c r="F419" t="s">
        <v>195</v>
      </c>
      <c r="G419" t="s">
        <v>23</v>
      </c>
      <c r="H419" t="s">
        <v>24</v>
      </c>
      <c r="I419" t="s">
        <v>32</v>
      </c>
      <c r="J419">
        <v>1</v>
      </c>
      <c r="K419">
        <v>199</v>
      </c>
      <c r="L419">
        <f>Table1[[#This Row],[Quantity]] * Table1[[#This Row],[UnitPrice]]</f>
        <v>199</v>
      </c>
      <c r="M419" s="25">
        <v>0</v>
      </c>
      <c r="N419">
        <f>Table1[[#This Row],[Revenue]]*Table1[[#This Row],[Discount%]]/100</f>
        <v>0</v>
      </c>
      <c r="O419" s="6">
        <f>Table1[[#This Row],[Revenue]]-Table1[[#This Row],[Disc_amount]]</f>
        <v>199</v>
      </c>
      <c r="P419" t="s">
        <v>26</v>
      </c>
      <c r="Q419" t="s">
        <v>34</v>
      </c>
    </row>
    <row r="420" spans="1:17">
      <c r="A420" t="s">
        <v>941</v>
      </c>
      <c r="B420" s="1" t="s">
        <v>621</v>
      </c>
      <c r="C420" s="1" t="s">
        <v>839</v>
      </c>
      <c r="D420" s="1" t="s">
        <v>20</v>
      </c>
      <c r="E420" t="s">
        <v>536</v>
      </c>
      <c r="F420" t="s">
        <v>295</v>
      </c>
      <c r="G420" t="s">
        <v>45</v>
      </c>
      <c r="H420" t="s">
        <v>39</v>
      </c>
      <c r="I420" t="s">
        <v>40</v>
      </c>
      <c r="J420">
        <v>2</v>
      </c>
      <c r="K420">
        <v>599</v>
      </c>
      <c r="L420">
        <f>Table1[[#This Row],[Quantity]] * Table1[[#This Row],[UnitPrice]]</f>
        <v>1198</v>
      </c>
      <c r="M420" s="25">
        <v>10</v>
      </c>
      <c r="N420">
        <f>Table1[[#This Row],[Revenue]]*Table1[[#This Row],[Discount%]]/100</f>
        <v>119.8</v>
      </c>
      <c r="O420" s="6">
        <f>Table1[[#This Row],[Revenue]]-Table1[[#This Row],[Disc_amount]]</f>
        <v>1078.2</v>
      </c>
      <c r="P420" t="s">
        <v>26</v>
      </c>
      <c r="Q420" t="s">
        <v>27</v>
      </c>
    </row>
    <row r="421" spans="1:17">
      <c r="A421" t="s">
        <v>942</v>
      </c>
      <c r="B421" s="1" t="s">
        <v>621</v>
      </c>
      <c r="C421" s="1" t="s">
        <v>839</v>
      </c>
      <c r="D421" s="1" t="s">
        <v>20</v>
      </c>
      <c r="E421" t="s">
        <v>943</v>
      </c>
      <c r="F421" t="s">
        <v>944</v>
      </c>
      <c r="G421" t="s">
        <v>45</v>
      </c>
      <c r="H421" t="s">
        <v>57</v>
      </c>
      <c r="I421" t="s">
        <v>62</v>
      </c>
      <c r="J421">
        <v>2</v>
      </c>
      <c r="K421">
        <v>799</v>
      </c>
      <c r="L421">
        <f>Table1[[#This Row],[Quantity]] * Table1[[#This Row],[UnitPrice]]</f>
        <v>1598</v>
      </c>
      <c r="M421" s="25">
        <v>0</v>
      </c>
      <c r="N421">
        <f>Table1[[#This Row],[Revenue]]*Table1[[#This Row],[Discount%]]/100</f>
        <v>0</v>
      </c>
      <c r="O421" s="6">
        <f>Table1[[#This Row],[Revenue]]-Table1[[#This Row],[Disc_amount]]</f>
        <v>1598</v>
      </c>
      <c r="P421" t="s">
        <v>86</v>
      </c>
      <c r="Q421" t="s">
        <v>27</v>
      </c>
    </row>
    <row r="422" spans="1:17">
      <c r="A422" t="s">
        <v>945</v>
      </c>
      <c r="B422" s="1" t="s">
        <v>621</v>
      </c>
      <c r="C422" s="1" t="s">
        <v>839</v>
      </c>
      <c r="D422" s="1" t="s">
        <v>20</v>
      </c>
      <c r="E422" t="s">
        <v>946</v>
      </c>
      <c r="F422" t="s">
        <v>947</v>
      </c>
      <c r="G422" t="s">
        <v>23</v>
      </c>
      <c r="H422" t="s">
        <v>46</v>
      </c>
      <c r="I422" t="s">
        <v>154</v>
      </c>
      <c r="J422">
        <v>1</v>
      </c>
      <c r="K422">
        <v>299</v>
      </c>
      <c r="L422">
        <f>Table1[[#This Row],[Quantity]] * Table1[[#This Row],[UnitPrice]]</f>
        <v>299</v>
      </c>
      <c r="M422" s="25">
        <v>20</v>
      </c>
      <c r="N422">
        <f>Table1[[#This Row],[Revenue]]*Table1[[#This Row],[Discount%]]/100</f>
        <v>59.8</v>
      </c>
      <c r="O422" s="6">
        <f>Table1[[#This Row],[Revenue]]-Table1[[#This Row],[Disc_amount]]</f>
        <v>239.2</v>
      </c>
      <c r="P422" t="s">
        <v>86</v>
      </c>
      <c r="Q422" t="s">
        <v>27</v>
      </c>
    </row>
    <row r="423" spans="1:17">
      <c r="A423" t="s">
        <v>948</v>
      </c>
      <c r="B423" s="1" t="s">
        <v>621</v>
      </c>
      <c r="C423" s="1" t="s">
        <v>839</v>
      </c>
      <c r="D423" s="1" t="s">
        <v>20</v>
      </c>
      <c r="E423" t="s">
        <v>949</v>
      </c>
      <c r="F423" t="s">
        <v>77</v>
      </c>
      <c r="G423" t="s">
        <v>23</v>
      </c>
      <c r="H423" t="s">
        <v>46</v>
      </c>
      <c r="I423" t="s">
        <v>154</v>
      </c>
      <c r="J423">
        <v>1</v>
      </c>
      <c r="K423">
        <v>299</v>
      </c>
      <c r="L423">
        <f>Table1[[#This Row],[Quantity]] * Table1[[#This Row],[UnitPrice]]</f>
        <v>299</v>
      </c>
      <c r="M423" s="25">
        <v>15</v>
      </c>
      <c r="N423">
        <f>Table1[[#This Row],[Revenue]]*Table1[[#This Row],[Discount%]]/100</f>
        <v>44.85</v>
      </c>
      <c r="O423" s="6">
        <f>Table1[[#This Row],[Revenue]]-Table1[[#This Row],[Disc_amount]]</f>
        <v>254.15</v>
      </c>
      <c r="P423" t="s">
        <v>33</v>
      </c>
      <c r="Q423" t="s">
        <v>27</v>
      </c>
    </row>
    <row r="424" spans="1:17">
      <c r="A424" t="s">
        <v>950</v>
      </c>
      <c r="B424" s="1" t="s">
        <v>631</v>
      </c>
      <c r="C424" s="1" t="s">
        <v>839</v>
      </c>
      <c r="D424" s="1" t="s">
        <v>20</v>
      </c>
      <c r="E424" t="s">
        <v>300</v>
      </c>
      <c r="F424" t="s">
        <v>301</v>
      </c>
      <c r="G424" t="s">
        <v>45</v>
      </c>
      <c r="H424" t="s">
        <v>46</v>
      </c>
      <c r="I424" t="s">
        <v>47</v>
      </c>
      <c r="J424">
        <v>2</v>
      </c>
      <c r="K424">
        <v>249</v>
      </c>
      <c r="L424">
        <f>Table1[[#This Row],[Quantity]] * Table1[[#This Row],[UnitPrice]]</f>
        <v>498</v>
      </c>
      <c r="M424" s="25">
        <v>10</v>
      </c>
      <c r="N424">
        <f>Table1[[#This Row],[Revenue]]*Table1[[#This Row],[Discount%]]/100</f>
        <v>49.8</v>
      </c>
      <c r="O424" s="6">
        <f>Table1[[#This Row],[Revenue]]-Table1[[#This Row],[Disc_amount]]</f>
        <v>448.2</v>
      </c>
      <c r="P424" t="s">
        <v>41</v>
      </c>
      <c r="Q424" t="s">
        <v>27</v>
      </c>
    </row>
    <row r="425" spans="1:17">
      <c r="A425" t="s">
        <v>951</v>
      </c>
      <c r="B425" s="1" t="s">
        <v>631</v>
      </c>
      <c r="C425" s="1" t="s">
        <v>839</v>
      </c>
      <c r="D425" s="1" t="s">
        <v>20</v>
      </c>
      <c r="E425" t="s">
        <v>952</v>
      </c>
      <c r="F425" t="s">
        <v>134</v>
      </c>
      <c r="G425" t="s">
        <v>38</v>
      </c>
      <c r="H425" t="s">
        <v>108</v>
      </c>
      <c r="I425" t="s">
        <v>109</v>
      </c>
      <c r="J425">
        <v>1</v>
      </c>
      <c r="K425">
        <v>1499</v>
      </c>
      <c r="L425">
        <f>Table1[[#This Row],[Quantity]] * Table1[[#This Row],[UnitPrice]]</f>
        <v>1499</v>
      </c>
      <c r="M425" s="25">
        <v>15</v>
      </c>
      <c r="N425">
        <f>Table1[[#This Row],[Revenue]]*Table1[[#This Row],[Discount%]]/100</f>
        <v>224.85</v>
      </c>
      <c r="O425" s="6">
        <f>Table1[[#This Row],[Revenue]]-Table1[[#This Row],[Disc_amount]]</f>
        <v>1274.1500000000001</v>
      </c>
      <c r="P425" t="s">
        <v>86</v>
      </c>
      <c r="Q425" t="s">
        <v>27</v>
      </c>
    </row>
    <row r="426" spans="1:17">
      <c r="A426" t="s">
        <v>953</v>
      </c>
      <c r="B426" s="1" t="s">
        <v>631</v>
      </c>
      <c r="C426" s="1" t="s">
        <v>839</v>
      </c>
      <c r="D426" s="1" t="s">
        <v>20</v>
      </c>
      <c r="E426" t="s">
        <v>954</v>
      </c>
      <c r="F426" t="s">
        <v>569</v>
      </c>
      <c r="G426" t="s">
        <v>31</v>
      </c>
      <c r="H426" t="s">
        <v>57</v>
      </c>
      <c r="I426" t="s">
        <v>62</v>
      </c>
      <c r="J426">
        <v>1</v>
      </c>
      <c r="K426">
        <v>799</v>
      </c>
      <c r="L426">
        <f>Table1[[#This Row],[Quantity]] * Table1[[#This Row],[UnitPrice]]</f>
        <v>799</v>
      </c>
      <c r="M426" s="25">
        <v>0</v>
      </c>
      <c r="N426">
        <f>Table1[[#This Row],[Revenue]]*Table1[[#This Row],[Discount%]]/100</f>
        <v>0</v>
      </c>
      <c r="O426" s="6">
        <f>Table1[[#This Row],[Revenue]]-Table1[[#This Row],[Disc_amount]]</f>
        <v>799</v>
      </c>
      <c r="P426" t="s">
        <v>41</v>
      </c>
      <c r="Q426" t="s">
        <v>34</v>
      </c>
    </row>
    <row r="427" spans="1:17">
      <c r="A427" t="s">
        <v>955</v>
      </c>
      <c r="B427" s="1" t="s">
        <v>643</v>
      </c>
      <c r="C427" s="1" t="s">
        <v>839</v>
      </c>
      <c r="D427" s="1" t="s">
        <v>20</v>
      </c>
      <c r="E427" t="s">
        <v>599</v>
      </c>
      <c r="F427" t="s">
        <v>600</v>
      </c>
      <c r="G427" t="s">
        <v>23</v>
      </c>
      <c r="H427" t="s">
        <v>57</v>
      </c>
      <c r="I427" t="s">
        <v>58</v>
      </c>
      <c r="J427">
        <v>4</v>
      </c>
      <c r="K427">
        <v>1299</v>
      </c>
      <c r="L427">
        <f>Table1[[#This Row],[Quantity]] * Table1[[#This Row],[UnitPrice]]</f>
        <v>5196</v>
      </c>
      <c r="M427" s="25">
        <v>0</v>
      </c>
      <c r="N427">
        <f>Table1[[#This Row],[Revenue]]*Table1[[#This Row],[Discount%]]/100</f>
        <v>0</v>
      </c>
      <c r="O427" s="6">
        <f>Table1[[#This Row],[Revenue]]-Table1[[#This Row],[Disc_amount]]</f>
        <v>5196</v>
      </c>
      <c r="P427" t="s">
        <v>86</v>
      </c>
      <c r="Q427" t="s">
        <v>34</v>
      </c>
    </row>
    <row r="428" spans="1:17">
      <c r="A428" t="s">
        <v>956</v>
      </c>
      <c r="B428" s="1" t="s">
        <v>643</v>
      </c>
      <c r="C428" s="1" t="s">
        <v>839</v>
      </c>
      <c r="D428" s="1" t="s">
        <v>20</v>
      </c>
      <c r="E428" t="s">
        <v>96</v>
      </c>
      <c r="F428" t="s">
        <v>97</v>
      </c>
      <c r="G428" t="s">
        <v>45</v>
      </c>
      <c r="H428" t="s">
        <v>57</v>
      </c>
      <c r="I428" t="s">
        <v>58</v>
      </c>
      <c r="J428">
        <v>1</v>
      </c>
      <c r="K428">
        <v>1299</v>
      </c>
      <c r="L428">
        <f>Table1[[#This Row],[Quantity]] * Table1[[#This Row],[UnitPrice]]</f>
        <v>1299</v>
      </c>
      <c r="M428" s="25">
        <v>0</v>
      </c>
      <c r="N428">
        <f>Table1[[#This Row],[Revenue]]*Table1[[#This Row],[Discount%]]/100</f>
        <v>0</v>
      </c>
      <c r="O428" s="6">
        <f>Table1[[#This Row],[Revenue]]-Table1[[#This Row],[Disc_amount]]</f>
        <v>1299</v>
      </c>
      <c r="P428" t="s">
        <v>33</v>
      </c>
      <c r="Q428" t="s">
        <v>27</v>
      </c>
    </row>
    <row r="429" spans="1:17">
      <c r="A429" t="s">
        <v>957</v>
      </c>
      <c r="B429" s="1" t="s">
        <v>643</v>
      </c>
      <c r="C429" s="1" t="s">
        <v>839</v>
      </c>
      <c r="D429" s="1" t="s">
        <v>20</v>
      </c>
      <c r="E429" t="s">
        <v>821</v>
      </c>
      <c r="F429" t="s">
        <v>714</v>
      </c>
      <c r="G429" t="s">
        <v>31</v>
      </c>
      <c r="H429" t="s">
        <v>24</v>
      </c>
      <c r="I429" t="s">
        <v>32</v>
      </c>
      <c r="J429">
        <v>1</v>
      </c>
      <c r="K429">
        <v>199</v>
      </c>
      <c r="L429">
        <f>Table1[[#This Row],[Quantity]] * Table1[[#This Row],[UnitPrice]]</f>
        <v>199</v>
      </c>
      <c r="M429" s="25">
        <v>0</v>
      </c>
      <c r="N429">
        <f>Table1[[#This Row],[Revenue]]*Table1[[#This Row],[Discount%]]/100</f>
        <v>0</v>
      </c>
      <c r="O429" s="6">
        <f>Table1[[#This Row],[Revenue]]-Table1[[#This Row],[Disc_amount]]</f>
        <v>199</v>
      </c>
      <c r="P429" t="s">
        <v>52</v>
      </c>
      <c r="Q429" t="s">
        <v>27</v>
      </c>
    </row>
    <row r="430" spans="1:17">
      <c r="A430" t="s">
        <v>958</v>
      </c>
      <c r="B430" s="1" t="s">
        <v>643</v>
      </c>
      <c r="C430" s="1" t="s">
        <v>839</v>
      </c>
      <c r="D430" s="1" t="s">
        <v>20</v>
      </c>
      <c r="E430" t="s">
        <v>959</v>
      </c>
      <c r="F430" t="s">
        <v>960</v>
      </c>
      <c r="G430" t="s">
        <v>56</v>
      </c>
      <c r="H430" t="s">
        <v>24</v>
      </c>
      <c r="I430" t="s">
        <v>32</v>
      </c>
      <c r="J430">
        <v>1</v>
      </c>
      <c r="K430">
        <v>199</v>
      </c>
      <c r="L430">
        <f>Table1[[#This Row],[Quantity]] * Table1[[#This Row],[UnitPrice]]</f>
        <v>199</v>
      </c>
      <c r="M430" s="25">
        <v>0</v>
      </c>
      <c r="N430">
        <f>Table1[[#This Row],[Revenue]]*Table1[[#This Row],[Discount%]]/100</f>
        <v>0</v>
      </c>
      <c r="O430" s="6">
        <f>Table1[[#This Row],[Revenue]]-Table1[[#This Row],[Disc_amount]]</f>
        <v>199</v>
      </c>
      <c r="P430" t="s">
        <v>41</v>
      </c>
      <c r="Q430" t="s">
        <v>27</v>
      </c>
    </row>
    <row r="431" spans="1:17">
      <c r="A431" t="s">
        <v>961</v>
      </c>
      <c r="B431" s="1" t="s">
        <v>643</v>
      </c>
      <c r="C431" s="1" t="s">
        <v>839</v>
      </c>
      <c r="D431" s="1" t="s">
        <v>20</v>
      </c>
      <c r="E431" t="s">
        <v>691</v>
      </c>
      <c r="F431" t="s">
        <v>338</v>
      </c>
      <c r="G431" t="s">
        <v>38</v>
      </c>
      <c r="H431" t="s">
        <v>108</v>
      </c>
      <c r="I431" t="s">
        <v>130</v>
      </c>
      <c r="J431">
        <v>1</v>
      </c>
      <c r="K431">
        <v>699</v>
      </c>
      <c r="L431">
        <f>Table1[[#This Row],[Quantity]] * Table1[[#This Row],[UnitPrice]]</f>
        <v>699</v>
      </c>
      <c r="M431" s="25">
        <v>0</v>
      </c>
      <c r="N431">
        <f>Table1[[#This Row],[Revenue]]*Table1[[#This Row],[Discount%]]/100</f>
        <v>0</v>
      </c>
      <c r="O431" s="6">
        <f>Table1[[#This Row],[Revenue]]-Table1[[#This Row],[Disc_amount]]</f>
        <v>699</v>
      </c>
      <c r="P431" t="s">
        <v>33</v>
      </c>
      <c r="Q431" t="s">
        <v>27</v>
      </c>
    </row>
    <row r="432" spans="1:17">
      <c r="A432" t="s">
        <v>962</v>
      </c>
      <c r="B432" s="1" t="s">
        <v>643</v>
      </c>
      <c r="C432" s="1" t="s">
        <v>839</v>
      </c>
      <c r="D432" s="1" t="s">
        <v>20</v>
      </c>
      <c r="E432" t="s">
        <v>555</v>
      </c>
      <c r="F432" t="s">
        <v>384</v>
      </c>
      <c r="G432" t="s">
        <v>31</v>
      </c>
      <c r="H432" t="s">
        <v>108</v>
      </c>
      <c r="I432" t="s">
        <v>130</v>
      </c>
      <c r="J432">
        <v>3</v>
      </c>
      <c r="K432">
        <v>699</v>
      </c>
      <c r="L432">
        <f>Table1[[#This Row],[Quantity]] * Table1[[#This Row],[UnitPrice]]</f>
        <v>2097</v>
      </c>
      <c r="M432" s="25">
        <v>10</v>
      </c>
      <c r="N432">
        <f>Table1[[#This Row],[Revenue]]*Table1[[#This Row],[Discount%]]/100</f>
        <v>209.7</v>
      </c>
      <c r="O432" s="6">
        <f>Table1[[#This Row],[Revenue]]-Table1[[#This Row],[Disc_amount]]</f>
        <v>1887.3</v>
      </c>
      <c r="P432" t="s">
        <v>26</v>
      </c>
      <c r="Q432" t="s">
        <v>27</v>
      </c>
    </row>
    <row r="433" spans="1:17">
      <c r="A433" t="s">
        <v>963</v>
      </c>
      <c r="B433" s="1" t="s">
        <v>643</v>
      </c>
      <c r="C433" s="1" t="s">
        <v>839</v>
      </c>
      <c r="D433" s="1" t="s">
        <v>20</v>
      </c>
      <c r="E433" t="s">
        <v>964</v>
      </c>
      <c r="F433" t="s">
        <v>265</v>
      </c>
      <c r="G433" t="s">
        <v>23</v>
      </c>
      <c r="H433" t="s">
        <v>70</v>
      </c>
      <c r="I433" t="s">
        <v>91</v>
      </c>
      <c r="J433">
        <v>2</v>
      </c>
      <c r="K433">
        <v>549</v>
      </c>
      <c r="L433">
        <f>Table1[[#This Row],[Quantity]] * Table1[[#This Row],[UnitPrice]]</f>
        <v>1098</v>
      </c>
      <c r="M433" s="25">
        <v>0</v>
      </c>
      <c r="N433">
        <f>Table1[[#This Row],[Revenue]]*Table1[[#This Row],[Discount%]]/100</f>
        <v>0</v>
      </c>
      <c r="O433" s="6">
        <f>Table1[[#This Row],[Revenue]]-Table1[[#This Row],[Disc_amount]]</f>
        <v>1098</v>
      </c>
      <c r="P433" t="s">
        <v>26</v>
      </c>
      <c r="Q433" t="s">
        <v>34</v>
      </c>
    </row>
    <row r="434" spans="1:17">
      <c r="A434" t="s">
        <v>965</v>
      </c>
      <c r="B434" s="1" t="s">
        <v>650</v>
      </c>
      <c r="C434" s="1" t="s">
        <v>839</v>
      </c>
      <c r="D434" s="1" t="s">
        <v>20</v>
      </c>
      <c r="E434" t="s">
        <v>966</v>
      </c>
      <c r="F434" t="s">
        <v>345</v>
      </c>
      <c r="G434" t="s">
        <v>56</v>
      </c>
      <c r="H434" t="s">
        <v>65</v>
      </c>
      <c r="I434" t="s">
        <v>66</v>
      </c>
      <c r="J434">
        <v>2</v>
      </c>
      <c r="K434">
        <v>1999</v>
      </c>
      <c r="L434">
        <f>Table1[[#This Row],[Quantity]] * Table1[[#This Row],[UnitPrice]]</f>
        <v>3998</v>
      </c>
      <c r="M434" s="25">
        <v>10</v>
      </c>
      <c r="N434">
        <f>Table1[[#This Row],[Revenue]]*Table1[[#This Row],[Discount%]]/100</f>
        <v>399.8</v>
      </c>
      <c r="O434" s="6">
        <f>Table1[[#This Row],[Revenue]]-Table1[[#This Row],[Disc_amount]]</f>
        <v>3598.2</v>
      </c>
      <c r="P434" t="s">
        <v>33</v>
      </c>
      <c r="Q434" t="s">
        <v>34</v>
      </c>
    </row>
    <row r="435" spans="1:17">
      <c r="A435" t="s">
        <v>967</v>
      </c>
      <c r="B435" s="1" t="s">
        <v>650</v>
      </c>
      <c r="C435" s="1" t="s">
        <v>839</v>
      </c>
      <c r="D435" s="1" t="s">
        <v>20</v>
      </c>
      <c r="E435" t="s">
        <v>968</v>
      </c>
      <c r="F435" t="s">
        <v>907</v>
      </c>
      <c r="G435" t="s">
        <v>38</v>
      </c>
      <c r="H435" t="s">
        <v>39</v>
      </c>
      <c r="I435" t="s">
        <v>140</v>
      </c>
      <c r="J435">
        <v>1</v>
      </c>
      <c r="K435">
        <v>1799</v>
      </c>
      <c r="L435">
        <f>Table1[[#This Row],[Quantity]] * Table1[[#This Row],[UnitPrice]]</f>
        <v>1799</v>
      </c>
      <c r="M435" s="25">
        <v>15</v>
      </c>
      <c r="N435">
        <f>Table1[[#This Row],[Revenue]]*Table1[[#This Row],[Discount%]]/100</f>
        <v>269.85000000000002</v>
      </c>
      <c r="O435" s="6">
        <f>Table1[[#This Row],[Revenue]]-Table1[[#This Row],[Disc_amount]]</f>
        <v>1529.15</v>
      </c>
      <c r="P435" t="s">
        <v>33</v>
      </c>
      <c r="Q435" t="s">
        <v>34</v>
      </c>
    </row>
    <row r="436" spans="1:17">
      <c r="A436" t="s">
        <v>969</v>
      </c>
      <c r="B436" s="1" t="s">
        <v>650</v>
      </c>
      <c r="C436" s="1" t="s">
        <v>839</v>
      </c>
      <c r="D436" s="1" t="s">
        <v>20</v>
      </c>
      <c r="E436" t="s">
        <v>970</v>
      </c>
      <c r="F436" t="s">
        <v>971</v>
      </c>
      <c r="G436" t="s">
        <v>23</v>
      </c>
      <c r="H436" t="s">
        <v>24</v>
      </c>
      <c r="I436" t="s">
        <v>32</v>
      </c>
      <c r="J436">
        <v>1</v>
      </c>
      <c r="K436">
        <v>199</v>
      </c>
      <c r="L436">
        <f>Table1[[#This Row],[Quantity]] * Table1[[#This Row],[UnitPrice]]</f>
        <v>199</v>
      </c>
      <c r="M436" s="25">
        <v>20</v>
      </c>
      <c r="N436">
        <f>Table1[[#This Row],[Revenue]]*Table1[[#This Row],[Discount%]]/100</f>
        <v>39.799999999999997</v>
      </c>
      <c r="O436" s="6">
        <f>Table1[[#This Row],[Revenue]]-Table1[[#This Row],[Disc_amount]]</f>
        <v>159.19999999999999</v>
      </c>
      <c r="P436" t="s">
        <v>26</v>
      </c>
      <c r="Q436" t="s">
        <v>34</v>
      </c>
    </row>
    <row r="437" spans="1:17">
      <c r="A437" t="s">
        <v>972</v>
      </c>
      <c r="B437" s="1" t="s">
        <v>650</v>
      </c>
      <c r="C437" s="1" t="s">
        <v>839</v>
      </c>
      <c r="D437" s="1" t="s">
        <v>20</v>
      </c>
      <c r="E437" t="s">
        <v>262</v>
      </c>
      <c r="F437" t="s">
        <v>77</v>
      </c>
      <c r="G437" t="s">
        <v>31</v>
      </c>
      <c r="H437" t="s">
        <v>70</v>
      </c>
      <c r="I437" t="s">
        <v>91</v>
      </c>
      <c r="J437">
        <v>1</v>
      </c>
      <c r="K437">
        <v>549</v>
      </c>
      <c r="L437">
        <f>Table1[[#This Row],[Quantity]] * Table1[[#This Row],[UnitPrice]]</f>
        <v>549</v>
      </c>
      <c r="M437" s="25">
        <v>20</v>
      </c>
      <c r="N437">
        <f>Table1[[#This Row],[Revenue]]*Table1[[#This Row],[Discount%]]/100</f>
        <v>109.8</v>
      </c>
      <c r="O437" s="6">
        <f>Table1[[#This Row],[Revenue]]-Table1[[#This Row],[Disc_amount]]</f>
        <v>439.2</v>
      </c>
      <c r="P437" t="s">
        <v>52</v>
      </c>
      <c r="Q437" t="s">
        <v>34</v>
      </c>
    </row>
    <row r="438" spans="1:17">
      <c r="A438" t="s">
        <v>973</v>
      </c>
      <c r="B438" s="1" t="s">
        <v>650</v>
      </c>
      <c r="C438" s="1" t="s">
        <v>839</v>
      </c>
      <c r="D438" s="1" t="s">
        <v>20</v>
      </c>
      <c r="E438" t="s">
        <v>974</v>
      </c>
      <c r="F438" t="s">
        <v>879</v>
      </c>
      <c r="G438" t="s">
        <v>31</v>
      </c>
      <c r="H438" t="s">
        <v>70</v>
      </c>
      <c r="I438" t="s">
        <v>91</v>
      </c>
      <c r="J438">
        <v>3</v>
      </c>
      <c r="K438">
        <v>549</v>
      </c>
      <c r="L438">
        <f>Table1[[#This Row],[Quantity]] * Table1[[#This Row],[UnitPrice]]</f>
        <v>1647</v>
      </c>
      <c r="M438" s="25">
        <v>20</v>
      </c>
      <c r="N438">
        <f>Table1[[#This Row],[Revenue]]*Table1[[#This Row],[Discount%]]/100</f>
        <v>329.4</v>
      </c>
      <c r="O438" s="6">
        <f>Table1[[#This Row],[Revenue]]-Table1[[#This Row],[Disc_amount]]</f>
        <v>1317.6</v>
      </c>
      <c r="P438" t="s">
        <v>26</v>
      </c>
      <c r="Q438" t="s">
        <v>27</v>
      </c>
    </row>
    <row r="439" spans="1:17">
      <c r="A439" t="s">
        <v>975</v>
      </c>
      <c r="B439" s="1" t="s">
        <v>650</v>
      </c>
      <c r="C439" s="1" t="s">
        <v>839</v>
      </c>
      <c r="D439" s="1" t="s">
        <v>20</v>
      </c>
      <c r="E439" t="s">
        <v>49</v>
      </c>
      <c r="F439" t="s">
        <v>50</v>
      </c>
      <c r="G439" t="s">
        <v>23</v>
      </c>
      <c r="H439" t="s">
        <v>108</v>
      </c>
      <c r="I439" t="s">
        <v>109</v>
      </c>
      <c r="J439">
        <v>1</v>
      </c>
      <c r="K439">
        <v>1499</v>
      </c>
      <c r="L439">
        <f>Table1[[#This Row],[Quantity]] * Table1[[#This Row],[UnitPrice]]</f>
        <v>1499</v>
      </c>
      <c r="M439" s="25">
        <v>0</v>
      </c>
      <c r="N439">
        <f>Table1[[#This Row],[Revenue]]*Table1[[#This Row],[Discount%]]/100</f>
        <v>0</v>
      </c>
      <c r="O439" s="6">
        <f>Table1[[#This Row],[Revenue]]-Table1[[#This Row],[Disc_amount]]</f>
        <v>1499</v>
      </c>
      <c r="P439" t="s">
        <v>86</v>
      </c>
      <c r="Q439" t="s">
        <v>34</v>
      </c>
    </row>
    <row r="440" spans="1:17">
      <c r="A440" t="s">
        <v>976</v>
      </c>
      <c r="B440" s="1" t="s">
        <v>661</v>
      </c>
      <c r="C440" s="1" t="s">
        <v>839</v>
      </c>
      <c r="D440" s="1" t="s">
        <v>20</v>
      </c>
      <c r="E440" t="s">
        <v>977</v>
      </c>
      <c r="F440" t="s">
        <v>209</v>
      </c>
      <c r="G440" t="s">
        <v>23</v>
      </c>
      <c r="H440" t="s">
        <v>70</v>
      </c>
      <c r="I440" t="s">
        <v>91</v>
      </c>
      <c r="J440">
        <v>1</v>
      </c>
      <c r="K440">
        <v>549</v>
      </c>
      <c r="L440">
        <f>Table1[[#This Row],[Quantity]] * Table1[[#This Row],[UnitPrice]]</f>
        <v>549</v>
      </c>
      <c r="M440" s="25">
        <v>10</v>
      </c>
      <c r="N440">
        <f>Table1[[#This Row],[Revenue]]*Table1[[#This Row],[Discount%]]/100</f>
        <v>54.9</v>
      </c>
      <c r="O440" s="6">
        <f>Table1[[#This Row],[Revenue]]-Table1[[#This Row],[Disc_amount]]</f>
        <v>494.1</v>
      </c>
      <c r="P440" t="s">
        <v>33</v>
      </c>
      <c r="Q440" t="s">
        <v>27</v>
      </c>
    </row>
    <row r="441" spans="1:17">
      <c r="A441" t="s">
        <v>978</v>
      </c>
      <c r="B441" s="1" t="s">
        <v>661</v>
      </c>
      <c r="C441" s="1" t="s">
        <v>839</v>
      </c>
      <c r="D441" s="1" t="s">
        <v>20</v>
      </c>
      <c r="E441" t="s">
        <v>979</v>
      </c>
      <c r="F441" t="s">
        <v>604</v>
      </c>
      <c r="G441" t="s">
        <v>45</v>
      </c>
      <c r="H441" t="s">
        <v>24</v>
      </c>
      <c r="I441" t="s">
        <v>25</v>
      </c>
      <c r="J441">
        <v>1</v>
      </c>
      <c r="K441">
        <v>99</v>
      </c>
      <c r="L441">
        <f>Table1[[#This Row],[Quantity]] * Table1[[#This Row],[UnitPrice]]</f>
        <v>99</v>
      </c>
      <c r="M441" s="25">
        <v>0</v>
      </c>
      <c r="N441">
        <f>Table1[[#This Row],[Revenue]]*Table1[[#This Row],[Discount%]]/100</f>
        <v>0</v>
      </c>
      <c r="O441" s="6">
        <f>Table1[[#This Row],[Revenue]]-Table1[[#This Row],[Disc_amount]]</f>
        <v>99</v>
      </c>
      <c r="P441" t="s">
        <v>33</v>
      </c>
      <c r="Q441" t="s">
        <v>27</v>
      </c>
    </row>
    <row r="442" spans="1:17">
      <c r="A442" t="s">
        <v>980</v>
      </c>
      <c r="B442" s="1" t="s">
        <v>661</v>
      </c>
      <c r="C442" s="1" t="s">
        <v>839</v>
      </c>
      <c r="D442" s="1" t="s">
        <v>20</v>
      </c>
      <c r="E442" t="s">
        <v>981</v>
      </c>
      <c r="F442" t="s">
        <v>694</v>
      </c>
      <c r="G442" t="s">
        <v>56</v>
      </c>
      <c r="H442" t="s">
        <v>108</v>
      </c>
      <c r="I442" t="s">
        <v>109</v>
      </c>
      <c r="J442">
        <v>1</v>
      </c>
      <c r="K442">
        <v>1499</v>
      </c>
      <c r="L442">
        <f>Table1[[#This Row],[Quantity]] * Table1[[#This Row],[UnitPrice]]</f>
        <v>1499</v>
      </c>
      <c r="M442" s="25">
        <v>5</v>
      </c>
      <c r="N442">
        <f>Table1[[#This Row],[Revenue]]*Table1[[#This Row],[Discount%]]/100</f>
        <v>74.95</v>
      </c>
      <c r="O442" s="6">
        <f>Table1[[#This Row],[Revenue]]-Table1[[#This Row],[Disc_amount]]</f>
        <v>1424.05</v>
      </c>
      <c r="P442" t="s">
        <v>41</v>
      </c>
      <c r="Q442" t="s">
        <v>34</v>
      </c>
    </row>
    <row r="443" spans="1:17">
      <c r="A443" t="s">
        <v>982</v>
      </c>
      <c r="B443" s="1" t="s">
        <v>661</v>
      </c>
      <c r="C443" s="1" t="s">
        <v>839</v>
      </c>
      <c r="D443" s="1" t="s">
        <v>20</v>
      </c>
      <c r="E443" t="s">
        <v>152</v>
      </c>
      <c r="F443" t="s">
        <v>153</v>
      </c>
      <c r="G443" t="s">
        <v>38</v>
      </c>
      <c r="H443" t="s">
        <v>65</v>
      </c>
      <c r="I443" t="s">
        <v>94</v>
      </c>
      <c r="J443">
        <v>2</v>
      </c>
      <c r="K443">
        <v>899</v>
      </c>
      <c r="L443">
        <f>Table1[[#This Row],[Quantity]] * Table1[[#This Row],[UnitPrice]]</f>
        <v>1798</v>
      </c>
      <c r="M443" s="25">
        <v>20</v>
      </c>
      <c r="N443">
        <f>Table1[[#This Row],[Revenue]]*Table1[[#This Row],[Discount%]]/100</f>
        <v>359.6</v>
      </c>
      <c r="O443" s="6">
        <f>Table1[[#This Row],[Revenue]]-Table1[[#This Row],[Disc_amount]]</f>
        <v>1438.4</v>
      </c>
      <c r="P443" t="s">
        <v>26</v>
      </c>
      <c r="Q443" t="s">
        <v>27</v>
      </c>
    </row>
    <row r="444" spans="1:17">
      <c r="A444" t="s">
        <v>983</v>
      </c>
      <c r="B444" s="1" t="s">
        <v>661</v>
      </c>
      <c r="C444" s="1" t="s">
        <v>839</v>
      </c>
      <c r="D444" s="1" t="s">
        <v>20</v>
      </c>
      <c r="E444" t="s">
        <v>747</v>
      </c>
      <c r="F444" t="s">
        <v>748</v>
      </c>
      <c r="G444" t="s">
        <v>23</v>
      </c>
      <c r="H444" t="s">
        <v>39</v>
      </c>
      <c r="I444" t="s">
        <v>40</v>
      </c>
      <c r="J444">
        <v>2</v>
      </c>
      <c r="K444">
        <v>599</v>
      </c>
      <c r="L444">
        <f>Table1[[#This Row],[Quantity]] * Table1[[#This Row],[UnitPrice]]</f>
        <v>1198</v>
      </c>
      <c r="M444" s="25">
        <v>0</v>
      </c>
      <c r="N444">
        <f>Table1[[#This Row],[Revenue]]*Table1[[#This Row],[Discount%]]/100</f>
        <v>0</v>
      </c>
      <c r="O444" s="6">
        <f>Table1[[#This Row],[Revenue]]-Table1[[#This Row],[Disc_amount]]</f>
        <v>1198</v>
      </c>
      <c r="P444" t="s">
        <v>41</v>
      </c>
      <c r="Q444" t="s">
        <v>27</v>
      </c>
    </row>
    <row r="445" spans="1:17">
      <c r="A445" t="s">
        <v>984</v>
      </c>
      <c r="B445" s="1" t="s">
        <v>661</v>
      </c>
      <c r="C445" s="1" t="s">
        <v>839</v>
      </c>
      <c r="D445" s="1" t="s">
        <v>20</v>
      </c>
      <c r="E445" t="s">
        <v>648</v>
      </c>
      <c r="F445" t="s">
        <v>213</v>
      </c>
      <c r="G445" t="s">
        <v>45</v>
      </c>
      <c r="H445" t="s">
        <v>57</v>
      </c>
      <c r="I445" t="s">
        <v>62</v>
      </c>
      <c r="J445">
        <v>1</v>
      </c>
      <c r="K445">
        <v>799</v>
      </c>
      <c r="L445">
        <f>Table1[[#This Row],[Quantity]] * Table1[[#This Row],[UnitPrice]]</f>
        <v>799</v>
      </c>
      <c r="M445" s="25">
        <v>20</v>
      </c>
      <c r="N445">
        <f>Table1[[#This Row],[Revenue]]*Table1[[#This Row],[Discount%]]/100</f>
        <v>159.80000000000001</v>
      </c>
      <c r="O445" s="6">
        <f>Table1[[#This Row],[Revenue]]-Table1[[#This Row],[Disc_amount]]</f>
        <v>639.20000000000005</v>
      </c>
      <c r="P445" t="s">
        <v>33</v>
      </c>
      <c r="Q445" t="s">
        <v>27</v>
      </c>
    </row>
    <row r="446" spans="1:17">
      <c r="A446" t="s">
        <v>985</v>
      </c>
      <c r="B446" s="1" t="s">
        <v>661</v>
      </c>
      <c r="C446" s="1" t="s">
        <v>839</v>
      </c>
      <c r="D446" s="1" t="s">
        <v>20</v>
      </c>
      <c r="E446" t="s">
        <v>986</v>
      </c>
      <c r="F446" t="s">
        <v>209</v>
      </c>
      <c r="G446" t="s">
        <v>45</v>
      </c>
      <c r="H446" t="s">
        <v>39</v>
      </c>
      <c r="I446" t="s">
        <v>51</v>
      </c>
      <c r="J446">
        <v>1</v>
      </c>
      <c r="K446">
        <v>2999</v>
      </c>
      <c r="L446">
        <f>Table1[[#This Row],[Quantity]] * Table1[[#This Row],[UnitPrice]]</f>
        <v>2999</v>
      </c>
      <c r="M446" s="25">
        <v>0</v>
      </c>
      <c r="N446">
        <f>Table1[[#This Row],[Revenue]]*Table1[[#This Row],[Discount%]]/100</f>
        <v>0</v>
      </c>
      <c r="O446" s="6">
        <f>Table1[[#This Row],[Revenue]]-Table1[[#This Row],[Disc_amount]]</f>
        <v>2999</v>
      </c>
      <c r="P446" t="s">
        <v>41</v>
      </c>
      <c r="Q446" t="s">
        <v>27</v>
      </c>
    </row>
    <row r="447" spans="1:17">
      <c r="A447" t="s">
        <v>987</v>
      </c>
      <c r="B447" s="1" t="s">
        <v>661</v>
      </c>
      <c r="C447" s="1" t="s">
        <v>839</v>
      </c>
      <c r="D447" s="1" t="s">
        <v>20</v>
      </c>
      <c r="E447" t="s">
        <v>988</v>
      </c>
      <c r="F447" t="s">
        <v>989</v>
      </c>
      <c r="G447" t="s">
        <v>38</v>
      </c>
      <c r="H447" t="s">
        <v>65</v>
      </c>
      <c r="I447" t="s">
        <v>98</v>
      </c>
      <c r="J447">
        <v>1</v>
      </c>
      <c r="K447">
        <v>499</v>
      </c>
      <c r="L447">
        <f>Table1[[#This Row],[Quantity]] * Table1[[#This Row],[UnitPrice]]</f>
        <v>499</v>
      </c>
      <c r="M447" s="25">
        <v>20</v>
      </c>
      <c r="N447">
        <f>Table1[[#This Row],[Revenue]]*Table1[[#This Row],[Discount%]]/100</f>
        <v>99.8</v>
      </c>
      <c r="O447" s="6">
        <f>Table1[[#This Row],[Revenue]]-Table1[[#This Row],[Disc_amount]]</f>
        <v>399.2</v>
      </c>
      <c r="P447" t="s">
        <v>41</v>
      </c>
      <c r="Q447" t="s">
        <v>34</v>
      </c>
    </row>
    <row r="448" spans="1:17">
      <c r="A448" t="s">
        <v>990</v>
      </c>
      <c r="B448" s="1" t="s">
        <v>661</v>
      </c>
      <c r="C448" s="1" t="s">
        <v>839</v>
      </c>
      <c r="D448" s="1" t="s">
        <v>20</v>
      </c>
      <c r="E448" t="s">
        <v>991</v>
      </c>
      <c r="F448" t="s">
        <v>304</v>
      </c>
      <c r="G448" t="s">
        <v>31</v>
      </c>
      <c r="H448" t="s">
        <v>57</v>
      </c>
      <c r="I448" t="s">
        <v>58</v>
      </c>
      <c r="J448">
        <v>3</v>
      </c>
      <c r="K448">
        <v>1299</v>
      </c>
      <c r="L448">
        <f>Table1[[#This Row],[Quantity]] * Table1[[#This Row],[UnitPrice]]</f>
        <v>3897</v>
      </c>
      <c r="M448" s="25">
        <v>0</v>
      </c>
      <c r="N448">
        <f>Table1[[#This Row],[Revenue]]*Table1[[#This Row],[Discount%]]/100</f>
        <v>0</v>
      </c>
      <c r="O448" s="6">
        <f>Table1[[#This Row],[Revenue]]-Table1[[#This Row],[Disc_amount]]</f>
        <v>3897</v>
      </c>
      <c r="P448" t="s">
        <v>33</v>
      </c>
      <c r="Q448" t="s">
        <v>34</v>
      </c>
    </row>
    <row r="449" spans="1:17">
      <c r="A449" t="s">
        <v>992</v>
      </c>
      <c r="B449" s="1" t="s">
        <v>661</v>
      </c>
      <c r="C449" s="1" t="s">
        <v>839</v>
      </c>
      <c r="D449" s="1" t="s">
        <v>20</v>
      </c>
      <c r="E449" t="s">
        <v>993</v>
      </c>
      <c r="F449" t="s">
        <v>203</v>
      </c>
      <c r="G449" t="s">
        <v>31</v>
      </c>
      <c r="H449" t="s">
        <v>39</v>
      </c>
      <c r="I449" t="s">
        <v>40</v>
      </c>
      <c r="J449">
        <v>2</v>
      </c>
      <c r="K449">
        <v>599</v>
      </c>
      <c r="L449">
        <f>Table1[[#This Row],[Quantity]] * Table1[[#This Row],[UnitPrice]]</f>
        <v>1198</v>
      </c>
      <c r="M449" s="25">
        <v>10</v>
      </c>
      <c r="N449">
        <f>Table1[[#This Row],[Revenue]]*Table1[[#This Row],[Discount%]]/100</f>
        <v>119.8</v>
      </c>
      <c r="O449" s="6">
        <f>Table1[[#This Row],[Revenue]]-Table1[[#This Row],[Disc_amount]]</f>
        <v>1078.2</v>
      </c>
      <c r="P449" t="s">
        <v>26</v>
      </c>
      <c r="Q449" t="s">
        <v>34</v>
      </c>
    </row>
    <row r="450" spans="1:17">
      <c r="A450" t="s">
        <v>994</v>
      </c>
      <c r="B450" s="1" t="s">
        <v>671</v>
      </c>
      <c r="C450" s="1" t="s">
        <v>839</v>
      </c>
      <c r="D450" s="1" t="s">
        <v>20</v>
      </c>
      <c r="E450" t="s">
        <v>995</v>
      </c>
      <c r="F450" t="s">
        <v>900</v>
      </c>
      <c r="G450" t="s">
        <v>45</v>
      </c>
      <c r="H450" t="s">
        <v>46</v>
      </c>
      <c r="I450" t="s">
        <v>47</v>
      </c>
      <c r="J450">
        <v>2</v>
      </c>
      <c r="K450">
        <v>249</v>
      </c>
      <c r="L450">
        <f>Table1[[#This Row],[Quantity]] * Table1[[#This Row],[UnitPrice]]</f>
        <v>498</v>
      </c>
      <c r="M450" s="25">
        <v>20</v>
      </c>
      <c r="N450">
        <f>Table1[[#This Row],[Revenue]]*Table1[[#This Row],[Discount%]]/100</f>
        <v>99.6</v>
      </c>
      <c r="O450" s="6">
        <f>Table1[[#This Row],[Revenue]]-Table1[[#This Row],[Disc_amount]]</f>
        <v>398.4</v>
      </c>
      <c r="P450" t="s">
        <v>41</v>
      </c>
      <c r="Q450" t="s">
        <v>27</v>
      </c>
    </row>
    <row r="451" spans="1:17">
      <c r="A451" t="s">
        <v>996</v>
      </c>
      <c r="B451" s="1" t="s">
        <v>671</v>
      </c>
      <c r="C451" s="1" t="s">
        <v>839</v>
      </c>
      <c r="D451" s="1" t="s">
        <v>20</v>
      </c>
      <c r="E451" t="s">
        <v>573</v>
      </c>
      <c r="F451" t="s">
        <v>574</v>
      </c>
      <c r="G451" t="s">
        <v>23</v>
      </c>
      <c r="H451" t="s">
        <v>39</v>
      </c>
      <c r="I451" t="s">
        <v>140</v>
      </c>
      <c r="J451">
        <v>2</v>
      </c>
      <c r="K451">
        <v>1799</v>
      </c>
      <c r="L451">
        <f>Table1[[#This Row],[Quantity]] * Table1[[#This Row],[UnitPrice]]</f>
        <v>3598</v>
      </c>
      <c r="M451" s="25">
        <v>20</v>
      </c>
      <c r="N451">
        <f>Table1[[#This Row],[Revenue]]*Table1[[#This Row],[Discount%]]/100</f>
        <v>719.6</v>
      </c>
      <c r="O451" s="6">
        <f>Table1[[#This Row],[Revenue]]-Table1[[#This Row],[Disc_amount]]</f>
        <v>2878.4</v>
      </c>
      <c r="P451" t="s">
        <v>52</v>
      </c>
      <c r="Q451" t="s">
        <v>34</v>
      </c>
    </row>
    <row r="452" spans="1:17">
      <c r="A452" t="s">
        <v>997</v>
      </c>
      <c r="B452" s="1" t="s">
        <v>671</v>
      </c>
      <c r="C452" s="1" t="s">
        <v>839</v>
      </c>
      <c r="D452" s="1" t="s">
        <v>20</v>
      </c>
      <c r="E452" t="s">
        <v>662</v>
      </c>
      <c r="F452" t="s">
        <v>450</v>
      </c>
      <c r="G452" t="s">
        <v>31</v>
      </c>
      <c r="H452" t="s">
        <v>24</v>
      </c>
      <c r="I452" t="s">
        <v>32</v>
      </c>
      <c r="J452">
        <v>5</v>
      </c>
      <c r="K452">
        <v>199</v>
      </c>
      <c r="L452">
        <f>Table1[[#This Row],[Quantity]] * Table1[[#This Row],[UnitPrice]]</f>
        <v>995</v>
      </c>
      <c r="M452" s="25">
        <v>20</v>
      </c>
      <c r="N452">
        <f>Table1[[#This Row],[Revenue]]*Table1[[#This Row],[Discount%]]/100</f>
        <v>199</v>
      </c>
      <c r="O452" s="6">
        <f>Table1[[#This Row],[Revenue]]-Table1[[#This Row],[Disc_amount]]</f>
        <v>796</v>
      </c>
      <c r="P452" t="s">
        <v>52</v>
      </c>
      <c r="Q452" t="s">
        <v>27</v>
      </c>
    </row>
    <row r="453" spans="1:17">
      <c r="A453" t="s">
        <v>998</v>
      </c>
      <c r="B453" s="1" t="s">
        <v>671</v>
      </c>
      <c r="C453" s="1" t="s">
        <v>839</v>
      </c>
      <c r="D453" s="1" t="s">
        <v>20</v>
      </c>
      <c r="E453" t="s">
        <v>244</v>
      </c>
      <c r="F453" t="s">
        <v>245</v>
      </c>
      <c r="G453" t="s">
        <v>45</v>
      </c>
      <c r="H453" t="s">
        <v>65</v>
      </c>
      <c r="I453" t="s">
        <v>98</v>
      </c>
      <c r="J453">
        <v>4</v>
      </c>
      <c r="K453">
        <v>499</v>
      </c>
      <c r="L453">
        <f>Table1[[#This Row],[Quantity]] * Table1[[#This Row],[UnitPrice]]</f>
        <v>1996</v>
      </c>
      <c r="M453" s="25">
        <v>0</v>
      </c>
      <c r="N453">
        <f>Table1[[#This Row],[Revenue]]*Table1[[#This Row],[Discount%]]/100</f>
        <v>0</v>
      </c>
      <c r="O453" s="6">
        <f>Table1[[#This Row],[Revenue]]-Table1[[#This Row],[Disc_amount]]</f>
        <v>1996</v>
      </c>
      <c r="P453" t="s">
        <v>26</v>
      </c>
      <c r="Q453" t="s">
        <v>27</v>
      </c>
    </row>
    <row r="454" spans="1:17">
      <c r="A454" t="s">
        <v>999</v>
      </c>
      <c r="B454" s="1" t="s">
        <v>682</v>
      </c>
      <c r="C454" s="1" t="s">
        <v>839</v>
      </c>
      <c r="D454" s="1" t="s">
        <v>20</v>
      </c>
      <c r="E454" t="s">
        <v>991</v>
      </c>
      <c r="F454" t="s">
        <v>304</v>
      </c>
      <c r="G454" t="s">
        <v>45</v>
      </c>
      <c r="H454" t="s">
        <v>46</v>
      </c>
      <c r="I454" t="s">
        <v>47</v>
      </c>
      <c r="J454">
        <v>2</v>
      </c>
      <c r="K454">
        <v>249</v>
      </c>
      <c r="L454">
        <f>Table1[[#This Row],[Quantity]] * Table1[[#This Row],[UnitPrice]]</f>
        <v>498</v>
      </c>
      <c r="M454" s="25">
        <v>0</v>
      </c>
      <c r="N454">
        <f>Table1[[#This Row],[Revenue]]*Table1[[#This Row],[Discount%]]/100</f>
        <v>0</v>
      </c>
      <c r="O454" s="6">
        <f>Table1[[#This Row],[Revenue]]-Table1[[#This Row],[Disc_amount]]</f>
        <v>498</v>
      </c>
      <c r="P454" t="s">
        <v>86</v>
      </c>
      <c r="Q454" t="s">
        <v>27</v>
      </c>
    </row>
    <row r="455" spans="1:17">
      <c r="A455" t="s">
        <v>1000</v>
      </c>
      <c r="B455" s="1" t="s">
        <v>682</v>
      </c>
      <c r="C455" s="1" t="s">
        <v>839</v>
      </c>
      <c r="D455" s="1" t="s">
        <v>20</v>
      </c>
      <c r="E455" t="s">
        <v>1001</v>
      </c>
      <c r="F455" t="s">
        <v>90</v>
      </c>
      <c r="G455" t="s">
        <v>23</v>
      </c>
      <c r="H455" t="s">
        <v>108</v>
      </c>
      <c r="I455" t="s">
        <v>130</v>
      </c>
      <c r="J455">
        <v>2</v>
      </c>
      <c r="K455">
        <v>699</v>
      </c>
      <c r="L455">
        <f>Table1[[#This Row],[Quantity]] * Table1[[#This Row],[UnitPrice]]</f>
        <v>1398</v>
      </c>
      <c r="M455" s="25">
        <v>0</v>
      </c>
      <c r="N455">
        <f>Table1[[#This Row],[Revenue]]*Table1[[#This Row],[Discount%]]/100</f>
        <v>0</v>
      </c>
      <c r="O455" s="6">
        <f>Table1[[#This Row],[Revenue]]-Table1[[#This Row],[Disc_amount]]</f>
        <v>1398</v>
      </c>
      <c r="P455" t="s">
        <v>26</v>
      </c>
      <c r="Q455" t="s">
        <v>27</v>
      </c>
    </row>
    <row r="456" spans="1:17">
      <c r="A456" t="s">
        <v>1002</v>
      </c>
      <c r="B456" s="1" t="s">
        <v>682</v>
      </c>
      <c r="C456" s="1" t="s">
        <v>839</v>
      </c>
      <c r="D456" s="1" t="s">
        <v>20</v>
      </c>
      <c r="E456" t="s">
        <v>1003</v>
      </c>
      <c r="F456" t="s">
        <v>1004</v>
      </c>
      <c r="G456" t="s">
        <v>23</v>
      </c>
      <c r="H456" t="s">
        <v>70</v>
      </c>
      <c r="I456" t="s">
        <v>71</v>
      </c>
      <c r="J456">
        <v>1</v>
      </c>
      <c r="K456">
        <v>349</v>
      </c>
      <c r="L456">
        <f>Table1[[#This Row],[Quantity]] * Table1[[#This Row],[UnitPrice]]</f>
        <v>349</v>
      </c>
      <c r="M456" s="25">
        <v>0</v>
      </c>
      <c r="N456">
        <f>Table1[[#This Row],[Revenue]]*Table1[[#This Row],[Discount%]]/100</f>
        <v>0</v>
      </c>
      <c r="O456" s="6">
        <f>Table1[[#This Row],[Revenue]]-Table1[[#This Row],[Disc_amount]]</f>
        <v>349</v>
      </c>
      <c r="P456" t="s">
        <v>41</v>
      </c>
      <c r="Q456" t="s">
        <v>27</v>
      </c>
    </row>
    <row r="457" spans="1:17">
      <c r="A457" t="s">
        <v>1005</v>
      </c>
      <c r="B457" s="1" t="s">
        <v>682</v>
      </c>
      <c r="C457" s="1" t="s">
        <v>839</v>
      </c>
      <c r="D457" s="1" t="s">
        <v>20</v>
      </c>
      <c r="E457" t="s">
        <v>801</v>
      </c>
      <c r="F457" t="s">
        <v>802</v>
      </c>
      <c r="G457" t="s">
        <v>45</v>
      </c>
      <c r="H457" t="s">
        <v>65</v>
      </c>
      <c r="I457" t="s">
        <v>94</v>
      </c>
      <c r="J457">
        <v>1</v>
      </c>
      <c r="K457">
        <v>899</v>
      </c>
      <c r="L457">
        <f>Table1[[#This Row],[Quantity]] * Table1[[#This Row],[UnitPrice]]</f>
        <v>899</v>
      </c>
      <c r="M457" s="25">
        <v>20</v>
      </c>
      <c r="N457">
        <f>Table1[[#This Row],[Revenue]]*Table1[[#This Row],[Discount%]]/100</f>
        <v>179.8</v>
      </c>
      <c r="O457" s="6">
        <f>Table1[[#This Row],[Revenue]]-Table1[[#This Row],[Disc_amount]]</f>
        <v>719.2</v>
      </c>
      <c r="P457" t="s">
        <v>26</v>
      </c>
      <c r="Q457" t="s">
        <v>34</v>
      </c>
    </row>
    <row r="458" spans="1:17">
      <c r="A458" t="s">
        <v>1006</v>
      </c>
      <c r="B458" s="1" t="s">
        <v>682</v>
      </c>
      <c r="C458" s="1" t="s">
        <v>839</v>
      </c>
      <c r="D458" s="1" t="s">
        <v>20</v>
      </c>
      <c r="E458" t="s">
        <v>255</v>
      </c>
      <c r="F458" t="s">
        <v>256</v>
      </c>
      <c r="G458" t="s">
        <v>31</v>
      </c>
      <c r="H458" t="s">
        <v>46</v>
      </c>
      <c r="I458" t="s">
        <v>154</v>
      </c>
      <c r="J458">
        <v>2</v>
      </c>
      <c r="K458">
        <v>299</v>
      </c>
      <c r="L458">
        <f>Table1[[#This Row],[Quantity]] * Table1[[#This Row],[UnitPrice]]</f>
        <v>598</v>
      </c>
      <c r="M458" s="25">
        <v>15</v>
      </c>
      <c r="N458">
        <f>Table1[[#This Row],[Revenue]]*Table1[[#This Row],[Discount%]]/100</f>
        <v>89.7</v>
      </c>
      <c r="O458" s="6">
        <f>Table1[[#This Row],[Revenue]]-Table1[[#This Row],[Disc_amount]]</f>
        <v>508.3</v>
      </c>
      <c r="P458" t="s">
        <v>33</v>
      </c>
      <c r="Q458" t="s">
        <v>27</v>
      </c>
    </row>
    <row r="459" spans="1:17">
      <c r="A459" t="s">
        <v>1007</v>
      </c>
      <c r="B459" s="1" t="s">
        <v>682</v>
      </c>
      <c r="C459" s="1" t="s">
        <v>839</v>
      </c>
      <c r="D459" s="1" t="s">
        <v>20</v>
      </c>
      <c r="E459" t="s">
        <v>811</v>
      </c>
      <c r="F459" t="s">
        <v>166</v>
      </c>
      <c r="G459" t="s">
        <v>56</v>
      </c>
      <c r="H459" t="s">
        <v>39</v>
      </c>
      <c r="I459" t="s">
        <v>51</v>
      </c>
      <c r="J459">
        <v>1</v>
      </c>
      <c r="K459">
        <v>2999</v>
      </c>
      <c r="L459">
        <f>Table1[[#This Row],[Quantity]] * Table1[[#This Row],[UnitPrice]]</f>
        <v>2999</v>
      </c>
      <c r="M459" s="25">
        <v>0</v>
      </c>
      <c r="N459">
        <f>Table1[[#This Row],[Revenue]]*Table1[[#This Row],[Discount%]]/100</f>
        <v>0</v>
      </c>
      <c r="O459" s="6">
        <f>Table1[[#This Row],[Revenue]]-Table1[[#This Row],[Disc_amount]]</f>
        <v>2999</v>
      </c>
      <c r="P459" t="s">
        <v>52</v>
      </c>
      <c r="Q459" t="s">
        <v>27</v>
      </c>
    </row>
    <row r="460" spans="1:17">
      <c r="A460" t="s">
        <v>1008</v>
      </c>
      <c r="B460" s="1" t="s">
        <v>682</v>
      </c>
      <c r="C460" s="1" t="s">
        <v>839</v>
      </c>
      <c r="D460" s="1" t="s">
        <v>20</v>
      </c>
      <c r="E460" t="s">
        <v>271</v>
      </c>
      <c r="F460" t="s">
        <v>272</v>
      </c>
      <c r="G460" t="s">
        <v>56</v>
      </c>
      <c r="H460" t="s">
        <v>39</v>
      </c>
      <c r="I460" t="s">
        <v>40</v>
      </c>
      <c r="J460">
        <v>4</v>
      </c>
      <c r="K460">
        <v>599</v>
      </c>
      <c r="L460">
        <f>Table1[[#This Row],[Quantity]] * Table1[[#This Row],[UnitPrice]]</f>
        <v>2396</v>
      </c>
      <c r="M460" s="25">
        <v>0</v>
      </c>
      <c r="N460">
        <f>Table1[[#This Row],[Revenue]]*Table1[[#This Row],[Discount%]]/100</f>
        <v>0</v>
      </c>
      <c r="O460" s="6">
        <f>Table1[[#This Row],[Revenue]]-Table1[[#This Row],[Disc_amount]]</f>
        <v>2396</v>
      </c>
      <c r="P460" t="s">
        <v>41</v>
      </c>
      <c r="Q460" t="s">
        <v>27</v>
      </c>
    </row>
    <row r="461" spans="1:17">
      <c r="A461" t="s">
        <v>1009</v>
      </c>
      <c r="B461" s="1" t="s">
        <v>682</v>
      </c>
      <c r="C461" s="1" t="s">
        <v>839</v>
      </c>
      <c r="D461" s="1" t="s">
        <v>20</v>
      </c>
      <c r="E461" t="s">
        <v>255</v>
      </c>
      <c r="F461" t="s">
        <v>256</v>
      </c>
      <c r="G461" t="s">
        <v>56</v>
      </c>
      <c r="H461" t="s">
        <v>65</v>
      </c>
      <c r="I461" t="s">
        <v>98</v>
      </c>
      <c r="J461">
        <v>2</v>
      </c>
      <c r="K461">
        <v>499</v>
      </c>
      <c r="L461">
        <f>Table1[[#This Row],[Quantity]] * Table1[[#This Row],[UnitPrice]]</f>
        <v>998</v>
      </c>
      <c r="M461" s="25">
        <v>15</v>
      </c>
      <c r="N461">
        <f>Table1[[#This Row],[Revenue]]*Table1[[#This Row],[Discount%]]/100</f>
        <v>149.69999999999999</v>
      </c>
      <c r="O461" s="6">
        <f>Table1[[#This Row],[Revenue]]-Table1[[#This Row],[Disc_amount]]</f>
        <v>848.3</v>
      </c>
      <c r="P461" t="s">
        <v>33</v>
      </c>
      <c r="Q461" t="s">
        <v>34</v>
      </c>
    </row>
    <row r="462" spans="1:17">
      <c r="A462" t="s">
        <v>1010</v>
      </c>
      <c r="B462" s="1" t="s">
        <v>690</v>
      </c>
      <c r="C462" s="1" t="s">
        <v>839</v>
      </c>
      <c r="D462" s="1" t="s">
        <v>20</v>
      </c>
      <c r="E462" t="s">
        <v>832</v>
      </c>
      <c r="F462" t="s">
        <v>166</v>
      </c>
      <c r="G462" t="s">
        <v>56</v>
      </c>
      <c r="H462" t="s">
        <v>39</v>
      </c>
      <c r="I462" t="s">
        <v>51</v>
      </c>
      <c r="J462">
        <v>2</v>
      </c>
      <c r="K462">
        <v>2999</v>
      </c>
      <c r="L462">
        <f>Table1[[#This Row],[Quantity]] * Table1[[#This Row],[UnitPrice]]</f>
        <v>5998</v>
      </c>
      <c r="M462" s="25">
        <v>15</v>
      </c>
      <c r="N462">
        <f>Table1[[#This Row],[Revenue]]*Table1[[#This Row],[Discount%]]/100</f>
        <v>899.7</v>
      </c>
      <c r="O462" s="6">
        <f>Table1[[#This Row],[Revenue]]-Table1[[#This Row],[Disc_amount]]</f>
        <v>5098.3</v>
      </c>
      <c r="P462" t="s">
        <v>33</v>
      </c>
      <c r="Q462" t="s">
        <v>27</v>
      </c>
    </row>
    <row r="463" spans="1:17">
      <c r="A463" t="s">
        <v>1011</v>
      </c>
      <c r="B463" s="1" t="s">
        <v>690</v>
      </c>
      <c r="C463" s="1" t="s">
        <v>839</v>
      </c>
      <c r="D463" s="1" t="s">
        <v>20</v>
      </c>
      <c r="E463" t="s">
        <v>798</v>
      </c>
      <c r="F463" t="s">
        <v>157</v>
      </c>
      <c r="G463" t="s">
        <v>38</v>
      </c>
      <c r="H463" t="s">
        <v>70</v>
      </c>
      <c r="I463" t="s">
        <v>71</v>
      </c>
      <c r="J463">
        <v>1</v>
      </c>
      <c r="K463">
        <v>349</v>
      </c>
      <c r="L463">
        <f>Table1[[#This Row],[Quantity]] * Table1[[#This Row],[UnitPrice]]</f>
        <v>349</v>
      </c>
      <c r="M463" s="25">
        <v>5</v>
      </c>
      <c r="N463">
        <f>Table1[[#This Row],[Revenue]]*Table1[[#This Row],[Discount%]]/100</f>
        <v>17.45</v>
      </c>
      <c r="O463" s="6">
        <f>Table1[[#This Row],[Revenue]]-Table1[[#This Row],[Disc_amount]]</f>
        <v>331.55</v>
      </c>
      <c r="P463" t="s">
        <v>86</v>
      </c>
      <c r="Q463" t="s">
        <v>34</v>
      </c>
    </row>
    <row r="464" spans="1:17">
      <c r="A464" t="s">
        <v>1012</v>
      </c>
      <c r="B464" s="1" t="s">
        <v>690</v>
      </c>
      <c r="C464" s="1" t="s">
        <v>839</v>
      </c>
      <c r="D464" s="1" t="s">
        <v>20</v>
      </c>
      <c r="E464" t="s">
        <v>352</v>
      </c>
      <c r="F464" t="s">
        <v>134</v>
      </c>
      <c r="G464" t="s">
        <v>23</v>
      </c>
      <c r="H464" t="s">
        <v>108</v>
      </c>
      <c r="I464" t="s">
        <v>109</v>
      </c>
      <c r="J464">
        <v>1</v>
      </c>
      <c r="K464">
        <v>1499</v>
      </c>
      <c r="L464">
        <f>Table1[[#This Row],[Quantity]] * Table1[[#This Row],[UnitPrice]]</f>
        <v>1499</v>
      </c>
      <c r="M464" s="25">
        <v>5</v>
      </c>
      <c r="N464">
        <f>Table1[[#This Row],[Revenue]]*Table1[[#This Row],[Discount%]]/100</f>
        <v>74.95</v>
      </c>
      <c r="O464" s="6">
        <f>Table1[[#This Row],[Revenue]]-Table1[[#This Row],[Disc_amount]]</f>
        <v>1424.05</v>
      </c>
      <c r="P464" t="s">
        <v>33</v>
      </c>
      <c r="Q464" t="s">
        <v>27</v>
      </c>
    </row>
    <row r="465" spans="1:17">
      <c r="A465" t="s">
        <v>1013</v>
      </c>
      <c r="B465" s="1" t="s">
        <v>690</v>
      </c>
      <c r="C465" s="1" t="s">
        <v>839</v>
      </c>
      <c r="D465" s="1" t="s">
        <v>20</v>
      </c>
      <c r="E465" t="s">
        <v>568</v>
      </c>
      <c r="F465" t="s">
        <v>569</v>
      </c>
      <c r="G465" t="s">
        <v>56</v>
      </c>
      <c r="H465" t="s">
        <v>46</v>
      </c>
      <c r="I465" t="s">
        <v>47</v>
      </c>
      <c r="J465">
        <v>1</v>
      </c>
      <c r="K465">
        <v>249</v>
      </c>
      <c r="L465">
        <f>Table1[[#This Row],[Quantity]] * Table1[[#This Row],[UnitPrice]]</f>
        <v>249</v>
      </c>
      <c r="M465" s="25">
        <v>5</v>
      </c>
      <c r="N465">
        <f>Table1[[#This Row],[Revenue]]*Table1[[#This Row],[Discount%]]/100</f>
        <v>12.45</v>
      </c>
      <c r="O465" s="6">
        <f>Table1[[#This Row],[Revenue]]-Table1[[#This Row],[Disc_amount]]</f>
        <v>236.55</v>
      </c>
      <c r="P465" t="s">
        <v>86</v>
      </c>
      <c r="Q465" t="s">
        <v>34</v>
      </c>
    </row>
    <row r="466" spans="1:17">
      <c r="A466" t="s">
        <v>1014</v>
      </c>
      <c r="B466" s="1" t="s">
        <v>690</v>
      </c>
      <c r="C466" s="1" t="s">
        <v>839</v>
      </c>
      <c r="D466" s="1" t="s">
        <v>20</v>
      </c>
      <c r="E466" t="s">
        <v>1015</v>
      </c>
      <c r="F466" t="s">
        <v>123</v>
      </c>
      <c r="G466" t="s">
        <v>45</v>
      </c>
      <c r="H466" t="s">
        <v>57</v>
      </c>
      <c r="I466" t="s">
        <v>62</v>
      </c>
      <c r="J466">
        <v>4</v>
      </c>
      <c r="K466">
        <v>799</v>
      </c>
      <c r="L466">
        <f>Table1[[#This Row],[Quantity]] * Table1[[#This Row],[UnitPrice]]</f>
        <v>3196</v>
      </c>
      <c r="M466" s="25">
        <v>10</v>
      </c>
      <c r="N466">
        <f>Table1[[#This Row],[Revenue]]*Table1[[#This Row],[Discount%]]/100</f>
        <v>319.60000000000002</v>
      </c>
      <c r="O466" s="6">
        <f>Table1[[#This Row],[Revenue]]-Table1[[#This Row],[Disc_amount]]</f>
        <v>2876.4</v>
      </c>
      <c r="P466" t="s">
        <v>33</v>
      </c>
      <c r="Q466" t="s">
        <v>27</v>
      </c>
    </row>
    <row r="467" spans="1:17">
      <c r="A467" t="s">
        <v>1016</v>
      </c>
      <c r="B467" s="1" t="s">
        <v>700</v>
      </c>
      <c r="C467" s="1" t="s">
        <v>839</v>
      </c>
      <c r="D467" s="1" t="s">
        <v>20</v>
      </c>
      <c r="E467" t="s">
        <v>405</v>
      </c>
      <c r="F467" t="s">
        <v>248</v>
      </c>
      <c r="G467" t="s">
        <v>56</v>
      </c>
      <c r="H467" t="s">
        <v>24</v>
      </c>
      <c r="I467" t="s">
        <v>25</v>
      </c>
      <c r="J467">
        <v>2</v>
      </c>
      <c r="K467">
        <v>99</v>
      </c>
      <c r="L467">
        <f>Table1[[#This Row],[Quantity]] * Table1[[#This Row],[UnitPrice]]</f>
        <v>198</v>
      </c>
      <c r="M467" s="25">
        <v>0</v>
      </c>
      <c r="N467">
        <f>Table1[[#This Row],[Revenue]]*Table1[[#This Row],[Discount%]]/100</f>
        <v>0</v>
      </c>
      <c r="O467" s="6">
        <f>Table1[[#This Row],[Revenue]]-Table1[[#This Row],[Disc_amount]]</f>
        <v>198</v>
      </c>
      <c r="P467" t="s">
        <v>26</v>
      </c>
      <c r="Q467" t="s">
        <v>27</v>
      </c>
    </row>
    <row r="468" spans="1:17">
      <c r="A468" t="s">
        <v>1017</v>
      </c>
      <c r="B468" s="1" t="s">
        <v>700</v>
      </c>
      <c r="C468" s="1" t="s">
        <v>839</v>
      </c>
      <c r="D468" s="1" t="s">
        <v>20</v>
      </c>
      <c r="E468" t="s">
        <v>472</v>
      </c>
      <c r="F468" t="s">
        <v>473</v>
      </c>
      <c r="G468" t="s">
        <v>23</v>
      </c>
      <c r="H468" t="s">
        <v>65</v>
      </c>
      <c r="I468" t="s">
        <v>94</v>
      </c>
      <c r="J468">
        <v>1</v>
      </c>
      <c r="K468">
        <v>899</v>
      </c>
      <c r="L468">
        <f>Table1[[#This Row],[Quantity]] * Table1[[#This Row],[UnitPrice]]</f>
        <v>899</v>
      </c>
      <c r="M468" s="25">
        <v>10</v>
      </c>
      <c r="N468">
        <f>Table1[[#This Row],[Revenue]]*Table1[[#This Row],[Discount%]]/100</f>
        <v>89.9</v>
      </c>
      <c r="O468" s="6">
        <f>Table1[[#This Row],[Revenue]]-Table1[[#This Row],[Disc_amount]]</f>
        <v>809.1</v>
      </c>
      <c r="P468" t="s">
        <v>33</v>
      </c>
      <c r="Q468" t="s">
        <v>27</v>
      </c>
    </row>
    <row r="469" spans="1:17">
      <c r="A469" t="s">
        <v>1018</v>
      </c>
      <c r="B469" s="1" t="s">
        <v>700</v>
      </c>
      <c r="C469" s="1" t="s">
        <v>839</v>
      </c>
      <c r="D469" s="1" t="s">
        <v>20</v>
      </c>
      <c r="E469" t="s">
        <v>1019</v>
      </c>
      <c r="F469" t="s">
        <v>1020</v>
      </c>
      <c r="G469" t="s">
        <v>23</v>
      </c>
      <c r="H469" t="s">
        <v>24</v>
      </c>
      <c r="I469" t="s">
        <v>32</v>
      </c>
      <c r="J469">
        <v>3</v>
      </c>
      <c r="K469">
        <v>199</v>
      </c>
      <c r="L469">
        <f>Table1[[#This Row],[Quantity]] * Table1[[#This Row],[UnitPrice]]</f>
        <v>597</v>
      </c>
      <c r="M469" s="25">
        <v>0</v>
      </c>
      <c r="N469">
        <f>Table1[[#This Row],[Revenue]]*Table1[[#This Row],[Discount%]]/100</f>
        <v>0</v>
      </c>
      <c r="O469" s="6">
        <f>Table1[[#This Row],[Revenue]]-Table1[[#This Row],[Disc_amount]]</f>
        <v>597</v>
      </c>
      <c r="P469" t="s">
        <v>26</v>
      </c>
      <c r="Q469" t="s">
        <v>34</v>
      </c>
    </row>
    <row r="470" spans="1:17">
      <c r="A470" t="s">
        <v>1021</v>
      </c>
      <c r="B470" s="1" t="s">
        <v>700</v>
      </c>
      <c r="C470" s="1" t="s">
        <v>839</v>
      </c>
      <c r="D470" s="1" t="s">
        <v>20</v>
      </c>
      <c r="E470" t="s">
        <v>991</v>
      </c>
      <c r="F470" t="s">
        <v>304</v>
      </c>
      <c r="G470" t="s">
        <v>56</v>
      </c>
      <c r="H470" t="s">
        <v>108</v>
      </c>
      <c r="I470" t="s">
        <v>109</v>
      </c>
      <c r="J470">
        <v>3</v>
      </c>
      <c r="K470">
        <v>1499</v>
      </c>
      <c r="L470">
        <f>Table1[[#This Row],[Quantity]] * Table1[[#This Row],[UnitPrice]]</f>
        <v>4497</v>
      </c>
      <c r="M470" s="25">
        <v>15</v>
      </c>
      <c r="N470">
        <f>Table1[[#This Row],[Revenue]]*Table1[[#This Row],[Discount%]]/100</f>
        <v>674.55</v>
      </c>
      <c r="O470" s="6">
        <f>Table1[[#This Row],[Revenue]]-Table1[[#This Row],[Disc_amount]]</f>
        <v>3822.45</v>
      </c>
      <c r="P470" t="s">
        <v>41</v>
      </c>
      <c r="Q470" t="s">
        <v>34</v>
      </c>
    </row>
    <row r="471" spans="1:17">
      <c r="A471" t="s">
        <v>1022</v>
      </c>
      <c r="B471" s="1" t="s">
        <v>700</v>
      </c>
      <c r="C471" s="1" t="s">
        <v>839</v>
      </c>
      <c r="D471" s="1" t="s">
        <v>20</v>
      </c>
      <c r="E471" t="s">
        <v>405</v>
      </c>
      <c r="F471" t="s">
        <v>248</v>
      </c>
      <c r="G471" t="s">
        <v>56</v>
      </c>
      <c r="H471" t="s">
        <v>39</v>
      </c>
      <c r="I471" t="s">
        <v>140</v>
      </c>
      <c r="J471">
        <v>2</v>
      </c>
      <c r="K471">
        <v>1799</v>
      </c>
      <c r="L471">
        <f>Table1[[#This Row],[Quantity]] * Table1[[#This Row],[UnitPrice]]</f>
        <v>3598</v>
      </c>
      <c r="M471" s="25">
        <v>20</v>
      </c>
      <c r="N471">
        <f>Table1[[#This Row],[Revenue]]*Table1[[#This Row],[Discount%]]/100</f>
        <v>719.6</v>
      </c>
      <c r="O471" s="6">
        <f>Table1[[#This Row],[Revenue]]-Table1[[#This Row],[Disc_amount]]</f>
        <v>2878.4</v>
      </c>
      <c r="P471" t="s">
        <v>26</v>
      </c>
      <c r="Q471" t="s">
        <v>27</v>
      </c>
    </row>
    <row r="472" spans="1:17">
      <c r="A472" t="s">
        <v>1023</v>
      </c>
      <c r="B472" s="1" t="s">
        <v>700</v>
      </c>
      <c r="C472" s="1" t="s">
        <v>839</v>
      </c>
      <c r="D472" s="1" t="s">
        <v>20</v>
      </c>
      <c r="E472" t="s">
        <v>503</v>
      </c>
      <c r="F472" t="s">
        <v>504</v>
      </c>
      <c r="G472" t="s">
        <v>56</v>
      </c>
      <c r="H472" t="s">
        <v>24</v>
      </c>
      <c r="I472" t="s">
        <v>25</v>
      </c>
      <c r="J472">
        <v>1</v>
      </c>
      <c r="K472">
        <v>99</v>
      </c>
      <c r="L472">
        <f>Table1[[#This Row],[Quantity]] * Table1[[#This Row],[UnitPrice]]</f>
        <v>99</v>
      </c>
      <c r="M472" s="25">
        <v>15</v>
      </c>
      <c r="N472">
        <f>Table1[[#This Row],[Revenue]]*Table1[[#This Row],[Discount%]]/100</f>
        <v>14.85</v>
      </c>
      <c r="O472" s="6">
        <f>Table1[[#This Row],[Revenue]]-Table1[[#This Row],[Disc_amount]]</f>
        <v>84.15</v>
      </c>
      <c r="P472" t="s">
        <v>41</v>
      </c>
      <c r="Q472" t="s">
        <v>34</v>
      </c>
    </row>
    <row r="473" spans="1:17">
      <c r="A473" t="s">
        <v>1024</v>
      </c>
      <c r="B473" s="1" t="s">
        <v>703</v>
      </c>
      <c r="C473" s="1" t="s">
        <v>839</v>
      </c>
      <c r="D473" s="1" t="s">
        <v>20</v>
      </c>
      <c r="E473" t="s">
        <v>850</v>
      </c>
      <c r="F473" t="s">
        <v>759</v>
      </c>
      <c r="G473" t="s">
        <v>23</v>
      </c>
      <c r="H473" t="s">
        <v>24</v>
      </c>
      <c r="I473" t="s">
        <v>25</v>
      </c>
      <c r="J473">
        <v>4</v>
      </c>
      <c r="K473">
        <v>99</v>
      </c>
      <c r="L473">
        <f>Table1[[#This Row],[Quantity]] * Table1[[#This Row],[UnitPrice]]</f>
        <v>396</v>
      </c>
      <c r="M473" s="25">
        <v>5</v>
      </c>
      <c r="N473">
        <f>Table1[[#This Row],[Revenue]]*Table1[[#This Row],[Discount%]]/100</f>
        <v>19.8</v>
      </c>
      <c r="O473" s="6">
        <f>Table1[[#This Row],[Revenue]]-Table1[[#This Row],[Disc_amount]]</f>
        <v>376.2</v>
      </c>
      <c r="P473" t="s">
        <v>33</v>
      </c>
      <c r="Q473" t="s">
        <v>27</v>
      </c>
    </row>
    <row r="474" spans="1:17">
      <c r="A474" t="s">
        <v>1025</v>
      </c>
      <c r="B474" s="1" t="s">
        <v>703</v>
      </c>
      <c r="C474" s="1" t="s">
        <v>839</v>
      </c>
      <c r="D474" s="1" t="s">
        <v>20</v>
      </c>
      <c r="E474" t="s">
        <v>652</v>
      </c>
      <c r="F474" t="s">
        <v>443</v>
      </c>
      <c r="G474" t="s">
        <v>45</v>
      </c>
      <c r="H474" t="s">
        <v>108</v>
      </c>
      <c r="I474" t="s">
        <v>109</v>
      </c>
      <c r="J474">
        <v>2</v>
      </c>
      <c r="K474">
        <v>1499</v>
      </c>
      <c r="L474">
        <f>Table1[[#This Row],[Quantity]] * Table1[[#This Row],[UnitPrice]]</f>
        <v>2998</v>
      </c>
      <c r="M474" s="25">
        <v>20</v>
      </c>
      <c r="N474">
        <f>Table1[[#This Row],[Revenue]]*Table1[[#This Row],[Discount%]]/100</f>
        <v>599.6</v>
      </c>
      <c r="O474" s="6">
        <f>Table1[[#This Row],[Revenue]]-Table1[[#This Row],[Disc_amount]]</f>
        <v>2398.4</v>
      </c>
      <c r="P474" t="s">
        <v>41</v>
      </c>
      <c r="Q474" t="s">
        <v>27</v>
      </c>
    </row>
    <row r="475" spans="1:17">
      <c r="A475" t="s">
        <v>1026</v>
      </c>
      <c r="B475" s="1" t="s">
        <v>703</v>
      </c>
      <c r="C475" s="1" t="s">
        <v>839</v>
      </c>
      <c r="D475" s="1" t="s">
        <v>20</v>
      </c>
      <c r="E475" t="s">
        <v>378</v>
      </c>
      <c r="F475" t="s">
        <v>379</v>
      </c>
      <c r="G475" t="s">
        <v>56</v>
      </c>
      <c r="H475" t="s">
        <v>108</v>
      </c>
      <c r="I475" t="s">
        <v>130</v>
      </c>
      <c r="J475">
        <v>4</v>
      </c>
      <c r="K475">
        <v>699</v>
      </c>
      <c r="L475">
        <f>Table1[[#This Row],[Quantity]] * Table1[[#This Row],[UnitPrice]]</f>
        <v>2796</v>
      </c>
      <c r="M475" s="25">
        <v>0</v>
      </c>
      <c r="N475">
        <f>Table1[[#This Row],[Revenue]]*Table1[[#This Row],[Discount%]]/100</f>
        <v>0</v>
      </c>
      <c r="O475" s="6">
        <f>Table1[[#This Row],[Revenue]]-Table1[[#This Row],[Disc_amount]]</f>
        <v>2796</v>
      </c>
      <c r="P475" t="s">
        <v>41</v>
      </c>
      <c r="Q475" t="s">
        <v>27</v>
      </c>
    </row>
    <row r="476" spans="1:17">
      <c r="A476" t="s">
        <v>1027</v>
      </c>
      <c r="B476" s="1" t="s">
        <v>703</v>
      </c>
      <c r="C476" s="1" t="s">
        <v>839</v>
      </c>
      <c r="D476" s="1" t="s">
        <v>20</v>
      </c>
      <c r="E476" t="s">
        <v>430</v>
      </c>
      <c r="F476" t="s">
        <v>101</v>
      </c>
      <c r="G476" t="s">
        <v>45</v>
      </c>
      <c r="H476" t="s">
        <v>39</v>
      </c>
      <c r="I476" t="s">
        <v>140</v>
      </c>
      <c r="J476">
        <v>1</v>
      </c>
      <c r="K476">
        <v>1799</v>
      </c>
      <c r="L476">
        <f>Table1[[#This Row],[Quantity]] * Table1[[#This Row],[UnitPrice]]</f>
        <v>1799</v>
      </c>
      <c r="M476" s="25">
        <v>15</v>
      </c>
      <c r="N476">
        <f>Table1[[#This Row],[Revenue]]*Table1[[#This Row],[Discount%]]/100</f>
        <v>269.85000000000002</v>
      </c>
      <c r="O476" s="6">
        <f>Table1[[#This Row],[Revenue]]-Table1[[#This Row],[Disc_amount]]</f>
        <v>1529.15</v>
      </c>
      <c r="P476" t="s">
        <v>86</v>
      </c>
      <c r="Q476" t="s">
        <v>34</v>
      </c>
    </row>
    <row r="477" spans="1:17">
      <c r="A477" t="s">
        <v>1028</v>
      </c>
      <c r="B477" s="1" t="s">
        <v>711</v>
      </c>
      <c r="C477" s="1" t="s">
        <v>839</v>
      </c>
      <c r="D477" s="1" t="s">
        <v>20</v>
      </c>
      <c r="E477" t="s">
        <v>1029</v>
      </c>
      <c r="F477" t="s">
        <v>345</v>
      </c>
      <c r="G477" t="s">
        <v>31</v>
      </c>
      <c r="H477" t="s">
        <v>108</v>
      </c>
      <c r="I477" t="s">
        <v>130</v>
      </c>
      <c r="J477">
        <v>1</v>
      </c>
      <c r="K477">
        <v>699</v>
      </c>
      <c r="L477">
        <f>Table1[[#This Row],[Quantity]] * Table1[[#This Row],[UnitPrice]]</f>
        <v>699</v>
      </c>
      <c r="M477" s="25">
        <v>0</v>
      </c>
      <c r="N477">
        <f>Table1[[#This Row],[Revenue]]*Table1[[#This Row],[Discount%]]/100</f>
        <v>0</v>
      </c>
      <c r="O477" s="6">
        <f>Table1[[#This Row],[Revenue]]-Table1[[#This Row],[Disc_amount]]</f>
        <v>699</v>
      </c>
      <c r="P477" t="s">
        <v>26</v>
      </c>
      <c r="Q477" t="s">
        <v>27</v>
      </c>
    </row>
    <row r="478" spans="1:17">
      <c r="A478" t="s">
        <v>1030</v>
      </c>
      <c r="B478" s="1" t="s">
        <v>711</v>
      </c>
      <c r="C478" s="1" t="s">
        <v>839</v>
      </c>
      <c r="D478" s="1" t="s">
        <v>20</v>
      </c>
      <c r="E478" t="s">
        <v>484</v>
      </c>
      <c r="F478" t="s">
        <v>485</v>
      </c>
      <c r="G478" t="s">
        <v>38</v>
      </c>
      <c r="H478" t="s">
        <v>24</v>
      </c>
      <c r="I478" t="s">
        <v>32</v>
      </c>
      <c r="J478">
        <v>3</v>
      </c>
      <c r="K478">
        <v>199</v>
      </c>
      <c r="L478">
        <f>Table1[[#This Row],[Quantity]] * Table1[[#This Row],[UnitPrice]]</f>
        <v>597</v>
      </c>
      <c r="M478" s="25">
        <v>5</v>
      </c>
      <c r="N478">
        <f>Table1[[#This Row],[Revenue]]*Table1[[#This Row],[Discount%]]/100</f>
        <v>29.85</v>
      </c>
      <c r="O478" s="6">
        <f>Table1[[#This Row],[Revenue]]-Table1[[#This Row],[Disc_amount]]</f>
        <v>567.15</v>
      </c>
      <c r="P478" t="s">
        <v>86</v>
      </c>
      <c r="Q478" t="s">
        <v>27</v>
      </c>
    </row>
    <row r="479" spans="1:17">
      <c r="A479" t="s">
        <v>1031</v>
      </c>
      <c r="B479" s="1" t="s">
        <v>711</v>
      </c>
      <c r="C479" s="1" t="s">
        <v>839</v>
      </c>
      <c r="D479" s="1" t="s">
        <v>20</v>
      </c>
      <c r="E479" t="s">
        <v>215</v>
      </c>
      <c r="F479" t="s">
        <v>90</v>
      </c>
      <c r="G479" t="s">
        <v>38</v>
      </c>
      <c r="H479" t="s">
        <v>39</v>
      </c>
      <c r="I479" t="s">
        <v>40</v>
      </c>
      <c r="J479">
        <v>1</v>
      </c>
      <c r="K479">
        <v>599</v>
      </c>
      <c r="L479">
        <f>Table1[[#This Row],[Quantity]] * Table1[[#This Row],[UnitPrice]]</f>
        <v>599</v>
      </c>
      <c r="M479" s="25">
        <v>15</v>
      </c>
      <c r="N479">
        <f>Table1[[#This Row],[Revenue]]*Table1[[#This Row],[Discount%]]/100</f>
        <v>89.85</v>
      </c>
      <c r="O479" s="6">
        <f>Table1[[#This Row],[Revenue]]-Table1[[#This Row],[Disc_amount]]</f>
        <v>509.15</v>
      </c>
      <c r="P479" t="s">
        <v>26</v>
      </c>
      <c r="Q479" t="s">
        <v>34</v>
      </c>
    </row>
    <row r="480" spans="1:17">
      <c r="A480" t="s">
        <v>1032</v>
      </c>
      <c r="B480" s="1" t="s">
        <v>711</v>
      </c>
      <c r="C480" s="1" t="s">
        <v>839</v>
      </c>
      <c r="D480" s="1" t="s">
        <v>20</v>
      </c>
      <c r="E480" t="s">
        <v>964</v>
      </c>
      <c r="F480" t="s">
        <v>265</v>
      </c>
      <c r="G480" t="s">
        <v>45</v>
      </c>
      <c r="H480" t="s">
        <v>65</v>
      </c>
      <c r="I480" t="s">
        <v>98</v>
      </c>
      <c r="J480">
        <v>1</v>
      </c>
      <c r="K480">
        <v>499</v>
      </c>
      <c r="L480">
        <f>Table1[[#This Row],[Quantity]] * Table1[[#This Row],[UnitPrice]]</f>
        <v>499</v>
      </c>
      <c r="M480" s="25">
        <v>0</v>
      </c>
      <c r="N480">
        <f>Table1[[#This Row],[Revenue]]*Table1[[#This Row],[Discount%]]/100</f>
        <v>0</v>
      </c>
      <c r="O480" s="6">
        <f>Table1[[#This Row],[Revenue]]-Table1[[#This Row],[Disc_amount]]</f>
        <v>499</v>
      </c>
      <c r="P480" t="s">
        <v>52</v>
      </c>
      <c r="Q480" t="s">
        <v>27</v>
      </c>
    </row>
    <row r="481" spans="1:17">
      <c r="A481" t="s">
        <v>1033</v>
      </c>
      <c r="B481" s="1" t="s">
        <v>711</v>
      </c>
      <c r="C481" s="1" t="s">
        <v>839</v>
      </c>
      <c r="D481" s="1" t="s">
        <v>20</v>
      </c>
      <c r="E481" t="s">
        <v>202</v>
      </c>
      <c r="F481" t="s">
        <v>203</v>
      </c>
      <c r="G481" t="s">
        <v>31</v>
      </c>
      <c r="H481" t="s">
        <v>24</v>
      </c>
      <c r="I481" t="s">
        <v>32</v>
      </c>
      <c r="J481">
        <v>1</v>
      </c>
      <c r="K481">
        <v>199</v>
      </c>
      <c r="L481">
        <f>Table1[[#This Row],[Quantity]] * Table1[[#This Row],[UnitPrice]]</f>
        <v>199</v>
      </c>
      <c r="M481" s="25">
        <v>20</v>
      </c>
      <c r="N481">
        <f>Table1[[#This Row],[Revenue]]*Table1[[#This Row],[Discount%]]/100</f>
        <v>39.799999999999997</v>
      </c>
      <c r="O481" s="6">
        <f>Table1[[#This Row],[Revenue]]-Table1[[#This Row],[Disc_amount]]</f>
        <v>159.19999999999999</v>
      </c>
      <c r="P481" t="s">
        <v>52</v>
      </c>
      <c r="Q481" t="s">
        <v>27</v>
      </c>
    </row>
    <row r="482" spans="1:17">
      <c r="A482" t="s">
        <v>1034</v>
      </c>
      <c r="B482" s="1" t="s">
        <v>711</v>
      </c>
      <c r="C482" s="1" t="s">
        <v>839</v>
      </c>
      <c r="D482" s="1" t="s">
        <v>20</v>
      </c>
      <c r="E482" t="s">
        <v>289</v>
      </c>
      <c r="F482" t="s">
        <v>290</v>
      </c>
      <c r="G482" t="s">
        <v>45</v>
      </c>
      <c r="H482" t="s">
        <v>24</v>
      </c>
      <c r="I482" t="s">
        <v>25</v>
      </c>
      <c r="J482">
        <v>1</v>
      </c>
      <c r="K482">
        <v>99</v>
      </c>
      <c r="L482">
        <f>Table1[[#This Row],[Quantity]] * Table1[[#This Row],[UnitPrice]]</f>
        <v>99</v>
      </c>
      <c r="M482" s="25">
        <v>10</v>
      </c>
      <c r="N482">
        <f>Table1[[#This Row],[Revenue]]*Table1[[#This Row],[Discount%]]/100</f>
        <v>9.9</v>
      </c>
      <c r="O482" s="6">
        <f>Table1[[#This Row],[Revenue]]-Table1[[#This Row],[Disc_amount]]</f>
        <v>89.1</v>
      </c>
      <c r="P482" t="s">
        <v>26</v>
      </c>
      <c r="Q482" t="s">
        <v>27</v>
      </c>
    </row>
    <row r="483" spans="1:17">
      <c r="A483" t="s">
        <v>1035</v>
      </c>
      <c r="B483" s="1" t="s">
        <v>711</v>
      </c>
      <c r="C483" s="1" t="s">
        <v>839</v>
      </c>
      <c r="D483" s="1" t="s">
        <v>20</v>
      </c>
      <c r="E483" t="s">
        <v>693</v>
      </c>
      <c r="F483" t="s">
        <v>694</v>
      </c>
      <c r="G483" t="s">
        <v>23</v>
      </c>
      <c r="H483" t="s">
        <v>24</v>
      </c>
      <c r="I483" t="s">
        <v>25</v>
      </c>
      <c r="J483">
        <v>2</v>
      </c>
      <c r="K483">
        <v>99</v>
      </c>
      <c r="L483">
        <f>Table1[[#This Row],[Quantity]] * Table1[[#This Row],[UnitPrice]]</f>
        <v>198</v>
      </c>
      <c r="M483" s="25">
        <v>15</v>
      </c>
      <c r="N483">
        <f>Table1[[#This Row],[Revenue]]*Table1[[#This Row],[Discount%]]/100</f>
        <v>29.7</v>
      </c>
      <c r="O483" s="6">
        <f>Table1[[#This Row],[Revenue]]-Table1[[#This Row],[Disc_amount]]</f>
        <v>168.3</v>
      </c>
      <c r="P483" t="s">
        <v>26</v>
      </c>
      <c r="Q483" t="s">
        <v>27</v>
      </c>
    </row>
    <row r="484" spans="1:17">
      <c r="A484" t="s">
        <v>1036</v>
      </c>
      <c r="B484" s="1" t="s">
        <v>721</v>
      </c>
      <c r="C484" s="1" t="s">
        <v>839</v>
      </c>
      <c r="D484" s="1" t="s">
        <v>20</v>
      </c>
      <c r="E484" t="s">
        <v>365</v>
      </c>
      <c r="F484" t="s">
        <v>366</v>
      </c>
      <c r="G484" t="s">
        <v>31</v>
      </c>
      <c r="H484" t="s">
        <v>46</v>
      </c>
      <c r="I484" t="s">
        <v>154</v>
      </c>
      <c r="J484">
        <v>1</v>
      </c>
      <c r="K484">
        <v>299</v>
      </c>
      <c r="L484">
        <f>Table1[[#This Row],[Quantity]] * Table1[[#This Row],[UnitPrice]]</f>
        <v>299</v>
      </c>
      <c r="M484" s="25">
        <v>5</v>
      </c>
      <c r="N484">
        <f>Table1[[#This Row],[Revenue]]*Table1[[#This Row],[Discount%]]/100</f>
        <v>14.95</v>
      </c>
      <c r="O484" s="6">
        <f>Table1[[#This Row],[Revenue]]-Table1[[#This Row],[Disc_amount]]</f>
        <v>284.05</v>
      </c>
      <c r="P484" t="s">
        <v>33</v>
      </c>
      <c r="Q484" t="s">
        <v>34</v>
      </c>
    </row>
    <row r="485" spans="1:17">
      <c r="A485" t="s">
        <v>1037</v>
      </c>
      <c r="B485" s="1" t="s">
        <v>721</v>
      </c>
      <c r="C485" s="1" t="s">
        <v>839</v>
      </c>
      <c r="D485" s="1" t="s">
        <v>20</v>
      </c>
      <c r="E485" t="s">
        <v>1038</v>
      </c>
      <c r="F485" t="s">
        <v>245</v>
      </c>
      <c r="G485" t="s">
        <v>45</v>
      </c>
      <c r="H485" t="s">
        <v>108</v>
      </c>
      <c r="I485" t="s">
        <v>130</v>
      </c>
      <c r="J485">
        <v>1</v>
      </c>
      <c r="K485">
        <v>699</v>
      </c>
      <c r="L485">
        <f>Table1[[#This Row],[Quantity]] * Table1[[#This Row],[UnitPrice]]</f>
        <v>699</v>
      </c>
      <c r="M485" s="25">
        <v>10</v>
      </c>
      <c r="N485">
        <f>Table1[[#This Row],[Revenue]]*Table1[[#This Row],[Discount%]]/100</f>
        <v>69.900000000000006</v>
      </c>
      <c r="O485" s="6">
        <f>Table1[[#This Row],[Revenue]]-Table1[[#This Row],[Disc_amount]]</f>
        <v>629.1</v>
      </c>
      <c r="P485" t="s">
        <v>41</v>
      </c>
      <c r="Q485" t="s">
        <v>34</v>
      </c>
    </row>
    <row r="486" spans="1:17">
      <c r="A486" t="s">
        <v>1039</v>
      </c>
      <c r="B486" s="1" t="s">
        <v>721</v>
      </c>
      <c r="C486" s="1" t="s">
        <v>839</v>
      </c>
      <c r="D486" s="1" t="s">
        <v>20</v>
      </c>
      <c r="E486" t="s">
        <v>1040</v>
      </c>
      <c r="F486" t="s">
        <v>307</v>
      </c>
      <c r="G486" t="s">
        <v>23</v>
      </c>
      <c r="H486" t="s">
        <v>39</v>
      </c>
      <c r="I486" t="s">
        <v>51</v>
      </c>
      <c r="J486">
        <v>1</v>
      </c>
      <c r="K486">
        <v>2999</v>
      </c>
      <c r="L486">
        <f>Table1[[#This Row],[Quantity]] * Table1[[#This Row],[UnitPrice]]</f>
        <v>2999</v>
      </c>
      <c r="M486" s="25">
        <v>10</v>
      </c>
      <c r="N486">
        <f>Table1[[#This Row],[Revenue]]*Table1[[#This Row],[Discount%]]/100</f>
        <v>299.89999999999998</v>
      </c>
      <c r="O486" s="6">
        <f>Table1[[#This Row],[Revenue]]-Table1[[#This Row],[Disc_amount]]</f>
        <v>2699.1</v>
      </c>
      <c r="P486" t="s">
        <v>33</v>
      </c>
      <c r="Q486" t="s">
        <v>34</v>
      </c>
    </row>
    <row r="487" spans="1:17">
      <c r="A487" t="s">
        <v>1041</v>
      </c>
      <c r="B487" s="1" t="s">
        <v>721</v>
      </c>
      <c r="C487" s="1" t="s">
        <v>839</v>
      </c>
      <c r="D487" s="1" t="s">
        <v>20</v>
      </c>
      <c r="E487" t="s">
        <v>599</v>
      </c>
      <c r="F487" t="s">
        <v>600</v>
      </c>
      <c r="G487" t="s">
        <v>45</v>
      </c>
      <c r="H487" t="s">
        <v>65</v>
      </c>
      <c r="I487" t="s">
        <v>98</v>
      </c>
      <c r="J487">
        <v>1</v>
      </c>
      <c r="K487">
        <v>499</v>
      </c>
      <c r="L487">
        <f>Table1[[#This Row],[Quantity]] * Table1[[#This Row],[UnitPrice]]</f>
        <v>499</v>
      </c>
      <c r="M487" s="25">
        <v>0</v>
      </c>
      <c r="N487">
        <f>Table1[[#This Row],[Revenue]]*Table1[[#This Row],[Discount%]]/100</f>
        <v>0</v>
      </c>
      <c r="O487" s="6">
        <f>Table1[[#This Row],[Revenue]]-Table1[[#This Row],[Disc_amount]]</f>
        <v>499</v>
      </c>
      <c r="P487" t="s">
        <v>26</v>
      </c>
      <c r="Q487" t="s">
        <v>27</v>
      </c>
    </row>
    <row r="488" spans="1:17">
      <c r="A488" t="s">
        <v>1042</v>
      </c>
      <c r="B488" s="1" t="s">
        <v>721</v>
      </c>
      <c r="C488" s="1" t="s">
        <v>839</v>
      </c>
      <c r="D488" s="1" t="s">
        <v>20</v>
      </c>
      <c r="E488" t="s">
        <v>776</v>
      </c>
      <c r="F488" t="s">
        <v>153</v>
      </c>
      <c r="G488" t="s">
        <v>23</v>
      </c>
      <c r="H488" t="s">
        <v>46</v>
      </c>
      <c r="I488" t="s">
        <v>154</v>
      </c>
      <c r="J488">
        <v>2</v>
      </c>
      <c r="K488">
        <v>299</v>
      </c>
      <c r="L488">
        <f>Table1[[#This Row],[Quantity]] * Table1[[#This Row],[UnitPrice]]</f>
        <v>598</v>
      </c>
      <c r="M488" s="25">
        <v>20</v>
      </c>
      <c r="N488">
        <f>Table1[[#This Row],[Revenue]]*Table1[[#This Row],[Discount%]]/100</f>
        <v>119.6</v>
      </c>
      <c r="O488" s="6">
        <f>Table1[[#This Row],[Revenue]]-Table1[[#This Row],[Disc_amount]]</f>
        <v>478.4</v>
      </c>
      <c r="P488" t="s">
        <v>52</v>
      </c>
      <c r="Q488" t="s">
        <v>34</v>
      </c>
    </row>
    <row r="489" spans="1:17">
      <c r="A489" t="s">
        <v>1043</v>
      </c>
      <c r="B489" s="1" t="s">
        <v>721</v>
      </c>
      <c r="C489" s="1" t="s">
        <v>839</v>
      </c>
      <c r="D489" s="1" t="s">
        <v>20</v>
      </c>
      <c r="E489" t="s">
        <v>1044</v>
      </c>
      <c r="F489" t="s">
        <v>587</v>
      </c>
      <c r="G489" t="s">
        <v>23</v>
      </c>
      <c r="H489" t="s">
        <v>108</v>
      </c>
      <c r="I489" t="s">
        <v>130</v>
      </c>
      <c r="J489">
        <v>3</v>
      </c>
      <c r="K489">
        <v>699</v>
      </c>
      <c r="L489">
        <f>Table1[[#This Row],[Quantity]] * Table1[[#This Row],[UnitPrice]]</f>
        <v>2097</v>
      </c>
      <c r="M489" s="25">
        <v>15</v>
      </c>
      <c r="N489">
        <f>Table1[[#This Row],[Revenue]]*Table1[[#This Row],[Discount%]]/100</f>
        <v>314.55</v>
      </c>
      <c r="O489" s="6">
        <f>Table1[[#This Row],[Revenue]]-Table1[[#This Row],[Disc_amount]]</f>
        <v>1782.45</v>
      </c>
      <c r="P489" t="s">
        <v>86</v>
      </c>
      <c r="Q489" t="s">
        <v>27</v>
      </c>
    </row>
    <row r="490" spans="1:17">
      <c r="A490" t="s">
        <v>1045</v>
      </c>
      <c r="B490" s="1" t="s">
        <v>736</v>
      </c>
      <c r="C490" s="1" t="s">
        <v>839</v>
      </c>
      <c r="D490" s="1" t="s">
        <v>20</v>
      </c>
      <c r="E490" t="s">
        <v>328</v>
      </c>
      <c r="F490" t="s">
        <v>329</v>
      </c>
      <c r="G490" t="s">
        <v>31</v>
      </c>
      <c r="H490" t="s">
        <v>39</v>
      </c>
      <c r="I490" t="s">
        <v>140</v>
      </c>
      <c r="J490">
        <v>1</v>
      </c>
      <c r="K490">
        <v>1799</v>
      </c>
      <c r="L490">
        <f>Table1[[#This Row],[Quantity]] * Table1[[#This Row],[UnitPrice]]</f>
        <v>1799</v>
      </c>
      <c r="M490" s="25">
        <v>0</v>
      </c>
      <c r="N490">
        <f>Table1[[#This Row],[Revenue]]*Table1[[#This Row],[Discount%]]/100</f>
        <v>0</v>
      </c>
      <c r="O490" s="6">
        <f>Table1[[#This Row],[Revenue]]-Table1[[#This Row],[Disc_amount]]</f>
        <v>1799</v>
      </c>
      <c r="P490" t="s">
        <v>33</v>
      </c>
      <c r="Q490" t="s">
        <v>27</v>
      </c>
    </row>
    <row r="491" spans="1:17">
      <c r="A491" t="s">
        <v>1046</v>
      </c>
      <c r="B491" s="1" t="s">
        <v>736</v>
      </c>
      <c r="C491" s="1" t="s">
        <v>839</v>
      </c>
      <c r="D491" s="1" t="s">
        <v>20</v>
      </c>
      <c r="E491" t="s">
        <v>701</v>
      </c>
      <c r="F491" t="s">
        <v>379</v>
      </c>
      <c r="G491" t="s">
        <v>38</v>
      </c>
      <c r="H491" t="s">
        <v>65</v>
      </c>
      <c r="I491" t="s">
        <v>94</v>
      </c>
      <c r="J491">
        <v>4</v>
      </c>
      <c r="K491">
        <v>899</v>
      </c>
      <c r="L491">
        <f>Table1[[#This Row],[Quantity]] * Table1[[#This Row],[UnitPrice]]</f>
        <v>3596</v>
      </c>
      <c r="M491" s="25">
        <v>10</v>
      </c>
      <c r="N491">
        <f>Table1[[#This Row],[Revenue]]*Table1[[#This Row],[Discount%]]/100</f>
        <v>359.6</v>
      </c>
      <c r="O491" s="6">
        <f>Table1[[#This Row],[Revenue]]-Table1[[#This Row],[Disc_amount]]</f>
        <v>3236.4</v>
      </c>
      <c r="P491" t="s">
        <v>41</v>
      </c>
      <c r="Q491" t="s">
        <v>34</v>
      </c>
    </row>
    <row r="492" spans="1:17">
      <c r="A492" t="s">
        <v>1047</v>
      </c>
      <c r="B492" s="1" t="s">
        <v>736</v>
      </c>
      <c r="C492" s="1" t="s">
        <v>839</v>
      </c>
      <c r="D492" s="1" t="s">
        <v>20</v>
      </c>
      <c r="E492" t="s">
        <v>968</v>
      </c>
      <c r="F492" t="s">
        <v>907</v>
      </c>
      <c r="G492" t="s">
        <v>31</v>
      </c>
      <c r="H492" t="s">
        <v>39</v>
      </c>
      <c r="I492" t="s">
        <v>140</v>
      </c>
      <c r="J492">
        <v>2</v>
      </c>
      <c r="K492">
        <v>1799</v>
      </c>
      <c r="L492">
        <f>Table1[[#This Row],[Quantity]] * Table1[[#This Row],[UnitPrice]]</f>
        <v>3598</v>
      </c>
      <c r="M492" s="25">
        <v>0</v>
      </c>
      <c r="N492">
        <f>Table1[[#This Row],[Revenue]]*Table1[[#This Row],[Discount%]]/100</f>
        <v>0</v>
      </c>
      <c r="O492" s="6">
        <f>Table1[[#This Row],[Revenue]]-Table1[[#This Row],[Disc_amount]]</f>
        <v>3598</v>
      </c>
      <c r="P492" t="s">
        <v>41</v>
      </c>
      <c r="Q492" t="s">
        <v>34</v>
      </c>
    </row>
    <row r="493" spans="1:17">
      <c r="A493" t="s">
        <v>1048</v>
      </c>
      <c r="B493" s="1" t="s">
        <v>736</v>
      </c>
      <c r="C493" s="1" t="s">
        <v>839</v>
      </c>
      <c r="D493" s="1" t="s">
        <v>20</v>
      </c>
      <c r="E493" t="s">
        <v>1049</v>
      </c>
      <c r="F493" t="s">
        <v>415</v>
      </c>
      <c r="G493" t="s">
        <v>56</v>
      </c>
      <c r="H493" t="s">
        <v>108</v>
      </c>
      <c r="I493" t="s">
        <v>109</v>
      </c>
      <c r="J493">
        <v>3</v>
      </c>
      <c r="K493">
        <v>1499</v>
      </c>
      <c r="L493">
        <f>Table1[[#This Row],[Quantity]] * Table1[[#This Row],[UnitPrice]]</f>
        <v>4497</v>
      </c>
      <c r="M493" s="25">
        <v>0</v>
      </c>
      <c r="N493">
        <f>Table1[[#This Row],[Revenue]]*Table1[[#This Row],[Discount%]]/100</f>
        <v>0</v>
      </c>
      <c r="O493" s="6">
        <f>Table1[[#This Row],[Revenue]]-Table1[[#This Row],[Disc_amount]]</f>
        <v>4497</v>
      </c>
      <c r="P493" t="s">
        <v>41</v>
      </c>
      <c r="Q493" t="s">
        <v>34</v>
      </c>
    </row>
    <row r="494" spans="1:17">
      <c r="A494" t="s">
        <v>1050</v>
      </c>
      <c r="B494" s="1" t="s">
        <v>736</v>
      </c>
      <c r="C494" s="1" t="s">
        <v>839</v>
      </c>
      <c r="D494" s="1" t="s">
        <v>20</v>
      </c>
      <c r="E494" t="s">
        <v>1051</v>
      </c>
      <c r="F494" t="s">
        <v>462</v>
      </c>
      <c r="G494" t="s">
        <v>31</v>
      </c>
      <c r="H494" t="s">
        <v>57</v>
      </c>
      <c r="I494" t="s">
        <v>62</v>
      </c>
      <c r="J494">
        <v>2</v>
      </c>
      <c r="K494">
        <v>799</v>
      </c>
      <c r="L494">
        <f>Table1[[#This Row],[Quantity]] * Table1[[#This Row],[UnitPrice]]</f>
        <v>1598</v>
      </c>
      <c r="M494" s="25">
        <v>10</v>
      </c>
      <c r="N494">
        <f>Table1[[#This Row],[Revenue]]*Table1[[#This Row],[Discount%]]/100</f>
        <v>159.80000000000001</v>
      </c>
      <c r="O494" s="6">
        <f>Table1[[#This Row],[Revenue]]-Table1[[#This Row],[Disc_amount]]</f>
        <v>1438.2</v>
      </c>
      <c r="P494" t="s">
        <v>41</v>
      </c>
      <c r="Q494" t="s">
        <v>34</v>
      </c>
    </row>
    <row r="495" spans="1:17">
      <c r="A495" t="s">
        <v>1052</v>
      </c>
      <c r="B495" s="1" t="s">
        <v>736</v>
      </c>
      <c r="C495" s="1" t="s">
        <v>839</v>
      </c>
      <c r="D495" s="1" t="s">
        <v>20</v>
      </c>
      <c r="E495" t="s">
        <v>433</v>
      </c>
      <c r="F495" t="s">
        <v>434</v>
      </c>
      <c r="G495" t="s">
        <v>45</v>
      </c>
      <c r="H495" t="s">
        <v>39</v>
      </c>
      <c r="I495" t="s">
        <v>140</v>
      </c>
      <c r="J495">
        <v>1</v>
      </c>
      <c r="K495">
        <v>1799</v>
      </c>
      <c r="L495">
        <f>Table1[[#This Row],[Quantity]] * Table1[[#This Row],[UnitPrice]]</f>
        <v>1799</v>
      </c>
      <c r="M495" s="25">
        <v>0</v>
      </c>
      <c r="N495">
        <f>Table1[[#This Row],[Revenue]]*Table1[[#This Row],[Discount%]]/100</f>
        <v>0</v>
      </c>
      <c r="O495" s="6">
        <f>Table1[[#This Row],[Revenue]]-Table1[[#This Row],[Disc_amount]]</f>
        <v>1799</v>
      </c>
      <c r="P495" t="s">
        <v>26</v>
      </c>
      <c r="Q495" t="s">
        <v>34</v>
      </c>
    </row>
    <row r="496" spans="1:17">
      <c r="A496" t="s">
        <v>1053</v>
      </c>
      <c r="B496" s="1" t="s">
        <v>736</v>
      </c>
      <c r="C496" s="1" t="s">
        <v>839</v>
      </c>
      <c r="D496" s="1" t="s">
        <v>20</v>
      </c>
      <c r="E496" t="s">
        <v>747</v>
      </c>
      <c r="F496" t="s">
        <v>748</v>
      </c>
      <c r="G496" t="s">
        <v>56</v>
      </c>
      <c r="H496" t="s">
        <v>57</v>
      </c>
      <c r="I496" t="s">
        <v>62</v>
      </c>
      <c r="J496">
        <v>1</v>
      </c>
      <c r="K496">
        <v>799</v>
      </c>
      <c r="L496">
        <f>Table1[[#This Row],[Quantity]] * Table1[[#This Row],[UnitPrice]]</f>
        <v>799</v>
      </c>
      <c r="M496" s="25">
        <v>5</v>
      </c>
      <c r="N496">
        <f>Table1[[#This Row],[Revenue]]*Table1[[#This Row],[Discount%]]/100</f>
        <v>39.950000000000003</v>
      </c>
      <c r="O496" s="6">
        <f>Table1[[#This Row],[Revenue]]-Table1[[#This Row],[Disc_amount]]</f>
        <v>759.05</v>
      </c>
      <c r="P496" t="s">
        <v>26</v>
      </c>
      <c r="Q496" t="s">
        <v>27</v>
      </c>
    </row>
    <row r="497" spans="1:17">
      <c r="A497" t="s">
        <v>1054</v>
      </c>
      <c r="B497" s="1" t="s">
        <v>736</v>
      </c>
      <c r="C497" s="1" t="s">
        <v>839</v>
      </c>
      <c r="D497" s="1" t="s">
        <v>20</v>
      </c>
      <c r="E497" t="s">
        <v>565</v>
      </c>
      <c r="F497" t="s">
        <v>203</v>
      </c>
      <c r="G497" t="s">
        <v>56</v>
      </c>
      <c r="H497" t="s">
        <v>108</v>
      </c>
      <c r="I497" t="s">
        <v>130</v>
      </c>
      <c r="J497">
        <v>1</v>
      </c>
      <c r="K497">
        <v>699</v>
      </c>
      <c r="L497">
        <f>Table1[[#This Row],[Quantity]] * Table1[[#This Row],[UnitPrice]]</f>
        <v>699</v>
      </c>
      <c r="M497" s="25">
        <v>20</v>
      </c>
      <c r="N497">
        <f>Table1[[#This Row],[Revenue]]*Table1[[#This Row],[Discount%]]/100</f>
        <v>139.80000000000001</v>
      </c>
      <c r="O497" s="6">
        <f>Table1[[#This Row],[Revenue]]-Table1[[#This Row],[Disc_amount]]</f>
        <v>559.20000000000005</v>
      </c>
      <c r="P497" t="s">
        <v>33</v>
      </c>
      <c r="Q497" t="s">
        <v>27</v>
      </c>
    </row>
    <row r="498" spans="1:17">
      <c r="A498" t="s">
        <v>1055</v>
      </c>
      <c r="B498" s="1" t="s">
        <v>752</v>
      </c>
      <c r="C498" s="1" t="s">
        <v>839</v>
      </c>
      <c r="D498" s="1" t="s">
        <v>20</v>
      </c>
      <c r="E498" t="s">
        <v>1056</v>
      </c>
      <c r="F498" t="s">
        <v>61</v>
      </c>
      <c r="G498" t="s">
        <v>31</v>
      </c>
      <c r="H498" t="s">
        <v>46</v>
      </c>
      <c r="I498" t="s">
        <v>154</v>
      </c>
      <c r="J498">
        <v>2</v>
      </c>
      <c r="K498">
        <v>299</v>
      </c>
      <c r="L498">
        <f>Table1[[#This Row],[Quantity]] * Table1[[#This Row],[UnitPrice]]</f>
        <v>598</v>
      </c>
      <c r="M498" s="25">
        <v>5</v>
      </c>
      <c r="N498">
        <f>Table1[[#This Row],[Revenue]]*Table1[[#This Row],[Discount%]]/100</f>
        <v>29.9</v>
      </c>
      <c r="O498" s="6">
        <f>Table1[[#This Row],[Revenue]]-Table1[[#This Row],[Disc_amount]]</f>
        <v>568.1</v>
      </c>
      <c r="P498" t="s">
        <v>52</v>
      </c>
      <c r="Q498" t="s">
        <v>34</v>
      </c>
    </row>
    <row r="499" spans="1:17">
      <c r="A499" t="s">
        <v>1057</v>
      </c>
      <c r="B499" s="1" t="s">
        <v>752</v>
      </c>
      <c r="C499" s="1" t="s">
        <v>839</v>
      </c>
      <c r="D499" s="1" t="s">
        <v>20</v>
      </c>
      <c r="E499" t="s">
        <v>120</v>
      </c>
      <c r="F499" t="s">
        <v>107</v>
      </c>
      <c r="G499" t="s">
        <v>31</v>
      </c>
      <c r="H499" t="s">
        <v>39</v>
      </c>
      <c r="I499" t="s">
        <v>51</v>
      </c>
      <c r="J499">
        <v>2</v>
      </c>
      <c r="K499">
        <v>2999</v>
      </c>
      <c r="L499">
        <f>Table1[[#This Row],[Quantity]] * Table1[[#This Row],[UnitPrice]]</f>
        <v>5998</v>
      </c>
      <c r="M499" s="25">
        <v>5</v>
      </c>
      <c r="N499">
        <f>Table1[[#This Row],[Revenue]]*Table1[[#This Row],[Discount%]]/100</f>
        <v>299.89999999999998</v>
      </c>
      <c r="O499" s="6">
        <f>Table1[[#This Row],[Revenue]]-Table1[[#This Row],[Disc_amount]]</f>
        <v>5698.1</v>
      </c>
      <c r="P499" t="s">
        <v>41</v>
      </c>
      <c r="Q499" t="s">
        <v>34</v>
      </c>
    </row>
    <row r="500" spans="1:17">
      <c r="A500" t="s">
        <v>1058</v>
      </c>
      <c r="B500" s="1" t="s">
        <v>752</v>
      </c>
      <c r="C500" s="1" t="s">
        <v>839</v>
      </c>
      <c r="D500" s="1" t="s">
        <v>20</v>
      </c>
      <c r="E500" t="s">
        <v>970</v>
      </c>
      <c r="F500" t="s">
        <v>971</v>
      </c>
      <c r="G500" t="s">
        <v>38</v>
      </c>
      <c r="H500" t="s">
        <v>65</v>
      </c>
      <c r="I500" t="s">
        <v>94</v>
      </c>
      <c r="J500">
        <v>1</v>
      </c>
      <c r="K500">
        <v>899</v>
      </c>
      <c r="L500">
        <f>Table1[[#This Row],[Quantity]] * Table1[[#This Row],[UnitPrice]]</f>
        <v>899</v>
      </c>
      <c r="M500" s="25">
        <v>5</v>
      </c>
      <c r="N500">
        <f>Table1[[#This Row],[Revenue]]*Table1[[#This Row],[Discount%]]/100</f>
        <v>44.95</v>
      </c>
      <c r="O500" s="6">
        <f>Table1[[#This Row],[Revenue]]-Table1[[#This Row],[Disc_amount]]</f>
        <v>854.05</v>
      </c>
      <c r="P500" t="s">
        <v>33</v>
      </c>
      <c r="Q500" t="s">
        <v>27</v>
      </c>
    </row>
    <row r="501" spans="1:17">
      <c r="A501" t="s">
        <v>1059</v>
      </c>
      <c r="B501" s="1" t="s">
        <v>752</v>
      </c>
      <c r="C501" s="1" t="s">
        <v>839</v>
      </c>
      <c r="D501" s="1" t="s">
        <v>20</v>
      </c>
      <c r="E501" t="s">
        <v>875</v>
      </c>
      <c r="F501" t="s">
        <v>876</v>
      </c>
      <c r="G501" t="s">
        <v>45</v>
      </c>
      <c r="H501" t="s">
        <v>57</v>
      </c>
      <c r="I501" t="s">
        <v>58</v>
      </c>
      <c r="J501">
        <v>2</v>
      </c>
      <c r="K501">
        <v>1299</v>
      </c>
      <c r="L501">
        <f>Table1[[#This Row],[Quantity]] * Table1[[#This Row],[UnitPrice]]</f>
        <v>2598</v>
      </c>
      <c r="M501" s="25">
        <v>0</v>
      </c>
      <c r="N501">
        <f>Table1[[#This Row],[Revenue]]*Table1[[#This Row],[Discount%]]/100</f>
        <v>0</v>
      </c>
      <c r="O501" s="6">
        <f>Table1[[#This Row],[Revenue]]-Table1[[#This Row],[Disc_amount]]</f>
        <v>2598</v>
      </c>
      <c r="P501" t="s">
        <v>33</v>
      </c>
      <c r="Q501" t="s">
        <v>27</v>
      </c>
    </row>
    <row r="502" spans="1:17">
      <c r="A502" t="s">
        <v>1060</v>
      </c>
      <c r="B502" s="1" t="s">
        <v>752</v>
      </c>
      <c r="C502" s="1" t="s">
        <v>839</v>
      </c>
      <c r="D502" s="1" t="s">
        <v>20</v>
      </c>
      <c r="E502" t="s">
        <v>1061</v>
      </c>
      <c r="F502" t="s">
        <v>1062</v>
      </c>
      <c r="G502" t="s">
        <v>23</v>
      </c>
      <c r="H502" t="s">
        <v>70</v>
      </c>
      <c r="I502" t="s">
        <v>71</v>
      </c>
      <c r="J502">
        <v>1</v>
      </c>
      <c r="K502">
        <v>349</v>
      </c>
      <c r="L502">
        <f>Table1[[#This Row],[Quantity]] * Table1[[#This Row],[UnitPrice]]</f>
        <v>349</v>
      </c>
      <c r="M502" s="25">
        <v>0</v>
      </c>
      <c r="N502">
        <f>Table1[[#This Row],[Revenue]]*Table1[[#This Row],[Discount%]]/100</f>
        <v>0</v>
      </c>
      <c r="O502" s="6">
        <f>Table1[[#This Row],[Revenue]]-Table1[[#This Row],[Disc_amount]]</f>
        <v>349</v>
      </c>
      <c r="P502" t="s">
        <v>33</v>
      </c>
      <c r="Q502" t="s">
        <v>27</v>
      </c>
    </row>
    <row r="503" spans="1:17">
      <c r="A503" t="s">
        <v>1063</v>
      </c>
      <c r="B503" s="1" t="s">
        <v>752</v>
      </c>
      <c r="C503" s="1" t="s">
        <v>839</v>
      </c>
      <c r="D503" s="1" t="s">
        <v>20</v>
      </c>
      <c r="E503" t="s">
        <v>1064</v>
      </c>
      <c r="F503" t="s">
        <v>183</v>
      </c>
      <c r="G503" t="s">
        <v>45</v>
      </c>
      <c r="H503" t="s">
        <v>39</v>
      </c>
      <c r="I503" t="s">
        <v>40</v>
      </c>
      <c r="J503">
        <v>2</v>
      </c>
      <c r="K503">
        <v>599</v>
      </c>
      <c r="L503">
        <f>Table1[[#This Row],[Quantity]] * Table1[[#This Row],[UnitPrice]]</f>
        <v>1198</v>
      </c>
      <c r="M503" s="25">
        <v>20</v>
      </c>
      <c r="N503">
        <f>Table1[[#This Row],[Revenue]]*Table1[[#This Row],[Discount%]]/100</f>
        <v>239.6</v>
      </c>
      <c r="O503" s="6">
        <f>Table1[[#This Row],[Revenue]]-Table1[[#This Row],[Disc_amount]]</f>
        <v>958.4</v>
      </c>
      <c r="P503" t="s">
        <v>33</v>
      </c>
      <c r="Q503" t="s">
        <v>34</v>
      </c>
    </row>
    <row r="504" spans="1:17">
      <c r="A504" t="s">
        <v>1065</v>
      </c>
      <c r="B504" s="1" t="s">
        <v>752</v>
      </c>
      <c r="C504" s="1" t="s">
        <v>839</v>
      </c>
      <c r="D504" s="1" t="s">
        <v>20</v>
      </c>
      <c r="E504" t="s">
        <v>1066</v>
      </c>
      <c r="F504" t="s">
        <v>143</v>
      </c>
      <c r="G504" t="s">
        <v>38</v>
      </c>
      <c r="H504" t="s">
        <v>65</v>
      </c>
      <c r="I504" t="s">
        <v>94</v>
      </c>
      <c r="J504">
        <v>1</v>
      </c>
      <c r="K504">
        <v>899</v>
      </c>
      <c r="L504">
        <f>Table1[[#This Row],[Quantity]] * Table1[[#This Row],[UnitPrice]]</f>
        <v>899</v>
      </c>
      <c r="M504" s="25">
        <v>0</v>
      </c>
      <c r="N504">
        <f>Table1[[#This Row],[Revenue]]*Table1[[#This Row],[Discount%]]/100</f>
        <v>0</v>
      </c>
      <c r="O504" s="6">
        <f>Table1[[#This Row],[Revenue]]-Table1[[#This Row],[Disc_amount]]</f>
        <v>899</v>
      </c>
      <c r="P504" t="s">
        <v>26</v>
      </c>
      <c r="Q504" t="s">
        <v>27</v>
      </c>
    </row>
    <row r="505" spans="1:17">
      <c r="A505" t="s">
        <v>1067</v>
      </c>
      <c r="B505" s="1" t="s">
        <v>752</v>
      </c>
      <c r="C505" s="1" t="s">
        <v>839</v>
      </c>
      <c r="D505" s="1" t="s">
        <v>20</v>
      </c>
      <c r="E505" t="s">
        <v>449</v>
      </c>
      <c r="F505" t="s">
        <v>450</v>
      </c>
      <c r="G505" t="s">
        <v>56</v>
      </c>
      <c r="H505" t="s">
        <v>65</v>
      </c>
      <c r="I505" t="s">
        <v>94</v>
      </c>
      <c r="J505">
        <v>2</v>
      </c>
      <c r="K505">
        <v>899</v>
      </c>
      <c r="L505">
        <f>Table1[[#This Row],[Quantity]] * Table1[[#This Row],[UnitPrice]]</f>
        <v>1798</v>
      </c>
      <c r="M505" s="25">
        <v>15</v>
      </c>
      <c r="N505">
        <f>Table1[[#This Row],[Revenue]]*Table1[[#This Row],[Discount%]]/100</f>
        <v>269.7</v>
      </c>
      <c r="O505" s="6">
        <f>Table1[[#This Row],[Revenue]]-Table1[[#This Row],[Disc_amount]]</f>
        <v>1528.3</v>
      </c>
      <c r="P505" t="s">
        <v>86</v>
      </c>
      <c r="Q505" t="s">
        <v>34</v>
      </c>
    </row>
    <row r="506" spans="1:17">
      <c r="A506" t="s">
        <v>1068</v>
      </c>
      <c r="B506" s="1" t="s">
        <v>765</v>
      </c>
      <c r="C506" s="1" t="s">
        <v>839</v>
      </c>
      <c r="D506" s="1" t="s">
        <v>20</v>
      </c>
      <c r="E506" t="s">
        <v>1069</v>
      </c>
      <c r="F506" t="s">
        <v>338</v>
      </c>
      <c r="G506" t="s">
        <v>45</v>
      </c>
      <c r="H506" t="s">
        <v>57</v>
      </c>
      <c r="I506" t="s">
        <v>58</v>
      </c>
      <c r="J506">
        <v>2</v>
      </c>
      <c r="K506">
        <v>1299</v>
      </c>
      <c r="L506">
        <f>Table1[[#This Row],[Quantity]] * Table1[[#This Row],[UnitPrice]]</f>
        <v>2598</v>
      </c>
      <c r="M506" s="25">
        <v>20</v>
      </c>
      <c r="N506">
        <f>Table1[[#This Row],[Revenue]]*Table1[[#This Row],[Discount%]]/100</f>
        <v>519.6</v>
      </c>
      <c r="O506" s="6">
        <f>Table1[[#This Row],[Revenue]]-Table1[[#This Row],[Disc_amount]]</f>
        <v>2078.4</v>
      </c>
      <c r="P506" t="s">
        <v>26</v>
      </c>
      <c r="Q506" t="s">
        <v>27</v>
      </c>
    </row>
    <row r="507" spans="1:17">
      <c r="A507" t="s">
        <v>1070</v>
      </c>
      <c r="B507" s="1" t="s">
        <v>765</v>
      </c>
      <c r="C507" s="1" t="s">
        <v>839</v>
      </c>
      <c r="D507" s="1" t="s">
        <v>20</v>
      </c>
      <c r="E507" t="s">
        <v>1071</v>
      </c>
      <c r="F507" t="s">
        <v>118</v>
      </c>
      <c r="G507" t="s">
        <v>56</v>
      </c>
      <c r="H507" t="s">
        <v>65</v>
      </c>
      <c r="I507" t="s">
        <v>66</v>
      </c>
      <c r="J507">
        <v>1</v>
      </c>
      <c r="K507">
        <v>1999</v>
      </c>
      <c r="L507">
        <f>Table1[[#This Row],[Quantity]] * Table1[[#This Row],[UnitPrice]]</f>
        <v>1999</v>
      </c>
      <c r="M507" s="25">
        <v>0</v>
      </c>
      <c r="N507">
        <f>Table1[[#This Row],[Revenue]]*Table1[[#This Row],[Discount%]]/100</f>
        <v>0</v>
      </c>
      <c r="O507" s="6">
        <f>Table1[[#This Row],[Revenue]]-Table1[[#This Row],[Disc_amount]]</f>
        <v>1999</v>
      </c>
      <c r="P507" t="s">
        <v>26</v>
      </c>
      <c r="Q507" t="s">
        <v>34</v>
      </c>
    </row>
    <row r="508" spans="1:17">
      <c r="A508" t="s">
        <v>1072</v>
      </c>
      <c r="B508" s="1" t="s">
        <v>765</v>
      </c>
      <c r="C508" s="1" t="s">
        <v>839</v>
      </c>
      <c r="D508" s="1" t="s">
        <v>20</v>
      </c>
      <c r="E508" t="s">
        <v>396</v>
      </c>
      <c r="F508" t="s">
        <v>323</v>
      </c>
      <c r="G508" t="s">
        <v>45</v>
      </c>
      <c r="H508" t="s">
        <v>46</v>
      </c>
      <c r="I508" t="s">
        <v>154</v>
      </c>
      <c r="J508">
        <v>1</v>
      </c>
      <c r="K508">
        <v>299</v>
      </c>
      <c r="L508">
        <f>Table1[[#This Row],[Quantity]] * Table1[[#This Row],[UnitPrice]]</f>
        <v>299</v>
      </c>
      <c r="M508" s="25">
        <v>20</v>
      </c>
      <c r="N508">
        <f>Table1[[#This Row],[Revenue]]*Table1[[#This Row],[Discount%]]/100</f>
        <v>59.8</v>
      </c>
      <c r="O508" s="6">
        <f>Table1[[#This Row],[Revenue]]-Table1[[#This Row],[Disc_amount]]</f>
        <v>239.2</v>
      </c>
      <c r="P508" t="s">
        <v>41</v>
      </c>
      <c r="Q508" t="s">
        <v>27</v>
      </c>
    </row>
    <row r="509" spans="1:17">
      <c r="A509" t="s">
        <v>1073</v>
      </c>
      <c r="B509" s="1" t="s">
        <v>765</v>
      </c>
      <c r="C509" s="1" t="s">
        <v>839</v>
      </c>
      <c r="D509" s="1" t="s">
        <v>20</v>
      </c>
      <c r="E509" t="s">
        <v>190</v>
      </c>
      <c r="F509" t="s">
        <v>191</v>
      </c>
      <c r="G509" t="s">
        <v>23</v>
      </c>
      <c r="H509" t="s">
        <v>24</v>
      </c>
      <c r="I509" t="s">
        <v>32</v>
      </c>
      <c r="J509">
        <v>1</v>
      </c>
      <c r="K509">
        <v>199</v>
      </c>
      <c r="L509">
        <f>Table1[[#This Row],[Quantity]] * Table1[[#This Row],[UnitPrice]]</f>
        <v>199</v>
      </c>
      <c r="M509" s="25">
        <v>20</v>
      </c>
      <c r="N509">
        <f>Table1[[#This Row],[Revenue]]*Table1[[#This Row],[Discount%]]/100</f>
        <v>39.799999999999997</v>
      </c>
      <c r="O509" s="6">
        <f>Table1[[#This Row],[Revenue]]-Table1[[#This Row],[Disc_amount]]</f>
        <v>159.19999999999999</v>
      </c>
      <c r="P509" t="s">
        <v>33</v>
      </c>
      <c r="Q509" t="s">
        <v>27</v>
      </c>
    </row>
    <row r="510" spans="1:17">
      <c r="A510" t="s">
        <v>1074</v>
      </c>
      <c r="B510" s="1" t="s">
        <v>765</v>
      </c>
      <c r="C510" s="1" t="s">
        <v>839</v>
      </c>
      <c r="D510" s="1" t="s">
        <v>20</v>
      </c>
      <c r="E510" t="s">
        <v>1075</v>
      </c>
      <c r="F510" t="s">
        <v>150</v>
      </c>
      <c r="G510" t="s">
        <v>56</v>
      </c>
      <c r="H510" t="s">
        <v>39</v>
      </c>
      <c r="I510" t="s">
        <v>40</v>
      </c>
      <c r="J510">
        <v>1</v>
      </c>
      <c r="K510">
        <v>599</v>
      </c>
      <c r="L510">
        <f>Table1[[#This Row],[Quantity]] * Table1[[#This Row],[UnitPrice]]</f>
        <v>599</v>
      </c>
      <c r="M510" s="25">
        <v>0</v>
      </c>
      <c r="N510">
        <f>Table1[[#This Row],[Revenue]]*Table1[[#This Row],[Discount%]]/100</f>
        <v>0</v>
      </c>
      <c r="O510" s="6">
        <f>Table1[[#This Row],[Revenue]]-Table1[[#This Row],[Disc_amount]]</f>
        <v>599</v>
      </c>
      <c r="P510" t="s">
        <v>52</v>
      </c>
      <c r="Q510" t="s">
        <v>27</v>
      </c>
    </row>
    <row r="511" spans="1:17">
      <c r="A511" t="s">
        <v>1076</v>
      </c>
      <c r="B511" s="1" t="s">
        <v>765</v>
      </c>
      <c r="C511" s="1" t="s">
        <v>839</v>
      </c>
      <c r="D511" s="1" t="s">
        <v>20</v>
      </c>
      <c r="E511" t="s">
        <v>79</v>
      </c>
      <c r="F511" t="s">
        <v>80</v>
      </c>
      <c r="G511" t="s">
        <v>31</v>
      </c>
      <c r="H511" t="s">
        <v>65</v>
      </c>
      <c r="I511" t="s">
        <v>66</v>
      </c>
      <c r="J511">
        <v>1</v>
      </c>
      <c r="K511">
        <v>1999</v>
      </c>
      <c r="L511">
        <f>Table1[[#This Row],[Quantity]] * Table1[[#This Row],[UnitPrice]]</f>
        <v>1999</v>
      </c>
      <c r="M511" s="25">
        <v>0</v>
      </c>
      <c r="N511">
        <f>Table1[[#This Row],[Revenue]]*Table1[[#This Row],[Discount%]]/100</f>
        <v>0</v>
      </c>
      <c r="O511" s="6">
        <f>Table1[[#This Row],[Revenue]]-Table1[[#This Row],[Disc_amount]]</f>
        <v>1999</v>
      </c>
      <c r="P511" t="s">
        <v>26</v>
      </c>
      <c r="Q511" t="s">
        <v>27</v>
      </c>
    </row>
    <row r="512" spans="1:17">
      <c r="A512" t="s">
        <v>1077</v>
      </c>
      <c r="B512" s="1" t="s">
        <v>765</v>
      </c>
      <c r="C512" s="1" t="s">
        <v>839</v>
      </c>
      <c r="D512" s="1" t="s">
        <v>20</v>
      </c>
      <c r="E512" t="s">
        <v>178</v>
      </c>
      <c r="F512" t="s">
        <v>179</v>
      </c>
      <c r="G512" t="s">
        <v>23</v>
      </c>
      <c r="H512" t="s">
        <v>39</v>
      </c>
      <c r="I512" t="s">
        <v>40</v>
      </c>
      <c r="J512">
        <v>5</v>
      </c>
      <c r="K512">
        <v>599</v>
      </c>
      <c r="L512">
        <f>Table1[[#This Row],[Quantity]] * Table1[[#This Row],[UnitPrice]]</f>
        <v>2995</v>
      </c>
      <c r="M512" s="25">
        <v>5</v>
      </c>
      <c r="N512">
        <f>Table1[[#This Row],[Revenue]]*Table1[[#This Row],[Discount%]]/100</f>
        <v>149.75</v>
      </c>
      <c r="O512" s="6">
        <f>Table1[[#This Row],[Revenue]]-Table1[[#This Row],[Disc_amount]]</f>
        <v>2845.25</v>
      </c>
      <c r="P512" t="s">
        <v>26</v>
      </c>
      <c r="Q512" t="s">
        <v>27</v>
      </c>
    </row>
    <row r="513" spans="1:17">
      <c r="A513" t="s">
        <v>1078</v>
      </c>
      <c r="B513" s="1" t="s">
        <v>765</v>
      </c>
      <c r="C513" s="1" t="s">
        <v>839</v>
      </c>
      <c r="D513" s="1" t="s">
        <v>20</v>
      </c>
      <c r="E513" t="s">
        <v>586</v>
      </c>
      <c r="F513" t="s">
        <v>587</v>
      </c>
      <c r="G513" t="s">
        <v>31</v>
      </c>
      <c r="H513" t="s">
        <v>57</v>
      </c>
      <c r="I513" t="s">
        <v>58</v>
      </c>
      <c r="J513">
        <v>3</v>
      </c>
      <c r="K513">
        <v>1299</v>
      </c>
      <c r="L513">
        <f>Table1[[#This Row],[Quantity]] * Table1[[#This Row],[UnitPrice]]</f>
        <v>3897</v>
      </c>
      <c r="M513" s="25">
        <v>0</v>
      </c>
      <c r="N513">
        <f>Table1[[#This Row],[Revenue]]*Table1[[#This Row],[Discount%]]/100</f>
        <v>0</v>
      </c>
      <c r="O513" s="6">
        <f>Table1[[#This Row],[Revenue]]-Table1[[#This Row],[Disc_amount]]</f>
        <v>3897</v>
      </c>
      <c r="P513" t="s">
        <v>41</v>
      </c>
      <c r="Q513" t="s">
        <v>34</v>
      </c>
    </row>
    <row r="514" spans="1:17">
      <c r="A514" t="s">
        <v>1079</v>
      </c>
      <c r="B514" s="1" t="s">
        <v>765</v>
      </c>
      <c r="C514" s="1" t="s">
        <v>839</v>
      </c>
      <c r="D514" s="1" t="s">
        <v>20</v>
      </c>
      <c r="E514" t="s">
        <v>54</v>
      </c>
      <c r="F514" t="s">
        <v>55</v>
      </c>
      <c r="G514" t="s">
        <v>38</v>
      </c>
      <c r="H514" t="s">
        <v>24</v>
      </c>
      <c r="I514" t="s">
        <v>25</v>
      </c>
      <c r="J514">
        <v>1</v>
      </c>
      <c r="K514">
        <v>99</v>
      </c>
      <c r="L514">
        <f>Table1[[#This Row],[Quantity]] * Table1[[#This Row],[UnitPrice]]</f>
        <v>99</v>
      </c>
      <c r="M514" s="25">
        <v>20</v>
      </c>
      <c r="N514">
        <f>Table1[[#This Row],[Revenue]]*Table1[[#This Row],[Discount%]]/100</f>
        <v>19.8</v>
      </c>
      <c r="O514" s="6">
        <f>Table1[[#This Row],[Revenue]]-Table1[[#This Row],[Disc_amount]]</f>
        <v>79.2</v>
      </c>
      <c r="P514" t="s">
        <v>52</v>
      </c>
      <c r="Q514" t="s">
        <v>27</v>
      </c>
    </row>
    <row r="515" spans="1:17">
      <c r="A515" t="s">
        <v>1080</v>
      </c>
      <c r="B515" s="1" t="s">
        <v>775</v>
      </c>
      <c r="C515" s="1" t="s">
        <v>839</v>
      </c>
      <c r="D515" s="1" t="s">
        <v>20</v>
      </c>
      <c r="E515" t="s">
        <v>152</v>
      </c>
      <c r="F515" t="s">
        <v>153</v>
      </c>
      <c r="G515" t="s">
        <v>38</v>
      </c>
      <c r="H515" t="s">
        <v>24</v>
      </c>
      <c r="I515" t="s">
        <v>32</v>
      </c>
      <c r="J515">
        <v>1</v>
      </c>
      <c r="K515">
        <v>199</v>
      </c>
      <c r="L515">
        <f>Table1[[#This Row],[Quantity]] * Table1[[#This Row],[UnitPrice]]</f>
        <v>199</v>
      </c>
      <c r="M515" s="25">
        <v>15</v>
      </c>
      <c r="N515">
        <f>Table1[[#This Row],[Revenue]]*Table1[[#This Row],[Discount%]]/100</f>
        <v>29.85</v>
      </c>
      <c r="O515" s="6">
        <f>Table1[[#This Row],[Revenue]]-Table1[[#This Row],[Disc_amount]]</f>
        <v>169.15</v>
      </c>
      <c r="P515" t="s">
        <v>41</v>
      </c>
      <c r="Q515" t="s">
        <v>27</v>
      </c>
    </row>
    <row r="516" spans="1:17">
      <c r="A516" t="s">
        <v>1081</v>
      </c>
      <c r="B516" s="1" t="s">
        <v>775</v>
      </c>
      <c r="C516" s="1" t="s">
        <v>839</v>
      </c>
      <c r="D516" s="1" t="s">
        <v>20</v>
      </c>
      <c r="E516" t="s">
        <v>1044</v>
      </c>
      <c r="F516" t="s">
        <v>587</v>
      </c>
      <c r="G516" t="s">
        <v>38</v>
      </c>
      <c r="H516" t="s">
        <v>39</v>
      </c>
      <c r="I516" t="s">
        <v>51</v>
      </c>
      <c r="J516">
        <v>2</v>
      </c>
      <c r="K516">
        <v>2999</v>
      </c>
      <c r="L516">
        <f>Table1[[#This Row],[Quantity]] * Table1[[#This Row],[UnitPrice]]</f>
        <v>5998</v>
      </c>
      <c r="M516" s="25">
        <v>20</v>
      </c>
      <c r="N516">
        <f>Table1[[#This Row],[Revenue]]*Table1[[#This Row],[Discount%]]/100</f>
        <v>1199.5999999999999</v>
      </c>
      <c r="O516" s="6">
        <f>Table1[[#This Row],[Revenue]]-Table1[[#This Row],[Disc_amount]]</f>
        <v>4798.3999999999996</v>
      </c>
      <c r="P516" t="s">
        <v>41</v>
      </c>
      <c r="Q516" t="s">
        <v>27</v>
      </c>
    </row>
    <row r="517" spans="1:17">
      <c r="A517" t="s">
        <v>1082</v>
      </c>
      <c r="B517" s="1" t="s">
        <v>786</v>
      </c>
      <c r="C517" s="1" t="s">
        <v>839</v>
      </c>
      <c r="D517" s="1" t="s">
        <v>20</v>
      </c>
      <c r="E517" t="s">
        <v>344</v>
      </c>
      <c r="F517" t="s">
        <v>345</v>
      </c>
      <c r="G517" t="s">
        <v>23</v>
      </c>
      <c r="H517" t="s">
        <v>108</v>
      </c>
      <c r="I517" t="s">
        <v>130</v>
      </c>
      <c r="J517">
        <v>2</v>
      </c>
      <c r="K517">
        <v>699</v>
      </c>
      <c r="L517">
        <f>Table1[[#This Row],[Quantity]] * Table1[[#This Row],[UnitPrice]]</f>
        <v>1398</v>
      </c>
      <c r="M517" s="25">
        <v>0</v>
      </c>
      <c r="N517">
        <f>Table1[[#This Row],[Revenue]]*Table1[[#This Row],[Discount%]]/100</f>
        <v>0</v>
      </c>
      <c r="O517" s="6">
        <f>Table1[[#This Row],[Revenue]]-Table1[[#This Row],[Disc_amount]]</f>
        <v>1398</v>
      </c>
      <c r="P517" t="s">
        <v>26</v>
      </c>
      <c r="Q517" t="s">
        <v>27</v>
      </c>
    </row>
    <row r="518" spans="1:17">
      <c r="A518" t="s">
        <v>1083</v>
      </c>
      <c r="B518" s="1" t="s">
        <v>786</v>
      </c>
      <c r="C518" s="1" t="s">
        <v>839</v>
      </c>
      <c r="D518" s="1" t="s">
        <v>20</v>
      </c>
      <c r="E518" t="s">
        <v>763</v>
      </c>
      <c r="F518" t="s">
        <v>118</v>
      </c>
      <c r="G518" t="s">
        <v>56</v>
      </c>
      <c r="H518" t="s">
        <v>46</v>
      </c>
      <c r="I518" t="s">
        <v>154</v>
      </c>
      <c r="J518">
        <v>3</v>
      </c>
      <c r="K518">
        <v>299</v>
      </c>
      <c r="L518">
        <f>Table1[[#This Row],[Quantity]] * Table1[[#This Row],[UnitPrice]]</f>
        <v>897</v>
      </c>
      <c r="M518" s="25">
        <v>15</v>
      </c>
      <c r="N518">
        <f>Table1[[#This Row],[Revenue]]*Table1[[#This Row],[Discount%]]/100</f>
        <v>134.55000000000001</v>
      </c>
      <c r="O518" s="6">
        <f>Table1[[#This Row],[Revenue]]-Table1[[#This Row],[Disc_amount]]</f>
        <v>762.45</v>
      </c>
      <c r="P518" t="s">
        <v>41</v>
      </c>
      <c r="Q518" t="s">
        <v>34</v>
      </c>
    </row>
    <row r="519" spans="1:17">
      <c r="A519" t="s">
        <v>1084</v>
      </c>
      <c r="B519" s="1" t="s">
        <v>786</v>
      </c>
      <c r="C519" s="1" t="s">
        <v>839</v>
      </c>
      <c r="D519" s="1" t="s">
        <v>20</v>
      </c>
      <c r="E519" t="s">
        <v>1085</v>
      </c>
      <c r="F519" t="s">
        <v>425</v>
      </c>
      <c r="G519" t="s">
        <v>31</v>
      </c>
      <c r="H519" t="s">
        <v>24</v>
      </c>
      <c r="I519" t="s">
        <v>32</v>
      </c>
      <c r="J519">
        <v>2</v>
      </c>
      <c r="K519">
        <v>199</v>
      </c>
      <c r="L519">
        <f>Table1[[#This Row],[Quantity]] * Table1[[#This Row],[UnitPrice]]</f>
        <v>398</v>
      </c>
      <c r="M519" s="25">
        <v>15</v>
      </c>
      <c r="N519">
        <f>Table1[[#This Row],[Revenue]]*Table1[[#This Row],[Discount%]]/100</f>
        <v>59.7</v>
      </c>
      <c r="O519" s="6">
        <f>Table1[[#This Row],[Revenue]]-Table1[[#This Row],[Disc_amount]]</f>
        <v>338.3</v>
      </c>
      <c r="P519" t="s">
        <v>26</v>
      </c>
      <c r="Q519" t="s">
        <v>27</v>
      </c>
    </row>
    <row r="520" spans="1:17">
      <c r="A520" t="s">
        <v>1086</v>
      </c>
      <c r="B520" s="1" t="s">
        <v>786</v>
      </c>
      <c r="C520" s="1" t="s">
        <v>839</v>
      </c>
      <c r="D520" s="1" t="s">
        <v>20</v>
      </c>
      <c r="E520" t="s">
        <v>986</v>
      </c>
      <c r="F520" t="s">
        <v>209</v>
      </c>
      <c r="G520" t="s">
        <v>31</v>
      </c>
      <c r="H520" t="s">
        <v>46</v>
      </c>
      <c r="I520" t="s">
        <v>47</v>
      </c>
      <c r="J520">
        <v>4</v>
      </c>
      <c r="K520">
        <v>249</v>
      </c>
      <c r="L520">
        <f>Table1[[#This Row],[Quantity]] * Table1[[#This Row],[UnitPrice]]</f>
        <v>996</v>
      </c>
      <c r="M520" s="25">
        <v>0</v>
      </c>
      <c r="N520">
        <f>Table1[[#This Row],[Revenue]]*Table1[[#This Row],[Discount%]]/100</f>
        <v>0</v>
      </c>
      <c r="O520" s="6">
        <f>Table1[[#This Row],[Revenue]]-Table1[[#This Row],[Disc_amount]]</f>
        <v>996</v>
      </c>
      <c r="P520" t="s">
        <v>52</v>
      </c>
      <c r="Q520" t="s">
        <v>27</v>
      </c>
    </row>
    <row r="521" spans="1:17">
      <c r="A521" t="s">
        <v>1087</v>
      </c>
      <c r="B521" s="1" t="s">
        <v>808</v>
      </c>
      <c r="C521" s="1" t="s">
        <v>839</v>
      </c>
      <c r="D521" s="1" t="s">
        <v>20</v>
      </c>
      <c r="E521" t="s">
        <v>1088</v>
      </c>
      <c r="F521" t="s">
        <v>160</v>
      </c>
      <c r="G521" t="s">
        <v>23</v>
      </c>
      <c r="H521" t="s">
        <v>39</v>
      </c>
      <c r="I521" t="s">
        <v>140</v>
      </c>
      <c r="J521">
        <v>1</v>
      </c>
      <c r="K521">
        <v>1799</v>
      </c>
      <c r="L521">
        <f>Table1[[#This Row],[Quantity]] * Table1[[#This Row],[UnitPrice]]</f>
        <v>1799</v>
      </c>
      <c r="M521" s="25">
        <v>0</v>
      </c>
      <c r="N521">
        <f>Table1[[#This Row],[Revenue]]*Table1[[#This Row],[Discount%]]/100</f>
        <v>0</v>
      </c>
      <c r="O521" s="6">
        <f>Table1[[#This Row],[Revenue]]-Table1[[#This Row],[Disc_amount]]</f>
        <v>1799</v>
      </c>
      <c r="P521" t="s">
        <v>52</v>
      </c>
      <c r="Q521" t="s">
        <v>34</v>
      </c>
    </row>
    <row r="522" spans="1:17">
      <c r="A522" t="s">
        <v>1089</v>
      </c>
      <c r="B522" s="1" t="s">
        <v>808</v>
      </c>
      <c r="C522" s="1" t="s">
        <v>839</v>
      </c>
      <c r="D522" s="1" t="s">
        <v>20</v>
      </c>
      <c r="E522" t="s">
        <v>111</v>
      </c>
      <c r="F522" t="s">
        <v>107</v>
      </c>
      <c r="G522" t="s">
        <v>23</v>
      </c>
      <c r="H522" t="s">
        <v>108</v>
      </c>
      <c r="I522" t="s">
        <v>109</v>
      </c>
      <c r="J522">
        <v>1</v>
      </c>
      <c r="K522">
        <v>1499</v>
      </c>
      <c r="L522">
        <f>Table1[[#This Row],[Quantity]] * Table1[[#This Row],[UnitPrice]]</f>
        <v>1499</v>
      </c>
      <c r="M522" s="25">
        <v>0</v>
      </c>
      <c r="N522">
        <f>Table1[[#This Row],[Revenue]]*Table1[[#This Row],[Discount%]]/100</f>
        <v>0</v>
      </c>
      <c r="O522" s="6">
        <f>Table1[[#This Row],[Revenue]]-Table1[[#This Row],[Disc_amount]]</f>
        <v>1499</v>
      </c>
      <c r="P522" t="s">
        <v>86</v>
      </c>
      <c r="Q522" t="s">
        <v>34</v>
      </c>
    </row>
    <row r="523" spans="1:17">
      <c r="A523" t="s">
        <v>1090</v>
      </c>
      <c r="B523" s="1" t="s">
        <v>808</v>
      </c>
      <c r="C523" s="1" t="s">
        <v>839</v>
      </c>
      <c r="D523" s="1" t="s">
        <v>20</v>
      </c>
      <c r="E523" t="s">
        <v>603</v>
      </c>
      <c r="F523" t="s">
        <v>604</v>
      </c>
      <c r="G523" t="s">
        <v>31</v>
      </c>
      <c r="H523" t="s">
        <v>39</v>
      </c>
      <c r="I523" t="s">
        <v>51</v>
      </c>
      <c r="J523">
        <v>1</v>
      </c>
      <c r="K523">
        <v>2999</v>
      </c>
      <c r="L523">
        <f>Table1[[#This Row],[Quantity]] * Table1[[#This Row],[UnitPrice]]</f>
        <v>2999</v>
      </c>
      <c r="M523" s="25">
        <v>20</v>
      </c>
      <c r="N523">
        <f>Table1[[#This Row],[Revenue]]*Table1[[#This Row],[Discount%]]/100</f>
        <v>599.79999999999995</v>
      </c>
      <c r="O523" s="6">
        <f>Table1[[#This Row],[Revenue]]-Table1[[#This Row],[Disc_amount]]</f>
        <v>2399.1999999999998</v>
      </c>
      <c r="P523" t="s">
        <v>33</v>
      </c>
      <c r="Q523" t="s">
        <v>34</v>
      </c>
    </row>
    <row r="524" spans="1:17">
      <c r="A524" t="s">
        <v>1091</v>
      </c>
      <c r="B524" s="1" t="s">
        <v>820</v>
      </c>
      <c r="C524" s="1" t="s">
        <v>839</v>
      </c>
      <c r="D524" s="1" t="s">
        <v>20</v>
      </c>
      <c r="E524" t="s">
        <v>360</v>
      </c>
      <c r="F524" t="s">
        <v>123</v>
      </c>
      <c r="G524" t="s">
        <v>56</v>
      </c>
      <c r="H524" t="s">
        <v>70</v>
      </c>
      <c r="I524" t="s">
        <v>71</v>
      </c>
      <c r="J524">
        <v>1</v>
      </c>
      <c r="K524">
        <v>349</v>
      </c>
      <c r="L524">
        <f>Table1[[#This Row],[Quantity]] * Table1[[#This Row],[UnitPrice]]</f>
        <v>349</v>
      </c>
      <c r="M524" s="25">
        <v>10</v>
      </c>
      <c r="N524">
        <f>Table1[[#This Row],[Revenue]]*Table1[[#This Row],[Discount%]]/100</f>
        <v>34.9</v>
      </c>
      <c r="O524" s="6">
        <f>Table1[[#This Row],[Revenue]]-Table1[[#This Row],[Disc_amount]]</f>
        <v>314.10000000000002</v>
      </c>
      <c r="P524" t="s">
        <v>26</v>
      </c>
      <c r="Q524" t="s">
        <v>27</v>
      </c>
    </row>
    <row r="525" spans="1:17">
      <c r="A525" t="s">
        <v>1092</v>
      </c>
      <c r="B525" s="1" t="s">
        <v>820</v>
      </c>
      <c r="C525" s="1" t="s">
        <v>839</v>
      </c>
      <c r="D525" s="1" t="s">
        <v>20</v>
      </c>
      <c r="E525" t="s">
        <v>1093</v>
      </c>
      <c r="F525" t="s">
        <v>1094</v>
      </c>
      <c r="G525" t="s">
        <v>56</v>
      </c>
      <c r="H525" t="s">
        <v>57</v>
      </c>
      <c r="I525" t="s">
        <v>58</v>
      </c>
      <c r="J525">
        <v>1</v>
      </c>
      <c r="K525">
        <v>1299</v>
      </c>
      <c r="L525">
        <f>Table1[[#This Row],[Quantity]] * Table1[[#This Row],[UnitPrice]]</f>
        <v>1299</v>
      </c>
      <c r="M525" s="25">
        <v>0</v>
      </c>
      <c r="N525">
        <f>Table1[[#This Row],[Revenue]]*Table1[[#This Row],[Discount%]]/100</f>
        <v>0</v>
      </c>
      <c r="O525" s="6">
        <f>Table1[[#This Row],[Revenue]]-Table1[[#This Row],[Disc_amount]]</f>
        <v>1299</v>
      </c>
      <c r="P525" t="s">
        <v>41</v>
      </c>
      <c r="Q525" t="s">
        <v>34</v>
      </c>
    </row>
    <row r="526" spans="1:17">
      <c r="A526" t="s">
        <v>1095</v>
      </c>
      <c r="B526" s="1" t="s">
        <v>820</v>
      </c>
      <c r="C526" s="1" t="s">
        <v>839</v>
      </c>
      <c r="D526" s="1" t="s">
        <v>20</v>
      </c>
      <c r="E526" t="s">
        <v>1096</v>
      </c>
      <c r="F526" t="s">
        <v>1097</v>
      </c>
      <c r="G526" t="s">
        <v>23</v>
      </c>
      <c r="H526" t="s">
        <v>65</v>
      </c>
      <c r="I526" t="s">
        <v>98</v>
      </c>
      <c r="J526">
        <v>1</v>
      </c>
      <c r="K526">
        <v>499</v>
      </c>
      <c r="L526">
        <f>Table1[[#This Row],[Quantity]] * Table1[[#This Row],[UnitPrice]]</f>
        <v>499</v>
      </c>
      <c r="M526" s="25">
        <v>0</v>
      </c>
      <c r="N526">
        <f>Table1[[#This Row],[Revenue]]*Table1[[#This Row],[Discount%]]/100</f>
        <v>0</v>
      </c>
      <c r="O526" s="6">
        <f>Table1[[#This Row],[Revenue]]-Table1[[#This Row],[Disc_amount]]</f>
        <v>499</v>
      </c>
      <c r="P526" t="s">
        <v>52</v>
      </c>
      <c r="Q526" t="s">
        <v>27</v>
      </c>
    </row>
    <row r="527" spans="1:17">
      <c r="A527" t="s">
        <v>1098</v>
      </c>
      <c r="B527" s="1" t="s">
        <v>820</v>
      </c>
      <c r="C527" s="1" t="s">
        <v>839</v>
      </c>
      <c r="D527" s="1" t="s">
        <v>20</v>
      </c>
      <c r="E527" t="s">
        <v>1099</v>
      </c>
      <c r="F527" t="s">
        <v>465</v>
      </c>
      <c r="G527" t="s">
        <v>38</v>
      </c>
      <c r="H527" t="s">
        <v>70</v>
      </c>
      <c r="I527" t="s">
        <v>91</v>
      </c>
      <c r="J527">
        <v>1</v>
      </c>
      <c r="K527">
        <v>549</v>
      </c>
      <c r="L527">
        <f>Table1[[#This Row],[Quantity]] * Table1[[#This Row],[UnitPrice]]</f>
        <v>549</v>
      </c>
      <c r="M527" s="25">
        <v>0</v>
      </c>
      <c r="N527">
        <f>Table1[[#This Row],[Revenue]]*Table1[[#This Row],[Discount%]]/100</f>
        <v>0</v>
      </c>
      <c r="O527" s="6">
        <f>Table1[[#This Row],[Revenue]]-Table1[[#This Row],[Disc_amount]]</f>
        <v>549</v>
      </c>
      <c r="P527" t="s">
        <v>52</v>
      </c>
      <c r="Q527" t="s">
        <v>34</v>
      </c>
    </row>
    <row r="528" spans="1:17">
      <c r="A528" t="s">
        <v>1100</v>
      </c>
      <c r="B528" s="1" t="s">
        <v>830</v>
      </c>
      <c r="C528" s="1" t="s">
        <v>839</v>
      </c>
      <c r="D528" s="1" t="s">
        <v>20</v>
      </c>
      <c r="E528" t="s">
        <v>1101</v>
      </c>
      <c r="F528" t="s">
        <v>989</v>
      </c>
      <c r="G528" t="s">
        <v>45</v>
      </c>
      <c r="H528" t="s">
        <v>70</v>
      </c>
      <c r="I528" t="s">
        <v>71</v>
      </c>
      <c r="J528">
        <v>2</v>
      </c>
      <c r="K528">
        <v>349</v>
      </c>
      <c r="L528">
        <f>Table1[[#This Row],[Quantity]] * Table1[[#This Row],[UnitPrice]]</f>
        <v>698</v>
      </c>
      <c r="M528" s="25">
        <v>20</v>
      </c>
      <c r="N528">
        <f>Table1[[#This Row],[Revenue]]*Table1[[#This Row],[Discount%]]/100</f>
        <v>139.6</v>
      </c>
      <c r="O528" s="6">
        <f>Table1[[#This Row],[Revenue]]-Table1[[#This Row],[Disc_amount]]</f>
        <v>558.4</v>
      </c>
      <c r="P528" t="s">
        <v>52</v>
      </c>
      <c r="Q528" t="s">
        <v>27</v>
      </c>
    </row>
    <row r="529" spans="1:17">
      <c r="A529" t="s">
        <v>1102</v>
      </c>
      <c r="B529" s="1" t="s">
        <v>830</v>
      </c>
      <c r="C529" s="1" t="s">
        <v>839</v>
      </c>
      <c r="D529" s="1" t="s">
        <v>20</v>
      </c>
      <c r="E529" t="s">
        <v>1088</v>
      </c>
      <c r="F529" t="s">
        <v>160</v>
      </c>
      <c r="G529" t="s">
        <v>45</v>
      </c>
      <c r="H529" t="s">
        <v>70</v>
      </c>
      <c r="I529" t="s">
        <v>71</v>
      </c>
      <c r="J529">
        <v>1</v>
      </c>
      <c r="K529">
        <v>349</v>
      </c>
      <c r="L529">
        <f>Table1[[#This Row],[Quantity]] * Table1[[#This Row],[UnitPrice]]</f>
        <v>349</v>
      </c>
      <c r="M529" s="25">
        <v>5</v>
      </c>
      <c r="N529">
        <f>Table1[[#This Row],[Revenue]]*Table1[[#This Row],[Discount%]]/100</f>
        <v>17.45</v>
      </c>
      <c r="O529" s="6">
        <f>Table1[[#This Row],[Revenue]]-Table1[[#This Row],[Disc_amount]]</f>
        <v>331.55</v>
      </c>
      <c r="P529" t="s">
        <v>26</v>
      </c>
      <c r="Q529" t="s">
        <v>27</v>
      </c>
    </row>
    <row r="530" spans="1:17">
      <c r="A530" t="s">
        <v>1103</v>
      </c>
      <c r="B530" s="1" t="s">
        <v>830</v>
      </c>
      <c r="C530" s="1" t="s">
        <v>839</v>
      </c>
      <c r="D530" s="1" t="s">
        <v>20</v>
      </c>
      <c r="E530" t="s">
        <v>680</v>
      </c>
      <c r="F530" t="s">
        <v>22</v>
      </c>
      <c r="G530" t="s">
        <v>23</v>
      </c>
      <c r="H530" t="s">
        <v>70</v>
      </c>
      <c r="I530" t="s">
        <v>91</v>
      </c>
      <c r="J530">
        <v>1</v>
      </c>
      <c r="K530">
        <v>549</v>
      </c>
      <c r="L530">
        <f>Table1[[#This Row],[Quantity]] * Table1[[#This Row],[UnitPrice]]</f>
        <v>549</v>
      </c>
      <c r="M530" s="25">
        <v>20</v>
      </c>
      <c r="N530">
        <f>Table1[[#This Row],[Revenue]]*Table1[[#This Row],[Discount%]]/100</f>
        <v>109.8</v>
      </c>
      <c r="O530" s="6">
        <f>Table1[[#This Row],[Revenue]]-Table1[[#This Row],[Disc_amount]]</f>
        <v>439.2</v>
      </c>
      <c r="P530" t="s">
        <v>26</v>
      </c>
      <c r="Q530" t="s">
        <v>27</v>
      </c>
    </row>
    <row r="531" spans="1:17">
      <c r="A531" t="s">
        <v>1104</v>
      </c>
      <c r="B531" s="1" t="s">
        <v>830</v>
      </c>
      <c r="C531" s="1" t="s">
        <v>839</v>
      </c>
      <c r="D531" s="1" t="s">
        <v>20</v>
      </c>
      <c r="E531" t="s">
        <v>936</v>
      </c>
      <c r="F531" t="s">
        <v>229</v>
      </c>
      <c r="G531" t="s">
        <v>23</v>
      </c>
      <c r="H531" t="s">
        <v>46</v>
      </c>
      <c r="I531" t="s">
        <v>154</v>
      </c>
      <c r="J531">
        <v>3</v>
      </c>
      <c r="K531">
        <v>299</v>
      </c>
      <c r="L531">
        <f>Table1[[#This Row],[Quantity]] * Table1[[#This Row],[UnitPrice]]</f>
        <v>897</v>
      </c>
      <c r="M531" s="25">
        <v>20</v>
      </c>
      <c r="N531">
        <f>Table1[[#This Row],[Revenue]]*Table1[[#This Row],[Discount%]]/100</f>
        <v>179.4</v>
      </c>
      <c r="O531" s="6">
        <f>Table1[[#This Row],[Revenue]]-Table1[[#This Row],[Disc_amount]]</f>
        <v>717.6</v>
      </c>
      <c r="P531" t="s">
        <v>33</v>
      </c>
      <c r="Q531" t="s">
        <v>27</v>
      </c>
    </row>
    <row r="532" spans="1:17">
      <c r="A532" t="s">
        <v>1105</v>
      </c>
      <c r="B532" s="1" t="s">
        <v>830</v>
      </c>
      <c r="C532" s="1" t="s">
        <v>839</v>
      </c>
      <c r="D532" s="1" t="s">
        <v>20</v>
      </c>
      <c r="E532" t="s">
        <v>680</v>
      </c>
      <c r="F532" t="s">
        <v>22</v>
      </c>
      <c r="G532" t="s">
        <v>31</v>
      </c>
      <c r="H532" t="s">
        <v>65</v>
      </c>
      <c r="I532" t="s">
        <v>98</v>
      </c>
      <c r="J532">
        <v>1</v>
      </c>
      <c r="K532">
        <v>499</v>
      </c>
      <c r="L532">
        <f>Table1[[#This Row],[Quantity]] * Table1[[#This Row],[UnitPrice]]</f>
        <v>499</v>
      </c>
      <c r="M532" s="25">
        <v>20</v>
      </c>
      <c r="N532">
        <f>Table1[[#This Row],[Revenue]]*Table1[[#This Row],[Discount%]]/100</f>
        <v>99.8</v>
      </c>
      <c r="O532" s="6">
        <f>Table1[[#This Row],[Revenue]]-Table1[[#This Row],[Disc_amount]]</f>
        <v>399.2</v>
      </c>
      <c r="P532" t="s">
        <v>33</v>
      </c>
      <c r="Q532" t="s">
        <v>27</v>
      </c>
    </row>
    <row r="533" spans="1:17">
      <c r="A533" t="s">
        <v>1106</v>
      </c>
      <c r="B533" s="1" t="s">
        <v>830</v>
      </c>
      <c r="C533" s="1" t="s">
        <v>839</v>
      </c>
      <c r="D533" s="1" t="s">
        <v>20</v>
      </c>
      <c r="E533" t="s">
        <v>783</v>
      </c>
      <c r="F533" t="s">
        <v>784</v>
      </c>
      <c r="G533" t="s">
        <v>56</v>
      </c>
      <c r="H533" t="s">
        <v>57</v>
      </c>
      <c r="I533" t="s">
        <v>62</v>
      </c>
      <c r="J533">
        <v>4</v>
      </c>
      <c r="K533">
        <v>799</v>
      </c>
      <c r="L533">
        <f>Table1[[#This Row],[Quantity]] * Table1[[#This Row],[UnitPrice]]</f>
        <v>3196</v>
      </c>
      <c r="M533" s="25">
        <v>20</v>
      </c>
      <c r="N533">
        <f>Table1[[#This Row],[Revenue]]*Table1[[#This Row],[Discount%]]/100</f>
        <v>639.20000000000005</v>
      </c>
      <c r="O533" s="6">
        <f>Table1[[#This Row],[Revenue]]-Table1[[#This Row],[Disc_amount]]</f>
        <v>2556.8000000000002</v>
      </c>
      <c r="P533" t="s">
        <v>41</v>
      </c>
      <c r="Q533" t="s">
        <v>27</v>
      </c>
    </row>
    <row r="534" spans="1:17">
      <c r="A534" t="s">
        <v>1107</v>
      </c>
      <c r="B534" s="1" t="s">
        <v>830</v>
      </c>
      <c r="C534" s="1" t="s">
        <v>839</v>
      </c>
      <c r="D534" s="1" t="s">
        <v>20</v>
      </c>
      <c r="E534" t="s">
        <v>421</v>
      </c>
      <c r="F534" t="s">
        <v>422</v>
      </c>
      <c r="G534" t="s">
        <v>23</v>
      </c>
      <c r="H534" t="s">
        <v>39</v>
      </c>
      <c r="I534" t="s">
        <v>40</v>
      </c>
      <c r="J534">
        <v>3</v>
      </c>
      <c r="K534">
        <v>599</v>
      </c>
      <c r="L534">
        <f>Table1[[#This Row],[Quantity]] * Table1[[#This Row],[UnitPrice]]</f>
        <v>1797</v>
      </c>
      <c r="M534" s="25">
        <v>0</v>
      </c>
      <c r="N534">
        <f>Table1[[#This Row],[Revenue]]*Table1[[#This Row],[Discount%]]/100</f>
        <v>0</v>
      </c>
      <c r="O534" s="6">
        <f>Table1[[#This Row],[Revenue]]-Table1[[#This Row],[Disc_amount]]</f>
        <v>1797</v>
      </c>
      <c r="P534" t="s">
        <v>41</v>
      </c>
      <c r="Q534" t="s">
        <v>27</v>
      </c>
    </row>
    <row r="535" spans="1:17">
      <c r="A535" t="s">
        <v>1108</v>
      </c>
      <c r="B535" s="1" t="s">
        <v>830</v>
      </c>
      <c r="C535" s="1" t="s">
        <v>839</v>
      </c>
      <c r="D535" s="1" t="s">
        <v>20</v>
      </c>
      <c r="E535" t="s">
        <v>371</v>
      </c>
      <c r="F535" t="s">
        <v>118</v>
      </c>
      <c r="G535" t="s">
        <v>38</v>
      </c>
      <c r="H535" t="s">
        <v>70</v>
      </c>
      <c r="I535" t="s">
        <v>91</v>
      </c>
      <c r="J535">
        <v>3</v>
      </c>
      <c r="K535">
        <v>549</v>
      </c>
      <c r="L535">
        <f>Table1[[#This Row],[Quantity]] * Table1[[#This Row],[UnitPrice]]</f>
        <v>1647</v>
      </c>
      <c r="M535" s="25">
        <v>0</v>
      </c>
      <c r="N535">
        <f>Table1[[#This Row],[Revenue]]*Table1[[#This Row],[Discount%]]/100</f>
        <v>0</v>
      </c>
      <c r="O535" s="6">
        <f>Table1[[#This Row],[Revenue]]-Table1[[#This Row],[Disc_amount]]</f>
        <v>1647</v>
      </c>
      <c r="P535" t="s">
        <v>41</v>
      </c>
      <c r="Q535" t="s">
        <v>34</v>
      </c>
    </row>
    <row r="536" spans="1:17">
      <c r="A536" t="s">
        <v>1109</v>
      </c>
      <c r="B536" s="1" t="s">
        <v>830</v>
      </c>
      <c r="C536" s="1" t="s">
        <v>839</v>
      </c>
      <c r="D536" s="1" t="s">
        <v>20</v>
      </c>
      <c r="E536" t="s">
        <v>1110</v>
      </c>
      <c r="F536" t="s">
        <v>279</v>
      </c>
      <c r="G536" t="s">
        <v>45</v>
      </c>
      <c r="H536" t="s">
        <v>39</v>
      </c>
      <c r="I536" t="s">
        <v>140</v>
      </c>
      <c r="J536">
        <v>1</v>
      </c>
      <c r="K536">
        <v>1799</v>
      </c>
      <c r="L536">
        <f>Table1[[#This Row],[Quantity]] * Table1[[#This Row],[UnitPrice]]</f>
        <v>1799</v>
      </c>
      <c r="M536" s="25">
        <v>15</v>
      </c>
      <c r="N536">
        <f>Table1[[#This Row],[Revenue]]*Table1[[#This Row],[Discount%]]/100</f>
        <v>269.85000000000002</v>
      </c>
      <c r="O536" s="6">
        <f>Table1[[#This Row],[Revenue]]-Table1[[#This Row],[Disc_amount]]</f>
        <v>1529.15</v>
      </c>
      <c r="P536" t="s">
        <v>33</v>
      </c>
      <c r="Q536" t="s">
        <v>27</v>
      </c>
    </row>
    <row r="537" spans="1:17">
      <c r="A537" t="s">
        <v>1111</v>
      </c>
      <c r="B537" s="1" t="s">
        <v>830</v>
      </c>
      <c r="C537" s="1" t="s">
        <v>839</v>
      </c>
      <c r="D537" s="1" t="s">
        <v>20</v>
      </c>
      <c r="E537" t="s">
        <v>1040</v>
      </c>
      <c r="F537" t="s">
        <v>307</v>
      </c>
      <c r="G537" t="s">
        <v>38</v>
      </c>
      <c r="H537" t="s">
        <v>46</v>
      </c>
      <c r="I537" t="s">
        <v>47</v>
      </c>
      <c r="J537">
        <v>1</v>
      </c>
      <c r="K537">
        <v>249</v>
      </c>
      <c r="L537">
        <f>Table1[[#This Row],[Quantity]] * Table1[[#This Row],[UnitPrice]]</f>
        <v>249</v>
      </c>
      <c r="M537" s="25">
        <v>0</v>
      </c>
      <c r="N537">
        <f>Table1[[#This Row],[Revenue]]*Table1[[#This Row],[Discount%]]/100</f>
        <v>0</v>
      </c>
      <c r="O537" s="6">
        <f>Table1[[#This Row],[Revenue]]-Table1[[#This Row],[Disc_amount]]</f>
        <v>249</v>
      </c>
      <c r="P537" t="s">
        <v>41</v>
      </c>
      <c r="Q537" t="s">
        <v>27</v>
      </c>
    </row>
    <row r="538" spans="1:17">
      <c r="A538" t="s">
        <v>1112</v>
      </c>
      <c r="B538" s="1" t="s">
        <v>1113</v>
      </c>
      <c r="C538" s="1" t="s">
        <v>839</v>
      </c>
      <c r="D538" s="1" t="s">
        <v>20</v>
      </c>
      <c r="E538" t="s">
        <v>325</v>
      </c>
      <c r="F538" t="s">
        <v>326</v>
      </c>
      <c r="G538" t="s">
        <v>31</v>
      </c>
      <c r="H538" t="s">
        <v>46</v>
      </c>
      <c r="I538" t="s">
        <v>154</v>
      </c>
      <c r="J538">
        <v>3</v>
      </c>
      <c r="K538">
        <v>299</v>
      </c>
      <c r="L538">
        <f>Table1[[#This Row],[Quantity]] * Table1[[#This Row],[UnitPrice]]</f>
        <v>897</v>
      </c>
      <c r="M538" s="25">
        <v>0</v>
      </c>
      <c r="N538">
        <f>Table1[[#This Row],[Revenue]]*Table1[[#This Row],[Discount%]]/100</f>
        <v>0</v>
      </c>
      <c r="O538" s="6">
        <f>Table1[[#This Row],[Revenue]]-Table1[[#This Row],[Disc_amount]]</f>
        <v>897</v>
      </c>
      <c r="P538" t="s">
        <v>26</v>
      </c>
      <c r="Q538" t="s">
        <v>27</v>
      </c>
    </row>
    <row r="539" spans="1:17">
      <c r="A539" t="s">
        <v>1114</v>
      </c>
      <c r="B539" s="1" t="s">
        <v>1113</v>
      </c>
      <c r="C539" s="1" t="s">
        <v>839</v>
      </c>
      <c r="D539" s="1" t="s">
        <v>20</v>
      </c>
      <c r="E539" t="s">
        <v>795</v>
      </c>
      <c r="F539" t="s">
        <v>796</v>
      </c>
      <c r="G539" t="s">
        <v>31</v>
      </c>
      <c r="H539" t="s">
        <v>46</v>
      </c>
      <c r="I539" t="s">
        <v>47</v>
      </c>
      <c r="J539">
        <v>1</v>
      </c>
      <c r="K539">
        <v>249</v>
      </c>
      <c r="L539">
        <f>Table1[[#This Row],[Quantity]] * Table1[[#This Row],[UnitPrice]]</f>
        <v>249</v>
      </c>
      <c r="M539" s="25">
        <v>5</v>
      </c>
      <c r="N539">
        <f>Table1[[#This Row],[Revenue]]*Table1[[#This Row],[Discount%]]/100</f>
        <v>12.45</v>
      </c>
      <c r="O539" s="6">
        <f>Table1[[#This Row],[Revenue]]-Table1[[#This Row],[Disc_amount]]</f>
        <v>236.55</v>
      </c>
      <c r="P539" t="s">
        <v>41</v>
      </c>
      <c r="Q539" t="s">
        <v>27</v>
      </c>
    </row>
    <row r="540" spans="1:17">
      <c r="A540" t="s">
        <v>1115</v>
      </c>
      <c r="B540" s="1" t="s">
        <v>1113</v>
      </c>
      <c r="C540" s="1" t="s">
        <v>839</v>
      </c>
      <c r="D540" s="1" t="s">
        <v>20</v>
      </c>
      <c r="E540" t="s">
        <v>1116</v>
      </c>
      <c r="F540" t="s">
        <v>694</v>
      </c>
      <c r="G540" t="s">
        <v>23</v>
      </c>
      <c r="H540" t="s">
        <v>39</v>
      </c>
      <c r="I540" t="s">
        <v>51</v>
      </c>
      <c r="J540">
        <v>1</v>
      </c>
      <c r="K540">
        <v>2999</v>
      </c>
      <c r="L540">
        <f>Table1[[#This Row],[Quantity]] * Table1[[#This Row],[UnitPrice]]</f>
        <v>2999</v>
      </c>
      <c r="M540" s="25">
        <v>0</v>
      </c>
      <c r="N540">
        <f>Table1[[#This Row],[Revenue]]*Table1[[#This Row],[Discount%]]/100</f>
        <v>0</v>
      </c>
      <c r="O540" s="6">
        <f>Table1[[#This Row],[Revenue]]-Table1[[#This Row],[Disc_amount]]</f>
        <v>2999</v>
      </c>
      <c r="P540" t="s">
        <v>52</v>
      </c>
      <c r="Q540" t="s">
        <v>34</v>
      </c>
    </row>
    <row r="541" spans="1:17">
      <c r="A541" t="s">
        <v>1117</v>
      </c>
      <c r="B541" s="1" t="s">
        <v>1113</v>
      </c>
      <c r="C541" s="1" t="s">
        <v>839</v>
      </c>
      <c r="D541" s="1" t="s">
        <v>20</v>
      </c>
      <c r="E541" t="s">
        <v>1118</v>
      </c>
      <c r="F541" t="s">
        <v>784</v>
      </c>
      <c r="G541" t="s">
        <v>31</v>
      </c>
      <c r="H541" t="s">
        <v>70</v>
      </c>
      <c r="I541" t="s">
        <v>71</v>
      </c>
      <c r="J541">
        <v>2</v>
      </c>
      <c r="K541">
        <v>349</v>
      </c>
      <c r="L541">
        <f>Table1[[#This Row],[Quantity]] * Table1[[#This Row],[UnitPrice]]</f>
        <v>698</v>
      </c>
      <c r="M541" s="25">
        <v>20</v>
      </c>
      <c r="N541">
        <f>Table1[[#This Row],[Revenue]]*Table1[[#This Row],[Discount%]]/100</f>
        <v>139.6</v>
      </c>
      <c r="O541" s="6">
        <f>Table1[[#This Row],[Revenue]]-Table1[[#This Row],[Disc_amount]]</f>
        <v>558.4</v>
      </c>
      <c r="P541" t="s">
        <v>33</v>
      </c>
      <c r="Q541" t="s">
        <v>34</v>
      </c>
    </row>
    <row r="542" spans="1:17">
      <c r="A542" t="s">
        <v>1119</v>
      </c>
      <c r="B542" s="1" t="s">
        <v>1113</v>
      </c>
      <c r="C542" s="1" t="s">
        <v>839</v>
      </c>
      <c r="D542" s="1" t="s">
        <v>20</v>
      </c>
      <c r="E542" t="s">
        <v>60</v>
      </c>
      <c r="F542" t="s">
        <v>61</v>
      </c>
      <c r="G542" t="s">
        <v>45</v>
      </c>
      <c r="H542" t="s">
        <v>108</v>
      </c>
      <c r="I542" t="s">
        <v>130</v>
      </c>
      <c r="J542">
        <v>3</v>
      </c>
      <c r="K542">
        <v>699</v>
      </c>
      <c r="L542">
        <f>Table1[[#This Row],[Quantity]] * Table1[[#This Row],[UnitPrice]]</f>
        <v>2097</v>
      </c>
      <c r="M542" s="25">
        <v>10</v>
      </c>
      <c r="N542">
        <f>Table1[[#This Row],[Revenue]]*Table1[[#This Row],[Discount%]]/100</f>
        <v>209.7</v>
      </c>
      <c r="O542" s="6">
        <f>Table1[[#This Row],[Revenue]]-Table1[[#This Row],[Disc_amount]]</f>
        <v>1887.3</v>
      </c>
      <c r="P542" t="s">
        <v>52</v>
      </c>
      <c r="Q542" t="s">
        <v>27</v>
      </c>
    </row>
    <row r="543" spans="1:17">
      <c r="A543" t="s">
        <v>1120</v>
      </c>
      <c r="B543" s="1" t="s">
        <v>1113</v>
      </c>
      <c r="C543" s="1" t="s">
        <v>839</v>
      </c>
      <c r="D543" s="1" t="s">
        <v>20</v>
      </c>
      <c r="E543" t="s">
        <v>716</v>
      </c>
      <c r="F543" t="s">
        <v>717</v>
      </c>
      <c r="G543" t="s">
        <v>38</v>
      </c>
      <c r="H543" t="s">
        <v>39</v>
      </c>
      <c r="I543" t="s">
        <v>40</v>
      </c>
      <c r="J543">
        <v>1</v>
      </c>
      <c r="K543">
        <v>599</v>
      </c>
      <c r="L543">
        <f>Table1[[#This Row],[Quantity]] * Table1[[#This Row],[UnitPrice]]</f>
        <v>599</v>
      </c>
      <c r="M543" s="25">
        <v>20</v>
      </c>
      <c r="N543">
        <f>Table1[[#This Row],[Revenue]]*Table1[[#This Row],[Discount%]]/100</f>
        <v>119.8</v>
      </c>
      <c r="O543" s="6">
        <f>Table1[[#This Row],[Revenue]]-Table1[[#This Row],[Disc_amount]]</f>
        <v>479.2</v>
      </c>
      <c r="P543" t="s">
        <v>26</v>
      </c>
      <c r="Q543" t="s">
        <v>27</v>
      </c>
    </row>
    <row r="544" spans="1:17">
      <c r="A544" t="s">
        <v>1121</v>
      </c>
      <c r="B544" s="1" t="s">
        <v>1113</v>
      </c>
      <c r="C544" s="1" t="s">
        <v>839</v>
      </c>
      <c r="D544" s="1" t="s">
        <v>20</v>
      </c>
      <c r="E544" t="s">
        <v>657</v>
      </c>
      <c r="F544" t="s">
        <v>147</v>
      </c>
      <c r="G544" t="s">
        <v>23</v>
      </c>
      <c r="H544" t="s">
        <v>39</v>
      </c>
      <c r="I544" t="s">
        <v>51</v>
      </c>
      <c r="J544">
        <v>3</v>
      </c>
      <c r="K544">
        <v>2999</v>
      </c>
      <c r="L544">
        <f>Table1[[#This Row],[Quantity]] * Table1[[#This Row],[UnitPrice]]</f>
        <v>8997</v>
      </c>
      <c r="M544" s="25">
        <v>0</v>
      </c>
      <c r="N544">
        <f>Table1[[#This Row],[Revenue]]*Table1[[#This Row],[Discount%]]/100</f>
        <v>0</v>
      </c>
      <c r="O544" s="6">
        <f>Table1[[#This Row],[Revenue]]-Table1[[#This Row],[Disc_amount]]</f>
        <v>8997</v>
      </c>
      <c r="P544" t="s">
        <v>41</v>
      </c>
      <c r="Q544" t="s">
        <v>34</v>
      </c>
    </row>
    <row r="545" spans="1:17">
      <c r="A545" t="s">
        <v>1122</v>
      </c>
      <c r="B545" s="1" t="s">
        <v>1123</v>
      </c>
      <c r="C545" s="1" t="s">
        <v>839</v>
      </c>
      <c r="D545" s="1" t="s">
        <v>20</v>
      </c>
      <c r="E545" t="s">
        <v>959</v>
      </c>
      <c r="F545" t="s">
        <v>960</v>
      </c>
      <c r="G545" t="s">
        <v>38</v>
      </c>
      <c r="H545" t="s">
        <v>39</v>
      </c>
      <c r="I545" t="s">
        <v>140</v>
      </c>
      <c r="J545">
        <v>1</v>
      </c>
      <c r="K545">
        <v>1799</v>
      </c>
      <c r="L545">
        <f>Table1[[#This Row],[Quantity]] * Table1[[#This Row],[UnitPrice]]</f>
        <v>1799</v>
      </c>
      <c r="M545" s="25">
        <v>5</v>
      </c>
      <c r="N545">
        <f>Table1[[#This Row],[Revenue]]*Table1[[#This Row],[Discount%]]/100</f>
        <v>89.95</v>
      </c>
      <c r="O545" s="6">
        <f>Table1[[#This Row],[Revenue]]-Table1[[#This Row],[Disc_amount]]</f>
        <v>1709.05</v>
      </c>
      <c r="P545" t="s">
        <v>86</v>
      </c>
      <c r="Q545" t="s">
        <v>27</v>
      </c>
    </row>
    <row r="546" spans="1:17">
      <c r="A546" t="s">
        <v>1124</v>
      </c>
      <c r="B546" s="1" t="s">
        <v>1123</v>
      </c>
      <c r="C546" s="1" t="s">
        <v>839</v>
      </c>
      <c r="D546" s="1" t="s">
        <v>20</v>
      </c>
      <c r="E546" t="s">
        <v>1064</v>
      </c>
      <c r="F546" t="s">
        <v>183</v>
      </c>
      <c r="G546" t="s">
        <v>56</v>
      </c>
      <c r="H546" t="s">
        <v>39</v>
      </c>
      <c r="I546" t="s">
        <v>140</v>
      </c>
      <c r="J546">
        <v>1</v>
      </c>
      <c r="K546">
        <v>1799</v>
      </c>
      <c r="L546">
        <f>Table1[[#This Row],[Quantity]] * Table1[[#This Row],[UnitPrice]]</f>
        <v>1799</v>
      </c>
      <c r="M546" s="25">
        <v>0</v>
      </c>
      <c r="N546">
        <f>Table1[[#This Row],[Revenue]]*Table1[[#This Row],[Discount%]]/100</f>
        <v>0</v>
      </c>
      <c r="O546" s="6">
        <f>Table1[[#This Row],[Revenue]]-Table1[[#This Row],[Disc_amount]]</f>
        <v>1799</v>
      </c>
      <c r="P546" t="s">
        <v>52</v>
      </c>
      <c r="Q546" t="s">
        <v>34</v>
      </c>
    </row>
    <row r="547" spans="1:17">
      <c r="A547" t="s">
        <v>1125</v>
      </c>
      <c r="B547" s="1" t="s">
        <v>1123</v>
      </c>
      <c r="C547" s="1" t="s">
        <v>839</v>
      </c>
      <c r="D547" s="1" t="s">
        <v>20</v>
      </c>
      <c r="E547" t="s">
        <v>725</v>
      </c>
      <c r="F547" t="s">
        <v>726</v>
      </c>
      <c r="G547" t="s">
        <v>23</v>
      </c>
      <c r="H547" t="s">
        <v>24</v>
      </c>
      <c r="I547" t="s">
        <v>32</v>
      </c>
      <c r="J547">
        <v>3</v>
      </c>
      <c r="K547">
        <v>199</v>
      </c>
      <c r="L547">
        <f>Table1[[#This Row],[Quantity]] * Table1[[#This Row],[UnitPrice]]</f>
        <v>597</v>
      </c>
      <c r="M547" s="25">
        <v>15</v>
      </c>
      <c r="N547">
        <f>Table1[[#This Row],[Revenue]]*Table1[[#This Row],[Discount%]]/100</f>
        <v>89.55</v>
      </c>
      <c r="O547" s="6">
        <f>Table1[[#This Row],[Revenue]]-Table1[[#This Row],[Disc_amount]]</f>
        <v>507.45</v>
      </c>
      <c r="P547" t="s">
        <v>41</v>
      </c>
      <c r="Q547" t="s">
        <v>34</v>
      </c>
    </row>
    <row r="548" spans="1:17">
      <c r="A548" t="s">
        <v>1126</v>
      </c>
      <c r="B548" s="1" t="s">
        <v>1123</v>
      </c>
      <c r="C548" s="1" t="s">
        <v>839</v>
      </c>
      <c r="D548" s="1" t="s">
        <v>20</v>
      </c>
      <c r="E548" t="s">
        <v>758</v>
      </c>
      <c r="F548" t="s">
        <v>759</v>
      </c>
      <c r="G548" t="s">
        <v>31</v>
      </c>
      <c r="H548" t="s">
        <v>108</v>
      </c>
      <c r="I548" t="s">
        <v>109</v>
      </c>
      <c r="J548">
        <v>1</v>
      </c>
      <c r="K548">
        <v>1499</v>
      </c>
      <c r="L548">
        <f>Table1[[#This Row],[Quantity]] * Table1[[#This Row],[UnitPrice]]</f>
        <v>1499</v>
      </c>
      <c r="M548" s="25">
        <v>10</v>
      </c>
      <c r="N548">
        <f>Table1[[#This Row],[Revenue]]*Table1[[#This Row],[Discount%]]/100</f>
        <v>149.9</v>
      </c>
      <c r="O548" s="6">
        <f>Table1[[#This Row],[Revenue]]-Table1[[#This Row],[Disc_amount]]</f>
        <v>1349.1</v>
      </c>
      <c r="P548" t="s">
        <v>33</v>
      </c>
      <c r="Q548" t="s">
        <v>27</v>
      </c>
    </row>
    <row r="549" spans="1:17">
      <c r="A549" t="s">
        <v>1127</v>
      </c>
      <c r="B549" s="1" t="s">
        <v>1123</v>
      </c>
      <c r="C549" s="1" t="s">
        <v>839</v>
      </c>
      <c r="D549" s="1" t="s">
        <v>20</v>
      </c>
      <c r="E549" t="s">
        <v>769</v>
      </c>
      <c r="F549" t="s">
        <v>101</v>
      </c>
      <c r="G549" t="s">
        <v>56</v>
      </c>
      <c r="H549" t="s">
        <v>65</v>
      </c>
      <c r="I549" t="s">
        <v>66</v>
      </c>
      <c r="J549">
        <v>1</v>
      </c>
      <c r="K549">
        <v>1999</v>
      </c>
      <c r="L549">
        <f>Table1[[#This Row],[Quantity]] * Table1[[#This Row],[UnitPrice]]</f>
        <v>1999</v>
      </c>
      <c r="M549" s="25">
        <v>0</v>
      </c>
      <c r="N549">
        <f>Table1[[#This Row],[Revenue]]*Table1[[#This Row],[Discount%]]/100</f>
        <v>0</v>
      </c>
      <c r="O549" s="6">
        <f>Table1[[#This Row],[Revenue]]-Table1[[#This Row],[Disc_amount]]</f>
        <v>1999</v>
      </c>
      <c r="P549" t="s">
        <v>26</v>
      </c>
      <c r="Q549" t="s">
        <v>34</v>
      </c>
    </row>
    <row r="550" spans="1:17">
      <c r="A550" t="s">
        <v>1128</v>
      </c>
      <c r="B550" s="1" t="s">
        <v>1123</v>
      </c>
      <c r="C550" s="1" t="s">
        <v>839</v>
      </c>
      <c r="D550" s="1" t="s">
        <v>20</v>
      </c>
      <c r="E550" t="s">
        <v>1129</v>
      </c>
      <c r="F550" t="s">
        <v>345</v>
      </c>
      <c r="G550" t="s">
        <v>45</v>
      </c>
      <c r="H550" t="s">
        <v>39</v>
      </c>
      <c r="I550" t="s">
        <v>40</v>
      </c>
      <c r="J550">
        <v>2</v>
      </c>
      <c r="K550">
        <v>599</v>
      </c>
      <c r="L550">
        <f>Table1[[#This Row],[Quantity]] * Table1[[#This Row],[UnitPrice]]</f>
        <v>1198</v>
      </c>
      <c r="M550" s="25">
        <v>5</v>
      </c>
      <c r="N550">
        <f>Table1[[#This Row],[Revenue]]*Table1[[#This Row],[Discount%]]/100</f>
        <v>59.9</v>
      </c>
      <c r="O550" s="6">
        <f>Table1[[#This Row],[Revenue]]-Table1[[#This Row],[Disc_amount]]</f>
        <v>1138.0999999999999</v>
      </c>
      <c r="P550" t="s">
        <v>41</v>
      </c>
      <c r="Q550" t="s">
        <v>34</v>
      </c>
    </row>
    <row r="551" spans="1:17">
      <c r="A551" t="s">
        <v>1130</v>
      </c>
      <c r="B551" s="1" t="s">
        <v>1123</v>
      </c>
      <c r="C551" s="1" t="s">
        <v>839</v>
      </c>
      <c r="D551" s="1" t="s">
        <v>20</v>
      </c>
      <c r="E551" t="s">
        <v>931</v>
      </c>
      <c r="F551" t="s">
        <v>115</v>
      </c>
      <c r="G551" t="s">
        <v>31</v>
      </c>
      <c r="H551" t="s">
        <v>39</v>
      </c>
      <c r="I551" t="s">
        <v>51</v>
      </c>
      <c r="J551">
        <v>3</v>
      </c>
      <c r="K551">
        <v>2999</v>
      </c>
      <c r="L551">
        <f>Table1[[#This Row],[Quantity]] * Table1[[#This Row],[UnitPrice]]</f>
        <v>8997</v>
      </c>
      <c r="M551" s="25">
        <v>10</v>
      </c>
      <c r="N551">
        <f>Table1[[#This Row],[Revenue]]*Table1[[#This Row],[Discount%]]/100</f>
        <v>899.7</v>
      </c>
      <c r="O551" s="6">
        <f>Table1[[#This Row],[Revenue]]-Table1[[#This Row],[Disc_amount]]</f>
        <v>8097.3</v>
      </c>
      <c r="P551" t="s">
        <v>33</v>
      </c>
      <c r="Q551" t="s">
        <v>27</v>
      </c>
    </row>
    <row r="552" spans="1:17">
      <c r="A552" t="s">
        <v>1131</v>
      </c>
      <c r="B552" s="1" t="s">
        <v>1132</v>
      </c>
      <c r="C552" s="1" t="s">
        <v>839</v>
      </c>
      <c r="D552" s="1" t="s">
        <v>20</v>
      </c>
      <c r="E552" t="s">
        <v>725</v>
      </c>
      <c r="F552" t="s">
        <v>726</v>
      </c>
      <c r="G552" t="s">
        <v>38</v>
      </c>
      <c r="H552" t="s">
        <v>46</v>
      </c>
      <c r="I552" t="s">
        <v>47</v>
      </c>
      <c r="J552">
        <v>1</v>
      </c>
      <c r="K552">
        <v>249</v>
      </c>
      <c r="L552">
        <f>Table1[[#This Row],[Quantity]] * Table1[[#This Row],[UnitPrice]]</f>
        <v>249</v>
      </c>
      <c r="M552" s="25">
        <v>0</v>
      </c>
      <c r="N552">
        <f>Table1[[#This Row],[Revenue]]*Table1[[#This Row],[Discount%]]/100</f>
        <v>0</v>
      </c>
      <c r="O552" s="6">
        <f>Table1[[#This Row],[Revenue]]-Table1[[#This Row],[Disc_amount]]</f>
        <v>249</v>
      </c>
      <c r="P552" t="s">
        <v>41</v>
      </c>
      <c r="Q552" t="s">
        <v>34</v>
      </c>
    </row>
    <row r="553" spans="1:17">
      <c r="A553" t="s">
        <v>1133</v>
      </c>
      <c r="B553" s="1" t="s">
        <v>1132</v>
      </c>
      <c r="C553" s="1" t="s">
        <v>839</v>
      </c>
      <c r="D553" s="1" t="s">
        <v>20</v>
      </c>
      <c r="E553" t="s">
        <v>921</v>
      </c>
      <c r="F553" t="s">
        <v>104</v>
      </c>
      <c r="G553" t="s">
        <v>23</v>
      </c>
      <c r="H553" t="s">
        <v>108</v>
      </c>
      <c r="I553" t="s">
        <v>130</v>
      </c>
      <c r="J553">
        <v>4</v>
      </c>
      <c r="K553">
        <v>699</v>
      </c>
      <c r="L553">
        <f>Table1[[#This Row],[Quantity]] * Table1[[#This Row],[UnitPrice]]</f>
        <v>2796</v>
      </c>
      <c r="M553" s="25">
        <v>0</v>
      </c>
      <c r="N553">
        <f>Table1[[#This Row],[Revenue]]*Table1[[#This Row],[Discount%]]/100</f>
        <v>0</v>
      </c>
      <c r="O553" s="6">
        <f>Table1[[#This Row],[Revenue]]-Table1[[#This Row],[Disc_amount]]</f>
        <v>2796</v>
      </c>
      <c r="P553" t="s">
        <v>41</v>
      </c>
      <c r="Q553" t="s">
        <v>27</v>
      </c>
    </row>
    <row r="554" spans="1:17">
      <c r="A554" t="s">
        <v>1134</v>
      </c>
      <c r="B554" s="1" t="s">
        <v>1132</v>
      </c>
      <c r="C554" s="1" t="s">
        <v>839</v>
      </c>
      <c r="D554" s="1" t="s">
        <v>20</v>
      </c>
      <c r="E554" t="s">
        <v>936</v>
      </c>
      <c r="F554" t="s">
        <v>229</v>
      </c>
      <c r="G554" t="s">
        <v>38</v>
      </c>
      <c r="H554" t="s">
        <v>24</v>
      </c>
      <c r="I554" t="s">
        <v>25</v>
      </c>
      <c r="J554">
        <v>5</v>
      </c>
      <c r="K554">
        <v>99</v>
      </c>
      <c r="L554">
        <f>Table1[[#This Row],[Quantity]] * Table1[[#This Row],[UnitPrice]]</f>
        <v>495</v>
      </c>
      <c r="M554" s="25">
        <v>0</v>
      </c>
      <c r="N554">
        <f>Table1[[#This Row],[Revenue]]*Table1[[#This Row],[Discount%]]/100</f>
        <v>0</v>
      </c>
      <c r="O554" s="6">
        <f>Table1[[#This Row],[Revenue]]-Table1[[#This Row],[Disc_amount]]</f>
        <v>495</v>
      </c>
      <c r="P554" t="s">
        <v>86</v>
      </c>
      <c r="Q554" t="s">
        <v>27</v>
      </c>
    </row>
    <row r="555" spans="1:17">
      <c r="A555" t="s">
        <v>1135</v>
      </c>
      <c r="B555" s="1" t="s">
        <v>1132</v>
      </c>
      <c r="C555" s="1" t="s">
        <v>839</v>
      </c>
      <c r="D555" s="1" t="s">
        <v>20</v>
      </c>
      <c r="E555" t="s">
        <v>645</v>
      </c>
      <c r="F555" t="s">
        <v>248</v>
      </c>
      <c r="G555" t="s">
        <v>23</v>
      </c>
      <c r="H555" t="s">
        <v>57</v>
      </c>
      <c r="I555" t="s">
        <v>62</v>
      </c>
      <c r="J555">
        <v>1</v>
      </c>
      <c r="K555">
        <v>799</v>
      </c>
      <c r="L555">
        <f>Table1[[#This Row],[Quantity]] * Table1[[#This Row],[UnitPrice]]</f>
        <v>799</v>
      </c>
      <c r="M555" s="25">
        <v>0</v>
      </c>
      <c r="N555">
        <f>Table1[[#This Row],[Revenue]]*Table1[[#This Row],[Discount%]]/100</f>
        <v>0</v>
      </c>
      <c r="O555" s="6">
        <f>Table1[[#This Row],[Revenue]]-Table1[[#This Row],[Disc_amount]]</f>
        <v>799</v>
      </c>
      <c r="P555" t="s">
        <v>26</v>
      </c>
      <c r="Q555" t="s">
        <v>27</v>
      </c>
    </row>
    <row r="556" spans="1:17">
      <c r="A556" t="s">
        <v>1136</v>
      </c>
      <c r="B556" s="1" t="s">
        <v>1132</v>
      </c>
      <c r="C556" s="1" t="s">
        <v>839</v>
      </c>
      <c r="D556" s="1" t="s">
        <v>20</v>
      </c>
      <c r="E556" t="s">
        <v>1118</v>
      </c>
      <c r="F556" t="s">
        <v>784</v>
      </c>
      <c r="G556" t="s">
        <v>56</v>
      </c>
      <c r="H556" t="s">
        <v>46</v>
      </c>
      <c r="I556" t="s">
        <v>47</v>
      </c>
      <c r="J556">
        <v>1</v>
      </c>
      <c r="K556">
        <v>249</v>
      </c>
      <c r="L556">
        <f>Table1[[#This Row],[Quantity]] * Table1[[#This Row],[UnitPrice]]</f>
        <v>249</v>
      </c>
      <c r="M556" s="25">
        <v>0</v>
      </c>
      <c r="N556">
        <f>Table1[[#This Row],[Revenue]]*Table1[[#This Row],[Discount%]]/100</f>
        <v>0</v>
      </c>
      <c r="O556" s="6">
        <f>Table1[[#This Row],[Revenue]]-Table1[[#This Row],[Disc_amount]]</f>
        <v>249</v>
      </c>
      <c r="P556" t="s">
        <v>26</v>
      </c>
      <c r="Q556" t="s">
        <v>27</v>
      </c>
    </row>
    <row r="557" spans="1:17">
      <c r="A557" t="s">
        <v>1137</v>
      </c>
      <c r="B557" s="1" t="s">
        <v>1132</v>
      </c>
      <c r="C557" s="1" t="s">
        <v>839</v>
      </c>
      <c r="D557" s="1" t="s">
        <v>20</v>
      </c>
      <c r="E557" t="s">
        <v>878</v>
      </c>
      <c r="F557" t="s">
        <v>879</v>
      </c>
      <c r="G557" t="s">
        <v>31</v>
      </c>
      <c r="H557" t="s">
        <v>108</v>
      </c>
      <c r="I557" t="s">
        <v>130</v>
      </c>
      <c r="J557">
        <v>1</v>
      </c>
      <c r="K557">
        <v>699</v>
      </c>
      <c r="L557">
        <f>Table1[[#This Row],[Quantity]] * Table1[[#This Row],[UnitPrice]]</f>
        <v>699</v>
      </c>
      <c r="M557" s="25">
        <v>10</v>
      </c>
      <c r="N557">
        <f>Table1[[#This Row],[Revenue]]*Table1[[#This Row],[Discount%]]/100</f>
        <v>69.900000000000006</v>
      </c>
      <c r="O557" s="6">
        <f>Table1[[#This Row],[Revenue]]-Table1[[#This Row],[Disc_amount]]</f>
        <v>629.1</v>
      </c>
      <c r="P557" t="s">
        <v>26</v>
      </c>
      <c r="Q557" t="s">
        <v>27</v>
      </c>
    </row>
    <row r="558" spans="1:17">
      <c r="A558" t="s">
        <v>1138</v>
      </c>
      <c r="B558" s="1" t="s">
        <v>1132</v>
      </c>
      <c r="C558" s="1" t="s">
        <v>839</v>
      </c>
      <c r="D558" s="1" t="s">
        <v>20</v>
      </c>
      <c r="E558" t="s">
        <v>430</v>
      </c>
      <c r="F558" t="s">
        <v>101</v>
      </c>
      <c r="G558" t="s">
        <v>56</v>
      </c>
      <c r="H558" t="s">
        <v>39</v>
      </c>
      <c r="I558" t="s">
        <v>140</v>
      </c>
      <c r="J558">
        <v>5</v>
      </c>
      <c r="K558">
        <v>1799</v>
      </c>
      <c r="L558">
        <f>Table1[[#This Row],[Quantity]] * Table1[[#This Row],[UnitPrice]]</f>
        <v>8995</v>
      </c>
      <c r="M558" s="25">
        <v>20</v>
      </c>
      <c r="N558">
        <f>Table1[[#This Row],[Revenue]]*Table1[[#This Row],[Discount%]]/100</f>
        <v>1799</v>
      </c>
      <c r="O558" s="6">
        <f>Table1[[#This Row],[Revenue]]-Table1[[#This Row],[Disc_amount]]</f>
        <v>7196</v>
      </c>
      <c r="P558" t="s">
        <v>52</v>
      </c>
      <c r="Q558" t="s">
        <v>27</v>
      </c>
    </row>
    <row r="559" spans="1:17">
      <c r="A559" t="s">
        <v>1139</v>
      </c>
      <c r="B559" s="1" t="s">
        <v>1132</v>
      </c>
      <c r="C559" s="1" t="s">
        <v>839</v>
      </c>
      <c r="D559" s="1" t="s">
        <v>20</v>
      </c>
      <c r="E559" t="s">
        <v>475</v>
      </c>
      <c r="F559" t="s">
        <v>80</v>
      </c>
      <c r="G559" t="s">
        <v>31</v>
      </c>
      <c r="H559" t="s">
        <v>65</v>
      </c>
      <c r="I559" t="s">
        <v>98</v>
      </c>
      <c r="J559">
        <v>1</v>
      </c>
      <c r="K559">
        <v>499</v>
      </c>
      <c r="L559">
        <f>Table1[[#This Row],[Quantity]] * Table1[[#This Row],[UnitPrice]]</f>
        <v>499</v>
      </c>
      <c r="M559" s="25">
        <v>0</v>
      </c>
      <c r="N559">
        <f>Table1[[#This Row],[Revenue]]*Table1[[#This Row],[Discount%]]/100</f>
        <v>0</v>
      </c>
      <c r="O559" s="6">
        <f>Table1[[#This Row],[Revenue]]-Table1[[#This Row],[Disc_amount]]</f>
        <v>499</v>
      </c>
      <c r="P559" t="s">
        <v>41</v>
      </c>
      <c r="Q559" t="s">
        <v>27</v>
      </c>
    </row>
    <row r="560" spans="1:17">
      <c r="A560" t="s">
        <v>1140</v>
      </c>
      <c r="B560" s="1" t="s">
        <v>1132</v>
      </c>
      <c r="C560" s="1" t="s">
        <v>839</v>
      </c>
      <c r="D560" s="1" t="s">
        <v>20</v>
      </c>
      <c r="E560" t="s">
        <v>787</v>
      </c>
      <c r="F560" t="s">
        <v>788</v>
      </c>
      <c r="G560" t="s">
        <v>45</v>
      </c>
      <c r="H560" t="s">
        <v>24</v>
      </c>
      <c r="I560" t="s">
        <v>32</v>
      </c>
      <c r="J560">
        <v>3</v>
      </c>
      <c r="K560">
        <v>199</v>
      </c>
      <c r="L560">
        <f>Table1[[#This Row],[Quantity]] * Table1[[#This Row],[UnitPrice]]</f>
        <v>597</v>
      </c>
      <c r="M560" s="25">
        <v>5</v>
      </c>
      <c r="N560">
        <f>Table1[[#This Row],[Revenue]]*Table1[[#This Row],[Discount%]]/100</f>
        <v>29.85</v>
      </c>
      <c r="O560" s="6">
        <f>Table1[[#This Row],[Revenue]]-Table1[[#This Row],[Disc_amount]]</f>
        <v>567.15</v>
      </c>
      <c r="P560" t="s">
        <v>52</v>
      </c>
      <c r="Q560" t="s">
        <v>34</v>
      </c>
    </row>
    <row r="561" spans="1:17">
      <c r="A561" t="s">
        <v>1141</v>
      </c>
      <c r="B561" s="1" t="s">
        <v>1142</v>
      </c>
      <c r="C561" s="1" t="s">
        <v>1143</v>
      </c>
      <c r="D561" s="1" t="s">
        <v>20</v>
      </c>
      <c r="E561" t="s">
        <v>190</v>
      </c>
      <c r="F561" t="s">
        <v>191</v>
      </c>
      <c r="G561" t="s">
        <v>31</v>
      </c>
      <c r="H561" t="s">
        <v>46</v>
      </c>
      <c r="I561" t="s">
        <v>154</v>
      </c>
      <c r="J561">
        <v>1</v>
      </c>
      <c r="K561">
        <v>299</v>
      </c>
      <c r="L561">
        <f>Table1[[#This Row],[Quantity]] * Table1[[#This Row],[UnitPrice]]</f>
        <v>299</v>
      </c>
      <c r="M561" s="25">
        <v>20</v>
      </c>
      <c r="N561">
        <f>Table1[[#This Row],[Revenue]]*Table1[[#This Row],[Discount%]]/100</f>
        <v>59.8</v>
      </c>
      <c r="O561" s="6">
        <f>Table1[[#This Row],[Revenue]]-Table1[[#This Row],[Disc_amount]]</f>
        <v>239.2</v>
      </c>
      <c r="P561" t="s">
        <v>86</v>
      </c>
      <c r="Q561" t="s">
        <v>34</v>
      </c>
    </row>
    <row r="562" spans="1:17">
      <c r="A562" t="s">
        <v>1144</v>
      </c>
      <c r="B562" s="1" t="s">
        <v>1142</v>
      </c>
      <c r="C562" s="1" t="s">
        <v>1143</v>
      </c>
      <c r="D562" s="1" t="s">
        <v>20</v>
      </c>
      <c r="E562" t="s">
        <v>895</v>
      </c>
      <c r="F562" t="s">
        <v>759</v>
      </c>
      <c r="G562" t="s">
        <v>23</v>
      </c>
      <c r="H562" t="s">
        <v>57</v>
      </c>
      <c r="I562" t="s">
        <v>58</v>
      </c>
      <c r="J562">
        <v>3</v>
      </c>
      <c r="K562">
        <v>1299</v>
      </c>
      <c r="L562">
        <f>Table1[[#This Row],[Quantity]] * Table1[[#This Row],[UnitPrice]]</f>
        <v>3897</v>
      </c>
      <c r="M562" s="25">
        <v>20</v>
      </c>
      <c r="N562">
        <f>Table1[[#This Row],[Revenue]]*Table1[[#This Row],[Discount%]]/100</f>
        <v>779.4</v>
      </c>
      <c r="O562" s="6">
        <f>Table1[[#This Row],[Revenue]]-Table1[[#This Row],[Disc_amount]]</f>
        <v>3117.6</v>
      </c>
      <c r="P562" t="s">
        <v>52</v>
      </c>
      <c r="Q562" t="s">
        <v>27</v>
      </c>
    </row>
    <row r="563" spans="1:17">
      <c r="A563" t="s">
        <v>1145</v>
      </c>
      <c r="B563" s="1" t="s">
        <v>1142</v>
      </c>
      <c r="C563" s="1" t="s">
        <v>1143</v>
      </c>
      <c r="D563" s="1" t="s">
        <v>20</v>
      </c>
      <c r="E563" t="s">
        <v>840</v>
      </c>
      <c r="F563" t="s">
        <v>462</v>
      </c>
      <c r="G563" t="s">
        <v>56</v>
      </c>
      <c r="H563" t="s">
        <v>39</v>
      </c>
      <c r="I563" t="s">
        <v>40</v>
      </c>
      <c r="J563">
        <v>1</v>
      </c>
      <c r="K563">
        <v>599</v>
      </c>
      <c r="L563">
        <f>Table1[[#This Row],[Quantity]] * Table1[[#This Row],[UnitPrice]]</f>
        <v>599</v>
      </c>
      <c r="M563" s="25">
        <v>0</v>
      </c>
      <c r="N563">
        <f>Table1[[#This Row],[Revenue]]*Table1[[#This Row],[Discount%]]/100</f>
        <v>0</v>
      </c>
      <c r="O563" s="6">
        <f>Table1[[#This Row],[Revenue]]-Table1[[#This Row],[Disc_amount]]</f>
        <v>599</v>
      </c>
      <c r="P563" t="s">
        <v>33</v>
      </c>
      <c r="Q563" t="s">
        <v>27</v>
      </c>
    </row>
    <row r="564" spans="1:17">
      <c r="A564" t="s">
        <v>1146</v>
      </c>
      <c r="B564" s="1" t="s">
        <v>1142</v>
      </c>
      <c r="C564" s="1" t="s">
        <v>1143</v>
      </c>
      <c r="D564" s="1" t="s">
        <v>20</v>
      </c>
      <c r="E564" t="s">
        <v>1147</v>
      </c>
      <c r="F564" t="s">
        <v>788</v>
      </c>
      <c r="G564" t="s">
        <v>38</v>
      </c>
      <c r="H564" t="s">
        <v>46</v>
      </c>
      <c r="I564" t="s">
        <v>47</v>
      </c>
      <c r="J564">
        <v>1</v>
      </c>
      <c r="K564">
        <v>249</v>
      </c>
      <c r="L564">
        <f>Table1[[#This Row],[Quantity]] * Table1[[#This Row],[UnitPrice]]</f>
        <v>249</v>
      </c>
      <c r="M564" s="25">
        <v>10</v>
      </c>
      <c r="N564">
        <f>Table1[[#This Row],[Revenue]]*Table1[[#This Row],[Discount%]]/100</f>
        <v>24.9</v>
      </c>
      <c r="O564" s="6">
        <f>Table1[[#This Row],[Revenue]]-Table1[[#This Row],[Disc_amount]]</f>
        <v>224.1</v>
      </c>
      <c r="P564" t="s">
        <v>26</v>
      </c>
      <c r="Q564" t="s">
        <v>27</v>
      </c>
    </row>
    <row r="565" spans="1:17">
      <c r="A565" t="s">
        <v>1148</v>
      </c>
      <c r="B565" s="1" t="s">
        <v>1142</v>
      </c>
      <c r="C565" s="1" t="s">
        <v>1143</v>
      </c>
      <c r="D565" s="1" t="s">
        <v>20</v>
      </c>
      <c r="E565" t="s">
        <v>1061</v>
      </c>
      <c r="F565" t="s">
        <v>1062</v>
      </c>
      <c r="G565" t="s">
        <v>45</v>
      </c>
      <c r="H565" t="s">
        <v>39</v>
      </c>
      <c r="I565" t="s">
        <v>140</v>
      </c>
      <c r="J565">
        <v>2</v>
      </c>
      <c r="K565">
        <v>1799</v>
      </c>
      <c r="L565">
        <f>Table1[[#This Row],[Quantity]] * Table1[[#This Row],[UnitPrice]]</f>
        <v>3598</v>
      </c>
      <c r="M565" s="25">
        <v>0</v>
      </c>
      <c r="N565">
        <f>Table1[[#This Row],[Revenue]]*Table1[[#This Row],[Discount%]]/100</f>
        <v>0</v>
      </c>
      <c r="O565" s="6">
        <f>Table1[[#This Row],[Revenue]]-Table1[[#This Row],[Disc_amount]]</f>
        <v>3598</v>
      </c>
      <c r="P565" t="s">
        <v>41</v>
      </c>
      <c r="Q565" t="s">
        <v>27</v>
      </c>
    </row>
    <row r="566" spans="1:17">
      <c r="A566" t="s">
        <v>1149</v>
      </c>
      <c r="B566" s="1" t="s">
        <v>1150</v>
      </c>
      <c r="C566" s="1" t="s">
        <v>1143</v>
      </c>
      <c r="D566" s="1" t="s">
        <v>20</v>
      </c>
      <c r="E566" t="s">
        <v>238</v>
      </c>
      <c r="F566" t="s">
        <v>239</v>
      </c>
      <c r="G566" t="s">
        <v>38</v>
      </c>
      <c r="H566" t="s">
        <v>57</v>
      </c>
      <c r="I566" t="s">
        <v>62</v>
      </c>
      <c r="J566">
        <v>1</v>
      </c>
      <c r="K566">
        <v>799</v>
      </c>
      <c r="L566">
        <f>Table1[[#This Row],[Quantity]] * Table1[[#This Row],[UnitPrice]]</f>
        <v>799</v>
      </c>
      <c r="M566" s="25">
        <v>0</v>
      </c>
      <c r="N566">
        <f>Table1[[#This Row],[Revenue]]*Table1[[#This Row],[Discount%]]/100</f>
        <v>0</v>
      </c>
      <c r="O566" s="6">
        <f>Table1[[#This Row],[Revenue]]-Table1[[#This Row],[Disc_amount]]</f>
        <v>799</v>
      </c>
      <c r="P566" t="s">
        <v>33</v>
      </c>
      <c r="Q566" t="s">
        <v>27</v>
      </c>
    </row>
    <row r="567" spans="1:17">
      <c r="A567" t="s">
        <v>1151</v>
      </c>
      <c r="B567" s="1" t="s">
        <v>1150</v>
      </c>
      <c r="C567" s="1" t="s">
        <v>1143</v>
      </c>
      <c r="D567" s="1" t="s">
        <v>20</v>
      </c>
      <c r="E567" t="s">
        <v>1152</v>
      </c>
      <c r="F567" t="s">
        <v>209</v>
      </c>
      <c r="G567" t="s">
        <v>45</v>
      </c>
      <c r="H567" t="s">
        <v>24</v>
      </c>
      <c r="I567" t="s">
        <v>32</v>
      </c>
      <c r="J567">
        <v>2</v>
      </c>
      <c r="K567">
        <v>199</v>
      </c>
      <c r="L567">
        <f>Table1[[#This Row],[Quantity]] * Table1[[#This Row],[UnitPrice]]</f>
        <v>398</v>
      </c>
      <c r="M567" s="25">
        <v>20</v>
      </c>
      <c r="N567">
        <f>Table1[[#This Row],[Revenue]]*Table1[[#This Row],[Discount%]]/100</f>
        <v>79.599999999999994</v>
      </c>
      <c r="O567" s="6">
        <f>Table1[[#This Row],[Revenue]]-Table1[[#This Row],[Disc_amount]]</f>
        <v>318.39999999999998</v>
      </c>
      <c r="P567" t="s">
        <v>26</v>
      </c>
      <c r="Q567" t="s">
        <v>27</v>
      </c>
    </row>
    <row r="568" spans="1:17">
      <c r="A568" t="s">
        <v>1153</v>
      </c>
      <c r="B568" s="1" t="s">
        <v>1150</v>
      </c>
      <c r="C568" s="1" t="s">
        <v>1143</v>
      </c>
      <c r="D568" s="1" t="s">
        <v>20</v>
      </c>
      <c r="E568" t="s">
        <v>603</v>
      </c>
      <c r="F568" t="s">
        <v>604</v>
      </c>
      <c r="G568" t="s">
        <v>31</v>
      </c>
      <c r="H568" t="s">
        <v>39</v>
      </c>
      <c r="I568" t="s">
        <v>40</v>
      </c>
      <c r="J568">
        <v>1</v>
      </c>
      <c r="K568">
        <v>599</v>
      </c>
      <c r="L568">
        <f>Table1[[#This Row],[Quantity]] * Table1[[#This Row],[UnitPrice]]</f>
        <v>599</v>
      </c>
      <c r="M568" s="25">
        <v>15</v>
      </c>
      <c r="N568">
        <f>Table1[[#This Row],[Revenue]]*Table1[[#This Row],[Discount%]]/100</f>
        <v>89.85</v>
      </c>
      <c r="O568" s="6">
        <f>Table1[[#This Row],[Revenue]]-Table1[[#This Row],[Disc_amount]]</f>
        <v>509.15</v>
      </c>
      <c r="P568" t="s">
        <v>41</v>
      </c>
      <c r="Q568" t="s">
        <v>27</v>
      </c>
    </row>
    <row r="569" spans="1:17">
      <c r="A569" t="s">
        <v>1154</v>
      </c>
      <c r="B569" s="1" t="s">
        <v>1150</v>
      </c>
      <c r="C569" s="1" t="s">
        <v>1143</v>
      </c>
      <c r="D569" s="1" t="s">
        <v>20</v>
      </c>
      <c r="E569" t="s">
        <v>769</v>
      </c>
      <c r="F569" t="s">
        <v>101</v>
      </c>
      <c r="G569" t="s">
        <v>23</v>
      </c>
      <c r="H569" t="s">
        <v>57</v>
      </c>
      <c r="I569" t="s">
        <v>62</v>
      </c>
      <c r="J569">
        <v>1</v>
      </c>
      <c r="K569">
        <v>799</v>
      </c>
      <c r="L569">
        <f>Table1[[#This Row],[Quantity]] * Table1[[#This Row],[UnitPrice]]</f>
        <v>799</v>
      </c>
      <c r="M569" s="25">
        <v>10</v>
      </c>
      <c r="N569">
        <f>Table1[[#This Row],[Revenue]]*Table1[[#This Row],[Discount%]]/100</f>
        <v>79.900000000000006</v>
      </c>
      <c r="O569" s="6">
        <f>Table1[[#This Row],[Revenue]]-Table1[[#This Row],[Disc_amount]]</f>
        <v>719.1</v>
      </c>
      <c r="P569" t="s">
        <v>33</v>
      </c>
      <c r="Q569" t="s">
        <v>27</v>
      </c>
    </row>
    <row r="570" spans="1:17">
      <c r="A570" t="s">
        <v>1155</v>
      </c>
      <c r="B570" s="1" t="s">
        <v>1150</v>
      </c>
      <c r="C570" s="1" t="s">
        <v>1143</v>
      </c>
      <c r="D570" s="1" t="s">
        <v>20</v>
      </c>
      <c r="E570" t="s">
        <v>1156</v>
      </c>
      <c r="F570" t="s">
        <v>345</v>
      </c>
      <c r="G570" t="s">
        <v>31</v>
      </c>
      <c r="H570" t="s">
        <v>39</v>
      </c>
      <c r="I570" t="s">
        <v>40</v>
      </c>
      <c r="J570">
        <v>3</v>
      </c>
      <c r="K570">
        <v>599</v>
      </c>
      <c r="L570">
        <f>Table1[[#This Row],[Quantity]] * Table1[[#This Row],[UnitPrice]]</f>
        <v>1797</v>
      </c>
      <c r="M570" s="25">
        <v>15</v>
      </c>
      <c r="N570">
        <f>Table1[[#This Row],[Revenue]]*Table1[[#This Row],[Discount%]]/100</f>
        <v>269.55</v>
      </c>
      <c r="O570" s="6">
        <f>Table1[[#This Row],[Revenue]]-Table1[[#This Row],[Disc_amount]]</f>
        <v>1527.45</v>
      </c>
      <c r="P570" t="s">
        <v>52</v>
      </c>
      <c r="Q570" t="s">
        <v>27</v>
      </c>
    </row>
    <row r="571" spans="1:17">
      <c r="A571" t="s">
        <v>1157</v>
      </c>
      <c r="B571" s="1" t="s">
        <v>1150</v>
      </c>
      <c r="C571" s="1" t="s">
        <v>1143</v>
      </c>
      <c r="D571" s="1" t="s">
        <v>20</v>
      </c>
      <c r="E571" t="s">
        <v>133</v>
      </c>
      <c r="F571" t="s">
        <v>134</v>
      </c>
      <c r="G571" t="s">
        <v>23</v>
      </c>
      <c r="H571" t="s">
        <v>65</v>
      </c>
      <c r="I571" t="s">
        <v>98</v>
      </c>
      <c r="J571">
        <v>1</v>
      </c>
      <c r="K571">
        <v>499</v>
      </c>
      <c r="L571">
        <f>Table1[[#This Row],[Quantity]] * Table1[[#This Row],[UnitPrice]]</f>
        <v>499</v>
      </c>
      <c r="M571" s="25">
        <v>0</v>
      </c>
      <c r="N571">
        <f>Table1[[#This Row],[Revenue]]*Table1[[#This Row],[Discount%]]/100</f>
        <v>0</v>
      </c>
      <c r="O571" s="6">
        <f>Table1[[#This Row],[Revenue]]-Table1[[#This Row],[Disc_amount]]</f>
        <v>499</v>
      </c>
      <c r="P571" t="s">
        <v>52</v>
      </c>
      <c r="Q571" t="s">
        <v>34</v>
      </c>
    </row>
    <row r="572" spans="1:17">
      <c r="A572" t="s">
        <v>1158</v>
      </c>
      <c r="B572" s="1" t="s">
        <v>1150</v>
      </c>
      <c r="C572" s="1" t="s">
        <v>1143</v>
      </c>
      <c r="D572" s="1" t="s">
        <v>20</v>
      </c>
      <c r="E572" t="s">
        <v>490</v>
      </c>
      <c r="F572" t="s">
        <v>478</v>
      </c>
      <c r="G572" t="s">
        <v>38</v>
      </c>
      <c r="H572" t="s">
        <v>39</v>
      </c>
      <c r="I572" t="s">
        <v>140</v>
      </c>
      <c r="J572">
        <v>1</v>
      </c>
      <c r="K572">
        <v>1799</v>
      </c>
      <c r="L572">
        <f>Table1[[#This Row],[Quantity]] * Table1[[#This Row],[UnitPrice]]</f>
        <v>1799</v>
      </c>
      <c r="M572" s="25">
        <v>15</v>
      </c>
      <c r="N572">
        <f>Table1[[#This Row],[Revenue]]*Table1[[#This Row],[Discount%]]/100</f>
        <v>269.85000000000002</v>
      </c>
      <c r="O572" s="6">
        <f>Table1[[#This Row],[Revenue]]-Table1[[#This Row],[Disc_amount]]</f>
        <v>1529.15</v>
      </c>
      <c r="P572" t="s">
        <v>33</v>
      </c>
      <c r="Q572" t="s">
        <v>27</v>
      </c>
    </row>
    <row r="573" spans="1:17">
      <c r="A573" t="s">
        <v>1159</v>
      </c>
      <c r="B573" s="1" t="s">
        <v>1160</v>
      </c>
      <c r="C573" s="1" t="s">
        <v>1143</v>
      </c>
      <c r="D573" s="1" t="s">
        <v>20</v>
      </c>
      <c r="E573" t="s">
        <v>541</v>
      </c>
      <c r="F573" t="s">
        <v>314</v>
      </c>
      <c r="G573" t="s">
        <v>23</v>
      </c>
      <c r="H573" t="s">
        <v>70</v>
      </c>
      <c r="I573" t="s">
        <v>91</v>
      </c>
      <c r="J573">
        <v>2</v>
      </c>
      <c r="K573">
        <v>549</v>
      </c>
      <c r="L573">
        <f>Table1[[#This Row],[Quantity]] * Table1[[#This Row],[UnitPrice]]</f>
        <v>1098</v>
      </c>
      <c r="M573" s="25">
        <v>0</v>
      </c>
      <c r="N573">
        <f>Table1[[#This Row],[Revenue]]*Table1[[#This Row],[Discount%]]/100</f>
        <v>0</v>
      </c>
      <c r="O573" s="6">
        <f>Table1[[#This Row],[Revenue]]-Table1[[#This Row],[Disc_amount]]</f>
        <v>1098</v>
      </c>
      <c r="P573" t="s">
        <v>41</v>
      </c>
      <c r="Q573" t="s">
        <v>27</v>
      </c>
    </row>
    <row r="574" spans="1:17">
      <c r="A574" t="s">
        <v>1161</v>
      </c>
      <c r="B574" s="1" t="s">
        <v>1160</v>
      </c>
      <c r="C574" s="1" t="s">
        <v>1143</v>
      </c>
      <c r="D574" s="1" t="s">
        <v>20</v>
      </c>
      <c r="E574" t="s">
        <v>76</v>
      </c>
      <c r="F574" t="s">
        <v>77</v>
      </c>
      <c r="G574" t="s">
        <v>56</v>
      </c>
      <c r="H574" t="s">
        <v>108</v>
      </c>
      <c r="I574" t="s">
        <v>130</v>
      </c>
      <c r="J574">
        <v>1</v>
      </c>
      <c r="K574">
        <v>699</v>
      </c>
      <c r="L574">
        <f>Table1[[#This Row],[Quantity]] * Table1[[#This Row],[UnitPrice]]</f>
        <v>699</v>
      </c>
      <c r="M574" s="25">
        <v>0</v>
      </c>
      <c r="N574">
        <f>Table1[[#This Row],[Revenue]]*Table1[[#This Row],[Discount%]]/100</f>
        <v>0</v>
      </c>
      <c r="O574" s="6">
        <f>Table1[[#This Row],[Revenue]]-Table1[[#This Row],[Disc_amount]]</f>
        <v>699</v>
      </c>
      <c r="P574" t="s">
        <v>33</v>
      </c>
      <c r="Q574" t="s">
        <v>27</v>
      </c>
    </row>
    <row r="575" spans="1:17">
      <c r="A575" t="s">
        <v>1162</v>
      </c>
      <c r="B575" s="1" t="s">
        <v>1160</v>
      </c>
      <c r="C575" s="1" t="s">
        <v>1143</v>
      </c>
      <c r="D575" s="1" t="s">
        <v>20</v>
      </c>
      <c r="E575" t="s">
        <v>1163</v>
      </c>
      <c r="F575" t="s">
        <v>390</v>
      </c>
      <c r="G575" t="s">
        <v>23</v>
      </c>
      <c r="H575" t="s">
        <v>39</v>
      </c>
      <c r="I575" t="s">
        <v>51</v>
      </c>
      <c r="J575">
        <v>1</v>
      </c>
      <c r="K575">
        <v>2999</v>
      </c>
      <c r="L575">
        <f>Table1[[#This Row],[Quantity]] * Table1[[#This Row],[UnitPrice]]</f>
        <v>2999</v>
      </c>
      <c r="M575" s="25">
        <v>15</v>
      </c>
      <c r="N575">
        <f>Table1[[#This Row],[Revenue]]*Table1[[#This Row],[Discount%]]/100</f>
        <v>449.85</v>
      </c>
      <c r="O575" s="6">
        <f>Table1[[#This Row],[Revenue]]-Table1[[#This Row],[Disc_amount]]</f>
        <v>2549.15</v>
      </c>
      <c r="P575" t="s">
        <v>33</v>
      </c>
      <c r="Q575" t="s">
        <v>27</v>
      </c>
    </row>
    <row r="576" spans="1:17">
      <c r="A576" t="s">
        <v>1164</v>
      </c>
      <c r="B576" s="1" t="s">
        <v>1160</v>
      </c>
      <c r="C576" s="1" t="s">
        <v>1143</v>
      </c>
      <c r="D576" s="1" t="s">
        <v>20</v>
      </c>
      <c r="E576" t="s">
        <v>1165</v>
      </c>
      <c r="F576" t="s">
        <v>272</v>
      </c>
      <c r="G576" t="s">
        <v>31</v>
      </c>
      <c r="H576" t="s">
        <v>24</v>
      </c>
      <c r="I576" t="s">
        <v>32</v>
      </c>
      <c r="J576">
        <v>1</v>
      </c>
      <c r="K576">
        <v>199</v>
      </c>
      <c r="L576">
        <f>Table1[[#This Row],[Quantity]] * Table1[[#This Row],[UnitPrice]]</f>
        <v>199</v>
      </c>
      <c r="M576" s="25">
        <v>0</v>
      </c>
      <c r="N576">
        <f>Table1[[#This Row],[Revenue]]*Table1[[#This Row],[Discount%]]/100</f>
        <v>0</v>
      </c>
      <c r="O576" s="6">
        <f>Table1[[#This Row],[Revenue]]-Table1[[#This Row],[Disc_amount]]</f>
        <v>199</v>
      </c>
      <c r="P576" t="s">
        <v>33</v>
      </c>
      <c r="Q576" t="s">
        <v>34</v>
      </c>
    </row>
    <row r="577" spans="1:17">
      <c r="A577" t="s">
        <v>1166</v>
      </c>
      <c r="B577" s="1" t="s">
        <v>1160</v>
      </c>
      <c r="C577" s="1" t="s">
        <v>1143</v>
      </c>
      <c r="D577" s="1" t="s">
        <v>20</v>
      </c>
      <c r="E577" t="s">
        <v>169</v>
      </c>
      <c r="F577" t="s">
        <v>170</v>
      </c>
      <c r="G577" t="s">
        <v>23</v>
      </c>
      <c r="H577" t="s">
        <v>108</v>
      </c>
      <c r="I577" t="s">
        <v>109</v>
      </c>
      <c r="J577">
        <v>1</v>
      </c>
      <c r="K577">
        <v>1499</v>
      </c>
      <c r="L577">
        <f>Table1[[#This Row],[Quantity]] * Table1[[#This Row],[UnitPrice]]</f>
        <v>1499</v>
      </c>
      <c r="M577" s="25">
        <v>0</v>
      </c>
      <c r="N577">
        <f>Table1[[#This Row],[Revenue]]*Table1[[#This Row],[Discount%]]/100</f>
        <v>0</v>
      </c>
      <c r="O577" s="6">
        <f>Table1[[#This Row],[Revenue]]-Table1[[#This Row],[Disc_amount]]</f>
        <v>1499</v>
      </c>
      <c r="P577" t="s">
        <v>33</v>
      </c>
      <c r="Q577" t="s">
        <v>27</v>
      </c>
    </row>
    <row r="578" spans="1:17">
      <c r="A578" t="s">
        <v>1167</v>
      </c>
      <c r="B578" s="1" t="s">
        <v>1160</v>
      </c>
      <c r="C578" s="1" t="s">
        <v>1143</v>
      </c>
      <c r="D578" s="1" t="s">
        <v>20</v>
      </c>
      <c r="E578" t="s">
        <v>212</v>
      </c>
      <c r="F578" t="s">
        <v>213</v>
      </c>
      <c r="G578" t="s">
        <v>38</v>
      </c>
      <c r="H578" t="s">
        <v>108</v>
      </c>
      <c r="I578" t="s">
        <v>109</v>
      </c>
      <c r="J578">
        <v>1</v>
      </c>
      <c r="K578">
        <v>1499</v>
      </c>
      <c r="L578">
        <f>Table1[[#This Row],[Quantity]] * Table1[[#This Row],[UnitPrice]]</f>
        <v>1499</v>
      </c>
      <c r="M578" s="25">
        <v>20</v>
      </c>
      <c r="N578">
        <f>Table1[[#This Row],[Revenue]]*Table1[[#This Row],[Discount%]]/100</f>
        <v>299.8</v>
      </c>
      <c r="O578" s="6">
        <f>Table1[[#This Row],[Revenue]]-Table1[[#This Row],[Disc_amount]]</f>
        <v>1199.2</v>
      </c>
      <c r="P578" t="s">
        <v>33</v>
      </c>
      <c r="Q578" t="s">
        <v>27</v>
      </c>
    </row>
    <row r="579" spans="1:17">
      <c r="A579" t="s">
        <v>1168</v>
      </c>
      <c r="B579" s="1" t="s">
        <v>1160</v>
      </c>
      <c r="C579" s="1" t="s">
        <v>1143</v>
      </c>
      <c r="D579" s="1" t="s">
        <v>20</v>
      </c>
      <c r="E579" t="s">
        <v>928</v>
      </c>
      <c r="F579" t="s">
        <v>147</v>
      </c>
      <c r="G579" t="s">
        <v>31</v>
      </c>
      <c r="H579" t="s">
        <v>65</v>
      </c>
      <c r="I579" t="s">
        <v>98</v>
      </c>
      <c r="J579">
        <v>1</v>
      </c>
      <c r="K579">
        <v>499</v>
      </c>
      <c r="L579">
        <f>Table1[[#This Row],[Quantity]] * Table1[[#This Row],[UnitPrice]]</f>
        <v>499</v>
      </c>
      <c r="M579" s="25">
        <v>20</v>
      </c>
      <c r="N579">
        <f>Table1[[#This Row],[Revenue]]*Table1[[#This Row],[Discount%]]/100</f>
        <v>99.8</v>
      </c>
      <c r="O579" s="6">
        <f>Table1[[#This Row],[Revenue]]-Table1[[#This Row],[Disc_amount]]</f>
        <v>399.2</v>
      </c>
      <c r="P579" t="s">
        <v>41</v>
      </c>
      <c r="Q579" t="s">
        <v>34</v>
      </c>
    </row>
    <row r="580" spans="1:17">
      <c r="A580" t="s">
        <v>1169</v>
      </c>
      <c r="B580" s="1" t="s">
        <v>1160</v>
      </c>
      <c r="C580" s="1" t="s">
        <v>1143</v>
      </c>
      <c r="D580" s="1" t="s">
        <v>20</v>
      </c>
      <c r="E580" t="s">
        <v>655</v>
      </c>
      <c r="F580" t="s">
        <v>195</v>
      </c>
      <c r="G580" t="s">
        <v>56</v>
      </c>
      <c r="H580" t="s">
        <v>39</v>
      </c>
      <c r="I580" t="s">
        <v>51</v>
      </c>
      <c r="J580">
        <v>1</v>
      </c>
      <c r="K580">
        <v>2999</v>
      </c>
      <c r="L580">
        <f>Table1[[#This Row],[Quantity]] * Table1[[#This Row],[UnitPrice]]</f>
        <v>2999</v>
      </c>
      <c r="M580" s="25">
        <v>15</v>
      </c>
      <c r="N580">
        <f>Table1[[#This Row],[Revenue]]*Table1[[#This Row],[Discount%]]/100</f>
        <v>449.85</v>
      </c>
      <c r="O580" s="6">
        <f>Table1[[#This Row],[Revenue]]-Table1[[#This Row],[Disc_amount]]</f>
        <v>2549.15</v>
      </c>
      <c r="P580" t="s">
        <v>26</v>
      </c>
      <c r="Q580" t="s">
        <v>27</v>
      </c>
    </row>
    <row r="581" spans="1:17">
      <c r="A581" t="s">
        <v>1170</v>
      </c>
      <c r="B581" s="1" t="s">
        <v>1160</v>
      </c>
      <c r="C581" s="1" t="s">
        <v>1143</v>
      </c>
      <c r="D581" s="1" t="s">
        <v>20</v>
      </c>
      <c r="E581" t="s">
        <v>835</v>
      </c>
      <c r="F581" t="s">
        <v>836</v>
      </c>
      <c r="G581" t="s">
        <v>23</v>
      </c>
      <c r="H581" t="s">
        <v>46</v>
      </c>
      <c r="I581" t="s">
        <v>154</v>
      </c>
      <c r="J581">
        <v>4</v>
      </c>
      <c r="K581">
        <v>299</v>
      </c>
      <c r="L581">
        <f>Table1[[#This Row],[Quantity]] * Table1[[#This Row],[UnitPrice]]</f>
        <v>1196</v>
      </c>
      <c r="M581" s="25">
        <v>0</v>
      </c>
      <c r="N581">
        <f>Table1[[#This Row],[Revenue]]*Table1[[#This Row],[Discount%]]/100</f>
        <v>0</v>
      </c>
      <c r="O581" s="6">
        <f>Table1[[#This Row],[Revenue]]-Table1[[#This Row],[Disc_amount]]</f>
        <v>1196</v>
      </c>
      <c r="P581" t="s">
        <v>86</v>
      </c>
      <c r="Q581" t="s">
        <v>34</v>
      </c>
    </row>
    <row r="582" spans="1:17">
      <c r="A582" t="s">
        <v>1171</v>
      </c>
      <c r="B582" s="1" t="s">
        <v>1160</v>
      </c>
      <c r="C582" s="1" t="s">
        <v>1143</v>
      </c>
      <c r="D582" s="1" t="s">
        <v>20</v>
      </c>
      <c r="E582" t="s">
        <v>1172</v>
      </c>
      <c r="F582" t="s">
        <v>248</v>
      </c>
      <c r="G582" t="s">
        <v>38</v>
      </c>
      <c r="H582" t="s">
        <v>57</v>
      </c>
      <c r="I582" t="s">
        <v>58</v>
      </c>
      <c r="J582">
        <v>2</v>
      </c>
      <c r="K582">
        <v>1299</v>
      </c>
      <c r="L582">
        <f>Table1[[#This Row],[Quantity]] * Table1[[#This Row],[UnitPrice]]</f>
        <v>2598</v>
      </c>
      <c r="M582" s="25">
        <v>20</v>
      </c>
      <c r="N582">
        <f>Table1[[#This Row],[Revenue]]*Table1[[#This Row],[Discount%]]/100</f>
        <v>519.6</v>
      </c>
      <c r="O582" s="6">
        <f>Table1[[#This Row],[Revenue]]-Table1[[#This Row],[Disc_amount]]</f>
        <v>2078.4</v>
      </c>
      <c r="P582" t="s">
        <v>33</v>
      </c>
      <c r="Q582" t="s">
        <v>27</v>
      </c>
    </row>
    <row r="583" spans="1:17">
      <c r="A583" t="s">
        <v>1173</v>
      </c>
      <c r="B583" s="1" t="s">
        <v>1160</v>
      </c>
      <c r="C583" s="1" t="s">
        <v>1143</v>
      </c>
      <c r="D583" s="1" t="s">
        <v>20</v>
      </c>
      <c r="E583" t="s">
        <v>750</v>
      </c>
      <c r="F583" t="s">
        <v>83</v>
      </c>
      <c r="G583" t="s">
        <v>38</v>
      </c>
      <c r="H583" t="s">
        <v>65</v>
      </c>
      <c r="I583" t="s">
        <v>98</v>
      </c>
      <c r="J583">
        <v>1</v>
      </c>
      <c r="K583">
        <v>499</v>
      </c>
      <c r="L583">
        <f>Table1[[#This Row],[Quantity]] * Table1[[#This Row],[UnitPrice]]</f>
        <v>499</v>
      </c>
      <c r="M583" s="25">
        <v>15</v>
      </c>
      <c r="N583">
        <f>Table1[[#This Row],[Revenue]]*Table1[[#This Row],[Discount%]]/100</f>
        <v>74.849999999999994</v>
      </c>
      <c r="O583" s="6">
        <f>Table1[[#This Row],[Revenue]]-Table1[[#This Row],[Disc_amount]]</f>
        <v>424.15</v>
      </c>
      <c r="P583" t="s">
        <v>52</v>
      </c>
      <c r="Q583" t="s">
        <v>27</v>
      </c>
    </row>
    <row r="584" spans="1:17">
      <c r="A584" t="s">
        <v>1174</v>
      </c>
      <c r="B584" s="1" t="s">
        <v>1175</v>
      </c>
      <c r="C584" s="1" t="s">
        <v>1143</v>
      </c>
      <c r="D584" s="1" t="s">
        <v>20</v>
      </c>
      <c r="E584" t="s">
        <v>1176</v>
      </c>
      <c r="F584" t="s">
        <v>173</v>
      </c>
      <c r="G584" t="s">
        <v>31</v>
      </c>
      <c r="H584" t="s">
        <v>24</v>
      </c>
      <c r="I584" t="s">
        <v>25</v>
      </c>
      <c r="J584">
        <v>2</v>
      </c>
      <c r="K584">
        <v>99</v>
      </c>
      <c r="L584">
        <f>Table1[[#This Row],[Quantity]] * Table1[[#This Row],[UnitPrice]]</f>
        <v>198</v>
      </c>
      <c r="M584" s="25">
        <v>0</v>
      </c>
      <c r="N584">
        <f>Table1[[#This Row],[Revenue]]*Table1[[#This Row],[Discount%]]/100</f>
        <v>0</v>
      </c>
      <c r="O584" s="6">
        <f>Table1[[#This Row],[Revenue]]-Table1[[#This Row],[Disc_amount]]</f>
        <v>198</v>
      </c>
      <c r="P584" t="s">
        <v>41</v>
      </c>
      <c r="Q584" t="s">
        <v>34</v>
      </c>
    </row>
    <row r="585" spans="1:17">
      <c r="A585" t="s">
        <v>1177</v>
      </c>
      <c r="B585" s="1" t="s">
        <v>1175</v>
      </c>
      <c r="C585" s="1" t="s">
        <v>1143</v>
      </c>
      <c r="D585" s="1" t="s">
        <v>20</v>
      </c>
      <c r="E585" t="s">
        <v>1178</v>
      </c>
      <c r="F585" t="s">
        <v>358</v>
      </c>
      <c r="G585" t="s">
        <v>23</v>
      </c>
      <c r="H585" t="s">
        <v>39</v>
      </c>
      <c r="I585" t="s">
        <v>140</v>
      </c>
      <c r="J585">
        <v>1</v>
      </c>
      <c r="K585">
        <v>1799</v>
      </c>
      <c r="L585">
        <f>Table1[[#This Row],[Quantity]] * Table1[[#This Row],[UnitPrice]]</f>
        <v>1799</v>
      </c>
      <c r="M585" s="25">
        <v>0</v>
      </c>
      <c r="N585">
        <f>Table1[[#This Row],[Revenue]]*Table1[[#This Row],[Discount%]]/100</f>
        <v>0</v>
      </c>
      <c r="O585" s="6">
        <f>Table1[[#This Row],[Revenue]]-Table1[[#This Row],[Disc_amount]]</f>
        <v>1799</v>
      </c>
      <c r="P585" t="s">
        <v>86</v>
      </c>
      <c r="Q585" t="s">
        <v>34</v>
      </c>
    </row>
    <row r="586" spans="1:17">
      <c r="A586" t="s">
        <v>1179</v>
      </c>
      <c r="B586" s="1" t="s">
        <v>1175</v>
      </c>
      <c r="C586" s="1" t="s">
        <v>1143</v>
      </c>
      <c r="D586" s="1" t="s">
        <v>20</v>
      </c>
      <c r="E586" t="s">
        <v>220</v>
      </c>
      <c r="F586" t="s">
        <v>153</v>
      </c>
      <c r="G586" t="s">
        <v>38</v>
      </c>
      <c r="H586" t="s">
        <v>70</v>
      </c>
      <c r="I586" t="s">
        <v>91</v>
      </c>
      <c r="J586">
        <v>2</v>
      </c>
      <c r="K586">
        <v>549</v>
      </c>
      <c r="L586">
        <f>Table1[[#This Row],[Quantity]] * Table1[[#This Row],[UnitPrice]]</f>
        <v>1098</v>
      </c>
      <c r="M586" s="25">
        <v>0</v>
      </c>
      <c r="N586">
        <f>Table1[[#This Row],[Revenue]]*Table1[[#This Row],[Discount%]]/100</f>
        <v>0</v>
      </c>
      <c r="O586" s="6">
        <f>Table1[[#This Row],[Revenue]]-Table1[[#This Row],[Disc_amount]]</f>
        <v>1098</v>
      </c>
      <c r="P586" t="s">
        <v>26</v>
      </c>
      <c r="Q586" t="s">
        <v>27</v>
      </c>
    </row>
    <row r="587" spans="1:17">
      <c r="A587" t="s">
        <v>1180</v>
      </c>
      <c r="B587" s="1" t="s">
        <v>1175</v>
      </c>
      <c r="C587" s="1" t="s">
        <v>1143</v>
      </c>
      <c r="D587" s="1" t="s">
        <v>20</v>
      </c>
      <c r="E587" t="s">
        <v>1129</v>
      </c>
      <c r="F587" t="s">
        <v>345</v>
      </c>
      <c r="G587" t="s">
        <v>38</v>
      </c>
      <c r="H587" t="s">
        <v>46</v>
      </c>
      <c r="I587" t="s">
        <v>154</v>
      </c>
      <c r="J587">
        <v>1</v>
      </c>
      <c r="K587">
        <v>299</v>
      </c>
      <c r="L587">
        <f>Table1[[#This Row],[Quantity]] * Table1[[#This Row],[UnitPrice]]</f>
        <v>299</v>
      </c>
      <c r="M587" s="25">
        <v>0</v>
      </c>
      <c r="N587">
        <f>Table1[[#This Row],[Revenue]]*Table1[[#This Row],[Discount%]]/100</f>
        <v>0</v>
      </c>
      <c r="O587" s="6">
        <f>Table1[[#This Row],[Revenue]]-Table1[[#This Row],[Disc_amount]]</f>
        <v>299</v>
      </c>
      <c r="P587" t="s">
        <v>26</v>
      </c>
      <c r="Q587" t="s">
        <v>34</v>
      </c>
    </row>
    <row r="588" spans="1:17">
      <c r="A588" t="s">
        <v>1181</v>
      </c>
      <c r="B588" s="1" t="s">
        <v>1175</v>
      </c>
      <c r="C588" s="1" t="s">
        <v>1143</v>
      </c>
      <c r="D588" s="1" t="s">
        <v>20</v>
      </c>
      <c r="E588" t="s">
        <v>888</v>
      </c>
      <c r="F588" t="s">
        <v>698</v>
      </c>
      <c r="G588" t="s">
        <v>56</v>
      </c>
      <c r="H588" t="s">
        <v>39</v>
      </c>
      <c r="I588" t="s">
        <v>40</v>
      </c>
      <c r="J588">
        <v>4</v>
      </c>
      <c r="K588">
        <v>599</v>
      </c>
      <c r="L588">
        <f>Table1[[#This Row],[Quantity]] * Table1[[#This Row],[UnitPrice]]</f>
        <v>2396</v>
      </c>
      <c r="M588" s="25">
        <v>0</v>
      </c>
      <c r="N588">
        <f>Table1[[#This Row],[Revenue]]*Table1[[#This Row],[Discount%]]/100</f>
        <v>0</v>
      </c>
      <c r="O588" s="6">
        <f>Table1[[#This Row],[Revenue]]-Table1[[#This Row],[Disc_amount]]</f>
        <v>2396</v>
      </c>
      <c r="P588" t="s">
        <v>86</v>
      </c>
      <c r="Q588" t="s">
        <v>27</v>
      </c>
    </row>
    <row r="589" spans="1:17">
      <c r="A589" t="s">
        <v>1182</v>
      </c>
      <c r="B589" s="1" t="s">
        <v>1175</v>
      </c>
      <c r="C589" s="1" t="s">
        <v>1143</v>
      </c>
      <c r="D589" s="1" t="s">
        <v>20</v>
      </c>
      <c r="E589" t="s">
        <v>1183</v>
      </c>
      <c r="F589" t="s">
        <v>1184</v>
      </c>
      <c r="G589" t="s">
        <v>31</v>
      </c>
      <c r="H589" t="s">
        <v>39</v>
      </c>
      <c r="I589" t="s">
        <v>40</v>
      </c>
      <c r="J589">
        <v>1</v>
      </c>
      <c r="K589">
        <v>599</v>
      </c>
      <c r="L589">
        <f>Table1[[#This Row],[Quantity]] * Table1[[#This Row],[UnitPrice]]</f>
        <v>599</v>
      </c>
      <c r="M589" s="25">
        <v>0</v>
      </c>
      <c r="N589">
        <f>Table1[[#This Row],[Revenue]]*Table1[[#This Row],[Discount%]]/100</f>
        <v>0</v>
      </c>
      <c r="O589" s="6">
        <f>Table1[[#This Row],[Revenue]]-Table1[[#This Row],[Disc_amount]]</f>
        <v>599</v>
      </c>
      <c r="P589" t="s">
        <v>52</v>
      </c>
      <c r="Q589" t="s">
        <v>27</v>
      </c>
    </row>
    <row r="590" spans="1:17">
      <c r="A590" t="s">
        <v>1185</v>
      </c>
      <c r="B590" s="1" t="s">
        <v>1175</v>
      </c>
      <c r="C590" s="1" t="s">
        <v>1143</v>
      </c>
      <c r="D590" s="1" t="s">
        <v>20</v>
      </c>
      <c r="E590" t="s">
        <v>1186</v>
      </c>
      <c r="F590" t="s">
        <v>1187</v>
      </c>
      <c r="G590" t="s">
        <v>31</v>
      </c>
      <c r="H590" t="s">
        <v>70</v>
      </c>
      <c r="I590" t="s">
        <v>91</v>
      </c>
      <c r="J590">
        <v>1</v>
      </c>
      <c r="K590">
        <v>549</v>
      </c>
      <c r="L590">
        <f>Table1[[#This Row],[Quantity]] * Table1[[#This Row],[UnitPrice]]</f>
        <v>549</v>
      </c>
      <c r="M590" s="25">
        <v>20</v>
      </c>
      <c r="N590">
        <f>Table1[[#This Row],[Revenue]]*Table1[[#This Row],[Discount%]]/100</f>
        <v>109.8</v>
      </c>
      <c r="O590" s="6">
        <f>Table1[[#This Row],[Revenue]]-Table1[[#This Row],[Disc_amount]]</f>
        <v>439.2</v>
      </c>
      <c r="P590" t="s">
        <v>52</v>
      </c>
      <c r="Q590" t="s">
        <v>27</v>
      </c>
    </row>
    <row r="591" spans="1:17">
      <c r="A591" t="s">
        <v>1188</v>
      </c>
      <c r="B591" s="1" t="s">
        <v>1189</v>
      </c>
      <c r="C591" s="1" t="s">
        <v>1143</v>
      </c>
      <c r="D591" s="1" t="s">
        <v>20</v>
      </c>
      <c r="E591" t="s">
        <v>347</v>
      </c>
      <c r="F591" t="s">
        <v>348</v>
      </c>
      <c r="G591" t="s">
        <v>38</v>
      </c>
      <c r="H591" t="s">
        <v>57</v>
      </c>
      <c r="I591" t="s">
        <v>58</v>
      </c>
      <c r="J591">
        <v>4</v>
      </c>
      <c r="K591">
        <v>1299</v>
      </c>
      <c r="L591">
        <f>Table1[[#This Row],[Quantity]] * Table1[[#This Row],[UnitPrice]]</f>
        <v>5196</v>
      </c>
      <c r="M591" s="25">
        <v>0</v>
      </c>
      <c r="N591">
        <f>Table1[[#This Row],[Revenue]]*Table1[[#This Row],[Discount%]]/100</f>
        <v>0</v>
      </c>
      <c r="O591" s="6">
        <f>Table1[[#This Row],[Revenue]]-Table1[[#This Row],[Disc_amount]]</f>
        <v>5196</v>
      </c>
      <c r="P591" t="s">
        <v>52</v>
      </c>
      <c r="Q591" t="s">
        <v>27</v>
      </c>
    </row>
    <row r="592" spans="1:17">
      <c r="A592" t="s">
        <v>1190</v>
      </c>
      <c r="B592" s="1" t="s">
        <v>1189</v>
      </c>
      <c r="C592" s="1" t="s">
        <v>1143</v>
      </c>
      <c r="D592" s="1" t="s">
        <v>20</v>
      </c>
      <c r="E592" t="s">
        <v>959</v>
      </c>
      <c r="F592" t="s">
        <v>960</v>
      </c>
      <c r="G592" t="s">
        <v>23</v>
      </c>
      <c r="H592" t="s">
        <v>65</v>
      </c>
      <c r="I592" t="s">
        <v>94</v>
      </c>
      <c r="J592">
        <v>1</v>
      </c>
      <c r="K592">
        <v>899</v>
      </c>
      <c r="L592">
        <f>Table1[[#This Row],[Quantity]] * Table1[[#This Row],[UnitPrice]]</f>
        <v>899</v>
      </c>
      <c r="M592" s="25">
        <v>15</v>
      </c>
      <c r="N592">
        <f>Table1[[#This Row],[Revenue]]*Table1[[#This Row],[Discount%]]/100</f>
        <v>134.85</v>
      </c>
      <c r="O592" s="6">
        <f>Table1[[#This Row],[Revenue]]-Table1[[#This Row],[Disc_amount]]</f>
        <v>764.15</v>
      </c>
      <c r="P592" t="s">
        <v>26</v>
      </c>
      <c r="Q592" t="s">
        <v>27</v>
      </c>
    </row>
    <row r="593" spans="1:17">
      <c r="A593" t="s">
        <v>1191</v>
      </c>
      <c r="B593" s="1" t="s">
        <v>1189</v>
      </c>
      <c r="C593" s="1" t="s">
        <v>1143</v>
      </c>
      <c r="D593" s="1" t="s">
        <v>20</v>
      </c>
      <c r="E593" t="s">
        <v>847</v>
      </c>
      <c r="F593" t="s">
        <v>675</v>
      </c>
      <c r="G593" t="s">
        <v>23</v>
      </c>
      <c r="H593" t="s">
        <v>39</v>
      </c>
      <c r="I593" t="s">
        <v>140</v>
      </c>
      <c r="J593">
        <v>1</v>
      </c>
      <c r="K593">
        <v>1799</v>
      </c>
      <c r="L593">
        <f>Table1[[#This Row],[Quantity]] * Table1[[#This Row],[UnitPrice]]</f>
        <v>1799</v>
      </c>
      <c r="M593" s="25">
        <v>15</v>
      </c>
      <c r="N593">
        <f>Table1[[#This Row],[Revenue]]*Table1[[#This Row],[Discount%]]/100</f>
        <v>269.85000000000002</v>
      </c>
      <c r="O593" s="6">
        <f>Table1[[#This Row],[Revenue]]-Table1[[#This Row],[Disc_amount]]</f>
        <v>1529.15</v>
      </c>
      <c r="P593" t="s">
        <v>41</v>
      </c>
      <c r="Q593" t="s">
        <v>27</v>
      </c>
    </row>
    <row r="594" spans="1:17">
      <c r="A594" t="s">
        <v>1192</v>
      </c>
      <c r="B594" s="1" t="s">
        <v>1189</v>
      </c>
      <c r="C594" s="1" t="s">
        <v>1143</v>
      </c>
      <c r="D594" s="1" t="s">
        <v>20</v>
      </c>
      <c r="E594" t="s">
        <v>952</v>
      </c>
      <c r="F594" t="s">
        <v>134</v>
      </c>
      <c r="G594" t="s">
        <v>45</v>
      </c>
      <c r="H594" t="s">
        <v>65</v>
      </c>
      <c r="I594" t="s">
        <v>98</v>
      </c>
      <c r="J594">
        <v>4</v>
      </c>
      <c r="K594">
        <v>499</v>
      </c>
      <c r="L594">
        <f>Table1[[#This Row],[Quantity]] * Table1[[#This Row],[UnitPrice]]</f>
        <v>1996</v>
      </c>
      <c r="M594" s="25">
        <v>0</v>
      </c>
      <c r="N594">
        <f>Table1[[#This Row],[Revenue]]*Table1[[#This Row],[Discount%]]/100</f>
        <v>0</v>
      </c>
      <c r="O594" s="6">
        <f>Table1[[#This Row],[Revenue]]-Table1[[#This Row],[Disc_amount]]</f>
        <v>1996</v>
      </c>
      <c r="P594" t="s">
        <v>26</v>
      </c>
      <c r="Q594" t="s">
        <v>34</v>
      </c>
    </row>
    <row r="595" spans="1:17">
      <c r="A595" t="s">
        <v>1193</v>
      </c>
      <c r="B595" s="1" t="s">
        <v>1189</v>
      </c>
      <c r="C595" s="1" t="s">
        <v>1143</v>
      </c>
      <c r="D595" s="1" t="s">
        <v>20</v>
      </c>
      <c r="E595" t="s">
        <v>1194</v>
      </c>
      <c r="F595" t="s">
        <v>376</v>
      </c>
      <c r="G595" t="s">
        <v>56</v>
      </c>
      <c r="H595" t="s">
        <v>57</v>
      </c>
      <c r="I595" t="s">
        <v>58</v>
      </c>
      <c r="J595">
        <v>5</v>
      </c>
      <c r="K595">
        <v>1299</v>
      </c>
      <c r="L595">
        <f>Table1[[#This Row],[Quantity]] * Table1[[#This Row],[UnitPrice]]</f>
        <v>6495</v>
      </c>
      <c r="M595" s="25">
        <v>5</v>
      </c>
      <c r="N595">
        <f>Table1[[#This Row],[Revenue]]*Table1[[#This Row],[Discount%]]/100</f>
        <v>324.75</v>
      </c>
      <c r="O595" s="6">
        <f>Table1[[#This Row],[Revenue]]-Table1[[#This Row],[Disc_amount]]</f>
        <v>6170.25</v>
      </c>
      <c r="P595" t="s">
        <v>41</v>
      </c>
      <c r="Q595" t="s">
        <v>27</v>
      </c>
    </row>
    <row r="596" spans="1:17">
      <c r="A596" t="s">
        <v>1195</v>
      </c>
      <c r="B596" s="1" t="s">
        <v>1189</v>
      </c>
      <c r="C596" s="1" t="s">
        <v>1143</v>
      </c>
      <c r="D596" s="1" t="s">
        <v>20</v>
      </c>
      <c r="E596" t="s">
        <v>662</v>
      </c>
      <c r="F596" t="s">
        <v>450</v>
      </c>
      <c r="G596" t="s">
        <v>45</v>
      </c>
      <c r="H596" t="s">
        <v>24</v>
      </c>
      <c r="I596" t="s">
        <v>32</v>
      </c>
      <c r="J596">
        <v>1</v>
      </c>
      <c r="K596">
        <v>199</v>
      </c>
      <c r="L596">
        <f>Table1[[#This Row],[Quantity]] * Table1[[#This Row],[UnitPrice]]</f>
        <v>199</v>
      </c>
      <c r="M596" s="25">
        <v>10</v>
      </c>
      <c r="N596">
        <f>Table1[[#This Row],[Revenue]]*Table1[[#This Row],[Discount%]]/100</f>
        <v>19.899999999999999</v>
      </c>
      <c r="O596" s="6">
        <f>Table1[[#This Row],[Revenue]]-Table1[[#This Row],[Disc_amount]]</f>
        <v>179.1</v>
      </c>
      <c r="P596" t="s">
        <v>26</v>
      </c>
      <c r="Q596" t="s">
        <v>27</v>
      </c>
    </row>
    <row r="597" spans="1:17">
      <c r="A597" t="s">
        <v>1196</v>
      </c>
      <c r="B597" s="1" t="s">
        <v>1189</v>
      </c>
      <c r="C597" s="1" t="s">
        <v>1143</v>
      </c>
      <c r="D597" s="1" t="s">
        <v>20</v>
      </c>
      <c r="E597" t="s">
        <v>1197</v>
      </c>
      <c r="F597" t="s">
        <v>256</v>
      </c>
      <c r="G597" t="s">
        <v>23</v>
      </c>
      <c r="H597" t="s">
        <v>39</v>
      </c>
      <c r="I597" t="s">
        <v>51</v>
      </c>
      <c r="J597">
        <v>1</v>
      </c>
      <c r="K597">
        <v>2999</v>
      </c>
      <c r="L597">
        <f>Table1[[#This Row],[Quantity]] * Table1[[#This Row],[UnitPrice]]</f>
        <v>2999</v>
      </c>
      <c r="M597" s="25">
        <v>0</v>
      </c>
      <c r="N597">
        <f>Table1[[#This Row],[Revenue]]*Table1[[#This Row],[Discount%]]/100</f>
        <v>0</v>
      </c>
      <c r="O597" s="6">
        <f>Table1[[#This Row],[Revenue]]-Table1[[#This Row],[Disc_amount]]</f>
        <v>2999</v>
      </c>
      <c r="P597" t="s">
        <v>33</v>
      </c>
      <c r="Q597" t="s">
        <v>27</v>
      </c>
    </row>
    <row r="598" spans="1:17">
      <c r="A598" t="s">
        <v>1198</v>
      </c>
      <c r="B598" s="1" t="s">
        <v>1189</v>
      </c>
      <c r="C598" s="1" t="s">
        <v>1143</v>
      </c>
      <c r="D598" s="1" t="s">
        <v>20</v>
      </c>
      <c r="E598" t="s">
        <v>850</v>
      </c>
      <c r="F598" t="s">
        <v>759</v>
      </c>
      <c r="G598" t="s">
        <v>45</v>
      </c>
      <c r="H598" t="s">
        <v>24</v>
      </c>
      <c r="I598" t="s">
        <v>32</v>
      </c>
      <c r="J598">
        <v>1</v>
      </c>
      <c r="K598">
        <v>199</v>
      </c>
      <c r="L598">
        <f>Table1[[#This Row],[Quantity]] * Table1[[#This Row],[UnitPrice]]</f>
        <v>199</v>
      </c>
      <c r="M598" s="25">
        <v>5</v>
      </c>
      <c r="N598">
        <f>Table1[[#This Row],[Revenue]]*Table1[[#This Row],[Discount%]]/100</f>
        <v>9.9499999999999993</v>
      </c>
      <c r="O598" s="6">
        <f>Table1[[#This Row],[Revenue]]-Table1[[#This Row],[Disc_amount]]</f>
        <v>189.05</v>
      </c>
      <c r="P598" t="s">
        <v>26</v>
      </c>
      <c r="Q598" t="s">
        <v>27</v>
      </c>
    </row>
    <row r="599" spans="1:17">
      <c r="A599" t="s">
        <v>1199</v>
      </c>
      <c r="B599" s="1" t="s">
        <v>1189</v>
      </c>
      <c r="C599" s="1" t="s">
        <v>1143</v>
      </c>
      <c r="D599" s="1" t="s">
        <v>20</v>
      </c>
      <c r="E599" t="s">
        <v>561</v>
      </c>
      <c r="F599" t="s">
        <v>562</v>
      </c>
      <c r="G599" t="s">
        <v>23</v>
      </c>
      <c r="H599" t="s">
        <v>39</v>
      </c>
      <c r="I599" t="s">
        <v>51</v>
      </c>
      <c r="J599">
        <v>1</v>
      </c>
      <c r="K599">
        <v>2999</v>
      </c>
      <c r="L599">
        <f>Table1[[#This Row],[Quantity]] * Table1[[#This Row],[UnitPrice]]</f>
        <v>2999</v>
      </c>
      <c r="M599" s="25">
        <v>5</v>
      </c>
      <c r="N599">
        <f>Table1[[#This Row],[Revenue]]*Table1[[#This Row],[Discount%]]/100</f>
        <v>149.94999999999999</v>
      </c>
      <c r="O599" s="6">
        <f>Table1[[#This Row],[Revenue]]-Table1[[#This Row],[Disc_amount]]</f>
        <v>2849.05</v>
      </c>
      <c r="P599" t="s">
        <v>33</v>
      </c>
      <c r="Q599" t="s">
        <v>27</v>
      </c>
    </row>
    <row r="600" spans="1:17">
      <c r="A600" t="s">
        <v>1200</v>
      </c>
      <c r="B600" s="1" t="s">
        <v>1189</v>
      </c>
      <c r="C600" s="1" t="s">
        <v>1143</v>
      </c>
      <c r="D600" s="1" t="s">
        <v>20</v>
      </c>
      <c r="E600" t="s">
        <v>1201</v>
      </c>
      <c r="F600" t="s">
        <v>323</v>
      </c>
      <c r="G600" t="s">
        <v>45</v>
      </c>
      <c r="H600" t="s">
        <v>65</v>
      </c>
      <c r="I600" t="s">
        <v>94</v>
      </c>
      <c r="J600">
        <v>2</v>
      </c>
      <c r="K600">
        <v>899</v>
      </c>
      <c r="L600">
        <f>Table1[[#This Row],[Quantity]] * Table1[[#This Row],[UnitPrice]]</f>
        <v>1798</v>
      </c>
      <c r="M600" s="25">
        <v>15</v>
      </c>
      <c r="N600">
        <f>Table1[[#This Row],[Revenue]]*Table1[[#This Row],[Discount%]]/100</f>
        <v>269.7</v>
      </c>
      <c r="O600" s="6">
        <f>Table1[[#This Row],[Revenue]]-Table1[[#This Row],[Disc_amount]]</f>
        <v>1528.3</v>
      </c>
      <c r="P600" t="s">
        <v>41</v>
      </c>
      <c r="Q600" t="s">
        <v>27</v>
      </c>
    </row>
    <row r="601" spans="1:17">
      <c r="A601" t="s">
        <v>1202</v>
      </c>
      <c r="B601" s="1" t="s">
        <v>1203</v>
      </c>
      <c r="C601" s="1" t="s">
        <v>1143</v>
      </c>
      <c r="D601" s="1" t="s">
        <v>20</v>
      </c>
      <c r="E601" t="s">
        <v>1186</v>
      </c>
      <c r="F601" t="s">
        <v>1187</v>
      </c>
      <c r="G601" t="s">
        <v>56</v>
      </c>
      <c r="H601" t="s">
        <v>39</v>
      </c>
      <c r="I601" t="s">
        <v>140</v>
      </c>
      <c r="J601">
        <v>5</v>
      </c>
      <c r="K601">
        <v>1799</v>
      </c>
      <c r="L601">
        <f>Table1[[#This Row],[Quantity]] * Table1[[#This Row],[UnitPrice]]</f>
        <v>8995</v>
      </c>
      <c r="M601" s="25">
        <v>20</v>
      </c>
      <c r="N601">
        <f>Table1[[#This Row],[Revenue]]*Table1[[#This Row],[Discount%]]/100</f>
        <v>1799</v>
      </c>
      <c r="O601" s="6">
        <f>Table1[[#This Row],[Revenue]]-Table1[[#This Row],[Disc_amount]]</f>
        <v>7196</v>
      </c>
      <c r="P601" t="s">
        <v>33</v>
      </c>
      <c r="Q601" t="s">
        <v>27</v>
      </c>
    </row>
    <row r="602" spans="1:17">
      <c r="A602" t="s">
        <v>1204</v>
      </c>
      <c r="B602" s="1" t="s">
        <v>1203</v>
      </c>
      <c r="C602" s="1" t="s">
        <v>1143</v>
      </c>
      <c r="D602" s="1" t="s">
        <v>20</v>
      </c>
      <c r="E602" t="s">
        <v>1205</v>
      </c>
      <c r="F602" t="s">
        <v>734</v>
      </c>
      <c r="G602" t="s">
        <v>45</v>
      </c>
      <c r="H602" t="s">
        <v>108</v>
      </c>
      <c r="I602" t="s">
        <v>109</v>
      </c>
      <c r="J602">
        <v>3</v>
      </c>
      <c r="K602">
        <v>1499</v>
      </c>
      <c r="L602">
        <f>Table1[[#This Row],[Quantity]] * Table1[[#This Row],[UnitPrice]]</f>
        <v>4497</v>
      </c>
      <c r="M602" s="25">
        <v>0</v>
      </c>
      <c r="N602">
        <f>Table1[[#This Row],[Revenue]]*Table1[[#This Row],[Discount%]]/100</f>
        <v>0</v>
      </c>
      <c r="O602" s="6">
        <f>Table1[[#This Row],[Revenue]]-Table1[[#This Row],[Disc_amount]]</f>
        <v>4497</v>
      </c>
      <c r="P602" t="s">
        <v>26</v>
      </c>
      <c r="Q602" t="s">
        <v>27</v>
      </c>
    </row>
    <row r="603" spans="1:17">
      <c r="A603" t="s">
        <v>1206</v>
      </c>
      <c r="B603" s="1" t="s">
        <v>1207</v>
      </c>
      <c r="C603" s="1" t="s">
        <v>1143</v>
      </c>
      <c r="D603" s="1" t="s">
        <v>20</v>
      </c>
      <c r="E603" t="s">
        <v>172</v>
      </c>
      <c r="F603" t="s">
        <v>173</v>
      </c>
      <c r="G603" t="s">
        <v>23</v>
      </c>
      <c r="H603" t="s">
        <v>108</v>
      </c>
      <c r="I603" t="s">
        <v>130</v>
      </c>
      <c r="J603">
        <v>1</v>
      </c>
      <c r="K603">
        <v>699</v>
      </c>
      <c r="L603">
        <f>Table1[[#This Row],[Quantity]] * Table1[[#This Row],[UnitPrice]]</f>
        <v>699</v>
      </c>
      <c r="M603" s="25">
        <v>20</v>
      </c>
      <c r="N603">
        <f>Table1[[#This Row],[Revenue]]*Table1[[#This Row],[Discount%]]/100</f>
        <v>139.80000000000001</v>
      </c>
      <c r="O603" s="6">
        <f>Table1[[#This Row],[Revenue]]-Table1[[#This Row],[Disc_amount]]</f>
        <v>559.20000000000005</v>
      </c>
      <c r="P603" t="s">
        <v>41</v>
      </c>
      <c r="Q603" t="s">
        <v>34</v>
      </c>
    </row>
    <row r="604" spans="1:17">
      <c r="A604" t="s">
        <v>1208</v>
      </c>
      <c r="B604" s="1" t="s">
        <v>1207</v>
      </c>
      <c r="C604" s="1" t="s">
        <v>1143</v>
      </c>
      <c r="D604" s="1" t="s">
        <v>20</v>
      </c>
      <c r="E604" t="s">
        <v>665</v>
      </c>
      <c r="F604" t="s">
        <v>666</v>
      </c>
      <c r="G604" t="s">
        <v>45</v>
      </c>
      <c r="H604" t="s">
        <v>65</v>
      </c>
      <c r="I604" t="s">
        <v>98</v>
      </c>
      <c r="J604">
        <v>1</v>
      </c>
      <c r="K604">
        <v>499</v>
      </c>
      <c r="L604">
        <f>Table1[[#This Row],[Quantity]] * Table1[[#This Row],[UnitPrice]]</f>
        <v>499</v>
      </c>
      <c r="M604" s="25">
        <v>0</v>
      </c>
      <c r="N604">
        <f>Table1[[#This Row],[Revenue]]*Table1[[#This Row],[Discount%]]/100</f>
        <v>0</v>
      </c>
      <c r="O604" s="6">
        <f>Table1[[#This Row],[Revenue]]-Table1[[#This Row],[Disc_amount]]</f>
        <v>499</v>
      </c>
      <c r="P604" t="s">
        <v>86</v>
      </c>
      <c r="Q604" t="s">
        <v>27</v>
      </c>
    </row>
    <row r="605" spans="1:17">
      <c r="A605" t="s">
        <v>1209</v>
      </c>
      <c r="B605" s="1" t="s">
        <v>1207</v>
      </c>
      <c r="C605" s="1" t="s">
        <v>1143</v>
      </c>
      <c r="D605" s="1" t="s">
        <v>20</v>
      </c>
      <c r="E605" t="s">
        <v>521</v>
      </c>
      <c r="F605" t="s">
        <v>143</v>
      </c>
      <c r="G605" t="s">
        <v>31</v>
      </c>
      <c r="H605" t="s">
        <v>57</v>
      </c>
      <c r="I605" t="s">
        <v>58</v>
      </c>
      <c r="J605">
        <v>1</v>
      </c>
      <c r="K605">
        <v>1299</v>
      </c>
      <c r="L605">
        <f>Table1[[#This Row],[Quantity]] * Table1[[#This Row],[UnitPrice]]</f>
        <v>1299</v>
      </c>
      <c r="M605" s="25">
        <v>0</v>
      </c>
      <c r="N605">
        <f>Table1[[#This Row],[Revenue]]*Table1[[#This Row],[Discount%]]/100</f>
        <v>0</v>
      </c>
      <c r="O605" s="6">
        <f>Table1[[#This Row],[Revenue]]-Table1[[#This Row],[Disc_amount]]</f>
        <v>1299</v>
      </c>
      <c r="P605" t="s">
        <v>33</v>
      </c>
      <c r="Q605" t="s">
        <v>34</v>
      </c>
    </row>
    <row r="606" spans="1:17">
      <c r="A606" t="s">
        <v>1210</v>
      </c>
      <c r="B606" s="1" t="s">
        <v>1211</v>
      </c>
      <c r="C606" s="1" t="s">
        <v>1143</v>
      </c>
      <c r="D606" s="1" t="s">
        <v>20</v>
      </c>
      <c r="E606" t="s">
        <v>1040</v>
      </c>
      <c r="F606" t="s">
        <v>307</v>
      </c>
      <c r="G606" t="s">
        <v>45</v>
      </c>
      <c r="H606" t="s">
        <v>65</v>
      </c>
      <c r="I606" t="s">
        <v>98</v>
      </c>
      <c r="J606">
        <v>1</v>
      </c>
      <c r="K606">
        <v>499</v>
      </c>
      <c r="L606">
        <f>Table1[[#This Row],[Quantity]] * Table1[[#This Row],[UnitPrice]]</f>
        <v>499</v>
      </c>
      <c r="M606" s="25">
        <v>5</v>
      </c>
      <c r="N606">
        <f>Table1[[#This Row],[Revenue]]*Table1[[#This Row],[Discount%]]/100</f>
        <v>24.95</v>
      </c>
      <c r="O606" s="6">
        <f>Table1[[#This Row],[Revenue]]-Table1[[#This Row],[Disc_amount]]</f>
        <v>474.05</v>
      </c>
      <c r="P606" t="s">
        <v>33</v>
      </c>
      <c r="Q606" t="s">
        <v>27</v>
      </c>
    </row>
    <row r="607" spans="1:17">
      <c r="A607" t="s">
        <v>1212</v>
      </c>
      <c r="B607" s="1" t="s">
        <v>1211</v>
      </c>
      <c r="C607" s="1" t="s">
        <v>1143</v>
      </c>
      <c r="D607" s="1" t="s">
        <v>20</v>
      </c>
      <c r="E607" t="s">
        <v>606</v>
      </c>
      <c r="F607" t="s">
        <v>607</v>
      </c>
      <c r="G607" t="s">
        <v>38</v>
      </c>
      <c r="H607" t="s">
        <v>108</v>
      </c>
      <c r="I607" t="s">
        <v>130</v>
      </c>
      <c r="J607">
        <v>1</v>
      </c>
      <c r="K607">
        <v>699</v>
      </c>
      <c r="L607">
        <f>Table1[[#This Row],[Quantity]] * Table1[[#This Row],[UnitPrice]]</f>
        <v>699</v>
      </c>
      <c r="M607" s="25">
        <v>10</v>
      </c>
      <c r="N607">
        <f>Table1[[#This Row],[Revenue]]*Table1[[#This Row],[Discount%]]/100</f>
        <v>69.900000000000006</v>
      </c>
      <c r="O607" s="6">
        <f>Table1[[#This Row],[Revenue]]-Table1[[#This Row],[Disc_amount]]</f>
        <v>629.1</v>
      </c>
      <c r="P607" t="s">
        <v>41</v>
      </c>
      <c r="Q607" t="s">
        <v>27</v>
      </c>
    </row>
    <row r="608" spans="1:17">
      <c r="A608" t="s">
        <v>1213</v>
      </c>
      <c r="B608" s="1" t="s">
        <v>1211</v>
      </c>
      <c r="C608" s="1" t="s">
        <v>1143</v>
      </c>
      <c r="D608" s="1" t="s">
        <v>20</v>
      </c>
      <c r="E608" t="s">
        <v>1214</v>
      </c>
      <c r="F608" t="s">
        <v>376</v>
      </c>
      <c r="G608" t="s">
        <v>56</v>
      </c>
      <c r="H608" t="s">
        <v>39</v>
      </c>
      <c r="I608" t="s">
        <v>140</v>
      </c>
      <c r="J608">
        <v>2</v>
      </c>
      <c r="K608">
        <v>1799</v>
      </c>
      <c r="L608">
        <f>Table1[[#This Row],[Quantity]] * Table1[[#This Row],[UnitPrice]]</f>
        <v>3598</v>
      </c>
      <c r="M608" s="25">
        <v>0</v>
      </c>
      <c r="N608">
        <f>Table1[[#This Row],[Revenue]]*Table1[[#This Row],[Discount%]]/100</f>
        <v>0</v>
      </c>
      <c r="O608" s="6">
        <f>Table1[[#This Row],[Revenue]]-Table1[[#This Row],[Disc_amount]]</f>
        <v>3598</v>
      </c>
      <c r="P608" t="s">
        <v>52</v>
      </c>
      <c r="Q608" t="s">
        <v>34</v>
      </c>
    </row>
    <row r="609" spans="1:17">
      <c r="A609" t="s">
        <v>1215</v>
      </c>
      <c r="B609" s="1" t="s">
        <v>1211</v>
      </c>
      <c r="C609" s="1" t="s">
        <v>1143</v>
      </c>
      <c r="D609" s="1" t="s">
        <v>20</v>
      </c>
      <c r="E609" t="s">
        <v>763</v>
      </c>
      <c r="F609" t="s">
        <v>118</v>
      </c>
      <c r="G609" t="s">
        <v>31</v>
      </c>
      <c r="H609" t="s">
        <v>46</v>
      </c>
      <c r="I609" t="s">
        <v>154</v>
      </c>
      <c r="J609">
        <v>2</v>
      </c>
      <c r="K609">
        <v>299</v>
      </c>
      <c r="L609">
        <f>Table1[[#This Row],[Quantity]] * Table1[[#This Row],[UnitPrice]]</f>
        <v>598</v>
      </c>
      <c r="M609" s="25">
        <v>20</v>
      </c>
      <c r="N609">
        <f>Table1[[#This Row],[Revenue]]*Table1[[#This Row],[Discount%]]/100</f>
        <v>119.6</v>
      </c>
      <c r="O609" s="6">
        <f>Table1[[#This Row],[Revenue]]-Table1[[#This Row],[Disc_amount]]</f>
        <v>478.4</v>
      </c>
      <c r="P609" t="s">
        <v>33</v>
      </c>
      <c r="Q609" t="s">
        <v>34</v>
      </c>
    </row>
    <row r="610" spans="1:17">
      <c r="A610" t="s">
        <v>1216</v>
      </c>
      <c r="B610" s="1" t="s">
        <v>1211</v>
      </c>
      <c r="C610" s="1" t="s">
        <v>1143</v>
      </c>
      <c r="D610" s="1" t="s">
        <v>20</v>
      </c>
      <c r="E610" t="s">
        <v>652</v>
      </c>
      <c r="F610" t="s">
        <v>443</v>
      </c>
      <c r="G610" t="s">
        <v>56</v>
      </c>
      <c r="H610" t="s">
        <v>39</v>
      </c>
      <c r="I610" t="s">
        <v>51</v>
      </c>
      <c r="J610">
        <v>1</v>
      </c>
      <c r="K610">
        <v>2999</v>
      </c>
      <c r="L610">
        <f>Table1[[#This Row],[Quantity]] * Table1[[#This Row],[UnitPrice]]</f>
        <v>2999</v>
      </c>
      <c r="M610" s="25">
        <v>0</v>
      </c>
      <c r="N610">
        <f>Table1[[#This Row],[Revenue]]*Table1[[#This Row],[Discount%]]/100</f>
        <v>0</v>
      </c>
      <c r="O610" s="6">
        <f>Table1[[#This Row],[Revenue]]-Table1[[#This Row],[Disc_amount]]</f>
        <v>2999</v>
      </c>
      <c r="P610" t="s">
        <v>41</v>
      </c>
      <c r="Q610" t="s">
        <v>27</v>
      </c>
    </row>
    <row r="611" spans="1:17">
      <c r="A611" t="s">
        <v>1217</v>
      </c>
      <c r="B611" s="1" t="s">
        <v>1211</v>
      </c>
      <c r="C611" s="1" t="s">
        <v>1143</v>
      </c>
      <c r="D611" s="1" t="s">
        <v>20</v>
      </c>
      <c r="E611" t="s">
        <v>1015</v>
      </c>
      <c r="F611" t="s">
        <v>123</v>
      </c>
      <c r="G611" t="s">
        <v>38</v>
      </c>
      <c r="H611" t="s">
        <v>46</v>
      </c>
      <c r="I611" t="s">
        <v>154</v>
      </c>
      <c r="J611">
        <v>1</v>
      </c>
      <c r="K611">
        <v>299</v>
      </c>
      <c r="L611">
        <f>Table1[[#This Row],[Quantity]] * Table1[[#This Row],[UnitPrice]]</f>
        <v>299</v>
      </c>
      <c r="M611" s="25">
        <v>10</v>
      </c>
      <c r="N611">
        <f>Table1[[#This Row],[Revenue]]*Table1[[#This Row],[Discount%]]/100</f>
        <v>29.9</v>
      </c>
      <c r="O611" s="6">
        <f>Table1[[#This Row],[Revenue]]-Table1[[#This Row],[Disc_amount]]</f>
        <v>269.10000000000002</v>
      </c>
      <c r="P611" t="s">
        <v>33</v>
      </c>
      <c r="Q611" t="s">
        <v>27</v>
      </c>
    </row>
    <row r="612" spans="1:17">
      <c r="A612" t="s">
        <v>1218</v>
      </c>
      <c r="B612" s="1" t="s">
        <v>1211</v>
      </c>
      <c r="C612" s="1" t="s">
        <v>1143</v>
      </c>
      <c r="D612" s="1" t="s">
        <v>20</v>
      </c>
      <c r="E612" t="s">
        <v>136</v>
      </c>
      <c r="F612" t="s">
        <v>115</v>
      </c>
      <c r="G612" t="s">
        <v>31</v>
      </c>
      <c r="H612" t="s">
        <v>46</v>
      </c>
      <c r="I612" t="s">
        <v>154</v>
      </c>
      <c r="J612">
        <v>1</v>
      </c>
      <c r="K612">
        <v>299</v>
      </c>
      <c r="L612">
        <f>Table1[[#This Row],[Quantity]] * Table1[[#This Row],[UnitPrice]]</f>
        <v>299</v>
      </c>
      <c r="M612" s="25">
        <v>20</v>
      </c>
      <c r="N612">
        <f>Table1[[#This Row],[Revenue]]*Table1[[#This Row],[Discount%]]/100</f>
        <v>59.8</v>
      </c>
      <c r="O612" s="6">
        <f>Table1[[#This Row],[Revenue]]-Table1[[#This Row],[Disc_amount]]</f>
        <v>239.2</v>
      </c>
      <c r="P612" t="s">
        <v>26</v>
      </c>
      <c r="Q612" t="s">
        <v>34</v>
      </c>
    </row>
    <row r="613" spans="1:17">
      <c r="A613" t="s">
        <v>1219</v>
      </c>
      <c r="B613" s="1" t="s">
        <v>1220</v>
      </c>
      <c r="C613" s="1" t="s">
        <v>1143</v>
      </c>
      <c r="D613" s="1" t="s">
        <v>20</v>
      </c>
      <c r="E613" t="s">
        <v>662</v>
      </c>
      <c r="F613" t="s">
        <v>450</v>
      </c>
      <c r="G613" t="s">
        <v>23</v>
      </c>
      <c r="H613" t="s">
        <v>70</v>
      </c>
      <c r="I613" t="s">
        <v>71</v>
      </c>
      <c r="J613">
        <v>1</v>
      </c>
      <c r="K613">
        <v>349</v>
      </c>
      <c r="L613">
        <f>Table1[[#This Row],[Quantity]] * Table1[[#This Row],[UnitPrice]]</f>
        <v>349</v>
      </c>
      <c r="M613" s="25">
        <v>10</v>
      </c>
      <c r="N613">
        <f>Table1[[#This Row],[Revenue]]*Table1[[#This Row],[Discount%]]/100</f>
        <v>34.9</v>
      </c>
      <c r="O613" s="6">
        <f>Table1[[#This Row],[Revenue]]-Table1[[#This Row],[Disc_amount]]</f>
        <v>314.10000000000002</v>
      </c>
      <c r="P613" t="s">
        <v>41</v>
      </c>
      <c r="Q613" t="s">
        <v>34</v>
      </c>
    </row>
    <row r="614" spans="1:17">
      <c r="A614" t="s">
        <v>1221</v>
      </c>
      <c r="B614" s="1" t="s">
        <v>1220</v>
      </c>
      <c r="C614" s="1" t="s">
        <v>1143</v>
      </c>
      <c r="D614" s="1" t="s">
        <v>20</v>
      </c>
      <c r="E614" t="s">
        <v>334</v>
      </c>
      <c r="F614" t="s">
        <v>335</v>
      </c>
      <c r="G614" t="s">
        <v>23</v>
      </c>
      <c r="H614" t="s">
        <v>70</v>
      </c>
      <c r="I614" t="s">
        <v>71</v>
      </c>
      <c r="J614">
        <v>2</v>
      </c>
      <c r="K614">
        <v>349</v>
      </c>
      <c r="L614">
        <f>Table1[[#This Row],[Quantity]] * Table1[[#This Row],[UnitPrice]]</f>
        <v>698</v>
      </c>
      <c r="M614" s="25">
        <v>15</v>
      </c>
      <c r="N614">
        <f>Table1[[#This Row],[Revenue]]*Table1[[#This Row],[Discount%]]/100</f>
        <v>104.7</v>
      </c>
      <c r="O614" s="6">
        <f>Table1[[#This Row],[Revenue]]-Table1[[#This Row],[Disc_amount]]</f>
        <v>593.29999999999995</v>
      </c>
      <c r="P614" t="s">
        <v>33</v>
      </c>
      <c r="Q614" t="s">
        <v>27</v>
      </c>
    </row>
    <row r="615" spans="1:17">
      <c r="A615" t="s">
        <v>1222</v>
      </c>
      <c r="B615" s="1" t="s">
        <v>1220</v>
      </c>
      <c r="C615" s="1" t="s">
        <v>1143</v>
      </c>
      <c r="D615" s="1" t="s">
        <v>20</v>
      </c>
      <c r="E615" t="s">
        <v>895</v>
      </c>
      <c r="F615" t="s">
        <v>759</v>
      </c>
      <c r="G615" t="s">
        <v>38</v>
      </c>
      <c r="H615" t="s">
        <v>65</v>
      </c>
      <c r="I615" t="s">
        <v>94</v>
      </c>
      <c r="J615">
        <v>3</v>
      </c>
      <c r="K615">
        <v>899</v>
      </c>
      <c r="L615">
        <f>Table1[[#This Row],[Quantity]] * Table1[[#This Row],[UnitPrice]]</f>
        <v>2697</v>
      </c>
      <c r="M615" s="25">
        <v>0</v>
      </c>
      <c r="N615">
        <f>Table1[[#This Row],[Revenue]]*Table1[[#This Row],[Discount%]]/100</f>
        <v>0</v>
      </c>
      <c r="O615" s="6">
        <f>Table1[[#This Row],[Revenue]]-Table1[[#This Row],[Disc_amount]]</f>
        <v>2697</v>
      </c>
      <c r="P615" t="s">
        <v>41</v>
      </c>
      <c r="Q615" t="s">
        <v>27</v>
      </c>
    </row>
    <row r="616" spans="1:17">
      <c r="A616" t="s">
        <v>1223</v>
      </c>
      <c r="B616" s="1" t="s">
        <v>1220</v>
      </c>
      <c r="C616" s="1" t="s">
        <v>1143</v>
      </c>
      <c r="D616" s="1" t="s">
        <v>20</v>
      </c>
      <c r="E616" t="s">
        <v>82</v>
      </c>
      <c r="F616" t="s">
        <v>83</v>
      </c>
      <c r="G616" t="s">
        <v>38</v>
      </c>
      <c r="H616" t="s">
        <v>108</v>
      </c>
      <c r="I616" t="s">
        <v>130</v>
      </c>
      <c r="J616">
        <v>1</v>
      </c>
      <c r="K616">
        <v>699</v>
      </c>
      <c r="L616">
        <f>Table1[[#This Row],[Quantity]] * Table1[[#This Row],[UnitPrice]]</f>
        <v>699</v>
      </c>
      <c r="M616" s="25">
        <v>0</v>
      </c>
      <c r="N616">
        <f>Table1[[#This Row],[Revenue]]*Table1[[#This Row],[Discount%]]/100</f>
        <v>0</v>
      </c>
      <c r="O616" s="6">
        <f>Table1[[#This Row],[Revenue]]-Table1[[#This Row],[Disc_amount]]</f>
        <v>699</v>
      </c>
      <c r="P616" t="s">
        <v>26</v>
      </c>
      <c r="Q616" t="s">
        <v>27</v>
      </c>
    </row>
    <row r="617" spans="1:17">
      <c r="A617" t="s">
        <v>1224</v>
      </c>
      <c r="B617" s="1" t="s">
        <v>1220</v>
      </c>
      <c r="C617" s="1" t="s">
        <v>1143</v>
      </c>
      <c r="D617" s="1" t="s">
        <v>20</v>
      </c>
      <c r="E617" t="s">
        <v>855</v>
      </c>
      <c r="F617" t="s">
        <v>856</v>
      </c>
      <c r="G617" t="s">
        <v>23</v>
      </c>
      <c r="H617" t="s">
        <v>65</v>
      </c>
      <c r="I617" t="s">
        <v>94</v>
      </c>
      <c r="J617">
        <v>2</v>
      </c>
      <c r="K617">
        <v>899</v>
      </c>
      <c r="L617">
        <f>Table1[[#This Row],[Quantity]] * Table1[[#This Row],[UnitPrice]]</f>
        <v>1798</v>
      </c>
      <c r="M617" s="25">
        <v>0</v>
      </c>
      <c r="N617">
        <f>Table1[[#This Row],[Revenue]]*Table1[[#This Row],[Discount%]]/100</f>
        <v>0</v>
      </c>
      <c r="O617" s="6">
        <f>Table1[[#This Row],[Revenue]]-Table1[[#This Row],[Disc_amount]]</f>
        <v>1798</v>
      </c>
      <c r="P617" t="s">
        <v>26</v>
      </c>
      <c r="Q617" t="s">
        <v>27</v>
      </c>
    </row>
    <row r="618" spans="1:17">
      <c r="A618" t="s">
        <v>1225</v>
      </c>
      <c r="B618" s="1" t="s">
        <v>1220</v>
      </c>
      <c r="C618" s="1" t="s">
        <v>1143</v>
      </c>
      <c r="D618" s="1" t="s">
        <v>20</v>
      </c>
      <c r="E618" t="s">
        <v>541</v>
      </c>
      <c r="F618" t="s">
        <v>314</v>
      </c>
      <c r="G618" t="s">
        <v>31</v>
      </c>
      <c r="H618" t="s">
        <v>57</v>
      </c>
      <c r="I618" t="s">
        <v>62</v>
      </c>
      <c r="J618">
        <v>1</v>
      </c>
      <c r="K618">
        <v>799</v>
      </c>
      <c r="L618">
        <f>Table1[[#This Row],[Quantity]] * Table1[[#This Row],[UnitPrice]]</f>
        <v>799</v>
      </c>
      <c r="M618" s="25">
        <v>20</v>
      </c>
      <c r="N618">
        <f>Table1[[#This Row],[Revenue]]*Table1[[#This Row],[Discount%]]/100</f>
        <v>159.80000000000001</v>
      </c>
      <c r="O618" s="6">
        <f>Table1[[#This Row],[Revenue]]-Table1[[#This Row],[Disc_amount]]</f>
        <v>639.20000000000005</v>
      </c>
      <c r="P618" t="s">
        <v>41</v>
      </c>
      <c r="Q618" t="s">
        <v>27</v>
      </c>
    </row>
    <row r="619" spans="1:17">
      <c r="A619" t="s">
        <v>1226</v>
      </c>
      <c r="B619" s="1" t="s">
        <v>1220</v>
      </c>
      <c r="C619" s="1" t="s">
        <v>1143</v>
      </c>
      <c r="D619" s="1" t="s">
        <v>20</v>
      </c>
      <c r="E619" t="s">
        <v>875</v>
      </c>
      <c r="F619" t="s">
        <v>876</v>
      </c>
      <c r="G619" t="s">
        <v>45</v>
      </c>
      <c r="H619" t="s">
        <v>70</v>
      </c>
      <c r="I619" t="s">
        <v>91</v>
      </c>
      <c r="J619">
        <v>2</v>
      </c>
      <c r="K619">
        <v>549</v>
      </c>
      <c r="L619">
        <f>Table1[[#This Row],[Quantity]] * Table1[[#This Row],[UnitPrice]]</f>
        <v>1098</v>
      </c>
      <c r="M619" s="25">
        <v>0</v>
      </c>
      <c r="N619">
        <f>Table1[[#This Row],[Revenue]]*Table1[[#This Row],[Discount%]]/100</f>
        <v>0</v>
      </c>
      <c r="O619" s="6">
        <f>Table1[[#This Row],[Revenue]]-Table1[[#This Row],[Disc_amount]]</f>
        <v>1098</v>
      </c>
      <c r="P619" t="s">
        <v>33</v>
      </c>
      <c r="Q619" t="s">
        <v>27</v>
      </c>
    </row>
    <row r="620" spans="1:17">
      <c r="A620" t="s">
        <v>1227</v>
      </c>
      <c r="B620" s="1" t="s">
        <v>1220</v>
      </c>
      <c r="C620" s="1" t="s">
        <v>1143</v>
      </c>
      <c r="D620" s="1" t="s">
        <v>20</v>
      </c>
      <c r="E620" t="s">
        <v>241</v>
      </c>
      <c r="F620" t="s">
        <v>242</v>
      </c>
      <c r="G620" t="s">
        <v>31</v>
      </c>
      <c r="H620" t="s">
        <v>65</v>
      </c>
      <c r="I620" t="s">
        <v>98</v>
      </c>
      <c r="J620">
        <v>1</v>
      </c>
      <c r="K620">
        <v>499</v>
      </c>
      <c r="L620">
        <f>Table1[[#This Row],[Quantity]] * Table1[[#This Row],[UnitPrice]]</f>
        <v>499</v>
      </c>
      <c r="M620" s="25">
        <v>0</v>
      </c>
      <c r="N620">
        <f>Table1[[#This Row],[Revenue]]*Table1[[#This Row],[Discount%]]/100</f>
        <v>0</v>
      </c>
      <c r="O620" s="6">
        <f>Table1[[#This Row],[Revenue]]-Table1[[#This Row],[Disc_amount]]</f>
        <v>499</v>
      </c>
      <c r="P620" t="s">
        <v>26</v>
      </c>
      <c r="Q620" t="s">
        <v>34</v>
      </c>
    </row>
    <row r="621" spans="1:17">
      <c r="A621" t="s">
        <v>1228</v>
      </c>
      <c r="B621" s="1" t="s">
        <v>1220</v>
      </c>
      <c r="C621" s="1" t="s">
        <v>1143</v>
      </c>
      <c r="D621" s="1" t="s">
        <v>20</v>
      </c>
      <c r="E621" t="s">
        <v>1229</v>
      </c>
      <c r="F621" t="s">
        <v>97</v>
      </c>
      <c r="G621" t="s">
        <v>45</v>
      </c>
      <c r="H621" t="s">
        <v>70</v>
      </c>
      <c r="I621" t="s">
        <v>91</v>
      </c>
      <c r="J621">
        <v>4</v>
      </c>
      <c r="K621">
        <v>549</v>
      </c>
      <c r="L621">
        <f>Table1[[#This Row],[Quantity]] * Table1[[#This Row],[UnitPrice]]</f>
        <v>2196</v>
      </c>
      <c r="M621" s="25">
        <v>10</v>
      </c>
      <c r="N621">
        <f>Table1[[#This Row],[Revenue]]*Table1[[#This Row],[Discount%]]/100</f>
        <v>219.6</v>
      </c>
      <c r="O621" s="6">
        <f>Table1[[#This Row],[Revenue]]-Table1[[#This Row],[Disc_amount]]</f>
        <v>1976.4</v>
      </c>
      <c r="P621" t="s">
        <v>41</v>
      </c>
      <c r="Q621" t="s">
        <v>27</v>
      </c>
    </row>
    <row r="622" spans="1:17">
      <c r="A622" t="s">
        <v>1230</v>
      </c>
      <c r="B622" s="1" t="s">
        <v>1220</v>
      </c>
      <c r="C622" s="1" t="s">
        <v>1143</v>
      </c>
      <c r="D622" s="1" t="s">
        <v>20</v>
      </c>
      <c r="E622" t="s">
        <v>267</v>
      </c>
      <c r="F622" t="s">
        <v>268</v>
      </c>
      <c r="G622" t="s">
        <v>45</v>
      </c>
      <c r="H622" t="s">
        <v>65</v>
      </c>
      <c r="I622" t="s">
        <v>98</v>
      </c>
      <c r="J622">
        <v>1</v>
      </c>
      <c r="K622">
        <v>499</v>
      </c>
      <c r="L622">
        <f>Table1[[#This Row],[Quantity]] * Table1[[#This Row],[UnitPrice]]</f>
        <v>499</v>
      </c>
      <c r="M622" s="25">
        <v>10</v>
      </c>
      <c r="N622">
        <f>Table1[[#This Row],[Revenue]]*Table1[[#This Row],[Discount%]]/100</f>
        <v>49.9</v>
      </c>
      <c r="O622" s="6">
        <f>Table1[[#This Row],[Revenue]]-Table1[[#This Row],[Disc_amount]]</f>
        <v>449.1</v>
      </c>
      <c r="P622" t="s">
        <v>52</v>
      </c>
      <c r="Q622" t="s">
        <v>27</v>
      </c>
    </row>
    <row r="623" spans="1:17">
      <c r="A623" t="s">
        <v>1231</v>
      </c>
      <c r="B623" s="1" t="s">
        <v>1232</v>
      </c>
      <c r="C623" s="1" t="s">
        <v>1143</v>
      </c>
      <c r="D623" s="1" t="s">
        <v>20</v>
      </c>
      <c r="E623" t="s">
        <v>626</v>
      </c>
      <c r="F623" t="s">
        <v>376</v>
      </c>
      <c r="G623" t="s">
        <v>23</v>
      </c>
      <c r="H623" t="s">
        <v>46</v>
      </c>
      <c r="I623" t="s">
        <v>154</v>
      </c>
      <c r="J623">
        <v>1</v>
      </c>
      <c r="K623">
        <v>299</v>
      </c>
      <c r="L623">
        <f>Table1[[#This Row],[Quantity]] * Table1[[#This Row],[UnitPrice]]</f>
        <v>299</v>
      </c>
      <c r="M623" s="25">
        <v>10</v>
      </c>
      <c r="N623">
        <f>Table1[[#This Row],[Revenue]]*Table1[[#This Row],[Discount%]]/100</f>
        <v>29.9</v>
      </c>
      <c r="O623" s="6">
        <f>Table1[[#This Row],[Revenue]]-Table1[[#This Row],[Disc_amount]]</f>
        <v>269.10000000000002</v>
      </c>
      <c r="P623" t="s">
        <v>86</v>
      </c>
      <c r="Q623" t="s">
        <v>27</v>
      </c>
    </row>
    <row r="624" spans="1:17">
      <c r="A624" t="s">
        <v>1233</v>
      </c>
      <c r="B624" s="1" t="s">
        <v>1232</v>
      </c>
      <c r="C624" s="1" t="s">
        <v>1143</v>
      </c>
      <c r="D624" s="1" t="s">
        <v>20</v>
      </c>
      <c r="E624" t="s">
        <v>636</v>
      </c>
      <c r="F624" t="s">
        <v>61</v>
      </c>
      <c r="G624" t="s">
        <v>38</v>
      </c>
      <c r="H624" t="s">
        <v>39</v>
      </c>
      <c r="I624" t="s">
        <v>40</v>
      </c>
      <c r="J624">
        <v>1</v>
      </c>
      <c r="K624">
        <v>599</v>
      </c>
      <c r="L624">
        <f>Table1[[#This Row],[Quantity]] * Table1[[#This Row],[UnitPrice]]</f>
        <v>599</v>
      </c>
      <c r="M624" s="25">
        <v>20</v>
      </c>
      <c r="N624">
        <f>Table1[[#This Row],[Revenue]]*Table1[[#This Row],[Discount%]]/100</f>
        <v>119.8</v>
      </c>
      <c r="O624" s="6">
        <f>Table1[[#This Row],[Revenue]]-Table1[[#This Row],[Disc_amount]]</f>
        <v>479.2</v>
      </c>
      <c r="P624" t="s">
        <v>41</v>
      </c>
      <c r="Q624" t="s">
        <v>34</v>
      </c>
    </row>
    <row r="625" spans="1:17">
      <c r="A625" t="s">
        <v>1234</v>
      </c>
      <c r="B625" s="1" t="s">
        <v>1232</v>
      </c>
      <c r="C625" s="1" t="s">
        <v>1143</v>
      </c>
      <c r="D625" s="1" t="s">
        <v>20</v>
      </c>
      <c r="E625" t="s">
        <v>596</v>
      </c>
      <c r="F625" t="s">
        <v>597</v>
      </c>
      <c r="G625" t="s">
        <v>56</v>
      </c>
      <c r="H625" t="s">
        <v>65</v>
      </c>
      <c r="I625" t="s">
        <v>94</v>
      </c>
      <c r="J625">
        <v>2</v>
      </c>
      <c r="K625">
        <v>899</v>
      </c>
      <c r="L625">
        <f>Table1[[#This Row],[Quantity]] * Table1[[#This Row],[UnitPrice]]</f>
        <v>1798</v>
      </c>
      <c r="M625" s="25">
        <v>5</v>
      </c>
      <c r="N625">
        <f>Table1[[#This Row],[Revenue]]*Table1[[#This Row],[Discount%]]/100</f>
        <v>89.9</v>
      </c>
      <c r="O625" s="6">
        <f>Table1[[#This Row],[Revenue]]-Table1[[#This Row],[Disc_amount]]</f>
        <v>1708.1</v>
      </c>
      <c r="P625" t="s">
        <v>33</v>
      </c>
      <c r="Q625" t="s">
        <v>27</v>
      </c>
    </row>
    <row r="626" spans="1:17">
      <c r="A626" t="s">
        <v>1235</v>
      </c>
      <c r="B626" s="1" t="s">
        <v>1232</v>
      </c>
      <c r="C626" s="1" t="s">
        <v>1143</v>
      </c>
      <c r="D626" s="1" t="s">
        <v>20</v>
      </c>
      <c r="E626" t="s">
        <v>791</v>
      </c>
      <c r="F626" t="s">
        <v>37</v>
      </c>
      <c r="G626" t="s">
        <v>56</v>
      </c>
      <c r="H626" t="s">
        <v>65</v>
      </c>
      <c r="I626" t="s">
        <v>94</v>
      </c>
      <c r="J626">
        <v>2</v>
      </c>
      <c r="K626">
        <v>899</v>
      </c>
      <c r="L626">
        <f>Table1[[#This Row],[Quantity]] * Table1[[#This Row],[UnitPrice]]</f>
        <v>1798</v>
      </c>
      <c r="M626" s="25">
        <v>10</v>
      </c>
      <c r="N626">
        <f>Table1[[#This Row],[Revenue]]*Table1[[#This Row],[Discount%]]/100</f>
        <v>179.8</v>
      </c>
      <c r="O626" s="6">
        <f>Table1[[#This Row],[Revenue]]-Table1[[#This Row],[Disc_amount]]</f>
        <v>1618.2</v>
      </c>
      <c r="P626" t="s">
        <v>33</v>
      </c>
      <c r="Q626" t="s">
        <v>27</v>
      </c>
    </row>
    <row r="627" spans="1:17">
      <c r="A627" t="s">
        <v>1236</v>
      </c>
      <c r="B627" s="1" t="s">
        <v>1232</v>
      </c>
      <c r="C627" s="1" t="s">
        <v>1143</v>
      </c>
      <c r="D627" s="1" t="s">
        <v>20</v>
      </c>
      <c r="E627" t="s">
        <v>1237</v>
      </c>
      <c r="F627" t="s">
        <v>173</v>
      </c>
      <c r="G627" t="s">
        <v>45</v>
      </c>
      <c r="H627" t="s">
        <v>39</v>
      </c>
      <c r="I627" t="s">
        <v>140</v>
      </c>
      <c r="J627">
        <v>2</v>
      </c>
      <c r="K627">
        <v>1799</v>
      </c>
      <c r="L627">
        <f>Table1[[#This Row],[Quantity]] * Table1[[#This Row],[UnitPrice]]</f>
        <v>3598</v>
      </c>
      <c r="M627" s="25">
        <v>0</v>
      </c>
      <c r="N627">
        <f>Table1[[#This Row],[Revenue]]*Table1[[#This Row],[Discount%]]/100</f>
        <v>0</v>
      </c>
      <c r="O627" s="6">
        <f>Table1[[#This Row],[Revenue]]-Table1[[#This Row],[Disc_amount]]</f>
        <v>3598</v>
      </c>
      <c r="P627" t="s">
        <v>41</v>
      </c>
      <c r="Q627" t="s">
        <v>34</v>
      </c>
    </row>
    <row r="628" spans="1:17">
      <c r="A628" t="s">
        <v>1238</v>
      </c>
      <c r="B628" s="1" t="s">
        <v>1232</v>
      </c>
      <c r="C628" s="1" t="s">
        <v>1143</v>
      </c>
      <c r="D628" s="1" t="s">
        <v>20</v>
      </c>
      <c r="E628" t="s">
        <v>152</v>
      </c>
      <c r="F628" t="s">
        <v>153</v>
      </c>
      <c r="G628" t="s">
        <v>23</v>
      </c>
      <c r="H628" t="s">
        <v>39</v>
      </c>
      <c r="I628" t="s">
        <v>40</v>
      </c>
      <c r="J628">
        <v>2</v>
      </c>
      <c r="K628">
        <v>599</v>
      </c>
      <c r="L628">
        <f>Table1[[#This Row],[Quantity]] * Table1[[#This Row],[UnitPrice]]</f>
        <v>1198</v>
      </c>
      <c r="M628" s="25">
        <v>0</v>
      </c>
      <c r="N628">
        <f>Table1[[#This Row],[Revenue]]*Table1[[#This Row],[Discount%]]/100</f>
        <v>0</v>
      </c>
      <c r="O628" s="6">
        <f>Table1[[#This Row],[Revenue]]-Table1[[#This Row],[Disc_amount]]</f>
        <v>1198</v>
      </c>
      <c r="P628" t="s">
        <v>33</v>
      </c>
      <c r="Q628" t="s">
        <v>34</v>
      </c>
    </row>
    <row r="629" spans="1:17">
      <c r="A629" t="s">
        <v>1239</v>
      </c>
      <c r="B629" s="1" t="s">
        <v>1232</v>
      </c>
      <c r="C629" s="1" t="s">
        <v>1143</v>
      </c>
      <c r="D629" s="1" t="s">
        <v>20</v>
      </c>
      <c r="E629" t="s">
        <v>1240</v>
      </c>
      <c r="F629" t="s">
        <v>115</v>
      </c>
      <c r="G629" t="s">
        <v>45</v>
      </c>
      <c r="H629" t="s">
        <v>65</v>
      </c>
      <c r="I629" t="s">
        <v>98</v>
      </c>
      <c r="J629">
        <v>3</v>
      </c>
      <c r="K629">
        <v>499</v>
      </c>
      <c r="L629">
        <f>Table1[[#This Row],[Quantity]] * Table1[[#This Row],[UnitPrice]]</f>
        <v>1497</v>
      </c>
      <c r="M629" s="25">
        <v>20</v>
      </c>
      <c r="N629">
        <f>Table1[[#This Row],[Revenue]]*Table1[[#This Row],[Discount%]]/100</f>
        <v>299.39999999999998</v>
      </c>
      <c r="O629" s="6">
        <f>Table1[[#This Row],[Revenue]]-Table1[[#This Row],[Disc_amount]]</f>
        <v>1197.5999999999999</v>
      </c>
      <c r="P629" t="s">
        <v>41</v>
      </c>
      <c r="Q629" t="s">
        <v>27</v>
      </c>
    </row>
    <row r="630" spans="1:17">
      <c r="A630" t="s">
        <v>1241</v>
      </c>
      <c r="B630" s="1" t="s">
        <v>1232</v>
      </c>
      <c r="C630" s="1" t="s">
        <v>1143</v>
      </c>
      <c r="D630" s="1" t="s">
        <v>20</v>
      </c>
      <c r="E630" t="s">
        <v>495</v>
      </c>
      <c r="F630" t="s">
        <v>187</v>
      </c>
      <c r="G630" t="s">
        <v>23</v>
      </c>
      <c r="H630" t="s">
        <v>24</v>
      </c>
      <c r="I630" t="s">
        <v>32</v>
      </c>
      <c r="J630">
        <v>1</v>
      </c>
      <c r="K630">
        <v>199</v>
      </c>
      <c r="L630">
        <f>Table1[[#This Row],[Quantity]] * Table1[[#This Row],[UnitPrice]]</f>
        <v>199</v>
      </c>
      <c r="M630" s="25">
        <v>0</v>
      </c>
      <c r="N630">
        <f>Table1[[#This Row],[Revenue]]*Table1[[#This Row],[Discount%]]/100</f>
        <v>0</v>
      </c>
      <c r="O630" s="6">
        <f>Table1[[#This Row],[Revenue]]-Table1[[#This Row],[Disc_amount]]</f>
        <v>199</v>
      </c>
      <c r="P630" t="s">
        <v>86</v>
      </c>
      <c r="Q630" t="s">
        <v>34</v>
      </c>
    </row>
    <row r="631" spans="1:17">
      <c r="A631" t="s">
        <v>1242</v>
      </c>
      <c r="B631" s="1" t="s">
        <v>1243</v>
      </c>
      <c r="C631" s="1" t="s">
        <v>1143</v>
      </c>
      <c r="D631" s="1" t="s">
        <v>20</v>
      </c>
      <c r="E631" t="s">
        <v>1147</v>
      </c>
      <c r="F631" t="s">
        <v>788</v>
      </c>
      <c r="G631" t="s">
        <v>45</v>
      </c>
      <c r="H631" t="s">
        <v>65</v>
      </c>
      <c r="I631" t="s">
        <v>94</v>
      </c>
      <c r="J631">
        <v>2</v>
      </c>
      <c r="K631">
        <v>899</v>
      </c>
      <c r="L631">
        <f>Table1[[#This Row],[Quantity]] * Table1[[#This Row],[UnitPrice]]</f>
        <v>1798</v>
      </c>
      <c r="M631" s="25">
        <v>20</v>
      </c>
      <c r="N631">
        <f>Table1[[#This Row],[Revenue]]*Table1[[#This Row],[Discount%]]/100</f>
        <v>359.6</v>
      </c>
      <c r="O631" s="6">
        <f>Table1[[#This Row],[Revenue]]-Table1[[#This Row],[Disc_amount]]</f>
        <v>1438.4</v>
      </c>
      <c r="P631" t="s">
        <v>26</v>
      </c>
      <c r="Q631" t="s">
        <v>34</v>
      </c>
    </row>
    <row r="632" spans="1:17">
      <c r="A632" t="s">
        <v>1244</v>
      </c>
      <c r="B632" s="1" t="s">
        <v>1243</v>
      </c>
      <c r="C632" s="1" t="s">
        <v>1143</v>
      </c>
      <c r="D632" s="1" t="s">
        <v>20</v>
      </c>
      <c r="E632" t="s">
        <v>952</v>
      </c>
      <c r="F632" t="s">
        <v>134</v>
      </c>
      <c r="G632" t="s">
        <v>56</v>
      </c>
      <c r="H632" t="s">
        <v>39</v>
      </c>
      <c r="I632" t="s">
        <v>40</v>
      </c>
      <c r="J632">
        <v>1</v>
      </c>
      <c r="K632">
        <v>599</v>
      </c>
      <c r="L632">
        <f>Table1[[#This Row],[Quantity]] * Table1[[#This Row],[UnitPrice]]</f>
        <v>599</v>
      </c>
      <c r="M632" s="25">
        <v>10</v>
      </c>
      <c r="N632">
        <f>Table1[[#This Row],[Revenue]]*Table1[[#This Row],[Discount%]]/100</f>
        <v>59.9</v>
      </c>
      <c r="O632" s="6">
        <f>Table1[[#This Row],[Revenue]]-Table1[[#This Row],[Disc_amount]]</f>
        <v>539.1</v>
      </c>
      <c r="P632" t="s">
        <v>41</v>
      </c>
      <c r="Q632" t="s">
        <v>34</v>
      </c>
    </row>
    <row r="633" spans="1:17">
      <c r="A633" t="s">
        <v>1245</v>
      </c>
      <c r="B633" s="1" t="s">
        <v>1243</v>
      </c>
      <c r="C633" s="1" t="s">
        <v>1143</v>
      </c>
      <c r="D633" s="1" t="s">
        <v>20</v>
      </c>
      <c r="E633" t="s">
        <v>303</v>
      </c>
      <c r="F633" t="s">
        <v>304</v>
      </c>
      <c r="G633" t="s">
        <v>38</v>
      </c>
      <c r="H633" t="s">
        <v>70</v>
      </c>
      <c r="I633" t="s">
        <v>71</v>
      </c>
      <c r="J633">
        <v>3</v>
      </c>
      <c r="K633">
        <v>349</v>
      </c>
      <c r="L633">
        <f>Table1[[#This Row],[Quantity]] * Table1[[#This Row],[UnitPrice]]</f>
        <v>1047</v>
      </c>
      <c r="M633" s="25">
        <v>0</v>
      </c>
      <c r="N633">
        <f>Table1[[#This Row],[Revenue]]*Table1[[#This Row],[Discount%]]/100</f>
        <v>0</v>
      </c>
      <c r="O633" s="6">
        <f>Table1[[#This Row],[Revenue]]-Table1[[#This Row],[Disc_amount]]</f>
        <v>1047</v>
      </c>
      <c r="P633" t="s">
        <v>41</v>
      </c>
      <c r="Q633" t="s">
        <v>27</v>
      </c>
    </row>
    <row r="634" spans="1:17">
      <c r="A634" t="s">
        <v>1246</v>
      </c>
      <c r="B634" s="1" t="s">
        <v>1243</v>
      </c>
      <c r="C634" s="1" t="s">
        <v>1143</v>
      </c>
      <c r="D634" s="1" t="s">
        <v>20</v>
      </c>
      <c r="E634" t="s">
        <v>791</v>
      </c>
      <c r="F634" t="s">
        <v>37</v>
      </c>
      <c r="G634" t="s">
        <v>45</v>
      </c>
      <c r="H634" t="s">
        <v>46</v>
      </c>
      <c r="I634" t="s">
        <v>47</v>
      </c>
      <c r="J634">
        <v>1</v>
      </c>
      <c r="K634">
        <v>249</v>
      </c>
      <c r="L634">
        <f>Table1[[#This Row],[Quantity]] * Table1[[#This Row],[UnitPrice]]</f>
        <v>249</v>
      </c>
      <c r="M634" s="25">
        <v>5</v>
      </c>
      <c r="N634">
        <f>Table1[[#This Row],[Revenue]]*Table1[[#This Row],[Discount%]]/100</f>
        <v>12.45</v>
      </c>
      <c r="O634" s="6">
        <f>Table1[[#This Row],[Revenue]]-Table1[[#This Row],[Disc_amount]]</f>
        <v>236.55</v>
      </c>
      <c r="P634" t="s">
        <v>52</v>
      </c>
      <c r="Q634" t="s">
        <v>34</v>
      </c>
    </row>
    <row r="635" spans="1:17">
      <c r="A635" t="s">
        <v>1247</v>
      </c>
      <c r="B635" s="1" t="s">
        <v>1243</v>
      </c>
      <c r="C635" s="1" t="s">
        <v>1143</v>
      </c>
      <c r="D635" s="1" t="s">
        <v>20</v>
      </c>
      <c r="E635" t="s">
        <v>867</v>
      </c>
      <c r="F635" t="s">
        <v>617</v>
      </c>
      <c r="G635" t="s">
        <v>45</v>
      </c>
      <c r="H635" t="s">
        <v>46</v>
      </c>
      <c r="I635" t="s">
        <v>154</v>
      </c>
      <c r="J635">
        <v>3</v>
      </c>
      <c r="K635">
        <v>299</v>
      </c>
      <c r="L635">
        <f>Table1[[#This Row],[Quantity]] * Table1[[#This Row],[UnitPrice]]</f>
        <v>897</v>
      </c>
      <c r="M635" s="25">
        <v>10</v>
      </c>
      <c r="N635">
        <f>Table1[[#This Row],[Revenue]]*Table1[[#This Row],[Discount%]]/100</f>
        <v>89.7</v>
      </c>
      <c r="O635" s="6">
        <f>Table1[[#This Row],[Revenue]]-Table1[[#This Row],[Disc_amount]]</f>
        <v>807.3</v>
      </c>
      <c r="P635" t="s">
        <v>33</v>
      </c>
      <c r="Q635" t="s">
        <v>27</v>
      </c>
    </row>
    <row r="636" spans="1:17">
      <c r="A636" t="s">
        <v>1248</v>
      </c>
      <c r="B636" s="1" t="s">
        <v>1249</v>
      </c>
      <c r="C636" s="1" t="s">
        <v>1143</v>
      </c>
      <c r="D636" s="1" t="s">
        <v>20</v>
      </c>
      <c r="E636" t="s">
        <v>968</v>
      </c>
      <c r="F636" t="s">
        <v>907</v>
      </c>
      <c r="G636" t="s">
        <v>31</v>
      </c>
      <c r="H636" t="s">
        <v>57</v>
      </c>
      <c r="I636" t="s">
        <v>58</v>
      </c>
      <c r="J636">
        <v>4</v>
      </c>
      <c r="K636">
        <v>1299</v>
      </c>
      <c r="L636">
        <f>Table1[[#This Row],[Quantity]] * Table1[[#This Row],[UnitPrice]]</f>
        <v>5196</v>
      </c>
      <c r="M636" s="25">
        <v>5</v>
      </c>
      <c r="N636">
        <f>Table1[[#This Row],[Revenue]]*Table1[[#This Row],[Discount%]]/100</f>
        <v>259.8</v>
      </c>
      <c r="O636" s="6">
        <f>Table1[[#This Row],[Revenue]]-Table1[[#This Row],[Disc_amount]]</f>
        <v>4936.2</v>
      </c>
      <c r="P636" t="s">
        <v>86</v>
      </c>
      <c r="Q636" t="s">
        <v>27</v>
      </c>
    </row>
    <row r="637" spans="1:17">
      <c r="A637" t="s">
        <v>1250</v>
      </c>
      <c r="B637" s="1" t="s">
        <v>1249</v>
      </c>
      <c r="C637" s="1" t="s">
        <v>1143</v>
      </c>
      <c r="D637" s="1" t="s">
        <v>20</v>
      </c>
      <c r="E637" t="s">
        <v>267</v>
      </c>
      <c r="F637" t="s">
        <v>268</v>
      </c>
      <c r="G637" t="s">
        <v>56</v>
      </c>
      <c r="H637" t="s">
        <v>65</v>
      </c>
      <c r="I637" t="s">
        <v>98</v>
      </c>
      <c r="J637">
        <v>3</v>
      </c>
      <c r="K637">
        <v>499</v>
      </c>
      <c r="L637">
        <f>Table1[[#This Row],[Quantity]] * Table1[[#This Row],[UnitPrice]]</f>
        <v>1497</v>
      </c>
      <c r="M637" s="25">
        <v>5</v>
      </c>
      <c r="N637">
        <f>Table1[[#This Row],[Revenue]]*Table1[[#This Row],[Discount%]]/100</f>
        <v>74.849999999999994</v>
      </c>
      <c r="O637" s="6">
        <f>Table1[[#This Row],[Revenue]]-Table1[[#This Row],[Disc_amount]]</f>
        <v>1422.15</v>
      </c>
      <c r="P637" t="s">
        <v>86</v>
      </c>
      <c r="Q637" t="s">
        <v>34</v>
      </c>
    </row>
    <row r="638" spans="1:17">
      <c r="A638" t="s">
        <v>1251</v>
      </c>
      <c r="B638" s="1" t="s">
        <v>1249</v>
      </c>
      <c r="C638" s="1" t="s">
        <v>1143</v>
      </c>
      <c r="D638" s="1" t="s">
        <v>20</v>
      </c>
      <c r="E638" t="s">
        <v>29</v>
      </c>
      <c r="F638" t="s">
        <v>30</v>
      </c>
      <c r="G638" t="s">
        <v>45</v>
      </c>
      <c r="H638" t="s">
        <v>24</v>
      </c>
      <c r="I638" t="s">
        <v>32</v>
      </c>
      <c r="J638">
        <v>1</v>
      </c>
      <c r="K638">
        <v>199</v>
      </c>
      <c r="L638">
        <f>Table1[[#This Row],[Quantity]] * Table1[[#This Row],[UnitPrice]]</f>
        <v>199</v>
      </c>
      <c r="M638" s="25">
        <v>0</v>
      </c>
      <c r="N638">
        <f>Table1[[#This Row],[Revenue]]*Table1[[#This Row],[Discount%]]/100</f>
        <v>0</v>
      </c>
      <c r="O638" s="6">
        <f>Table1[[#This Row],[Revenue]]-Table1[[#This Row],[Disc_amount]]</f>
        <v>199</v>
      </c>
      <c r="P638" t="s">
        <v>52</v>
      </c>
      <c r="Q638" t="s">
        <v>34</v>
      </c>
    </row>
    <row r="639" spans="1:17">
      <c r="A639" t="s">
        <v>1252</v>
      </c>
      <c r="B639" s="1" t="s">
        <v>1249</v>
      </c>
      <c r="C639" s="1" t="s">
        <v>1143</v>
      </c>
      <c r="D639" s="1" t="s">
        <v>20</v>
      </c>
      <c r="E639" t="s">
        <v>959</v>
      </c>
      <c r="F639" t="s">
        <v>960</v>
      </c>
      <c r="G639" t="s">
        <v>23</v>
      </c>
      <c r="H639" t="s">
        <v>39</v>
      </c>
      <c r="I639" t="s">
        <v>140</v>
      </c>
      <c r="J639">
        <v>1</v>
      </c>
      <c r="K639">
        <v>1799</v>
      </c>
      <c r="L639">
        <f>Table1[[#This Row],[Quantity]] * Table1[[#This Row],[UnitPrice]]</f>
        <v>1799</v>
      </c>
      <c r="M639" s="25">
        <v>20</v>
      </c>
      <c r="N639">
        <f>Table1[[#This Row],[Revenue]]*Table1[[#This Row],[Discount%]]/100</f>
        <v>359.8</v>
      </c>
      <c r="O639" s="6">
        <f>Table1[[#This Row],[Revenue]]-Table1[[#This Row],[Disc_amount]]</f>
        <v>1439.2</v>
      </c>
      <c r="P639" t="s">
        <v>26</v>
      </c>
      <c r="Q639" t="s">
        <v>27</v>
      </c>
    </row>
    <row r="640" spans="1:17">
      <c r="A640" t="s">
        <v>1253</v>
      </c>
      <c r="B640" s="1" t="s">
        <v>1249</v>
      </c>
      <c r="C640" s="1" t="s">
        <v>1143</v>
      </c>
      <c r="D640" s="1" t="s">
        <v>20</v>
      </c>
      <c r="E640" t="s">
        <v>733</v>
      </c>
      <c r="F640" t="s">
        <v>734</v>
      </c>
      <c r="G640" t="s">
        <v>38</v>
      </c>
      <c r="H640" t="s">
        <v>57</v>
      </c>
      <c r="I640" t="s">
        <v>58</v>
      </c>
      <c r="J640">
        <v>3</v>
      </c>
      <c r="K640">
        <v>1299</v>
      </c>
      <c r="L640">
        <f>Table1[[#This Row],[Quantity]] * Table1[[#This Row],[UnitPrice]]</f>
        <v>3897</v>
      </c>
      <c r="M640" s="25">
        <v>5</v>
      </c>
      <c r="N640">
        <f>Table1[[#This Row],[Revenue]]*Table1[[#This Row],[Discount%]]/100</f>
        <v>194.85</v>
      </c>
      <c r="O640" s="6">
        <f>Table1[[#This Row],[Revenue]]-Table1[[#This Row],[Disc_amount]]</f>
        <v>3702.15</v>
      </c>
      <c r="P640" t="s">
        <v>86</v>
      </c>
      <c r="Q640" t="s">
        <v>34</v>
      </c>
    </row>
    <row r="641" spans="1:17">
      <c r="A641" t="s">
        <v>1254</v>
      </c>
      <c r="B641" s="1" t="s">
        <v>1249</v>
      </c>
      <c r="C641" s="1" t="s">
        <v>1143</v>
      </c>
      <c r="D641" s="1" t="s">
        <v>20</v>
      </c>
      <c r="E641" t="s">
        <v>407</v>
      </c>
      <c r="F641" t="s">
        <v>329</v>
      </c>
      <c r="G641" t="s">
        <v>45</v>
      </c>
      <c r="H641" t="s">
        <v>39</v>
      </c>
      <c r="I641" t="s">
        <v>140</v>
      </c>
      <c r="J641">
        <v>1</v>
      </c>
      <c r="K641">
        <v>1799</v>
      </c>
      <c r="L641">
        <f>Table1[[#This Row],[Quantity]] * Table1[[#This Row],[UnitPrice]]</f>
        <v>1799</v>
      </c>
      <c r="M641" s="25">
        <v>0</v>
      </c>
      <c r="N641">
        <f>Table1[[#This Row],[Revenue]]*Table1[[#This Row],[Discount%]]/100</f>
        <v>0</v>
      </c>
      <c r="O641" s="6">
        <f>Table1[[#This Row],[Revenue]]-Table1[[#This Row],[Disc_amount]]</f>
        <v>1799</v>
      </c>
      <c r="P641" t="s">
        <v>33</v>
      </c>
      <c r="Q641" t="s">
        <v>27</v>
      </c>
    </row>
    <row r="642" spans="1:17">
      <c r="A642" t="s">
        <v>1255</v>
      </c>
      <c r="B642" s="1" t="s">
        <v>1249</v>
      </c>
      <c r="C642" s="1" t="s">
        <v>1143</v>
      </c>
      <c r="D642" s="1" t="s">
        <v>20</v>
      </c>
      <c r="E642" t="s">
        <v>503</v>
      </c>
      <c r="F642" t="s">
        <v>504</v>
      </c>
      <c r="G642" t="s">
        <v>45</v>
      </c>
      <c r="H642" t="s">
        <v>24</v>
      </c>
      <c r="I642" t="s">
        <v>32</v>
      </c>
      <c r="J642">
        <v>1</v>
      </c>
      <c r="K642">
        <v>199</v>
      </c>
      <c r="L642">
        <f>Table1[[#This Row],[Quantity]] * Table1[[#This Row],[UnitPrice]]</f>
        <v>199</v>
      </c>
      <c r="M642" s="25">
        <v>20</v>
      </c>
      <c r="N642">
        <f>Table1[[#This Row],[Revenue]]*Table1[[#This Row],[Discount%]]/100</f>
        <v>39.799999999999997</v>
      </c>
      <c r="O642" s="6">
        <f>Table1[[#This Row],[Revenue]]-Table1[[#This Row],[Disc_amount]]</f>
        <v>159.19999999999999</v>
      </c>
      <c r="P642" t="s">
        <v>33</v>
      </c>
      <c r="Q642" t="s">
        <v>34</v>
      </c>
    </row>
    <row r="643" spans="1:17">
      <c r="A643" t="s">
        <v>1256</v>
      </c>
      <c r="B643" s="1" t="s">
        <v>1249</v>
      </c>
      <c r="C643" s="1" t="s">
        <v>1143</v>
      </c>
      <c r="D643" s="1" t="s">
        <v>20</v>
      </c>
      <c r="E643" t="s">
        <v>1257</v>
      </c>
      <c r="F643" t="s">
        <v>248</v>
      </c>
      <c r="G643" t="s">
        <v>45</v>
      </c>
      <c r="H643" t="s">
        <v>65</v>
      </c>
      <c r="I643" t="s">
        <v>98</v>
      </c>
      <c r="J643">
        <v>2</v>
      </c>
      <c r="K643">
        <v>499</v>
      </c>
      <c r="L643">
        <f>Table1[[#This Row],[Quantity]] * Table1[[#This Row],[UnitPrice]]</f>
        <v>998</v>
      </c>
      <c r="M643" s="25">
        <v>20</v>
      </c>
      <c r="N643">
        <f>Table1[[#This Row],[Revenue]]*Table1[[#This Row],[Discount%]]/100</f>
        <v>199.6</v>
      </c>
      <c r="O643" s="6">
        <f>Table1[[#This Row],[Revenue]]-Table1[[#This Row],[Disc_amount]]</f>
        <v>798.4</v>
      </c>
      <c r="P643" t="s">
        <v>41</v>
      </c>
      <c r="Q643" t="s">
        <v>34</v>
      </c>
    </row>
    <row r="644" spans="1:17">
      <c r="A644" t="s">
        <v>1258</v>
      </c>
      <c r="B644" s="1" t="s">
        <v>1249</v>
      </c>
      <c r="C644" s="1" t="s">
        <v>1143</v>
      </c>
      <c r="D644" s="1" t="s">
        <v>20</v>
      </c>
      <c r="E644" t="s">
        <v>1259</v>
      </c>
      <c r="F644" t="s">
        <v>1260</v>
      </c>
      <c r="G644" t="s">
        <v>23</v>
      </c>
      <c r="H644" t="s">
        <v>57</v>
      </c>
      <c r="I644" t="s">
        <v>58</v>
      </c>
      <c r="J644">
        <v>1</v>
      </c>
      <c r="K644">
        <v>1299</v>
      </c>
      <c r="L644">
        <f>Table1[[#This Row],[Quantity]] * Table1[[#This Row],[UnitPrice]]</f>
        <v>1299</v>
      </c>
      <c r="M644" s="25">
        <v>0</v>
      </c>
      <c r="N644">
        <f>Table1[[#This Row],[Revenue]]*Table1[[#This Row],[Discount%]]/100</f>
        <v>0</v>
      </c>
      <c r="O644" s="6">
        <f>Table1[[#This Row],[Revenue]]-Table1[[#This Row],[Disc_amount]]</f>
        <v>1299</v>
      </c>
      <c r="P644" t="s">
        <v>52</v>
      </c>
      <c r="Q644" t="s">
        <v>27</v>
      </c>
    </row>
    <row r="645" spans="1:17">
      <c r="A645" t="s">
        <v>1261</v>
      </c>
      <c r="B645" s="1" t="s">
        <v>1262</v>
      </c>
      <c r="C645" s="1" t="s">
        <v>1143</v>
      </c>
      <c r="D645" s="1" t="s">
        <v>20</v>
      </c>
      <c r="E645" t="s">
        <v>1110</v>
      </c>
      <c r="F645" t="s">
        <v>279</v>
      </c>
      <c r="G645" t="s">
        <v>31</v>
      </c>
      <c r="H645" t="s">
        <v>108</v>
      </c>
      <c r="I645" t="s">
        <v>130</v>
      </c>
      <c r="J645">
        <v>4</v>
      </c>
      <c r="K645">
        <v>699</v>
      </c>
      <c r="L645">
        <f>Table1[[#This Row],[Quantity]] * Table1[[#This Row],[UnitPrice]]</f>
        <v>2796</v>
      </c>
      <c r="M645" s="25">
        <v>0</v>
      </c>
      <c r="N645">
        <f>Table1[[#This Row],[Revenue]]*Table1[[#This Row],[Discount%]]/100</f>
        <v>0</v>
      </c>
      <c r="O645" s="6">
        <f>Table1[[#This Row],[Revenue]]-Table1[[#This Row],[Disc_amount]]</f>
        <v>2796</v>
      </c>
      <c r="P645" t="s">
        <v>86</v>
      </c>
      <c r="Q645" t="s">
        <v>27</v>
      </c>
    </row>
    <row r="646" spans="1:17">
      <c r="A646" t="s">
        <v>1263</v>
      </c>
      <c r="B646" s="1" t="s">
        <v>1262</v>
      </c>
      <c r="C646" s="1" t="s">
        <v>1143</v>
      </c>
      <c r="D646" s="1" t="s">
        <v>20</v>
      </c>
      <c r="E646" t="s">
        <v>1264</v>
      </c>
      <c r="F646" t="s">
        <v>462</v>
      </c>
      <c r="G646" t="s">
        <v>31</v>
      </c>
      <c r="H646" t="s">
        <v>65</v>
      </c>
      <c r="I646" t="s">
        <v>94</v>
      </c>
      <c r="J646">
        <v>2</v>
      </c>
      <c r="K646">
        <v>899</v>
      </c>
      <c r="L646">
        <f>Table1[[#This Row],[Quantity]] * Table1[[#This Row],[UnitPrice]]</f>
        <v>1798</v>
      </c>
      <c r="M646" s="25">
        <v>0</v>
      </c>
      <c r="N646">
        <f>Table1[[#This Row],[Revenue]]*Table1[[#This Row],[Discount%]]/100</f>
        <v>0</v>
      </c>
      <c r="O646" s="6">
        <f>Table1[[#This Row],[Revenue]]-Table1[[#This Row],[Disc_amount]]</f>
        <v>1798</v>
      </c>
      <c r="P646" t="s">
        <v>41</v>
      </c>
      <c r="Q646" t="s">
        <v>34</v>
      </c>
    </row>
    <row r="647" spans="1:17">
      <c r="A647" t="s">
        <v>1265</v>
      </c>
      <c r="B647" s="1" t="s">
        <v>1262</v>
      </c>
      <c r="C647" s="1" t="s">
        <v>1143</v>
      </c>
      <c r="D647" s="1" t="s">
        <v>20</v>
      </c>
      <c r="E647" t="s">
        <v>545</v>
      </c>
      <c r="F647" t="s">
        <v>546</v>
      </c>
      <c r="G647" t="s">
        <v>31</v>
      </c>
      <c r="H647" t="s">
        <v>108</v>
      </c>
      <c r="I647" t="s">
        <v>130</v>
      </c>
      <c r="J647">
        <v>2</v>
      </c>
      <c r="K647">
        <v>699</v>
      </c>
      <c r="L647">
        <f>Table1[[#This Row],[Quantity]] * Table1[[#This Row],[UnitPrice]]</f>
        <v>1398</v>
      </c>
      <c r="M647" s="25">
        <v>15</v>
      </c>
      <c r="N647">
        <f>Table1[[#This Row],[Revenue]]*Table1[[#This Row],[Discount%]]/100</f>
        <v>209.7</v>
      </c>
      <c r="O647" s="6">
        <f>Table1[[#This Row],[Revenue]]-Table1[[#This Row],[Disc_amount]]</f>
        <v>1188.3</v>
      </c>
      <c r="P647" t="s">
        <v>52</v>
      </c>
      <c r="Q647" t="s">
        <v>34</v>
      </c>
    </row>
    <row r="648" spans="1:17">
      <c r="A648" t="s">
        <v>1266</v>
      </c>
      <c r="B648" s="1" t="s">
        <v>1262</v>
      </c>
      <c r="C648" s="1" t="s">
        <v>1143</v>
      </c>
      <c r="D648" s="1" t="s">
        <v>20</v>
      </c>
      <c r="E648" t="s">
        <v>1240</v>
      </c>
      <c r="F648" t="s">
        <v>115</v>
      </c>
      <c r="G648" t="s">
        <v>56</v>
      </c>
      <c r="H648" t="s">
        <v>65</v>
      </c>
      <c r="I648" t="s">
        <v>94</v>
      </c>
      <c r="J648">
        <v>2</v>
      </c>
      <c r="K648">
        <v>899</v>
      </c>
      <c r="L648">
        <f>Table1[[#This Row],[Quantity]] * Table1[[#This Row],[UnitPrice]]</f>
        <v>1798</v>
      </c>
      <c r="M648" s="25">
        <v>5</v>
      </c>
      <c r="N648">
        <f>Table1[[#This Row],[Revenue]]*Table1[[#This Row],[Discount%]]/100</f>
        <v>89.9</v>
      </c>
      <c r="O648" s="6">
        <f>Table1[[#This Row],[Revenue]]-Table1[[#This Row],[Disc_amount]]</f>
        <v>1708.1</v>
      </c>
      <c r="P648" t="s">
        <v>26</v>
      </c>
      <c r="Q648" t="s">
        <v>27</v>
      </c>
    </row>
    <row r="649" spans="1:17">
      <c r="A649" t="s">
        <v>1267</v>
      </c>
      <c r="B649" s="1" t="s">
        <v>1268</v>
      </c>
      <c r="C649" s="1" t="s">
        <v>1143</v>
      </c>
      <c r="D649" s="1" t="s">
        <v>20</v>
      </c>
      <c r="E649" t="s">
        <v>49</v>
      </c>
      <c r="F649" t="s">
        <v>50</v>
      </c>
      <c r="G649" t="s">
        <v>45</v>
      </c>
      <c r="H649" t="s">
        <v>57</v>
      </c>
      <c r="I649" t="s">
        <v>62</v>
      </c>
      <c r="J649">
        <v>1</v>
      </c>
      <c r="K649">
        <v>799</v>
      </c>
      <c r="L649">
        <f>Table1[[#This Row],[Quantity]] * Table1[[#This Row],[UnitPrice]]</f>
        <v>799</v>
      </c>
      <c r="M649" s="25">
        <v>5</v>
      </c>
      <c r="N649">
        <f>Table1[[#This Row],[Revenue]]*Table1[[#This Row],[Discount%]]/100</f>
        <v>39.950000000000003</v>
      </c>
      <c r="O649" s="6">
        <f>Table1[[#This Row],[Revenue]]-Table1[[#This Row],[Disc_amount]]</f>
        <v>759.05</v>
      </c>
      <c r="P649" t="s">
        <v>33</v>
      </c>
      <c r="Q649" t="s">
        <v>27</v>
      </c>
    </row>
    <row r="650" spans="1:17">
      <c r="A650" t="s">
        <v>1269</v>
      </c>
      <c r="B650" s="1" t="s">
        <v>1268</v>
      </c>
      <c r="C650" s="1" t="s">
        <v>1143</v>
      </c>
      <c r="D650" s="1" t="s">
        <v>20</v>
      </c>
      <c r="E650" t="s">
        <v>1270</v>
      </c>
      <c r="F650" t="s">
        <v>90</v>
      </c>
      <c r="G650" t="s">
        <v>31</v>
      </c>
      <c r="H650" t="s">
        <v>70</v>
      </c>
      <c r="I650" t="s">
        <v>91</v>
      </c>
      <c r="J650">
        <v>2</v>
      </c>
      <c r="K650">
        <v>549</v>
      </c>
      <c r="L650">
        <f>Table1[[#This Row],[Quantity]] * Table1[[#This Row],[UnitPrice]]</f>
        <v>1098</v>
      </c>
      <c r="M650" s="25">
        <v>10</v>
      </c>
      <c r="N650">
        <f>Table1[[#This Row],[Revenue]]*Table1[[#This Row],[Discount%]]/100</f>
        <v>109.8</v>
      </c>
      <c r="O650" s="6">
        <f>Table1[[#This Row],[Revenue]]-Table1[[#This Row],[Disc_amount]]</f>
        <v>988.2</v>
      </c>
      <c r="P650" t="s">
        <v>41</v>
      </c>
      <c r="Q650" t="s">
        <v>34</v>
      </c>
    </row>
    <row r="651" spans="1:17">
      <c r="A651" t="s">
        <v>1271</v>
      </c>
      <c r="B651" s="1" t="s">
        <v>1268</v>
      </c>
      <c r="C651" s="1" t="s">
        <v>1143</v>
      </c>
      <c r="D651" s="1" t="s">
        <v>20</v>
      </c>
      <c r="E651" t="s">
        <v>264</v>
      </c>
      <c r="F651" t="s">
        <v>265</v>
      </c>
      <c r="G651" t="s">
        <v>56</v>
      </c>
      <c r="H651" t="s">
        <v>65</v>
      </c>
      <c r="I651" t="s">
        <v>94</v>
      </c>
      <c r="J651">
        <v>1</v>
      </c>
      <c r="K651">
        <v>899</v>
      </c>
      <c r="L651">
        <f>Table1[[#This Row],[Quantity]] * Table1[[#This Row],[UnitPrice]]</f>
        <v>899</v>
      </c>
      <c r="M651" s="25">
        <v>10</v>
      </c>
      <c r="N651">
        <f>Table1[[#This Row],[Revenue]]*Table1[[#This Row],[Discount%]]/100</f>
        <v>89.9</v>
      </c>
      <c r="O651" s="6">
        <f>Table1[[#This Row],[Revenue]]-Table1[[#This Row],[Disc_amount]]</f>
        <v>809.1</v>
      </c>
      <c r="P651" t="s">
        <v>26</v>
      </c>
      <c r="Q651" t="s">
        <v>27</v>
      </c>
    </row>
    <row r="652" spans="1:17">
      <c r="A652" t="s">
        <v>1272</v>
      </c>
      <c r="B652" s="1" t="s">
        <v>1268</v>
      </c>
      <c r="C652" s="1" t="s">
        <v>1143</v>
      </c>
      <c r="D652" s="1" t="s">
        <v>20</v>
      </c>
      <c r="E652" t="s">
        <v>674</v>
      </c>
      <c r="F652" t="s">
        <v>675</v>
      </c>
      <c r="G652" t="s">
        <v>23</v>
      </c>
      <c r="H652" t="s">
        <v>46</v>
      </c>
      <c r="I652" t="s">
        <v>47</v>
      </c>
      <c r="J652">
        <v>2</v>
      </c>
      <c r="K652">
        <v>249</v>
      </c>
      <c r="L652">
        <f>Table1[[#This Row],[Quantity]] * Table1[[#This Row],[UnitPrice]]</f>
        <v>498</v>
      </c>
      <c r="M652" s="25">
        <v>5</v>
      </c>
      <c r="N652">
        <f>Table1[[#This Row],[Revenue]]*Table1[[#This Row],[Discount%]]/100</f>
        <v>24.9</v>
      </c>
      <c r="O652" s="6">
        <f>Table1[[#This Row],[Revenue]]-Table1[[#This Row],[Disc_amount]]</f>
        <v>473.1</v>
      </c>
      <c r="P652" t="s">
        <v>41</v>
      </c>
      <c r="Q652" t="s">
        <v>27</v>
      </c>
    </row>
    <row r="653" spans="1:17">
      <c r="A653" t="s">
        <v>1273</v>
      </c>
      <c r="B653" s="1" t="s">
        <v>1274</v>
      </c>
      <c r="C653" s="1" t="s">
        <v>1143</v>
      </c>
      <c r="D653" s="1" t="s">
        <v>20</v>
      </c>
      <c r="E653" t="s">
        <v>616</v>
      </c>
      <c r="F653" t="s">
        <v>617</v>
      </c>
      <c r="G653" t="s">
        <v>23</v>
      </c>
      <c r="H653" t="s">
        <v>70</v>
      </c>
      <c r="I653" t="s">
        <v>91</v>
      </c>
      <c r="J653">
        <v>1</v>
      </c>
      <c r="K653">
        <v>549</v>
      </c>
      <c r="L653">
        <f>Table1[[#This Row],[Quantity]] * Table1[[#This Row],[UnitPrice]]</f>
        <v>549</v>
      </c>
      <c r="M653" s="25">
        <v>15</v>
      </c>
      <c r="N653">
        <f>Table1[[#This Row],[Revenue]]*Table1[[#This Row],[Discount%]]/100</f>
        <v>82.35</v>
      </c>
      <c r="O653" s="6">
        <f>Table1[[#This Row],[Revenue]]-Table1[[#This Row],[Disc_amount]]</f>
        <v>466.65</v>
      </c>
      <c r="P653" t="s">
        <v>33</v>
      </c>
      <c r="Q653" t="s">
        <v>27</v>
      </c>
    </row>
    <row r="654" spans="1:17">
      <c r="A654" t="s">
        <v>1275</v>
      </c>
      <c r="B654" s="1" t="s">
        <v>1274</v>
      </c>
      <c r="C654" s="1" t="s">
        <v>1143</v>
      </c>
      <c r="D654" s="1" t="s">
        <v>20</v>
      </c>
      <c r="E654" t="s">
        <v>1276</v>
      </c>
      <c r="F654" t="s">
        <v>115</v>
      </c>
      <c r="G654" t="s">
        <v>23</v>
      </c>
      <c r="H654" t="s">
        <v>70</v>
      </c>
      <c r="I654" t="s">
        <v>91</v>
      </c>
      <c r="J654">
        <v>4</v>
      </c>
      <c r="K654">
        <v>549</v>
      </c>
      <c r="L654">
        <f>Table1[[#This Row],[Quantity]] * Table1[[#This Row],[UnitPrice]]</f>
        <v>2196</v>
      </c>
      <c r="M654" s="25">
        <v>15</v>
      </c>
      <c r="N654">
        <f>Table1[[#This Row],[Revenue]]*Table1[[#This Row],[Discount%]]/100</f>
        <v>329.4</v>
      </c>
      <c r="O654" s="6">
        <f>Table1[[#This Row],[Revenue]]-Table1[[#This Row],[Disc_amount]]</f>
        <v>1866.6</v>
      </c>
      <c r="P654" t="s">
        <v>26</v>
      </c>
      <c r="Q654" t="s">
        <v>34</v>
      </c>
    </row>
    <row r="655" spans="1:17">
      <c r="A655" t="s">
        <v>1277</v>
      </c>
      <c r="B655" s="1" t="s">
        <v>1278</v>
      </c>
      <c r="C655" s="1" t="s">
        <v>1143</v>
      </c>
      <c r="D655" s="1" t="s">
        <v>20</v>
      </c>
      <c r="E655" t="s">
        <v>1279</v>
      </c>
      <c r="F655" t="s">
        <v>355</v>
      </c>
      <c r="G655" t="s">
        <v>31</v>
      </c>
      <c r="H655" t="s">
        <v>65</v>
      </c>
      <c r="I655" t="s">
        <v>94</v>
      </c>
      <c r="J655">
        <v>4</v>
      </c>
      <c r="K655">
        <v>899</v>
      </c>
      <c r="L655">
        <f>Table1[[#This Row],[Quantity]] * Table1[[#This Row],[UnitPrice]]</f>
        <v>3596</v>
      </c>
      <c r="M655" s="25">
        <v>0</v>
      </c>
      <c r="N655">
        <f>Table1[[#This Row],[Revenue]]*Table1[[#This Row],[Discount%]]/100</f>
        <v>0</v>
      </c>
      <c r="O655" s="6">
        <f>Table1[[#This Row],[Revenue]]-Table1[[#This Row],[Disc_amount]]</f>
        <v>3596</v>
      </c>
      <c r="P655" t="s">
        <v>33</v>
      </c>
      <c r="Q655" t="s">
        <v>27</v>
      </c>
    </row>
    <row r="656" spans="1:17">
      <c r="A656" t="s">
        <v>1280</v>
      </c>
      <c r="B656" s="1" t="s">
        <v>1278</v>
      </c>
      <c r="C656" s="1" t="s">
        <v>1143</v>
      </c>
      <c r="D656" s="1" t="s">
        <v>20</v>
      </c>
      <c r="E656" t="s">
        <v>904</v>
      </c>
      <c r="F656" t="s">
        <v>191</v>
      </c>
      <c r="G656" t="s">
        <v>38</v>
      </c>
      <c r="H656" t="s">
        <v>65</v>
      </c>
      <c r="I656" t="s">
        <v>98</v>
      </c>
      <c r="J656">
        <v>2</v>
      </c>
      <c r="K656">
        <v>499</v>
      </c>
      <c r="L656">
        <f>Table1[[#This Row],[Quantity]] * Table1[[#This Row],[UnitPrice]]</f>
        <v>998</v>
      </c>
      <c r="M656" s="25">
        <v>5</v>
      </c>
      <c r="N656">
        <f>Table1[[#This Row],[Revenue]]*Table1[[#This Row],[Discount%]]/100</f>
        <v>49.9</v>
      </c>
      <c r="O656" s="6">
        <f>Table1[[#This Row],[Revenue]]-Table1[[#This Row],[Disc_amount]]</f>
        <v>948.1</v>
      </c>
      <c r="P656" t="s">
        <v>26</v>
      </c>
      <c r="Q656" t="s">
        <v>34</v>
      </c>
    </row>
    <row r="657" spans="1:17">
      <c r="A657" t="s">
        <v>1281</v>
      </c>
      <c r="B657" s="1" t="s">
        <v>1278</v>
      </c>
      <c r="C657" s="1" t="s">
        <v>1143</v>
      </c>
      <c r="D657" s="1" t="s">
        <v>20</v>
      </c>
      <c r="E657" t="s">
        <v>418</v>
      </c>
      <c r="F657" t="s">
        <v>147</v>
      </c>
      <c r="G657" t="s">
        <v>31</v>
      </c>
      <c r="H657" t="s">
        <v>108</v>
      </c>
      <c r="I657" t="s">
        <v>130</v>
      </c>
      <c r="J657">
        <v>3</v>
      </c>
      <c r="K657">
        <v>699</v>
      </c>
      <c r="L657">
        <f>Table1[[#This Row],[Quantity]] * Table1[[#This Row],[UnitPrice]]</f>
        <v>2097</v>
      </c>
      <c r="M657" s="25">
        <v>5</v>
      </c>
      <c r="N657">
        <f>Table1[[#This Row],[Revenue]]*Table1[[#This Row],[Discount%]]/100</f>
        <v>104.85</v>
      </c>
      <c r="O657" s="6">
        <f>Table1[[#This Row],[Revenue]]-Table1[[#This Row],[Disc_amount]]</f>
        <v>1992.15</v>
      </c>
      <c r="P657" t="s">
        <v>86</v>
      </c>
      <c r="Q657" t="s">
        <v>27</v>
      </c>
    </row>
    <row r="658" spans="1:17">
      <c r="A658" t="s">
        <v>1282</v>
      </c>
      <c r="B658" s="1" t="s">
        <v>1278</v>
      </c>
      <c r="C658" s="1" t="s">
        <v>1143</v>
      </c>
      <c r="D658" s="1" t="s">
        <v>20</v>
      </c>
      <c r="E658" t="s">
        <v>357</v>
      </c>
      <c r="F658" t="s">
        <v>358</v>
      </c>
      <c r="G658" t="s">
        <v>38</v>
      </c>
      <c r="H658" t="s">
        <v>70</v>
      </c>
      <c r="I658" t="s">
        <v>91</v>
      </c>
      <c r="J658">
        <v>1</v>
      </c>
      <c r="K658">
        <v>549</v>
      </c>
      <c r="L658">
        <f>Table1[[#This Row],[Quantity]] * Table1[[#This Row],[UnitPrice]]</f>
        <v>549</v>
      </c>
      <c r="M658" s="25">
        <v>20</v>
      </c>
      <c r="N658">
        <f>Table1[[#This Row],[Revenue]]*Table1[[#This Row],[Discount%]]/100</f>
        <v>109.8</v>
      </c>
      <c r="O658" s="6">
        <f>Table1[[#This Row],[Revenue]]-Table1[[#This Row],[Disc_amount]]</f>
        <v>439.2</v>
      </c>
      <c r="P658" t="s">
        <v>41</v>
      </c>
      <c r="Q658" t="s">
        <v>27</v>
      </c>
    </row>
    <row r="659" spans="1:17">
      <c r="A659" t="s">
        <v>1283</v>
      </c>
      <c r="B659" s="1" t="s">
        <v>1278</v>
      </c>
      <c r="C659" s="1" t="s">
        <v>1143</v>
      </c>
      <c r="D659" s="1" t="s">
        <v>20</v>
      </c>
      <c r="E659" t="s">
        <v>867</v>
      </c>
      <c r="F659" t="s">
        <v>617</v>
      </c>
      <c r="G659" t="s">
        <v>38</v>
      </c>
      <c r="H659" t="s">
        <v>108</v>
      </c>
      <c r="I659" t="s">
        <v>109</v>
      </c>
      <c r="J659">
        <v>1</v>
      </c>
      <c r="K659">
        <v>1499</v>
      </c>
      <c r="L659">
        <f>Table1[[#This Row],[Quantity]] * Table1[[#This Row],[UnitPrice]]</f>
        <v>1499</v>
      </c>
      <c r="M659" s="25">
        <v>0</v>
      </c>
      <c r="N659">
        <f>Table1[[#This Row],[Revenue]]*Table1[[#This Row],[Discount%]]/100</f>
        <v>0</v>
      </c>
      <c r="O659" s="6">
        <f>Table1[[#This Row],[Revenue]]-Table1[[#This Row],[Disc_amount]]</f>
        <v>1499</v>
      </c>
      <c r="P659" t="s">
        <v>33</v>
      </c>
      <c r="Q659" t="s">
        <v>34</v>
      </c>
    </row>
    <row r="660" spans="1:17">
      <c r="A660" t="s">
        <v>1284</v>
      </c>
      <c r="B660" s="1" t="s">
        <v>1278</v>
      </c>
      <c r="C660" s="1" t="s">
        <v>1143</v>
      </c>
      <c r="D660" s="1" t="s">
        <v>20</v>
      </c>
      <c r="E660" t="s">
        <v>392</v>
      </c>
      <c r="F660" t="s">
        <v>236</v>
      </c>
      <c r="G660" t="s">
        <v>23</v>
      </c>
      <c r="H660" t="s">
        <v>70</v>
      </c>
      <c r="I660" t="s">
        <v>71</v>
      </c>
      <c r="J660">
        <v>2</v>
      </c>
      <c r="K660">
        <v>349</v>
      </c>
      <c r="L660">
        <f>Table1[[#This Row],[Quantity]] * Table1[[#This Row],[UnitPrice]]</f>
        <v>698</v>
      </c>
      <c r="M660" s="25">
        <v>0</v>
      </c>
      <c r="N660">
        <f>Table1[[#This Row],[Revenue]]*Table1[[#This Row],[Discount%]]/100</f>
        <v>0</v>
      </c>
      <c r="O660" s="6">
        <f>Table1[[#This Row],[Revenue]]-Table1[[#This Row],[Disc_amount]]</f>
        <v>698</v>
      </c>
      <c r="P660" t="s">
        <v>33</v>
      </c>
      <c r="Q660" t="s">
        <v>27</v>
      </c>
    </row>
    <row r="661" spans="1:17">
      <c r="A661" t="s">
        <v>1285</v>
      </c>
      <c r="B661" s="1" t="s">
        <v>1286</v>
      </c>
      <c r="C661" s="1" t="s">
        <v>1143</v>
      </c>
      <c r="D661" s="1" t="s">
        <v>20</v>
      </c>
      <c r="E661" t="s">
        <v>612</v>
      </c>
      <c r="F661" t="s">
        <v>613</v>
      </c>
      <c r="G661" t="s">
        <v>45</v>
      </c>
      <c r="H661" t="s">
        <v>57</v>
      </c>
      <c r="I661" t="s">
        <v>62</v>
      </c>
      <c r="J661">
        <v>2</v>
      </c>
      <c r="K661">
        <v>799</v>
      </c>
      <c r="L661">
        <f>Table1[[#This Row],[Quantity]] * Table1[[#This Row],[UnitPrice]]</f>
        <v>1598</v>
      </c>
      <c r="M661" s="25">
        <v>0</v>
      </c>
      <c r="N661">
        <f>Table1[[#This Row],[Revenue]]*Table1[[#This Row],[Discount%]]/100</f>
        <v>0</v>
      </c>
      <c r="O661" s="6">
        <f>Table1[[#This Row],[Revenue]]-Table1[[#This Row],[Disc_amount]]</f>
        <v>1598</v>
      </c>
      <c r="P661" t="s">
        <v>41</v>
      </c>
      <c r="Q661" t="s">
        <v>27</v>
      </c>
    </row>
    <row r="662" spans="1:17">
      <c r="A662" t="s">
        <v>1287</v>
      </c>
      <c r="B662" s="1" t="s">
        <v>1286</v>
      </c>
      <c r="C662" s="1" t="s">
        <v>1143</v>
      </c>
      <c r="D662" s="1" t="s">
        <v>20</v>
      </c>
      <c r="E662" t="s">
        <v>977</v>
      </c>
      <c r="F662" t="s">
        <v>209</v>
      </c>
      <c r="G662" t="s">
        <v>38</v>
      </c>
      <c r="H662" t="s">
        <v>39</v>
      </c>
      <c r="I662" t="s">
        <v>140</v>
      </c>
      <c r="J662">
        <v>1</v>
      </c>
      <c r="K662">
        <v>1799</v>
      </c>
      <c r="L662">
        <f>Table1[[#This Row],[Quantity]] * Table1[[#This Row],[UnitPrice]]</f>
        <v>1799</v>
      </c>
      <c r="M662" s="25">
        <v>0</v>
      </c>
      <c r="N662">
        <f>Table1[[#This Row],[Revenue]]*Table1[[#This Row],[Discount%]]/100</f>
        <v>0</v>
      </c>
      <c r="O662" s="6">
        <f>Table1[[#This Row],[Revenue]]-Table1[[#This Row],[Disc_amount]]</f>
        <v>1799</v>
      </c>
      <c r="P662" t="s">
        <v>33</v>
      </c>
      <c r="Q662" t="s">
        <v>27</v>
      </c>
    </row>
    <row r="663" spans="1:17">
      <c r="A663" t="s">
        <v>1288</v>
      </c>
      <c r="B663" s="1" t="s">
        <v>1286</v>
      </c>
      <c r="C663" s="1" t="s">
        <v>1143</v>
      </c>
      <c r="D663" s="1" t="s">
        <v>20</v>
      </c>
      <c r="E663" t="s">
        <v>1289</v>
      </c>
      <c r="F663" t="s">
        <v>759</v>
      </c>
      <c r="G663" t="s">
        <v>23</v>
      </c>
      <c r="H663" t="s">
        <v>70</v>
      </c>
      <c r="I663" t="s">
        <v>71</v>
      </c>
      <c r="J663">
        <v>2</v>
      </c>
      <c r="K663">
        <v>349</v>
      </c>
      <c r="L663">
        <f>Table1[[#This Row],[Quantity]] * Table1[[#This Row],[UnitPrice]]</f>
        <v>698</v>
      </c>
      <c r="M663" s="25">
        <v>10</v>
      </c>
      <c r="N663">
        <f>Table1[[#This Row],[Revenue]]*Table1[[#This Row],[Discount%]]/100</f>
        <v>69.8</v>
      </c>
      <c r="O663" s="6">
        <f>Table1[[#This Row],[Revenue]]-Table1[[#This Row],[Disc_amount]]</f>
        <v>628.20000000000005</v>
      </c>
      <c r="P663" t="s">
        <v>33</v>
      </c>
      <c r="Q663" t="s">
        <v>34</v>
      </c>
    </row>
    <row r="664" spans="1:17">
      <c r="A664" t="s">
        <v>1290</v>
      </c>
      <c r="B664" s="1" t="s">
        <v>1286</v>
      </c>
      <c r="C664" s="1" t="s">
        <v>1143</v>
      </c>
      <c r="D664" s="1" t="s">
        <v>20</v>
      </c>
      <c r="E664" t="s">
        <v>1291</v>
      </c>
      <c r="F664" t="s">
        <v>1292</v>
      </c>
      <c r="G664" t="s">
        <v>23</v>
      </c>
      <c r="H664" t="s">
        <v>70</v>
      </c>
      <c r="I664" t="s">
        <v>91</v>
      </c>
      <c r="J664">
        <v>2</v>
      </c>
      <c r="K664">
        <v>549</v>
      </c>
      <c r="L664">
        <f>Table1[[#This Row],[Quantity]] * Table1[[#This Row],[UnitPrice]]</f>
        <v>1098</v>
      </c>
      <c r="M664" s="25">
        <v>0</v>
      </c>
      <c r="N664">
        <f>Table1[[#This Row],[Revenue]]*Table1[[#This Row],[Discount%]]/100</f>
        <v>0</v>
      </c>
      <c r="O664" s="6">
        <f>Table1[[#This Row],[Revenue]]-Table1[[#This Row],[Disc_amount]]</f>
        <v>1098</v>
      </c>
      <c r="P664" t="s">
        <v>26</v>
      </c>
      <c r="Q664" t="s">
        <v>34</v>
      </c>
    </row>
    <row r="665" spans="1:17">
      <c r="A665" t="s">
        <v>1293</v>
      </c>
      <c r="B665" s="1" t="s">
        <v>1286</v>
      </c>
      <c r="C665" s="1" t="s">
        <v>1143</v>
      </c>
      <c r="D665" s="1" t="s">
        <v>20</v>
      </c>
      <c r="E665" t="s">
        <v>76</v>
      </c>
      <c r="F665" t="s">
        <v>77</v>
      </c>
      <c r="G665" t="s">
        <v>23</v>
      </c>
      <c r="H665" t="s">
        <v>70</v>
      </c>
      <c r="I665" t="s">
        <v>91</v>
      </c>
      <c r="J665">
        <v>1</v>
      </c>
      <c r="K665">
        <v>549</v>
      </c>
      <c r="L665">
        <f>Table1[[#This Row],[Quantity]] * Table1[[#This Row],[UnitPrice]]</f>
        <v>549</v>
      </c>
      <c r="M665" s="25">
        <v>20</v>
      </c>
      <c r="N665">
        <f>Table1[[#This Row],[Revenue]]*Table1[[#This Row],[Discount%]]/100</f>
        <v>109.8</v>
      </c>
      <c r="O665" s="6">
        <f>Table1[[#This Row],[Revenue]]-Table1[[#This Row],[Disc_amount]]</f>
        <v>439.2</v>
      </c>
      <c r="P665" t="s">
        <v>52</v>
      </c>
      <c r="Q665" t="s">
        <v>27</v>
      </c>
    </row>
    <row r="666" spans="1:17">
      <c r="A666" t="s">
        <v>1294</v>
      </c>
      <c r="B666" s="1" t="s">
        <v>1286</v>
      </c>
      <c r="C666" s="1" t="s">
        <v>1143</v>
      </c>
      <c r="D666" s="1" t="s">
        <v>20</v>
      </c>
      <c r="E666" t="s">
        <v>360</v>
      </c>
      <c r="F666" t="s">
        <v>123</v>
      </c>
      <c r="G666" t="s">
        <v>38</v>
      </c>
      <c r="H666" t="s">
        <v>70</v>
      </c>
      <c r="I666" t="s">
        <v>91</v>
      </c>
      <c r="J666">
        <v>4</v>
      </c>
      <c r="K666">
        <v>549</v>
      </c>
      <c r="L666">
        <f>Table1[[#This Row],[Quantity]] * Table1[[#This Row],[UnitPrice]]</f>
        <v>2196</v>
      </c>
      <c r="M666" s="25">
        <v>10</v>
      </c>
      <c r="N666">
        <f>Table1[[#This Row],[Revenue]]*Table1[[#This Row],[Discount%]]/100</f>
        <v>219.6</v>
      </c>
      <c r="O666" s="6">
        <f>Table1[[#This Row],[Revenue]]-Table1[[#This Row],[Disc_amount]]</f>
        <v>1976.4</v>
      </c>
      <c r="P666" t="s">
        <v>33</v>
      </c>
      <c r="Q666" t="s">
        <v>27</v>
      </c>
    </row>
    <row r="667" spans="1:17">
      <c r="A667" t="s">
        <v>1295</v>
      </c>
      <c r="B667" s="1" t="s">
        <v>1286</v>
      </c>
      <c r="C667" s="1" t="s">
        <v>1143</v>
      </c>
      <c r="D667" s="1" t="s">
        <v>20</v>
      </c>
      <c r="E667" t="s">
        <v>294</v>
      </c>
      <c r="F667" t="s">
        <v>295</v>
      </c>
      <c r="G667" t="s">
        <v>45</v>
      </c>
      <c r="H667" t="s">
        <v>70</v>
      </c>
      <c r="I667" t="s">
        <v>71</v>
      </c>
      <c r="J667">
        <v>1</v>
      </c>
      <c r="K667">
        <v>349</v>
      </c>
      <c r="L667">
        <f>Table1[[#This Row],[Quantity]] * Table1[[#This Row],[UnitPrice]]</f>
        <v>349</v>
      </c>
      <c r="M667" s="25">
        <v>5</v>
      </c>
      <c r="N667">
        <f>Table1[[#This Row],[Revenue]]*Table1[[#This Row],[Discount%]]/100</f>
        <v>17.45</v>
      </c>
      <c r="O667" s="6">
        <f>Table1[[#This Row],[Revenue]]-Table1[[#This Row],[Disc_amount]]</f>
        <v>331.55</v>
      </c>
      <c r="P667" t="s">
        <v>33</v>
      </c>
      <c r="Q667" t="s">
        <v>27</v>
      </c>
    </row>
    <row r="668" spans="1:17">
      <c r="A668" t="s">
        <v>1296</v>
      </c>
      <c r="B668" s="1" t="s">
        <v>1286</v>
      </c>
      <c r="C668" s="1" t="s">
        <v>1143</v>
      </c>
      <c r="D668" s="1" t="s">
        <v>20</v>
      </c>
      <c r="E668" t="s">
        <v>1279</v>
      </c>
      <c r="F668" t="s">
        <v>355</v>
      </c>
      <c r="G668" t="s">
        <v>45</v>
      </c>
      <c r="H668" t="s">
        <v>57</v>
      </c>
      <c r="I668" t="s">
        <v>58</v>
      </c>
      <c r="J668">
        <v>1</v>
      </c>
      <c r="K668">
        <v>1299</v>
      </c>
      <c r="L668">
        <f>Table1[[#This Row],[Quantity]] * Table1[[#This Row],[UnitPrice]]</f>
        <v>1299</v>
      </c>
      <c r="M668" s="25">
        <v>20</v>
      </c>
      <c r="N668">
        <f>Table1[[#This Row],[Revenue]]*Table1[[#This Row],[Discount%]]/100</f>
        <v>259.8</v>
      </c>
      <c r="O668" s="6">
        <f>Table1[[#This Row],[Revenue]]-Table1[[#This Row],[Disc_amount]]</f>
        <v>1039.2</v>
      </c>
      <c r="P668" t="s">
        <v>26</v>
      </c>
      <c r="Q668" t="s">
        <v>34</v>
      </c>
    </row>
    <row r="669" spans="1:17">
      <c r="A669" t="s">
        <v>1297</v>
      </c>
      <c r="B669" s="1" t="s">
        <v>1286</v>
      </c>
      <c r="C669" s="1" t="s">
        <v>1143</v>
      </c>
      <c r="D669" s="1" t="s">
        <v>20</v>
      </c>
      <c r="E669" t="s">
        <v>1298</v>
      </c>
      <c r="F669" t="s">
        <v>384</v>
      </c>
      <c r="G669" t="s">
        <v>38</v>
      </c>
      <c r="H669" t="s">
        <v>70</v>
      </c>
      <c r="I669" t="s">
        <v>91</v>
      </c>
      <c r="J669">
        <v>1</v>
      </c>
      <c r="K669">
        <v>549</v>
      </c>
      <c r="L669">
        <f>Table1[[#This Row],[Quantity]] * Table1[[#This Row],[UnitPrice]]</f>
        <v>549</v>
      </c>
      <c r="M669" s="25">
        <v>0</v>
      </c>
      <c r="N669">
        <f>Table1[[#This Row],[Revenue]]*Table1[[#This Row],[Discount%]]/100</f>
        <v>0</v>
      </c>
      <c r="O669" s="6">
        <f>Table1[[#This Row],[Revenue]]-Table1[[#This Row],[Disc_amount]]</f>
        <v>549</v>
      </c>
      <c r="P669" t="s">
        <v>41</v>
      </c>
      <c r="Q669" t="s">
        <v>27</v>
      </c>
    </row>
    <row r="670" spans="1:17">
      <c r="A670" t="s">
        <v>1299</v>
      </c>
      <c r="B670" s="1" t="s">
        <v>1300</v>
      </c>
      <c r="C670" s="1" t="s">
        <v>1143</v>
      </c>
      <c r="D670" s="1" t="s">
        <v>20</v>
      </c>
      <c r="E670" t="s">
        <v>541</v>
      </c>
      <c r="F670" t="s">
        <v>314</v>
      </c>
      <c r="G670" t="s">
        <v>45</v>
      </c>
      <c r="H670" t="s">
        <v>65</v>
      </c>
      <c r="I670" t="s">
        <v>94</v>
      </c>
      <c r="J670">
        <v>2</v>
      </c>
      <c r="K670">
        <v>899</v>
      </c>
      <c r="L670">
        <f>Table1[[#This Row],[Quantity]] * Table1[[#This Row],[UnitPrice]]</f>
        <v>1798</v>
      </c>
      <c r="M670" s="25">
        <v>20</v>
      </c>
      <c r="N670">
        <f>Table1[[#This Row],[Revenue]]*Table1[[#This Row],[Discount%]]/100</f>
        <v>359.6</v>
      </c>
      <c r="O670" s="6">
        <f>Table1[[#This Row],[Revenue]]-Table1[[#This Row],[Disc_amount]]</f>
        <v>1438.4</v>
      </c>
      <c r="P670" t="s">
        <v>52</v>
      </c>
      <c r="Q670" t="s">
        <v>27</v>
      </c>
    </row>
    <row r="671" spans="1:17">
      <c r="A671" t="s">
        <v>1301</v>
      </c>
      <c r="B671" s="1" t="s">
        <v>1300</v>
      </c>
      <c r="C671" s="1" t="s">
        <v>1143</v>
      </c>
      <c r="D671" s="1" t="s">
        <v>20</v>
      </c>
      <c r="E671" t="s">
        <v>347</v>
      </c>
      <c r="F671" t="s">
        <v>348</v>
      </c>
      <c r="G671" t="s">
        <v>31</v>
      </c>
      <c r="H671" t="s">
        <v>46</v>
      </c>
      <c r="I671" t="s">
        <v>154</v>
      </c>
      <c r="J671">
        <v>2</v>
      </c>
      <c r="K671">
        <v>299</v>
      </c>
      <c r="L671">
        <f>Table1[[#This Row],[Quantity]] * Table1[[#This Row],[UnitPrice]]</f>
        <v>598</v>
      </c>
      <c r="M671" s="25">
        <v>5</v>
      </c>
      <c r="N671">
        <f>Table1[[#This Row],[Revenue]]*Table1[[#This Row],[Discount%]]/100</f>
        <v>29.9</v>
      </c>
      <c r="O671" s="6">
        <f>Table1[[#This Row],[Revenue]]-Table1[[#This Row],[Disc_amount]]</f>
        <v>568.1</v>
      </c>
      <c r="P671" t="s">
        <v>41</v>
      </c>
      <c r="Q671" t="s">
        <v>27</v>
      </c>
    </row>
    <row r="672" spans="1:17">
      <c r="A672" t="s">
        <v>1302</v>
      </c>
      <c r="B672" s="1" t="s">
        <v>1300</v>
      </c>
      <c r="C672" s="1" t="s">
        <v>1143</v>
      </c>
      <c r="D672" s="1" t="s">
        <v>20</v>
      </c>
      <c r="E672" t="s">
        <v>267</v>
      </c>
      <c r="F672" t="s">
        <v>268</v>
      </c>
      <c r="G672" t="s">
        <v>38</v>
      </c>
      <c r="H672" t="s">
        <v>39</v>
      </c>
      <c r="I672" t="s">
        <v>51</v>
      </c>
      <c r="J672">
        <v>2</v>
      </c>
      <c r="K672">
        <v>2999</v>
      </c>
      <c r="L672">
        <f>Table1[[#This Row],[Quantity]] * Table1[[#This Row],[UnitPrice]]</f>
        <v>5998</v>
      </c>
      <c r="M672" s="25">
        <v>0</v>
      </c>
      <c r="N672">
        <f>Table1[[#This Row],[Revenue]]*Table1[[#This Row],[Discount%]]/100</f>
        <v>0</v>
      </c>
      <c r="O672" s="6">
        <f>Table1[[#This Row],[Revenue]]-Table1[[#This Row],[Disc_amount]]</f>
        <v>5998</v>
      </c>
      <c r="P672" t="s">
        <v>33</v>
      </c>
      <c r="Q672" t="s">
        <v>27</v>
      </c>
    </row>
    <row r="673" spans="1:17">
      <c r="A673" t="s">
        <v>1303</v>
      </c>
      <c r="B673" s="1" t="s">
        <v>1300</v>
      </c>
      <c r="C673" s="1" t="s">
        <v>1143</v>
      </c>
      <c r="D673" s="1" t="s">
        <v>20</v>
      </c>
      <c r="E673" t="s">
        <v>215</v>
      </c>
      <c r="F673" t="s">
        <v>90</v>
      </c>
      <c r="G673" t="s">
        <v>56</v>
      </c>
      <c r="H673" t="s">
        <v>65</v>
      </c>
      <c r="I673" t="s">
        <v>94</v>
      </c>
      <c r="J673">
        <v>2</v>
      </c>
      <c r="K673">
        <v>899</v>
      </c>
      <c r="L673">
        <f>Table1[[#This Row],[Quantity]] * Table1[[#This Row],[UnitPrice]]</f>
        <v>1798</v>
      </c>
      <c r="M673" s="25">
        <v>0</v>
      </c>
      <c r="N673">
        <f>Table1[[#This Row],[Revenue]]*Table1[[#This Row],[Discount%]]/100</f>
        <v>0</v>
      </c>
      <c r="O673" s="6">
        <f>Table1[[#This Row],[Revenue]]-Table1[[#This Row],[Disc_amount]]</f>
        <v>1798</v>
      </c>
      <c r="P673" t="s">
        <v>26</v>
      </c>
      <c r="Q673" t="s">
        <v>27</v>
      </c>
    </row>
    <row r="674" spans="1:17">
      <c r="A674" t="s">
        <v>1304</v>
      </c>
      <c r="B674" s="1" t="s">
        <v>1305</v>
      </c>
      <c r="C674" s="1" t="s">
        <v>1143</v>
      </c>
      <c r="D674" s="1" t="s">
        <v>20</v>
      </c>
      <c r="E674" t="s">
        <v>832</v>
      </c>
      <c r="F674" t="s">
        <v>166</v>
      </c>
      <c r="G674" t="s">
        <v>23</v>
      </c>
      <c r="H674" t="s">
        <v>108</v>
      </c>
      <c r="I674" t="s">
        <v>109</v>
      </c>
      <c r="J674">
        <v>1</v>
      </c>
      <c r="K674">
        <v>1499</v>
      </c>
      <c r="L674">
        <f>Table1[[#This Row],[Quantity]] * Table1[[#This Row],[UnitPrice]]</f>
        <v>1499</v>
      </c>
      <c r="M674" s="25">
        <v>0</v>
      </c>
      <c r="N674">
        <f>Table1[[#This Row],[Revenue]]*Table1[[#This Row],[Discount%]]/100</f>
        <v>0</v>
      </c>
      <c r="O674" s="6">
        <f>Table1[[#This Row],[Revenue]]-Table1[[#This Row],[Disc_amount]]</f>
        <v>1499</v>
      </c>
      <c r="P674" t="s">
        <v>86</v>
      </c>
      <c r="Q674" t="s">
        <v>34</v>
      </c>
    </row>
    <row r="675" spans="1:17">
      <c r="A675" t="s">
        <v>1306</v>
      </c>
      <c r="B675" s="1" t="s">
        <v>1305</v>
      </c>
      <c r="C675" s="1" t="s">
        <v>1143</v>
      </c>
      <c r="D675" s="1" t="s">
        <v>20</v>
      </c>
      <c r="E675" t="s">
        <v>545</v>
      </c>
      <c r="F675" t="s">
        <v>546</v>
      </c>
      <c r="G675" t="s">
        <v>56</v>
      </c>
      <c r="H675" t="s">
        <v>57</v>
      </c>
      <c r="I675" t="s">
        <v>58</v>
      </c>
      <c r="J675">
        <v>3</v>
      </c>
      <c r="K675">
        <v>1299</v>
      </c>
      <c r="L675">
        <f>Table1[[#This Row],[Quantity]] * Table1[[#This Row],[UnitPrice]]</f>
        <v>3897</v>
      </c>
      <c r="M675" s="25">
        <v>20</v>
      </c>
      <c r="N675">
        <f>Table1[[#This Row],[Revenue]]*Table1[[#This Row],[Discount%]]/100</f>
        <v>779.4</v>
      </c>
      <c r="O675" s="6">
        <f>Table1[[#This Row],[Revenue]]-Table1[[#This Row],[Disc_amount]]</f>
        <v>3117.6</v>
      </c>
      <c r="P675" t="s">
        <v>33</v>
      </c>
      <c r="Q675" t="s">
        <v>34</v>
      </c>
    </row>
    <row r="676" spans="1:17">
      <c r="A676" t="s">
        <v>1307</v>
      </c>
      <c r="B676" s="1" t="s">
        <v>1305</v>
      </c>
      <c r="C676" s="1" t="s">
        <v>1143</v>
      </c>
      <c r="D676" s="1" t="s">
        <v>20</v>
      </c>
      <c r="E676" t="s">
        <v>817</v>
      </c>
      <c r="F676" t="s">
        <v>150</v>
      </c>
      <c r="G676" t="s">
        <v>45</v>
      </c>
      <c r="H676" t="s">
        <v>65</v>
      </c>
      <c r="I676" t="s">
        <v>94</v>
      </c>
      <c r="J676">
        <v>3</v>
      </c>
      <c r="K676">
        <v>899</v>
      </c>
      <c r="L676">
        <f>Table1[[#This Row],[Quantity]] * Table1[[#This Row],[UnitPrice]]</f>
        <v>2697</v>
      </c>
      <c r="M676" s="25">
        <v>20</v>
      </c>
      <c r="N676">
        <f>Table1[[#This Row],[Revenue]]*Table1[[#This Row],[Discount%]]/100</f>
        <v>539.4</v>
      </c>
      <c r="O676" s="6">
        <f>Table1[[#This Row],[Revenue]]-Table1[[#This Row],[Disc_amount]]</f>
        <v>2157.6</v>
      </c>
      <c r="P676" t="s">
        <v>26</v>
      </c>
      <c r="Q676" t="s">
        <v>27</v>
      </c>
    </row>
    <row r="677" spans="1:17">
      <c r="A677" t="s">
        <v>1308</v>
      </c>
      <c r="B677" s="1" t="s">
        <v>1305</v>
      </c>
      <c r="C677" s="1" t="s">
        <v>1143</v>
      </c>
      <c r="D677" s="1" t="s">
        <v>20</v>
      </c>
      <c r="E677" t="s">
        <v>1001</v>
      </c>
      <c r="F677" t="s">
        <v>90</v>
      </c>
      <c r="G677" t="s">
        <v>38</v>
      </c>
      <c r="H677" t="s">
        <v>70</v>
      </c>
      <c r="I677" t="s">
        <v>91</v>
      </c>
      <c r="J677">
        <v>1</v>
      </c>
      <c r="K677">
        <v>549</v>
      </c>
      <c r="L677">
        <f>Table1[[#This Row],[Quantity]] * Table1[[#This Row],[UnitPrice]]</f>
        <v>549</v>
      </c>
      <c r="M677" s="25">
        <v>15</v>
      </c>
      <c r="N677">
        <f>Table1[[#This Row],[Revenue]]*Table1[[#This Row],[Discount%]]/100</f>
        <v>82.35</v>
      </c>
      <c r="O677" s="6">
        <f>Table1[[#This Row],[Revenue]]-Table1[[#This Row],[Disc_amount]]</f>
        <v>466.65</v>
      </c>
      <c r="P677" t="s">
        <v>41</v>
      </c>
      <c r="Q677" t="s">
        <v>27</v>
      </c>
    </row>
    <row r="678" spans="1:17">
      <c r="A678" t="s">
        <v>1309</v>
      </c>
      <c r="B678" s="1" t="s">
        <v>1305</v>
      </c>
      <c r="C678" s="1" t="s">
        <v>1143</v>
      </c>
      <c r="D678" s="1" t="s">
        <v>20</v>
      </c>
      <c r="E678" t="s">
        <v>133</v>
      </c>
      <c r="F678" t="s">
        <v>134</v>
      </c>
      <c r="G678" t="s">
        <v>31</v>
      </c>
      <c r="H678" t="s">
        <v>24</v>
      </c>
      <c r="I678" t="s">
        <v>25</v>
      </c>
      <c r="J678">
        <v>2</v>
      </c>
      <c r="K678">
        <v>99</v>
      </c>
      <c r="L678">
        <f>Table1[[#This Row],[Quantity]] * Table1[[#This Row],[UnitPrice]]</f>
        <v>198</v>
      </c>
      <c r="M678" s="25">
        <v>20</v>
      </c>
      <c r="N678">
        <f>Table1[[#This Row],[Revenue]]*Table1[[#This Row],[Discount%]]/100</f>
        <v>39.6</v>
      </c>
      <c r="O678" s="6">
        <f>Table1[[#This Row],[Revenue]]-Table1[[#This Row],[Disc_amount]]</f>
        <v>158.4</v>
      </c>
      <c r="P678" t="s">
        <v>26</v>
      </c>
      <c r="Q678" t="s">
        <v>27</v>
      </c>
    </row>
    <row r="679" spans="1:17">
      <c r="A679" t="s">
        <v>1310</v>
      </c>
      <c r="B679" s="1" t="s">
        <v>1305</v>
      </c>
      <c r="C679" s="1" t="s">
        <v>1143</v>
      </c>
      <c r="D679" s="1" t="s">
        <v>20</v>
      </c>
      <c r="E679" t="s">
        <v>1186</v>
      </c>
      <c r="F679" t="s">
        <v>1187</v>
      </c>
      <c r="G679" t="s">
        <v>31</v>
      </c>
      <c r="H679" t="s">
        <v>108</v>
      </c>
      <c r="I679" t="s">
        <v>109</v>
      </c>
      <c r="J679">
        <v>3</v>
      </c>
      <c r="K679">
        <v>1499</v>
      </c>
      <c r="L679">
        <f>Table1[[#This Row],[Quantity]] * Table1[[#This Row],[UnitPrice]]</f>
        <v>4497</v>
      </c>
      <c r="M679" s="25">
        <v>0</v>
      </c>
      <c r="N679">
        <f>Table1[[#This Row],[Revenue]]*Table1[[#This Row],[Discount%]]/100</f>
        <v>0</v>
      </c>
      <c r="O679" s="6">
        <f>Table1[[#This Row],[Revenue]]-Table1[[#This Row],[Disc_amount]]</f>
        <v>4497</v>
      </c>
      <c r="P679" t="s">
        <v>41</v>
      </c>
      <c r="Q679" t="s">
        <v>27</v>
      </c>
    </row>
    <row r="680" spans="1:17">
      <c r="A680" t="s">
        <v>1311</v>
      </c>
      <c r="B680" s="1" t="s">
        <v>1305</v>
      </c>
      <c r="C680" s="1" t="s">
        <v>1143</v>
      </c>
      <c r="D680" s="1" t="s">
        <v>20</v>
      </c>
      <c r="E680" t="s">
        <v>1312</v>
      </c>
      <c r="F680" t="s">
        <v>465</v>
      </c>
      <c r="G680" t="s">
        <v>23</v>
      </c>
      <c r="H680" t="s">
        <v>65</v>
      </c>
      <c r="I680" t="s">
        <v>98</v>
      </c>
      <c r="J680">
        <v>1</v>
      </c>
      <c r="K680">
        <v>499</v>
      </c>
      <c r="L680">
        <f>Table1[[#This Row],[Quantity]] * Table1[[#This Row],[UnitPrice]]</f>
        <v>499</v>
      </c>
      <c r="M680" s="25">
        <v>15</v>
      </c>
      <c r="N680">
        <f>Table1[[#This Row],[Revenue]]*Table1[[#This Row],[Discount%]]/100</f>
        <v>74.849999999999994</v>
      </c>
      <c r="O680" s="6">
        <f>Table1[[#This Row],[Revenue]]-Table1[[#This Row],[Disc_amount]]</f>
        <v>424.15</v>
      </c>
      <c r="P680" t="s">
        <v>33</v>
      </c>
      <c r="Q680" t="s">
        <v>27</v>
      </c>
    </row>
    <row r="681" spans="1:17">
      <c r="A681" t="s">
        <v>1313</v>
      </c>
      <c r="B681" s="1" t="s">
        <v>1314</v>
      </c>
      <c r="C681" s="1" t="s">
        <v>1143</v>
      </c>
      <c r="D681" s="1" t="s">
        <v>20</v>
      </c>
      <c r="E681" t="s">
        <v>1038</v>
      </c>
      <c r="F681" t="s">
        <v>245</v>
      </c>
      <c r="G681" t="s">
        <v>31</v>
      </c>
      <c r="H681" t="s">
        <v>70</v>
      </c>
      <c r="I681" t="s">
        <v>71</v>
      </c>
      <c r="J681">
        <v>1</v>
      </c>
      <c r="K681">
        <v>349</v>
      </c>
      <c r="L681">
        <f>Table1[[#This Row],[Quantity]] * Table1[[#This Row],[UnitPrice]]</f>
        <v>349</v>
      </c>
      <c r="M681" s="25">
        <v>20</v>
      </c>
      <c r="N681">
        <f>Table1[[#This Row],[Revenue]]*Table1[[#This Row],[Discount%]]/100</f>
        <v>69.8</v>
      </c>
      <c r="O681" s="6">
        <f>Table1[[#This Row],[Revenue]]-Table1[[#This Row],[Disc_amount]]</f>
        <v>279.2</v>
      </c>
      <c r="P681" t="s">
        <v>33</v>
      </c>
      <c r="Q681" t="s">
        <v>34</v>
      </c>
    </row>
    <row r="682" spans="1:17">
      <c r="A682" t="s">
        <v>1315</v>
      </c>
      <c r="B682" s="1" t="s">
        <v>1314</v>
      </c>
      <c r="C682" s="1" t="s">
        <v>1143</v>
      </c>
      <c r="D682" s="1" t="s">
        <v>20</v>
      </c>
      <c r="E682" t="s">
        <v>89</v>
      </c>
      <c r="F682" t="s">
        <v>90</v>
      </c>
      <c r="G682" t="s">
        <v>38</v>
      </c>
      <c r="H682" t="s">
        <v>65</v>
      </c>
      <c r="I682" t="s">
        <v>94</v>
      </c>
      <c r="J682">
        <v>2</v>
      </c>
      <c r="K682">
        <v>899</v>
      </c>
      <c r="L682">
        <f>Table1[[#This Row],[Quantity]] * Table1[[#This Row],[UnitPrice]]</f>
        <v>1798</v>
      </c>
      <c r="M682" s="25">
        <v>0</v>
      </c>
      <c r="N682">
        <f>Table1[[#This Row],[Revenue]]*Table1[[#This Row],[Discount%]]/100</f>
        <v>0</v>
      </c>
      <c r="O682" s="6">
        <f>Table1[[#This Row],[Revenue]]-Table1[[#This Row],[Disc_amount]]</f>
        <v>1798</v>
      </c>
      <c r="P682" t="s">
        <v>26</v>
      </c>
      <c r="Q682" t="s">
        <v>34</v>
      </c>
    </row>
    <row r="683" spans="1:17">
      <c r="A683" t="s">
        <v>1316</v>
      </c>
      <c r="B683" s="1" t="s">
        <v>1314</v>
      </c>
      <c r="C683" s="1" t="s">
        <v>1143</v>
      </c>
      <c r="D683" s="1" t="s">
        <v>20</v>
      </c>
      <c r="E683" t="s">
        <v>1069</v>
      </c>
      <c r="F683" t="s">
        <v>338</v>
      </c>
      <c r="G683" t="s">
        <v>45</v>
      </c>
      <c r="H683" t="s">
        <v>39</v>
      </c>
      <c r="I683" t="s">
        <v>51</v>
      </c>
      <c r="J683">
        <v>1</v>
      </c>
      <c r="K683">
        <v>2999</v>
      </c>
      <c r="L683">
        <f>Table1[[#This Row],[Quantity]] * Table1[[#This Row],[UnitPrice]]</f>
        <v>2999</v>
      </c>
      <c r="M683" s="25">
        <v>0</v>
      </c>
      <c r="N683">
        <f>Table1[[#This Row],[Revenue]]*Table1[[#This Row],[Discount%]]/100</f>
        <v>0</v>
      </c>
      <c r="O683" s="6">
        <f>Table1[[#This Row],[Revenue]]-Table1[[#This Row],[Disc_amount]]</f>
        <v>2999</v>
      </c>
      <c r="P683" t="s">
        <v>52</v>
      </c>
      <c r="Q683" t="s">
        <v>27</v>
      </c>
    </row>
    <row r="684" spans="1:17">
      <c r="A684" t="s">
        <v>1317</v>
      </c>
      <c r="B684" s="1" t="s">
        <v>1314</v>
      </c>
      <c r="C684" s="1" t="s">
        <v>1143</v>
      </c>
      <c r="D684" s="1" t="s">
        <v>20</v>
      </c>
      <c r="E684" t="s">
        <v>1318</v>
      </c>
      <c r="F684" t="s">
        <v>470</v>
      </c>
      <c r="G684" t="s">
        <v>56</v>
      </c>
      <c r="H684" t="s">
        <v>24</v>
      </c>
      <c r="I684" t="s">
        <v>25</v>
      </c>
      <c r="J684">
        <v>3</v>
      </c>
      <c r="K684">
        <v>99</v>
      </c>
      <c r="L684">
        <f>Table1[[#This Row],[Quantity]] * Table1[[#This Row],[UnitPrice]]</f>
        <v>297</v>
      </c>
      <c r="M684" s="25">
        <v>0</v>
      </c>
      <c r="N684">
        <f>Table1[[#This Row],[Revenue]]*Table1[[#This Row],[Discount%]]/100</f>
        <v>0</v>
      </c>
      <c r="O684" s="6">
        <f>Table1[[#This Row],[Revenue]]-Table1[[#This Row],[Disc_amount]]</f>
        <v>297</v>
      </c>
      <c r="P684" t="s">
        <v>26</v>
      </c>
      <c r="Q684" t="s">
        <v>34</v>
      </c>
    </row>
    <row r="685" spans="1:17">
      <c r="A685" t="s">
        <v>1319</v>
      </c>
      <c r="B685" s="1" t="s">
        <v>1314</v>
      </c>
      <c r="C685" s="1" t="s">
        <v>1143</v>
      </c>
      <c r="D685" s="1" t="s">
        <v>20</v>
      </c>
      <c r="E685" t="s">
        <v>850</v>
      </c>
      <c r="F685" t="s">
        <v>759</v>
      </c>
      <c r="G685" t="s">
        <v>45</v>
      </c>
      <c r="H685" t="s">
        <v>39</v>
      </c>
      <c r="I685" t="s">
        <v>140</v>
      </c>
      <c r="J685">
        <v>1</v>
      </c>
      <c r="K685">
        <v>1799</v>
      </c>
      <c r="L685">
        <f>Table1[[#This Row],[Quantity]] * Table1[[#This Row],[UnitPrice]]</f>
        <v>1799</v>
      </c>
      <c r="M685" s="25">
        <v>0</v>
      </c>
      <c r="N685">
        <f>Table1[[#This Row],[Revenue]]*Table1[[#This Row],[Discount%]]/100</f>
        <v>0</v>
      </c>
      <c r="O685" s="6">
        <f>Table1[[#This Row],[Revenue]]-Table1[[#This Row],[Disc_amount]]</f>
        <v>1799</v>
      </c>
      <c r="P685" t="s">
        <v>33</v>
      </c>
      <c r="Q685" t="s">
        <v>27</v>
      </c>
    </row>
    <row r="686" spans="1:17">
      <c r="A686" t="s">
        <v>1320</v>
      </c>
      <c r="B686" s="1" t="s">
        <v>1321</v>
      </c>
      <c r="C686" s="1" t="s">
        <v>1143</v>
      </c>
      <c r="D686" s="1" t="s">
        <v>20</v>
      </c>
      <c r="E686" t="s">
        <v>657</v>
      </c>
      <c r="F686" t="s">
        <v>147</v>
      </c>
      <c r="G686" t="s">
        <v>23</v>
      </c>
      <c r="H686" t="s">
        <v>70</v>
      </c>
      <c r="I686" t="s">
        <v>71</v>
      </c>
      <c r="J686">
        <v>1</v>
      </c>
      <c r="K686">
        <v>349</v>
      </c>
      <c r="L686">
        <f>Table1[[#This Row],[Quantity]] * Table1[[#This Row],[UnitPrice]]</f>
        <v>349</v>
      </c>
      <c r="M686" s="25">
        <v>5</v>
      </c>
      <c r="N686">
        <f>Table1[[#This Row],[Revenue]]*Table1[[#This Row],[Discount%]]/100</f>
        <v>17.45</v>
      </c>
      <c r="O686" s="6">
        <f>Table1[[#This Row],[Revenue]]-Table1[[#This Row],[Disc_amount]]</f>
        <v>331.55</v>
      </c>
      <c r="P686" t="s">
        <v>41</v>
      </c>
      <c r="Q686" t="s">
        <v>34</v>
      </c>
    </row>
    <row r="687" spans="1:17">
      <c r="A687" t="s">
        <v>1322</v>
      </c>
      <c r="B687" s="1" t="s">
        <v>1321</v>
      </c>
      <c r="C687" s="1" t="s">
        <v>1143</v>
      </c>
      <c r="D687" s="1" t="s">
        <v>20</v>
      </c>
      <c r="E687" t="s">
        <v>475</v>
      </c>
      <c r="F687" t="s">
        <v>80</v>
      </c>
      <c r="G687" t="s">
        <v>38</v>
      </c>
      <c r="H687" t="s">
        <v>70</v>
      </c>
      <c r="I687" t="s">
        <v>71</v>
      </c>
      <c r="J687">
        <v>1</v>
      </c>
      <c r="K687">
        <v>349</v>
      </c>
      <c r="L687">
        <f>Table1[[#This Row],[Quantity]] * Table1[[#This Row],[UnitPrice]]</f>
        <v>349</v>
      </c>
      <c r="M687" s="25">
        <v>0</v>
      </c>
      <c r="N687">
        <f>Table1[[#This Row],[Revenue]]*Table1[[#This Row],[Discount%]]/100</f>
        <v>0</v>
      </c>
      <c r="O687" s="6">
        <f>Table1[[#This Row],[Revenue]]-Table1[[#This Row],[Disc_amount]]</f>
        <v>349</v>
      </c>
      <c r="P687" t="s">
        <v>26</v>
      </c>
      <c r="Q687" t="s">
        <v>27</v>
      </c>
    </row>
    <row r="688" spans="1:17">
      <c r="A688" t="s">
        <v>1323</v>
      </c>
      <c r="B688" s="1" t="s">
        <v>1321</v>
      </c>
      <c r="C688" s="1" t="s">
        <v>1143</v>
      </c>
      <c r="D688" s="1" t="s">
        <v>20</v>
      </c>
      <c r="E688" t="s">
        <v>1049</v>
      </c>
      <c r="F688" t="s">
        <v>415</v>
      </c>
      <c r="G688" t="s">
        <v>45</v>
      </c>
      <c r="H688" t="s">
        <v>46</v>
      </c>
      <c r="I688" t="s">
        <v>47</v>
      </c>
      <c r="J688">
        <v>1</v>
      </c>
      <c r="K688">
        <v>249</v>
      </c>
      <c r="L688">
        <f>Table1[[#This Row],[Quantity]] * Table1[[#This Row],[UnitPrice]]</f>
        <v>249</v>
      </c>
      <c r="M688" s="25">
        <v>5</v>
      </c>
      <c r="N688">
        <f>Table1[[#This Row],[Revenue]]*Table1[[#This Row],[Discount%]]/100</f>
        <v>12.45</v>
      </c>
      <c r="O688" s="6">
        <f>Table1[[#This Row],[Revenue]]-Table1[[#This Row],[Disc_amount]]</f>
        <v>236.55</v>
      </c>
      <c r="P688" t="s">
        <v>86</v>
      </c>
      <c r="Q688" t="s">
        <v>34</v>
      </c>
    </row>
    <row r="689" spans="1:17">
      <c r="A689" t="s">
        <v>1324</v>
      </c>
      <c r="B689" s="1" t="s">
        <v>1321</v>
      </c>
      <c r="C689" s="1" t="s">
        <v>1143</v>
      </c>
      <c r="D689" s="1" t="s">
        <v>20</v>
      </c>
      <c r="E689" t="s">
        <v>1051</v>
      </c>
      <c r="F689" t="s">
        <v>462</v>
      </c>
      <c r="G689" t="s">
        <v>56</v>
      </c>
      <c r="H689" t="s">
        <v>46</v>
      </c>
      <c r="I689" t="s">
        <v>154</v>
      </c>
      <c r="J689">
        <v>3</v>
      </c>
      <c r="K689">
        <v>299</v>
      </c>
      <c r="L689">
        <f>Table1[[#This Row],[Quantity]] * Table1[[#This Row],[UnitPrice]]</f>
        <v>897</v>
      </c>
      <c r="M689" s="25">
        <v>0</v>
      </c>
      <c r="N689">
        <f>Table1[[#This Row],[Revenue]]*Table1[[#This Row],[Discount%]]/100</f>
        <v>0</v>
      </c>
      <c r="O689" s="6">
        <f>Table1[[#This Row],[Revenue]]-Table1[[#This Row],[Disc_amount]]</f>
        <v>897</v>
      </c>
      <c r="P689" t="s">
        <v>26</v>
      </c>
      <c r="Q689" t="s">
        <v>27</v>
      </c>
    </row>
    <row r="690" spans="1:17">
      <c r="A690" t="s">
        <v>1325</v>
      </c>
      <c r="B690" s="1" t="s">
        <v>1321</v>
      </c>
      <c r="C690" s="1" t="s">
        <v>1143</v>
      </c>
      <c r="D690" s="1" t="s">
        <v>20</v>
      </c>
      <c r="E690" t="s">
        <v>606</v>
      </c>
      <c r="F690" t="s">
        <v>607</v>
      </c>
      <c r="G690" t="s">
        <v>45</v>
      </c>
      <c r="H690" t="s">
        <v>39</v>
      </c>
      <c r="I690" t="s">
        <v>140</v>
      </c>
      <c r="J690">
        <v>1</v>
      </c>
      <c r="K690">
        <v>1799</v>
      </c>
      <c r="L690">
        <f>Table1[[#This Row],[Quantity]] * Table1[[#This Row],[UnitPrice]]</f>
        <v>1799</v>
      </c>
      <c r="M690" s="25">
        <v>5</v>
      </c>
      <c r="N690">
        <f>Table1[[#This Row],[Revenue]]*Table1[[#This Row],[Discount%]]/100</f>
        <v>89.95</v>
      </c>
      <c r="O690" s="6">
        <f>Table1[[#This Row],[Revenue]]-Table1[[#This Row],[Disc_amount]]</f>
        <v>1709.05</v>
      </c>
      <c r="P690" t="s">
        <v>41</v>
      </c>
      <c r="Q690" t="s">
        <v>34</v>
      </c>
    </row>
    <row r="691" spans="1:17">
      <c r="A691" t="s">
        <v>1326</v>
      </c>
      <c r="B691" s="1" t="s">
        <v>1327</v>
      </c>
      <c r="C691" s="1" t="s">
        <v>1143</v>
      </c>
      <c r="D691" s="1" t="s">
        <v>20</v>
      </c>
      <c r="E691" t="s">
        <v>414</v>
      </c>
      <c r="F691" t="s">
        <v>415</v>
      </c>
      <c r="G691" t="s">
        <v>23</v>
      </c>
      <c r="H691" t="s">
        <v>24</v>
      </c>
      <c r="I691" t="s">
        <v>25</v>
      </c>
      <c r="J691">
        <v>1</v>
      </c>
      <c r="K691">
        <v>99</v>
      </c>
      <c r="L691">
        <f>Table1[[#This Row],[Quantity]] * Table1[[#This Row],[UnitPrice]]</f>
        <v>99</v>
      </c>
      <c r="M691" s="25">
        <v>20</v>
      </c>
      <c r="N691">
        <f>Table1[[#This Row],[Revenue]]*Table1[[#This Row],[Discount%]]/100</f>
        <v>19.8</v>
      </c>
      <c r="O691" s="6">
        <f>Table1[[#This Row],[Revenue]]-Table1[[#This Row],[Disc_amount]]</f>
        <v>79.2</v>
      </c>
      <c r="P691" t="s">
        <v>26</v>
      </c>
      <c r="Q691" t="s">
        <v>34</v>
      </c>
    </row>
    <row r="692" spans="1:17">
      <c r="A692" t="s">
        <v>1328</v>
      </c>
      <c r="B692" s="1" t="s">
        <v>1327</v>
      </c>
      <c r="C692" s="1" t="s">
        <v>1143</v>
      </c>
      <c r="D692" s="1" t="s">
        <v>20</v>
      </c>
      <c r="E692" t="s">
        <v>843</v>
      </c>
      <c r="F692" t="s">
        <v>501</v>
      </c>
      <c r="G692" t="s">
        <v>56</v>
      </c>
      <c r="H692" t="s">
        <v>39</v>
      </c>
      <c r="I692" t="s">
        <v>51</v>
      </c>
      <c r="J692">
        <v>1</v>
      </c>
      <c r="K692">
        <v>2999</v>
      </c>
      <c r="L692">
        <f>Table1[[#This Row],[Quantity]] * Table1[[#This Row],[UnitPrice]]</f>
        <v>2999</v>
      </c>
      <c r="M692" s="25">
        <v>0</v>
      </c>
      <c r="N692">
        <f>Table1[[#This Row],[Revenue]]*Table1[[#This Row],[Discount%]]/100</f>
        <v>0</v>
      </c>
      <c r="O692" s="6">
        <f>Table1[[#This Row],[Revenue]]-Table1[[#This Row],[Disc_amount]]</f>
        <v>2999</v>
      </c>
      <c r="P692" t="s">
        <v>26</v>
      </c>
      <c r="Q692" t="s">
        <v>34</v>
      </c>
    </row>
    <row r="693" spans="1:17">
      <c r="A693" t="s">
        <v>1329</v>
      </c>
      <c r="B693" s="1" t="s">
        <v>1327</v>
      </c>
      <c r="C693" s="1" t="s">
        <v>1143</v>
      </c>
      <c r="D693" s="1" t="s">
        <v>20</v>
      </c>
      <c r="E693" t="s">
        <v>421</v>
      </c>
      <c r="F693" t="s">
        <v>422</v>
      </c>
      <c r="G693" t="s">
        <v>23</v>
      </c>
      <c r="H693" t="s">
        <v>65</v>
      </c>
      <c r="I693" t="s">
        <v>66</v>
      </c>
      <c r="J693">
        <v>4</v>
      </c>
      <c r="K693">
        <v>1999</v>
      </c>
      <c r="L693">
        <f>Table1[[#This Row],[Quantity]] * Table1[[#This Row],[UnitPrice]]</f>
        <v>7996</v>
      </c>
      <c r="M693" s="25">
        <v>5</v>
      </c>
      <c r="N693">
        <f>Table1[[#This Row],[Revenue]]*Table1[[#This Row],[Discount%]]/100</f>
        <v>399.8</v>
      </c>
      <c r="O693" s="6">
        <f>Table1[[#This Row],[Revenue]]-Table1[[#This Row],[Disc_amount]]</f>
        <v>7596.2</v>
      </c>
      <c r="P693" t="s">
        <v>41</v>
      </c>
      <c r="Q693" t="s">
        <v>27</v>
      </c>
    </row>
    <row r="694" spans="1:17">
      <c r="A694" t="s">
        <v>1330</v>
      </c>
      <c r="B694" s="1" t="s">
        <v>1331</v>
      </c>
      <c r="C694" s="1" t="s">
        <v>1143</v>
      </c>
      <c r="D694" s="1" t="s">
        <v>20</v>
      </c>
      <c r="E694" t="s">
        <v>126</v>
      </c>
      <c r="F694" t="s">
        <v>77</v>
      </c>
      <c r="G694" t="s">
        <v>45</v>
      </c>
      <c r="H694" t="s">
        <v>24</v>
      </c>
      <c r="I694" t="s">
        <v>25</v>
      </c>
      <c r="J694">
        <v>2</v>
      </c>
      <c r="K694">
        <v>99</v>
      </c>
      <c r="L694">
        <f>Table1[[#This Row],[Quantity]] * Table1[[#This Row],[UnitPrice]]</f>
        <v>198</v>
      </c>
      <c r="M694" s="25">
        <v>15</v>
      </c>
      <c r="N694">
        <f>Table1[[#This Row],[Revenue]]*Table1[[#This Row],[Discount%]]/100</f>
        <v>29.7</v>
      </c>
      <c r="O694" s="6">
        <f>Table1[[#This Row],[Revenue]]-Table1[[#This Row],[Disc_amount]]</f>
        <v>168.3</v>
      </c>
      <c r="P694" t="s">
        <v>52</v>
      </c>
      <c r="Q694" t="s">
        <v>27</v>
      </c>
    </row>
    <row r="695" spans="1:17">
      <c r="A695" t="s">
        <v>1332</v>
      </c>
      <c r="B695" s="1" t="s">
        <v>1331</v>
      </c>
      <c r="C695" s="1" t="s">
        <v>1143</v>
      </c>
      <c r="D695" s="1" t="s">
        <v>20</v>
      </c>
      <c r="E695" t="s">
        <v>159</v>
      </c>
      <c r="F695" t="s">
        <v>160</v>
      </c>
      <c r="G695" t="s">
        <v>38</v>
      </c>
      <c r="H695" t="s">
        <v>70</v>
      </c>
      <c r="I695" t="s">
        <v>91</v>
      </c>
      <c r="J695">
        <v>3</v>
      </c>
      <c r="K695">
        <v>549</v>
      </c>
      <c r="L695">
        <f>Table1[[#This Row],[Quantity]] * Table1[[#This Row],[UnitPrice]]</f>
        <v>1647</v>
      </c>
      <c r="M695" s="25">
        <v>10</v>
      </c>
      <c r="N695">
        <f>Table1[[#This Row],[Revenue]]*Table1[[#This Row],[Discount%]]/100</f>
        <v>164.7</v>
      </c>
      <c r="O695" s="6">
        <f>Table1[[#This Row],[Revenue]]-Table1[[#This Row],[Disc_amount]]</f>
        <v>1482.3</v>
      </c>
      <c r="P695" t="s">
        <v>41</v>
      </c>
      <c r="Q695" t="s">
        <v>27</v>
      </c>
    </row>
    <row r="696" spans="1:17">
      <c r="A696" t="s">
        <v>1333</v>
      </c>
      <c r="B696" s="1" t="s">
        <v>1331</v>
      </c>
      <c r="C696" s="1" t="s">
        <v>1143</v>
      </c>
      <c r="D696" s="1" t="s">
        <v>20</v>
      </c>
      <c r="E696" t="s">
        <v>573</v>
      </c>
      <c r="F696" t="s">
        <v>574</v>
      </c>
      <c r="G696" t="s">
        <v>38</v>
      </c>
      <c r="H696" t="s">
        <v>46</v>
      </c>
      <c r="I696" t="s">
        <v>47</v>
      </c>
      <c r="J696">
        <v>2</v>
      </c>
      <c r="K696">
        <v>249</v>
      </c>
      <c r="L696">
        <f>Table1[[#This Row],[Quantity]] * Table1[[#This Row],[UnitPrice]]</f>
        <v>498</v>
      </c>
      <c r="M696" s="25">
        <v>15</v>
      </c>
      <c r="N696">
        <f>Table1[[#This Row],[Revenue]]*Table1[[#This Row],[Discount%]]/100</f>
        <v>74.7</v>
      </c>
      <c r="O696" s="6">
        <f>Table1[[#This Row],[Revenue]]-Table1[[#This Row],[Disc_amount]]</f>
        <v>423.3</v>
      </c>
      <c r="P696" t="s">
        <v>33</v>
      </c>
      <c r="Q696" t="s">
        <v>34</v>
      </c>
    </row>
    <row r="697" spans="1:17">
      <c r="A697" t="s">
        <v>1334</v>
      </c>
      <c r="B697" s="1" t="s">
        <v>1331</v>
      </c>
      <c r="C697" s="1" t="s">
        <v>1143</v>
      </c>
      <c r="D697" s="1" t="s">
        <v>20</v>
      </c>
      <c r="E697" t="s">
        <v>1056</v>
      </c>
      <c r="F697" t="s">
        <v>61</v>
      </c>
      <c r="G697" t="s">
        <v>38</v>
      </c>
      <c r="H697" t="s">
        <v>70</v>
      </c>
      <c r="I697" t="s">
        <v>71</v>
      </c>
      <c r="J697">
        <v>1</v>
      </c>
      <c r="K697">
        <v>349</v>
      </c>
      <c r="L697">
        <f>Table1[[#This Row],[Quantity]] * Table1[[#This Row],[UnitPrice]]</f>
        <v>349</v>
      </c>
      <c r="M697" s="25">
        <v>0</v>
      </c>
      <c r="N697">
        <f>Table1[[#This Row],[Revenue]]*Table1[[#This Row],[Discount%]]/100</f>
        <v>0</v>
      </c>
      <c r="O697" s="6">
        <f>Table1[[#This Row],[Revenue]]-Table1[[#This Row],[Disc_amount]]</f>
        <v>349</v>
      </c>
      <c r="P697" t="s">
        <v>33</v>
      </c>
      <c r="Q697" t="s">
        <v>27</v>
      </c>
    </row>
    <row r="698" spans="1:17">
      <c r="A698" t="s">
        <v>1335</v>
      </c>
      <c r="B698" s="1" t="s">
        <v>1336</v>
      </c>
      <c r="C698" s="1" t="s">
        <v>1143</v>
      </c>
      <c r="D698" s="1" t="s">
        <v>20</v>
      </c>
      <c r="E698" t="s">
        <v>1337</v>
      </c>
      <c r="F698" t="s">
        <v>584</v>
      </c>
      <c r="G698" t="s">
        <v>31</v>
      </c>
      <c r="H698" t="s">
        <v>39</v>
      </c>
      <c r="I698" t="s">
        <v>40</v>
      </c>
      <c r="J698">
        <v>2</v>
      </c>
      <c r="K698">
        <v>599</v>
      </c>
      <c r="L698">
        <f>Table1[[#This Row],[Quantity]] * Table1[[#This Row],[UnitPrice]]</f>
        <v>1198</v>
      </c>
      <c r="M698" s="25">
        <v>5</v>
      </c>
      <c r="N698">
        <f>Table1[[#This Row],[Revenue]]*Table1[[#This Row],[Discount%]]/100</f>
        <v>59.9</v>
      </c>
      <c r="O698" s="6">
        <f>Table1[[#This Row],[Revenue]]-Table1[[#This Row],[Disc_amount]]</f>
        <v>1138.0999999999999</v>
      </c>
      <c r="P698" t="s">
        <v>52</v>
      </c>
      <c r="Q698" t="s">
        <v>34</v>
      </c>
    </row>
    <row r="699" spans="1:17">
      <c r="A699" t="s">
        <v>1338</v>
      </c>
      <c r="B699" s="1" t="s">
        <v>1336</v>
      </c>
      <c r="C699" s="1" t="s">
        <v>1143</v>
      </c>
      <c r="D699" s="1" t="s">
        <v>20</v>
      </c>
      <c r="E699" t="s">
        <v>1194</v>
      </c>
      <c r="F699" t="s">
        <v>376</v>
      </c>
      <c r="G699" t="s">
        <v>56</v>
      </c>
      <c r="H699" t="s">
        <v>24</v>
      </c>
      <c r="I699" t="s">
        <v>25</v>
      </c>
      <c r="J699">
        <v>3</v>
      </c>
      <c r="K699">
        <v>99</v>
      </c>
      <c r="L699">
        <f>Table1[[#This Row],[Quantity]] * Table1[[#This Row],[UnitPrice]]</f>
        <v>297</v>
      </c>
      <c r="M699" s="25">
        <v>10</v>
      </c>
      <c r="N699">
        <f>Table1[[#This Row],[Revenue]]*Table1[[#This Row],[Discount%]]/100</f>
        <v>29.7</v>
      </c>
      <c r="O699" s="6">
        <f>Table1[[#This Row],[Revenue]]-Table1[[#This Row],[Disc_amount]]</f>
        <v>267.3</v>
      </c>
      <c r="P699" t="s">
        <v>41</v>
      </c>
      <c r="Q699" t="s">
        <v>34</v>
      </c>
    </row>
    <row r="700" spans="1:17">
      <c r="A700" t="s">
        <v>1339</v>
      </c>
      <c r="B700" s="1" t="s">
        <v>1340</v>
      </c>
      <c r="C700" s="1" t="s">
        <v>1143</v>
      </c>
      <c r="D700" s="1" t="s">
        <v>20</v>
      </c>
      <c r="E700" t="s">
        <v>360</v>
      </c>
      <c r="F700" t="s">
        <v>123</v>
      </c>
      <c r="G700" t="s">
        <v>56</v>
      </c>
      <c r="H700" t="s">
        <v>65</v>
      </c>
      <c r="I700" t="s">
        <v>98</v>
      </c>
      <c r="J700">
        <v>1</v>
      </c>
      <c r="K700">
        <v>499</v>
      </c>
      <c r="L700">
        <f>Table1[[#This Row],[Quantity]] * Table1[[#This Row],[UnitPrice]]</f>
        <v>499</v>
      </c>
      <c r="M700" s="25">
        <v>15</v>
      </c>
      <c r="N700">
        <f>Table1[[#This Row],[Revenue]]*Table1[[#This Row],[Discount%]]/100</f>
        <v>74.849999999999994</v>
      </c>
      <c r="O700" s="6">
        <f>Table1[[#This Row],[Revenue]]-Table1[[#This Row],[Disc_amount]]</f>
        <v>424.15</v>
      </c>
      <c r="P700" t="s">
        <v>41</v>
      </c>
      <c r="Q700" t="s">
        <v>27</v>
      </c>
    </row>
    <row r="701" spans="1:17">
      <c r="A701" t="s">
        <v>1341</v>
      </c>
      <c r="B701" s="1" t="s">
        <v>1340</v>
      </c>
      <c r="C701" s="1" t="s">
        <v>1143</v>
      </c>
      <c r="D701" s="1" t="s">
        <v>20</v>
      </c>
      <c r="E701" t="s">
        <v>289</v>
      </c>
      <c r="F701" t="s">
        <v>290</v>
      </c>
      <c r="G701" t="s">
        <v>38</v>
      </c>
      <c r="H701" t="s">
        <v>70</v>
      </c>
      <c r="I701" t="s">
        <v>71</v>
      </c>
      <c r="J701">
        <v>1</v>
      </c>
      <c r="K701">
        <v>349</v>
      </c>
      <c r="L701">
        <f>Table1[[#This Row],[Quantity]] * Table1[[#This Row],[UnitPrice]]</f>
        <v>349</v>
      </c>
      <c r="M701" s="25">
        <v>15</v>
      </c>
      <c r="N701">
        <f>Table1[[#This Row],[Revenue]]*Table1[[#This Row],[Discount%]]/100</f>
        <v>52.35</v>
      </c>
      <c r="O701" s="6">
        <f>Table1[[#This Row],[Revenue]]-Table1[[#This Row],[Disc_amount]]</f>
        <v>296.64999999999998</v>
      </c>
      <c r="P701" t="s">
        <v>52</v>
      </c>
      <c r="Q701" t="s">
        <v>34</v>
      </c>
    </row>
    <row r="702" spans="1:17">
      <c r="A702" t="s">
        <v>1342</v>
      </c>
      <c r="B702" s="1" t="s">
        <v>1340</v>
      </c>
      <c r="C702" s="1" t="s">
        <v>1143</v>
      </c>
      <c r="D702" s="1" t="s">
        <v>20</v>
      </c>
      <c r="E702" t="s">
        <v>705</v>
      </c>
      <c r="F702" t="s">
        <v>501</v>
      </c>
      <c r="G702" t="s">
        <v>31</v>
      </c>
      <c r="H702" t="s">
        <v>39</v>
      </c>
      <c r="I702" t="s">
        <v>51</v>
      </c>
      <c r="J702">
        <v>4</v>
      </c>
      <c r="K702">
        <v>2999</v>
      </c>
      <c r="L702">
        <f>Table1[[#This Row],[Quantity]] * Table1[[#This Row],[UnitPrice]]</f>
        <v>11996</v>
      </c>
      <c r="M702" s="25">
        <v>0</v>
      </c>
      <c r="N702">
        <f>Table1[[#This Row],[Revenue]]*Table1[[#This Row],[Discount%]]/100</f>
        <v>0</v>
      </c>
      <c r="O702" s="6">
        <f>Table1[[#This Row],[Revenue]]-Table1[[#This Row],[Disc_amount]]</f>
        <v>11996</v>
      </c>
      <c r="P702" t="s">
        <v>86</v>
      </c>
      <c r="Q702" t="s">
        <v>34</v>
      </c>
    </row>
    <row r="703" spans="1:17">
      <c r="A703" t="s">
        <v>1343</v>
      </c>
      <c r="B703" s="1" t="s">
        <v>1340</v>
      </c>
      <c r="C703" s="1" t="s">
        <v>1143</v>
      </c>
      <c r="D703" s="1" t="s">
        <v>20</v>
      </c>
      <c r="E703" t="s">
        <v>1344</v>
      </c>
      <c r="F703" t="s">
        <v>694</v>
      </c>
      <c r="G703" t="s">
        <v>31</v>
      </c>
      <c r="H703" t="s">
        <v>70</v>
      </c>
      <c r="I703" t="s">
        <v>71</v>
      </c>
      <c r="J703">
        <v>3</v>
      </c>
      <c r="K703">
        <v>349</v>
      </c>
      <c r="L703">
        <f>Table1[[#This Row],[Quantity]] * Table1[[#This Row],[UnitPrice]]</f>
        <v>1047</v>
      </c>
      <c r="M703" s="25">
        <v>10</v>
      </c>
      <c r="N703">
        <f>Table1[[#This Row],[Revenue]]*Table1[[#This Row],[Discount%]]/100</f>
        <v>104.7</v>
      </c>
      <c r="O703" s="6">
        <f>Table1[[#This Row],[Revenue]]-Table1[[#This Row],[Disc_amount]]</f>
        <v>942.3</v>
      </c>
      <c r="P703" t="s">
        <v>33</v>
      </c>
      <c r="Q703" t="s">
        <v>34</v>
      </c>
    </row>
    <row r="704" spans="1:17">
      <c r="A704" t="s">
        <v>1345</v>
      </c>
      <c r="B704" s="1" t="s">
        <v>1340</v>
      </c>
      <c r="C704" s="1" t="s">
        <v>1143</v>
      </c>
      <c r="D704" s="1" t="s">
        <v>20</v>
      </c>
      <c r="E704" t="s">
        <v>332</v>
      </c>
      <c r="F704" t="s">
        <v>107</v>
      </c>
      <c r="G704" t="s">
        <v>23</v>
      </c>
      <c r="H704" t="s">
        <v>24</v>
      </c>
      <c r="I704" t="s">
        <v>25</v>
      </c>
      <c r="J704">
        <v>1</v>
      </c>
      <c r="K704">
        <v>99</v>
      </c>
      <c r="L704">
        <f>Table1[[#This Row],[Quantity]] * Table1[[#This Row],[UnitPrice]]</f>
        <v>99</v>
      </c>
      <c r="M704" s="25">
        <v>5</v>
      </c>
      <c r="N704">
        <f>Table1[[#This Row],[Revenue]]*Table1[[#This Row],[Discount%]]/100</f>
        <v>4.95</v>
      </c>
      <c r="O704" s="6">
        <f>Table1[[#This Row],[Revenue]]-Table1[[#This Row],[Disc_amount]]</f>
        <v>94.05</v>
      </c>
      <c r="P704" t="s">
        <v>33</v>
      </c>
      <c r="Q704" t="s">
        <v>27</v>
      </c>
    </row>
    <row r="705" spans="1:17">
      <c r="A705" t="s">
        <v>1346</v>
      </c>
      <c r="B705" s="1" t="s">
        <v>1340</v>
      </c>
      <c r="C705" s="1" t="s">
        <v>1143</v>
      </c>
      <c r="D705" s="1" t="s">
        <v>20</v>
      </c>
      <c r="E705" t="s">
        <v>933</v>
      </c>
      <c r="F705" t="s">
        <v>853</v>
      </c>
      <c r="G705" t="s">
        <v>45</v>
      </c>
      <c r="H705" t="s">
        <v>57</v>
      </c>
      <c r="I705" t="s">
        <v>58</v>
      </c>
      <c r="J705">
        <v>3</v>
      </c>
      <c r="K705">
        <v>1299</v>
      </c>
      <c r="L705">
        <f>Table1[[#This Row],[Quantity]] * Table1[[#This Row],[UnitPrice]]</f>
        <v>3897</v>
      </c>
      <c r="M705" s="25">
        <v>0</v>
      </c>
      <c r="N705">
        <f>Table1[[#This Row],[Revenue]]*Table1[[#This Row],[Discount%]]/100</f>
        <v>0</v>
      </c>
      <c r="O705" s="6">
        <f>Table1[[#This Row],[Revenue]]-Table1[[#This Row],[Disc_amount]]</f>
        <v>3897</v>
      </c>
      <c r="P705" t="s">
        <v>41</v>
      </c>
      <c r="Q705" t="s">
        <v>27</v>
      </c>
    </row>
    <row r="706" spans="1:17">
      <c r="A706" t="s">
        <v>1347</v>
      </c>
      <c r="B706" s="1" t="s">
        <v>1340</v>
      </c>
      <c r="C706" s="1" t="s">
        <v>1143</v>
      </c>
      <c r="D706" s="1" t="s">
        <v>20</v>
      </c>
      <c r="E706" t="s">
        <v>421</v>
      </c>
      <c r="F706" t="s">
        <v>422</v>
      </c>
      <c r="G706" t="s">
        <v>23</v>
      </c>
      <c r="H706" t="s">
        <v>57</v>
      </c>
      <c r="I706" t="s">
        <v>62</v>
      </c>
      <c r="J706">
        <v>1</v>
      </c>
      <c r="K706">
        <v>799</v>
      </c>
      <c r="L706">
        <f>Table1[[#This Row],[Quantity]] * Table1[[#This Row],[UnitPrice]]</f>
        <v>799</v>
      </c>
      <c r="M706" s="25">
        <v>0</v>
      </c>
      <c r="N706">
        <f>Table1[[#This Row],[Revenue]]*Table1[[#This Row],[Discount%]]/100</f>
        <v>0</v>
      </c>
      <c r="O706" s="6">
        <f>Table1[[#This Row],[Revenue]]-Table1[[#This Row],[Disc_amount]]</f>
        <v>799</v>
      </c>
      <c r="P706" t="s">
        <v>26</v>
      </c>
      <c r="Q706" t="s">
        <v>34</v>
      </c>
    </row>
    <row r="707" spans="1:17">
      <c r="A707" t="s">
        <v>1348</v>
      </c>
      <c r="B707" s="1" t="s">
        <v>1340</v>
      </c>
      <c r="C707" s="1" t="s">
        <v>1143</v>
      </c>
      <c r="D707" s="1" t="s">
        <v>20</v>
      </c>
      <c r="E707" t="s">
        <v>493</v>
      </c>
      <c r="F707" t="s">
        <v>348</v>
      </c>
      <c r="G707" t="s">
        <v>56</v>
      </c>
      <c r="H707" t="s">
        <v>65</v>
      </c>
      <c r="I707" t="s">
        <v>94</v>
      </c>
      <c r="J707">
        <v>4</v>
      </c>
      <c r="K707">
        <v>899</v>
      </c>
      <c r="L707">
        <f>Table1[[#This Row],[Quantity]] * Table1[[#This Row],[UnitPrice]]</f>
        <v>3596</v>
      </c>
      <c r="M707" s="25">
        <v>20</v>
      </c>
      <c r="N707">
        <f>Table1[[#This Row],[Revenue]]*Table1[[#This Row],[Discount%]]/100</f>
        <v>719.2</v>
      </c>
      <c r="O707" s="6">
        <f>Table1[[#This Row],[Revenue]]-Table1[[#This Row],[Disc_amount]]</f>
        <v>2876.8</v>
      </c>
      <c r="P707" t="s">
        <v>26</v>
      </c>
      <c r="Q707" t="s">
        <v>27</v>
      </c>
    </row>
    <row r="708" spans="1:17">
      <c r="A708" t="s">
        <v>1349</v>
      </c>
      <c r="B708" s="1" t="s">
        <v>1350</v>
      </c>
      <c r="C708" s="1" t="s">
        <v>1143</v>
      </c>
      <c r="D708" s="1" t="s">
        <v>20</v>
      </c>
      <c r="E708" t="s">
        <v>205</v>
      </c>
      <c r="F708" t="s">
        <v>206</v>
      </c>
      <c r="G708" t="s">
        <v>31</v>
      </c>
      <c r="H708" t="s">
        <v>65</v>
      </c>
      <c r="I708" t="s">
        <v>94</v>
      </c>
      <c r="J708">
        <v>1</v>
      </c>
      <c r="K708">
        <v>899</v>
      </c>
      <c r="L708">
        <f>Table1[[#This Row],[Quantity]] * Table1[[#This Row],[UnitPrice]]</f>
        <v>899</v>
      </c>
      <c r="M708" s="25">
        <v>0</v>
      </c>
      <c r="N708">
        <f>Table1[[#This Row],[Revenue]]*Table1[[#This Row],[Discount%]]/100</f>
        <v>0</v>
      </c>
      <c r="O708" s="6">
        <f>Table1[[#This Row],[Revenue]]-Table1[[#This Row],[Disc_amount]]</f>
        <v>899</v>
      </c>
      <c r="P708" t="s">
        <v>33</v>
      </c>
      <c r="Q708" t="s">
        <v>27</v>
      </c>
    </row>
    <row r="709" spans="1:17">
      <c r="A709" t="s">
        <v>1351</v>
      </c>
      <c r="B709" s="1" t="s">
        <v>1350</v>
      </c>
      <c r="C709" s="1" t="s">
        <v>1143</v>
      </c>
      <c r="D709" s="1" t="s">
        <v>20</v>
      </c>
      <c r="E709" t="s">
        <v>583</v>
      </c>
      <c r="F709" t="s">
        <v>584</v>
      </c>
      <c r="G709" t="s">
        <v>31</v>
      </c>
      <c r="H709" t="s">
        <v>65</v>
      </c>
      <c r="I709" t="s">
        <v>66</v>
      </c>
      <c r="J709">
        <v>1</v>
      </c>
      <c r="K709">
        <v>1999</v>
      </c>
      <c r="L709">
        <f>Table1[[#This Row],[Quantity]] * Table1[[#This Row],[UnitPrice]]</f>
        <v>1999</v>
      </c>
      <c r="M709" s="25">
        <v>0</v>
      </c>
      <c r="N709">
        <f>Table1[[#This Row],[Revenue]]*Table1[[#This Row],[Discount%]]/100</f>
        <v>0</v>
      </c>
      <c r="O709" s="6">
        <f>Table1[[#This Row],[Revenue]]-Table1[[#This Row],[Disc_amount]]</f>
        <v>1999</v>
      </c>
      <c r="P709" t="s">
        <v>26</v>
      </c>
      <c r="Q709" t="s">
        <v>27</v>
      </c>
    </row>
    <row r="710" spans="1:17">
      <c r="A710" t="s">
        <v>1352</v>
      </c>
      <c r="B710" s="1" t="s">
        <v>1350</v>
      </c>
      <c r="C710" s="1" t="s">
        <v>1143</v>
      </c>
      <c r="D710" s="1" t="s">
        <v>20</v>
      </c>
      <c r="E710" t="s">
        <v>202</v>
      </c>
      <c r="F710" t="s">
        <v>203</v>
      </c>
      <c r="G710" t="s">
        <v>23</v>
      </c>
      <c r="H710" t="s">
        <v>39</v>
      </c>
      <c r="I710" t="s">
        <v>140</v>
      </c>
      <c r="J710">
        <v>3</v>
      </c>
      <c r="K710">
        <v>1799</v>
      </c>
      <c r="L710">
        <f>Table1[[#This Row],[Quantity]] * Table1[[#This Row],[UnitPrice]]</f>
        <v>5397</v>
      </c>
      <c r="M710" s="25">
        <v>0</v>
      </c>
      <c r="N710">
        <f>Table1[[#This Row],[Revenue]]*Table1[[#This Row],[Discount%]]/100</f>
        <v>0</v>
      </c>
      <c r="O710" s="6">
        <f>Table1[[#This Row],[Revenue]]-Table1[[#This Row],[Disc_amount]]</f>
        <v>5397</v>
      </c>
      <c r="P710" t="s">
        <v>52</v>
      </c>
      <c r="Q710" t="s">
        <v>27</v>
      </c>
    </row>
    <row r="711" spans="1:17">
      <c r="A711" t="s">
        <v>1353</v>
      </c>
      <c r="B711" s="1" t="s">
        <v>1350</v>
      </c>
      <c r="C711" s="1" t="s">
        <v>1143</v>
      </c>
      <c r="D711" s="1" t="s">
        <v>20</v>
      </c>
      <c r="E711" t="s">
        <v>1049</v>
      </c>
      <c r="F711" t="s">
        <v>415</v>
      </c>
      <c r="G711" t="s">
        <v>23</v>
      </c>
      <c r="H711" t="s">
        <v>46</v>
      </c>
      <c r="I711" t="s">
        <v>154</v>
      </c>
      <c r="J711">
        <v>1</v>
      </c>
      <c r="K711">
        <v>299</v>
      </c>
      <c r="L711">
        <f>Table1[[#This Row],[Quantity]] * Table1[[#This Row],[UnitPrice]]</f>
        <v>299</v>
      </c>
      <c r="M711" s="25">
        <v>10</v>
      </c>
      <c r="N711">
        <f>Table1[[#This Row],[Revenue]]*Table1[[#This Row],[Discount%]]/100</f>
        <v>29.9</v>
      </c>
      <c r="O711" s="6">
        <f>Table1[[#This Row],[Revenue]]-Table1[[#This Row],[Disc_amount]]</f>
        <v>269.10000000000002</v>
      </c>
      <c r="P711" t="s">
        <v>33</v>
      </c>
      <c r="Q711" t="s">
        <v>34</v>
      </c>
    </row>
    <row r="712" spans="1:17">
      <c r="A712" t="s">
        <v>1354</v>
      </c>
      <c r="B712" s="1" t="s">
        <v>1350</v>
      </c>
      <c r="C712" s="1" t="s">
        <v>1143</v>
      </c>
      <c r="D712" s="1" t="s">
        <v>20</v>
      </c>
      <c r="E712" t="s">
        <v>1355</v>
      </c>
      <c r="F712" t="s">
        <v>265</v>
      </c>
      <c r="G712" t="s">
        <v>56</v>
      </c>
      <c r="H712" t="s">
        <v>24</v>
      </c>
      <c r="I712" t="s">
        <v>25</v>
      </c>
      <c r="J712">
        <v>5</v>
      </c>
      <c r="K712">
        <v>99</v>
      </c>
      <c r="L712">
        <f>Table1[[#This Row],[Quantity]] * Table1[[#This Row],[UnitPrice]]</f>
        <v>495</v>
      </c>
      <c r="M712" s="25">
        <v>0</v>
      </c>
      <c r="N712">
        <f>Table1[[#This Row],[Revenue]]*Table1[[#This Row],[Discount%]]/100</f>
        <v>0</v>
      </c>
      <c r="O712" s="6">
        <f>Table1[[#This Row],[Revenue]]-Table1[[#This Row],[Disc_amount]]</f>
        <v>495</v>
      </c>
      <c r="P712" t="s">
        <v>52</v>
      </c>
      <c r="Q712" t="s">
        <v>27</v>
      </c>
    </row>
    <row r="713" spans="1:17">
      <c r="A713" t="s">
        <v>1356</v>
      </c>
      <c r="B713" s="1" t="s">
        <v>1350</v>
      </c>
      <c r="C713" s="1" t="s">
        <v>1143</v>
      </c>
      <c r="D713" s="1" t="s">
        <v>20</v>
      </c>
      <c r="E713" t="s">
        <v>136</v>
      </c>
      <c r="F713" t="s">
        <v>115</v>
      </c>
      <c r="G713" t="s">
        <v>31</v>
      </c>
      <c r="H713" t="s">
        <v>39</v>
      </c>
      <c r="I713" t="s">
        <v>40</v>
      </c>
      <c r="J713">
        <v>5</v>
      </c>
      <c r="K713">
        <v>599</v>
      </c>
      <c r="L713">
        <f>Table1[[#This Row],[Quantity]] * Table1[[#This Row],[UnitPrice]]</f>
        <v>2995</v>
      </c>
      <c r="M713" s="25">
        <v>0</v>
      </c>
      <c r="N713">
        <f>Table1[[#This Row],[Revenue]]*Table1[[#This Row],[Discount%]]/100</f>
        <v>0</v>
      </c>
      <c r="O713" s="6">
        <f>Table1[[#This Row],[Revenue]]-Table1[[#This Row],[Disc_amount]]</f>
        <v>2995</v>
      </c>
      <c r="P713" t="s">
        <v>41</v>
      </c>
      <c r="Q713" t="s">
        <v>27</v>
      </c>
    </row>
    <row r="714" spans="1:17">
      <c r="A714" t="s">
        <v>1357</v>
      </c>
      <c r="B714" s="1" t="s">
        <v>1358</v>
      </c>
      <c r="C714" s="1" t="s">
        <v>1143</v>
      </c>
      <c r="D714" s="1" t="s">
        <v>20</v>
      </c>
      <c r="E714" t="s">
        <v>328</v>
      </c>
      <c r="F714" t="s">
        <v>329</v>
      </c>
      <c r="G714" t="s">
        <v>31</v>
      </c>
      <c r="H714" t="s">
        <v>65</v>
      </c>
      <c r="I714" t="s">
        <v>66</v>
      </c>
      <c r="J714">
        <v>3</v>
      </c>
      <c r="K714">
        <v>1999</v>
      </c>
      <c r="L714">
        <f>Table1[[#This Row],[Quantity]] * Table1[[#This Row],[UnitPrice]]</f>
        <v>5997</v>
      </c>
      <c r="M714" s="25">
        <v>10</v>
      </c>
      <c r="N714">
        <f>Table1[[#This Row],[Revenue]]*Table1[[#This Row],[Discount%]]/100</f>
        <v>599.70000000000005</v>
      </c>
      <c r="O714" s="6">
        <f>Table1[[#This Row],[Revenue]]-Table1[[#This Row],[Disc_amount]]</f>
        <v>5397.3</v>
      </c>
      <c r="P714" t="s">
        <v>41</v>
      </c>
      <c r="Q714" t="s">
        <v>27</v>
      </c>
    </row>
    <row r="715" spans="1:17">
      <c r="A715" t="s">
        <v>1359</v>
      </c>
      <c r="B715" s="1" t="s">
        <v>1358</v>
      </c>
      <c r="C715" s="1" t="s">
        <v>1143</v>
      </c>
      <c r="D715" s="1" t="s">
        <v>20</v>
      </c>
      <c r="E715" t="s">
        <v>776</v>
      </c>
      <c r="F715" t="s">
        <v>153</v>
      </c>
      <c r="G715" t="s">
        <v>31</v>
      </c>
      <c r="H715" t="s">
        <v>39</v>
      </c>
      <c r="I715" t="s">
        <v>40</v>
      </c>
      <c r="J715">
        <v>4</v>
      </c>
      <c r="K715">
        <v>599</v>
      </c>
      <c r="L715">
        <f>Table1[[#This Row],[Quantity]] * Table1[[#This Row],[UnitPrice]]</f>
        <v>2396</v>
      </c>
      <c r="M715" s="25">
        <v>20</v>
      </c>
      <c r="N715">
        <f>Table1[[#This Row],[Revenue]]*Table1[[#This Row],[Discount%]]/100</f>
        <v>479.2</v>
      </c>
      <c r="O715" s="6">
        <f>Table1[[#This Row],[Revenue]]-Table1[[#This Row],[Disc_amount]]</f>
        <v>1916.8</v>
      </c>
      <c r="P715" t="s">
        <v>26</v>
      </c>
      <c r="Q715" t="s">
        <v>34</v>
      </c>
    </row>
    <row r="716" spans="1:17">
      <c r="A716" t="s">
        <v>1360</v>
      </c>
      <c r="B716" s="1" t="s">
        <v>1358</v>
      </c>
      <c r="C716" s="1" t="s">
        <v>1143</v>
      </c>
      <c r="D716" s="1" t="s">
        <v>20</v>
      </c>
      <c r="E716" t="s">
        <v>96</v>
      </c>
      <c r="F716" t="s">
        <v>97</v>
      </c>
      <c r="G716" t="s">
        <v>38</v>
      </c>
      <c r="H716" t="s">
        <v>108</v>
      </c>
      <c r="I716" t="s">
        <v>109</v>
      </c>
      <c r="J716">
        <v>1</v>
      </c>
      <c r="K716">
        <v>1499</v>
      </c>
      <c r="L716">
        <f>Table1[[#This Row],[Quantity]] * Table1[[#This Row],[UnitPrice]]</f>
        <v>1499</v>
      </c>
      <c r="M716" s="25">
        <v>0</v>
      </c>
      <c r="N716">
        <f>Table1[[#This Row],[Revenue]]*Table1[[#This Row],[Discount%]]/100</f>
        <v>0</v>
      </c>
      <c r="O716" s="6">
        <f>Table1[[#This Row],[Revenue]]-Table1[[#This Row],[Disc_amount]]</f>
        <v>1499</v>
      </c>
      <c r="P716" t="s">
        <v>26</v>
      </c>
      <c r="Q716" t="s">
        <v>27</v>
      </c>
    </row>
    <row r="717" spans="1:17">
      <c r="A717" t="s">
        <v>1361</v>
      </c>
      <c r="B717" s="1" t="s">
        <v>1358</v>
      </c>
      <c r="C717" s="1" t="s">
        <v>1143</v>
      </c>
      <c r="D717" s="1" t="s">
        <v>20</v>
      </c>
      <c r="E717" t="s">
        <v>469</v>
      </c>
      <c r="F717" t="s">
        <v>470</v>
      </c>
      <c r="G717" t="s">
        <v>23</v>
      </c>
      <c r="H717" t="s">
        <v>24</v>
      </c>
      <c r="I717" t="s">
        <v>25</v>
      </c>
      <c r="J717">
        <v>2</v>
      </c>
      <c r="K717">
        <v>99</v>
      </c>
      <c r="L717">
        <f>Table1[[#This Row],[Quantity]] * Table1[[#This Row],[UnitPrice]]</f>
        <v>198</v>
      </c>
      <c r="M717" s="25">
        <v>15</v>
      </c>
      <c r="N717">
        <f>Table1[[#This Row],[Revenue]]*Table1[[#This Row],[Discount%]]/100</f>
        <v>29.7</v>
      </c>
      <c r="O717" s="6">
        <f>Table1[[#This Row],[Revenue]]-Table1[[#This Row],[Disc_amount]]</f>
        <v>168.3</v>
      </c>
      <c r="P717" t="s">
        <v>41</v>
      </c>
      <c r="Q717" t="s">
        <v>27</v>
      </c>
    </row>
    <row r="718" spans="1:17">
      <c r="A718" t="s">
        <v>1362</v>
      </c>
      <c r="B718" s="1" t="s">
        <v>1358</v>
      </c>
      <c r="C718" s="1" t="s">
        <v>1143</v>
      </c>
      <c r="D718" s="1" t="s">
        <v>20</v>
      </c>
      <c r="E718" t="s">
        <v>76</v>
      </c>
      <c r="F718" t="s">
        <v>77</v>
      </c>
      <c r="G718" t="s">
        <v>31</v>
      </c>
      <c r="H718" t="s">
        <v>57</v>
      </c>
      <c r="I718" t="s">
        <v>62</v>
      </c>
      <c r="J718">
        <v>4</v>
      </c>
      <c r="K718">
        <v>799</v>
      </c>
      <c r="L718">
        <f>Table1[[#This Row],[Quantity]] * Table1[[#This Row],[UnitPrice]]</f>
        <v>3196</v>
      </c>
      <c r="M718" s="25">
        <v>0</v>
      </c>
      <c r="N718">
        <f>Table1[[#This Row],[Revenue]]*Table1[[#This Row],[Discount%]]/100</f>
        <v>0</v>
      </c>
      <c r="O718" s="6">
        <f>Table1[[#This Row],[Revenue]]-Table1[[#This Row],[Disc_amount]]</f>
        <v>3196</v>
      </c>
      <c r="P718" t="s">
        <v>41</v>
      </c>
      <c r="Q718" t="s">
        <v>27</v>
      </c>
    </row>
    <row r="719" spans="1:17">
      <c r="A719" t="s">
        <v>1363</v>
      </c>
      <c r="B719" s="1" t="s">
        <v>1358</v>
      </c>
      <c r="C719" s="1" t="s">
        <v>1143</v>
      </c>
      <c r="D719" s="1" t="s">
        <v>20</v>
      </c>
      <c r="E719" t="s">
        <v>1364</v>
      </c>
      <c r="F719" t="s">
        <v>326</v>
      </c>
      <c r="G719" t="s">
        <v>38</v>
      </c>
      <c r="H719" t="s">
        <v>70</v>
      </c>
      <c r="I719" t="s">
        <v>71</v>
      </c>
      <c r="J719">
        <v>4</v>
      </c>
      <c r="K719">
        <v>349</v>
      </c>
      <c r="L719">
        <f>Table1[[#This Row],[Quantity]] * Table1[[#This Row],[UnitPrice]]</f>
        <v>1396</v>
      </c>
      <c r="M719" s="25">
        <v>0</v>
      </c>
      <c r="N719">
        <f>Table1[[#This Row],[Revenue]]*Table1[[#This Row],[Discount%]]/100</f>
        <v>0</v>
      </c>
      <c r="O719" s="6">
        <f>Table1[[#This Row],[Revenue]]-Table1[[#This Row],[Disc_amount]]</f>
        <v>1396</v>
      </c>
      <c r="P719" t="s">
        <v>33</v>
      </c>
      <c r="Q719" t="s">
        <v>34</v>
      </c>
    </row>
    <row r="720" spans="1:17">
      <c r="A720" t="s">
        <v>1365</v>
      </c>
      <c r="B720" s="1" t="s">
        <v>1358</v>
      </c>
      <c r="C720" s="1" t="s">
        <v>1143</v>
      </c>
      <c r="D720" s="1" t="s">
        <v>20</v>
      </c>
      <c r="E720" t="s">
        <v>252</v>
      </c>
      <c r="F720" t="s">
        <v>253</v>
      </c>
      <c r="G720" t="s">
        <v>45</v>
      </c>
      <c r="H720" t="s">
        <v>39</v>
      </c>
      <c r="I720" t="s">
        <v>140</v>
      </c>
      <c r="J720">
        <v>3</v>
      </c>
      <c r="K720">
        <v>1799</v>
      </c>
      <c r="L720">
        <f>Table1[[#This Row],[Quantity]] * Table1[[#This Row],[UnitPrice]]</f>
        <v>5397</v>
      </c>
      <c r="M720" s="25">
        <v>5</v>
      </c>
      <c r="N720">
        <f>Table1[[#This Row],[Revenue]]*Table1[[#This Row],[Discount%]]/100</f>
        <v>269.85000000000002</v>
      </c>
      <c r="O720" s="6">
        <f>Table1[[#This Row],[Revenue]]-Table1[[#This Row],[Disc_amount]]</f>
        <v>5127.1499999999996</v>
      </c>
      <c r="P720" t="s">
        <v>33</v>
      </c>
      <c r="Q720" t="s">
        <v>34</v>
      </c>
    </row>
    <row r="721" spans="1:17">
      <c r="A721" t="s">
        <v>1366</v>
      </c>
      <c r="B721" s="1" t="s">
        <v>1367</v>
      </c>
      <c r="C721" s="1" t="s">
        <v>1143</v>
      </c>
      <c r="D721" s="1" t="s">
        <v>20</v>
      </c>
      <c r="E721" t="s">
        <v>674</v>
      </c>
      <c r="F721" t="s">
        <v>675</v>
      </c>
      <c r="G721" t="s">
        <v>23</v>
      </c>
      <c r="H721" t="s">
        <v>108</v>
      </c>
      <c r="I721" t="s">
        <v>109</v>
      </c>
      <c r="J721">
        <v>3</v>
      </c>
      <c r="K721">
        <v>1499</v>
      </c>
      <c r="L721">
        <f>Table1[[#This Row],[Quantity]] * Table1[[#This Row],[UnitPrice]]</f>
        <v>4497</v>
      </c>
      <c r="M721" s="25">
        <v>5</v>
      </c>
      <c r="N721">
        <f>Table1[[#This Row],[Revenue]]*Table1[[#This Row],[Discount%]]/100</f>
        <v>224.85</v>
      </c>
      <c r="O721" s="6">
        <f>Table1[[#This Row],[Revenue]]-Table1[[#This Row],[Disc_amount]]</f>
        <v>4272.1499999999996</v>
      </c>
      <c r="P721" t="s">
        <v>41</v>
      </c>
      <c r="Q721" t="s">
        <v>34</v>
      </c>
    </row>
    <row r="722" spans="1:17">
      <c r="A722" t="s">
        <v>1368</v>
      </c>
      <c r="B722" s="1" t="s">
        <v>1367</v>
      </c>
      <c r="C722" s="1" t="s">
        <v>1143</v>
      </c>
      <c r="D722" s="1" t="s">
        <v>20</v>
      </c>
      <c r="E722" t="s">
        <v>126</v>
      </c>
      <c r="F722" t="s">
        <v>77</v>
      </c>
      <c r="G722" t="s">
        <v>38</v>
      </c>
      <c r="H722" t="s">
        <v>57</v>
      </c>
      <c r="I722" t="s">
        <v>58</v>
      </c>
      <c r="J722">
        <v>1</v>
      </c>
      <c r="K722">
        <v>1299</v>
      </c>
      <c r="L722">
        <f>Table1[[#This Row],[Quantity]] * Table1[[#This Row],[UnitPrice]]</f>
        <v>1299</v>
      </c>
      <c r="M722" s="25">
        <v>5</v>
      </c>
      <c r="N722">
        <f>Table1[[#This Row],[Revenue]]*Table1[[#This Row],[Discount%]]/100</f>
        <v>64.95</v>
      </c>
      <c r="O722" s="6">
        <f>Table1[[#This Row],[Revenue]]-Table1[[#This Row],[Disc_amount]]</f>
        <v>1234.05</v>
      </c>
      <c r="P722" t="s">
        <v>86</v>
      </c>
      <c r="Q722" t="s">
        <v>27</v>
      </c>
    </row>
    <row r="723" spans="1:17">
      <c r="A723" t="s">
        <v>1369</v>
      </c>
      <c r="B723" s="1" t="s">
        <v>1367</v>
      </c>
      <c r="C723" s="1" t="s">
        <v>1143</v>
      </c>
      <c r="D723" s="1" t="s">
        <v>20</v>
      </c>
      <c r="E723" t="s">
        <v>893</v>
      </c>
      <c r="F723" t="s">
        <v>434</v>
      </c>
      <c r="G723" t="s">
        <v>31</v>
      </c>
      <c r="H723" t="s">
        <v>65</v>
      </c>
      <c r="I723" t="s">
        <v>94</v>
      </c>
      <c r="J723">
        <v>1</v>
      </c>
      <c r="K723">
        <v>899</v>
      </c>
      <c r="L723">
        <f>Table1[[#This Row],[Quantity]] * Table1[[#This Row],[UnitPrice]]</f>
        <v>899</v>
      </c>
      <c r="M723" s="25">
        <v>5</v>
      </c>
      <c r="N723">
        <f>Table1[[#This Row],[Revenue]]*Table1[[#This Row],[Discount%]]/100</f>
        <v>44.95</v>
      </c>
      <c r="O723" s="6">
        <f>Table1[[#This Row],[Revenue]]-Table1[[#This Row],[Disc_amount]]</f>
        <v>854.05</v>
      </c>
      <c r="P723" t="s">
        <v>86</v>
      </c>
      <c r="Q723" t="s">
        <v>34</v>
      </c>
    </row>
    <row r="724" spans="1:17">
      <c r="A724" t="s">
        <v>1370</v>
      </c>
      <c r="B724" s="1" t="s">
        <v>1367</v>
      </c>
      <c r="C724" s="1" t="s">
        <v>1143</v>
      </c>
      <c r="D724" s="1" t="s">
        <v>20</v>
      </c>
      <c r="E724" t="s">
        <v>1240</v>
      </c>
      <c r="F724" t="s">
        <v>115</v>
      </c>
      <c r="G724" t="s">
        <v>31</v>
      </c>
      <c r="H724" t="s">
        <v>24</v>
      </c>
      <c r="I724" t="s">
        <v>25</v>
      </c>
      <c r="J724">
        <v>4</v>
      </c>
      <c r="K724">
        <v>99</v>
      </c>
      <c r="L724">
        <f>Table1[[#This Row],[Quantity]] * Table1[[#This Row],[UnitPrice]]</f>
        <v>396</v>
      </c>
      <c r="M724" s="25">
        <v>0</v>
      </c>
      <c r="N724">
        <f>Table1[[#This Row],[Revenue]]*Table1[[#This Row],[Discount%]]/100</f>
        <v>0</v>
      </c>
      <c r="O724" s="6">
        <f>Table1[[#This Row],[Revenue]]-Table1[[#This Row],[Disc_amount]]</f>
        <v>396</v>
      </c>
      <c r="P724" t="s">
        <v>52</v>
      </c>
      <c r="Q724" t="s">
        <v>27</v>
      </c>
    </row>
    <row r="725" spans="1:17">
      <c r="A725" t="s">
        <v>1371</v>
      </c>
      <c r="B725" s="1" t="s">
        <v>1367</v>
      </c>
      <c r="C725" s="1" t="s">
        <v>1143</v>
      </c>
      <c r="D725" s="1" t="s">
        <v>20</v>
      </c>
      <c r="E725" t="s">
        <v>518</v>
      </c>
      <c r="F725" t="s">
        <v>519</v>
      </c>
      <c r="G725" t="s">
        <v>23</v>
      </c>
      <c r="H725" t="s">
        <v>70</v>
      </c>
      <c r="I725" t="s">
        <v>71</v>
      </c>
      <c r="J725">
        <v>2</v>
      </c>
      <c r="K725">
        <v>349</v>
      </c>
      <c r="L725">
        <f>Table1[[#This Row],[Quantity]] * Table1[[#This Row],[UnitPrice]]</f>
        <v>698</v>
      </c>
      <c r="M725" s="25">
        <v>15</v>
      </c>
      <c r="N725">
        <f>Table1[[#This Row],[Revenue]]*Table1[[#This Row],[Discount%]]/100</f>
        <v>104.7</v>
      </c>
      <c r="O725" s="6">
        <f>Table1[[#This Row],[Revenue]]-Table1[[#This Row],[Disc_amount]]</f>
        <v>593.29999999999995</v>
      </c>
      <c r="P725" t="s">
        <v>41</v>
      </c>
      <c r="Q725" t="s">
        <v>27</v>
      </c>
    </row>
    <row r="726" spans="1:17">
      <c r="A726" t="s">
        <v>1372</v>
      </c>
      <c r="B726" s="1" t="s">
        <v>1367</v>
      </c>
      <c r="C726" s="1" t="s">
        <v>1143</v>
      </c>
      <c r="D726" s="1" t="s">
        <v>20</v>
      </c>
      <c r="E726" t="s">
        <v>1163</v>
      </c>
      <c r="F726" t="s">
        <v>390</v>
      </c>
      <c r="G726" t="s">
        <v>23</v>
      </c>
      <c r="H726" t="s">
        <v>24</v>
      </c>
      <c r="I726" t="s">
        <v>25</v>
      </c>
      <c r="J726">
        <v>5</v>
      </c>
      <c r="K726">
        <v>99</v>
      </c>
      <c r="L726">
        <f>Table1[[#This Row],[Quantity]] * Table1[[#This Row],[UnitPrice]]</f>
        <v>495</v>
      </c>
      <c r="M726" s="25">
        <v>20</v>
      </c>
      <c r="N726">
        <f>Table1[[#This Row],[Revenue]]*Table1[[#This Row],[Discount%]]/100</f>
        <v>99</v>
      </c>
      <c r="O726" s="6">
        <f>Table1[[#This Row],[Revenue]]-Table1[[#This Row],[Disc_amount]]</f>
        <v>396</v>
      </c>
      <c r="P726" t="s">
        <v>41</v>
      </c>
      <c r="Q726" t="s">
        <v>34</v>
      </c>
    </row>
    <row r="727" spans="1:17">
      <c r="A727" t="s">
        <v>1373</v>
      </c>
      <c r="B727" s="1" t="s">
        <v>1367</v>
      </c>
      <c r="C727" s="1" t="s">
        <v>1143</v>
      </c>
      <c r="D727" s="1" t="s">
        <v>20</v>
      </c>
      <c r="E727" t="s">
        <v>175</v>
      </c>
      <c r="F727" t="s">
        <v>176</v>
      </c>
      <c r="G727" t="s">
        <v>38</v>
      </c>
      <c r="H727" t="s">
        <v>24</v>
      </c>
      <c r="I727" t="s">
        <v>25</v>
      </c>
      <c r="J727">
        <v>4</v>
      </c>
      <c r="K727">
        <v>99</v>
      </c>
      <c r="L727">
        <f>Table1[[#This Row],[Quantity]] * Table1[[#This Row],[UnitPrice]]</f>
        <v>396</v>
      </c>
      <c r="M727" s="25">
        <v>10</v>
      </c>
      <c r="N727">
        <f>Table1[[#This Row],[Revenue]]*Table1[[#This Row],[Discount%]]/100</f>
        <v>39.6</v>
      </c>
      <c r="O727" s="6">
        <f>Table1[[#This Row],[Revenue]]-Table1[[#This Row],[Disc_amount]]</f>
        <v>356.4</v>
      </c>
      <c r="P727" t="s">
        <v>41</v>
      </c>
      <c r="Q727" t="s">
        <v>34</v>
      </c>
    </row>
    <row r="728" spans="1:17">
      <c r="A728" t="s">
        <v>1374</v>
      </c>
      <c r="B728" s="1" t="s">
        <v>1367</v>
      </c>
      <c r="C728" s="1" t="s">
        <v>1143</v>
      </c>
      <c r="D728" s="1" t="s">
        <v>20</v>
      </c>
      <c r="E728" t="s">
        <v>707</v>
      </c>
      <c r="F728" t="s">
        <v>242</v>
      </c>
      <c r="G728" t="s">
        <v>23</v>
      </c>
      <c r="H728" t="s">
        <v>46</v>
      </c>
      <c r="I728" t="s">
        <v>47</v>
      </c>
      <c r="J728">
        <v>2</v>
      </c>
      <c r="K728">
        <v>249</v>
      </c>
      <c r="L728">
        <f>Table1[[#This Row],[Quantity]] * Table1[[#This Row],[UnitPrice]]</f>
        <v>498</v>
      </c>
      <c r="M728" s="25">
        <v>5</v>
      </c>
      <c r="N728">
        <f>Table1[[#This Row],[Revenue]]*Table1[[#This Row],[Discount%]]/100</f>
        <v>24.9</v>
      </c>
      <c r="O728" s="6">
        <f>Table1[[#This Row],[Revenue]]-Table1[[#This Row],[Disc_amount]]</f>
        <v>473.1</v>
      </c>
      <c r="P728" t="s">
        <v>52</v>
      </c>
      <c r="Q728" t="s">
        <v>27</v>
      </c>
    </row>
    <row r="729" spans="1:17">
      <c r="A729" t="s">
        <v>1375</v>
      </c>
      <c r="B729" s="1" t="s">
        <v>1367</v>
      </c>
      <c r="C729" s="1" t="s">
        <v>1143</v>
      </c>
      <c r="D729" s="1" t="s">
        <v>20</v>
      </c>
      <c r="E729" t="s">
        <v>915</v>
      </c>
      <c r="F729" t="s">
        <v>345</v>
      </c>
      <c r="G729" t="s">
        <v>31</v>
      </c>
      <c r="H729" t="s">
        <v>70</v>
      </c>
      <c r="I729" t="s">
        <v>91</v>
      </c>
      <c r="J729">
        <v>3</v>
      </c>
      <c r="K729">
        <v>549</v>
      </c>
      <c r="L729">
        <f>Table1[[#This Row],[Quantity]] * Table1[[#This Row],[UnitPrice]]</f>
        <v>1647</v>
      </c>
      <c r="M729" s="25">
        <v>5</v>
      </c>
      <c r="N729">
        <f>Table1[[#This Row],[Revenue]]*Table1[[#This Row],[Discount%]]/100</f>
        <v>82.35</v>
      </c>
      <c r="O729" s="6">
        <f>Table1[[#This Row],[Revenue]]-Table1[[#This Row],[Disc_amount]]</f>
        <v>1564.65</v>
      </c>
      <c r="P729" t="s">
        <v>33</v>
      </c>
      <c r="Q729" t="s">
        <v>34</v>
      </c>
    </row>
    <row r="730" spans="1:17">
      <c r="A730" t="s">
        <v>1376</v>
      </c>
      <c r="B730" s="1" t="s">
        <v>1367</v>
      </c>
      <c r="C730" s="1" t="s">
        <v>1143</v>
      </c>
      <c r="D730" s="1" t="s">
        <v>20</v>
      </c>
      <c r="E730" t="s">
        <v>328</v>
      </c>
      <c r="F730" t="s">
        <v>329</v>
      </c>
      <c r="G730" t="s">
        <v>31</v>
      </c>
      <c r="H730" t="s">
        <v>108</v>
      </c>
      <c r="I730" t="s">
        <v>109</v>
      </c>
      <c r="J730">
        <v>2</v>
      </c>
      <c r="K730">
        <v>1499</v>
      </c>
      <c r="L730">
        <f>Table1[[#This Row],[Quantity]] * Table1[[#This Row],[UnitPrice]]</f>
        <v>2998</v>
      </c>
      <c r="M730" s="25">
        <v>15</v>
      </c>
      <c r="N730">
        <f>Table1[[#This Row],[Revenue]]*Table1[[#This Row],[Discount%]]/100</f>
        <v>449.7</v>
      </c>
      <c r="O730" s="6">
        <f>Table1[[#This Row],[Revenue]]-Table1[[#This Row],[Disc_amount]]</f>
        <v>2548.3000000000002</v>
      </c>
      <c r="P730" t="s">
        <v>41</v>
      </c>
      <c r="Q730" t="s">
        <v>27</v>
      </c>
    </row>
    <row r="731" spans="1:17">
      <c r="A731" t="s">
        <v>1377</v>
      </c>
      <c r="B731" s="1" t="s">
        <v>1367</v>
      </c>
      <c r="C731" s="1" t="s">
        <v>1143</v>
      </c>
      <c r="D731" s="1" t="s">
        <v>20</v>
      </c>
      <c r="E731" t="s">
        <v>357</v>
      </c>
      <c r="F731" t="s">
        <v>358</v>
      </c>
      <c r="G731" t="s">
        <v>56</v>
      </c>
      <c r="H731" t="s">
        <v>39</v>
      </c>
      <c r="I731" t="s">
        <v>51</v>
      </c>
      <c r="J731">
        <v>2</v>
      </c>
      <c r="K731">
        <v>2999</v>
      </c>
      <c r="L731">
        <f>Table1[[#This Row],[Quantity]] * Table1[[#This Row],[UnitPrice]]</f>
        <v>5998</v>
      </c>
      <c r="M731" s="25">
        <v>10</v>
      </c>
      <c r="N731">
        <f>Table1[[#This Row],[Revenue]]*Table1[[#This Row],[Discount%]]/100</f>
        <v>599.79999999999995</v>
      </c>
      <c r="O731" s="6">
        <f>Table1[[#This Row],[Revenue]]-Table1[[#This Row],[Disc_amount]]</f>
        <v>5398.2</v>
      </c>
      <c r="P731" t="s">
        <v>52</v>
      </c>
      <c r="Q731" t="s">
        <v>27</v>
      </c>
    </row>
    <row r="732" spans="1:17">
      <c r="A732" t="s">
        <v>1378</v>
      </c>
      <c r="B732" s="1" t="s">
        <v>1379</v>
      </c>
      <c r="C732" s="1" t="s">
        <v>1143</v>
      </c>
      <c r="D732" s="1" t="s">
        <v>20</v>
      </c>
      <c r="E732" t="s">
        <v>1061</v>
      </c>
      <c r="F732" t="s">
        <v>1062</v>
      </c>
      <c r="G732" t="s">
        <v>38</v>
      </c>
      <c r="H732" t="s">
        <v>57</v>
      </c>
      <c r="I732" t="s">
        <v>58</v>
      </c>
      <c r="J732">
        <v>2</v>
      </c>
      <c r="K732">
        <v>1299</v>
      </c>
      <c r="L732">
        <f>Table1[[#This Row],[Quantity]] * Table1[[#This Row],[UnitPrice]]</f>
        <v>2598</v>
      </c>
      <c r="M732" s="25">
        <v>10</v>
      </c>
      <c r="N732">
        <f>Table1[[#This Row],[Revenue]]*Table1[[#This Row],[Discount%]]/100</f>
        <v>259.8</v>
      </c>
      <c r="O732" s="6">
        <f>Table1[[#This Row],[Revenue]]-Table1[[#This Row],[Disc_amount]]</f>
        <v>2338.1999999999998</v>
      </c>
      <c r="P732" t="s">
        <v>33</v>
      </c>
      <c r="Q732" t="s">
        <v>27</v>
      </c>
    </row>
    <row r="733" spans="1:17">
      <c r="A733" t="s">
        <v>1380</v>
      </c>
      <c r="B733" s="1" t="s">
        <v>1379</v>
      </c>
      <c r="C733" s="1" t="s">
        <v>1143</v>
      </c>
      <c r="D733" s="1" t="s">
        <v>20</v>
      </c>
      <c r="E733" t="s">
        <v>888</v>
      </c>
      <c r="F733" t="s">
        <v>698</v>
      </c>
      <c r="G733" t="s">
        <v>23</v>
      </c>
      <c r="H733" t="s">
        <v>108</v>
      </c>
      <c r="I733" t="s">
        <v>109</v>
      </c>
      <c r="J733">
        <v>4</v>
      </c>
      <c r="K733">
        <v>1499</v>
      </c>
      <c r="L733">
        <f>Table1[[#This Row],[Quantity]] * Table1[[#This Row],[UnitPrice]]</f>
        <v>5996</v>
      </c>
      <c r="M733" s="25">
        <v>10</v>
      </c>
      <c r="N733">
        <f>Table1[[#This Row],[Revenue]]*Table1[[#This Row],[Discount%]]/100</f>
        <v>599.6</v>
      </c>
      <c r="O733" s="6">
        <f>Table1[[#This Row],[Revenue]]-Table1[[#This Row],[Disc_amount]]</f>
        <v>5396.4</v>
      </c>
      <c r="P733" t="s">
        <v>86</v>
      </c>
      <c r="Q733" t="s">
        <v>27</v>
      </c>
    </row>
    <row r="734" spans="1:17">
      <c r="A734" t="s">
        <v>1381</v>
      </c>
      <c r="B734" s="1" t="s">
        <v>1379</v>
      </c>
      <c r="C734" s="1" t="s">
        <v>1143</v>
      </c>
      <c r="D734" s="1" t="s">
        <v>20</v>
      </c>
      <c r="E734" t="s">
        <v>1382</v>
      </c>
      <c r="F734" t="s">
        <v>173</v>
      </c>
      <c r="G734" t="s">
        <v>31</v>
      </c>
      <c r="H734" t="s">
        <v>39</v>
      </c>
      <c r="I734" t="s">
        <v>40</v>
      </c>
      <c r="J734">
        <v>1</v>
      </c>
      <c r="K734">
        <v>599</v>
      </c>
      <c r="L734">
        <f>Table1[[#This Row],[Quantity]] * Table1[[#This Row],[UnitPrice]]</f>
        <v>599</v>
      </c>
      <c r="M734" s="25">
        <v>20</v>
      </c>
      <c r="N734">
        <f>Table1[[#This Row],[Revenue]]*Table1[[#This Row],[Discount%]]/100</f>
        <v>119.8</v>
      </c>
      <c r="O734" s="6">
        <f>Table1[[#This Row],[Revenue]]-Table1[[#This Row],[Disc_amount]]</f>
        <v>479.2</v>
      </c>
      <c r="P734" t="s">
        <v>26</v>
      </c>
      <c r="Q734" t="s">
        <v>27</v>
      </c>
    </row>
    <row r="735" spans="1:17">
      <c r="A735" t="s">
        <v>1383</v>
      </c>
      <c r="B735" s="1" t="s">
        <v>1379</v>
      </c>
      <c r="C735" s="1" t="s">
        <v>1143</v>
      </c>
      <c r="D735" s="1" t="s">
        <v>20</v>
      </c>
      <c r="E735" t="s">
        <v>536</v>
      </c>
      <c r="F735" t="s">
        <v>295</v>
      </c>
      <c r="G735" t="s">
        <v>56</v>
      </c>
      <c r="H735" t="s">
        <v>24</v>
      </c>
      <c r="I735" t="s">
        <v>25</v>
      </c>
      <c r="J735">
        <v>1</v>
      </c>
      <c r="K735">
        <v>99</v>
      </c>
      <c r="L735">
        <f>Table1[[#This Row],[Quantity]] * Table1[[#This Row],[UnitPrice]]</f>
        <v>99</v>
      </c>
      <c r="M735" s="25">
        <v>5</v>
      </c>
      <c r="N735">
        <f>Table1[[#This Row],[Revenue]]*Table1[[#This Row],[Discount%]]/100</f>
        <v>4.95</v>
      </c>
      <c r="O735" s="6">
        <f>Table1[[#This Row],[Revenue]]-Table1[[#This Row],[Disc_amount]]</f>
        <v>94.05</v>
      </c>
      <c r="P735" t="s">
        <v>26</v>
      </c>
      <c r="Q735" t="s">
        <v>27</v>
      </c>
    </row>
    <row r="736" spans="1:17">
      <c r="A736" t="s">
        <v>1384</v>
      </c>
      <c r="B736" s="1" t="s">
        <v>1379</v>
      </c>
      <c r="C736" s="1" t="s">
        <v>1143</v>
      </c>
      <c r="D736" s="1" t="s">
        <v>20</v>
      </c>
      <c r="E736" t="s">
        <v>1385</v>
      </c>
      <c r="F736" t="s">
        <v>153</v>
      </c>
      <c r="G736" t="s">
        <v>45</v>
      </c>
      <c r="H736" t="s">
        <v>70</v>
      </c>
      <c r="I736" t="s">
        <v>91</v>
      </c>
      <c r="J736">
        <v>4</v>
      </c>
      <c r="K736">
        <v>549</v>
      </c>
      <c r="L736">
        <f>Table1[[#This Row],[Quantity]] * Table1[[#This Row],[UnitPrice]]</f>
        <v>2196</v>
      </c>
      <c r="M736" s="25">
        <v>10</v>
      </c>
      <c r="N736">
        <f>Table1[[#This Row],[Revenue]]*Table1[[#This Row],[Discount%]]/100</f>
        <v>219.6</v>
      </c>
      <c r="O736" s="6">
        <f>Table1[[#This Row],[Revenue]]-Table1[[#This Row],[Disc_amount]]</f>
        <v>1976.4</v>
      </c>
      <c r="P736" t="s">
        <v>26</v>
      </c>
      <c r="Q736" t="s">
        <v>34</v>
      </c>
    </row>
    <row r="737" spans="1:17">
      <c r="A737" t="s">
        <v>1386</v>
      </c>
      <c r="B737" s="1" t="s">
        <v>1379</v>
      </c>
      <c r="C737" s="1" t="s">
        <v>1143</v>
      </c>
      <c r="D737" s="1" t="s">
        <v>20</v>
      </c>
      <c r="E737" t="s">
        <v>964</v>
      </c>
      <c r="F737" t="s">
        <v>265</v>
      </c>
      <c r="G737" t="s">
        <v>45</v>
      </c>
      <c r="H737" t="s">
        <v>24</v>
      </c>
      <c r="I737" t="s">
        <v>32</v>
      </c>
      <c r="J737">
        <v>1</v>
      </c>
      <c r="K737">
        <v>199</v>
      </c>
      <c r="L737">
        <f>Table1[[#This Row],[Quantity]] * Table1[[#This Row],[UnitPrice]]</f>
        <v>199</v>
      </c>
      <c r="M737" s="25">
        <v>15</v>
      </c>
      <c r="N737">
        <f>Table1[[#This Row],[Revenue]]*Table1[[#This Row],[Discount%]]/100</f>
        <v>29.85</v>
      </c>
      <c r="O737" s="6">
        <f>Table1[[#This Row],[Revenue]]-Table1[[#This Row],[Disc_amount]]</f>
        <v>169.15</v>
      </c>
      <c r="P737" t="s">
        <v>41</v>
      </c>
      <c r="Q737" t="s">
        <v>27</v>
      </c>
    </row>
    <row r="738" spans="1:17">
      <c r="A738" t="s">
        <v>1387</v>
      </c>
      <c r="B738" s="1" t="s">
        <v>1379</v>
      </c>
      <c r="C738" s="1" t="s">
        <v>1143</v>
      </c>
      <c r="D738" s="1" t="s">
        <v>20</v>
      </c>
      <c r="E738" t="s">
        <v>904</v>
      </c>
      <c r="F738" t="s">
        <v>191</v>
      </c>
      <c r="G738" t="s">
        <v>45</v>
      </c>
      <c r="H738" t="s">
        <v>46</v>
      </c>
      <c r="I738" t="s">
        <v>47</v>
      </c>
      <c r="J738">
        <v>3</v>
      </c>
      <c r="K738">
        <v>249</v>
      </c>
      <c r="L738">
        <f>Table1[[#This Row],[Quantity]] * Table1[[#This Row],[UnitPrice]]</f>
        <v>747</v>
      </c>
      <c r="M738" s="25">
        <v>20</v>
      </c>
      <c r="N738">
        <f>Table1[[#This Row],[Revenue]]*Table1[[#This Row],[Discount%]]/100</f>
        <v>149.4</v>
      </c>
      <c r="O738" s="6">
        <f>Table1[[#This Row],[Revenue]]-Table1[[#This Row],[Disc_amount]]</f>
        <v>597.6</v>
      </c>
      <c r="P738" t="s">
        <v>52</v>
      </c>
      <c r="Q738" t="s">
        <v>34</v>
      </c>
    </row>
    <row r="739" spans="1:17">
      <c r="A739" t="s">
        <v>1388</v>
      </c>
      <c r="B739" s="1" t="s">
        <v>1379</v>
      </c>
      <c r="C739" s="1" t="s">
        <v>1143</v>
      </c>
      <c r="D739" s="1" t="s">
        <v>20</v>
      </c>
      <c r="E739" t="s">
        <v>1355</v>
      </c>
      <c r="F739" t="s">
        <v>265</v>
      </c>
      <c r="G739" t="s">
        <v>56</v>
      </c>
      <c r="H739" t="s">
        <v>57</v>
      </c>
      <c r="I739" t="s">
        <v>58</v>
      </c>
      <c r="J739">
        <v>1</v>
      </c>
      <c r="K739">
        <v>1299</v>
      </c>
      <c r="L739">
        <f>Table1[[#This Row],[Quantity]] * Table1[[#This Row],[UnitPrice]]</f>
        <v>1299</v>
      </c>
      <c r="M739" s="25">
        <v>0</v>
      </c>
      <c r="N739">
        <f>Table1[[#This Row],[Revenue]]*Table1[[#This Row],[Discount%]]/100</f>
        <v>0</v>
      </c>
      <c r="O739" s="6">
        <f>Table1[[#This Row],[Revenue]]-Table1[[#This Row],[Disc_amount]]</f>
        <v>1299</v>
      </c>
      <c r="P739" t="s">
        <v>26</v>
      </c>
      <c r="Q739" t="s">
        <v>27</v>
      </c>
    </row>
    <row r="740" spans="1:17">
      <c r="A740" t="s">
        <v>1389</v>
      </c>
      <c r="B740" s="1" t="s">
        <v>1379</v>
      </c>
      <c r="C740" s="1" t="s">
        <v>1143</v>
      </c>
      <c r="D740" s="1" t="s">
        <v>20</v>
      </c>
      <c r="E740" t="s">
        <v>915</v>
      </c>
      <c r="F740" t="s">
        <v>345</v>
      </c>
      <c r="G740" t="s">
        <v>31</v>
      </c>
      <c r="H740" t="s">
        <v>65</v>
      </c>
      <c r="I740" t="s">
        <v>94</v>
      </c>
      <c r="J740">
        <v>2</v>
      </c>
      <c r="K740">
        <v>899</v>
      </c>
      <c r="L740">
        <f>Table1[[#This Row],[Quantity]] * Table1[[#This Row],[UnitPrice]]</f>
        <v>1798</v>
      </c>
      <c r="M740" s="25">
        <v>0</v>
      </c>
      <c r="N740">
        <f>Table1[[#This Row],[Revenue]]*Table1[[#This Row],[Discount%]]/100</f>
        <v>0</v>
      </c>
      <c r="O740" s="6">
        <f>Table1[[#This Row],[Revenue]]-Table1[[#This Row],[Disc_amount]]</f>
        <v>1798</v>
      </c>
      <c r="P740" t="s">
        <v>33</v>
      </c>
      <c r="Q740" t="s">
        <v>34</v>
      </c>
    </row>
    <row r="741" spans="1:17">
      <c r="A741" t="s">
        <v>1390</v>
      </c>
      <c r="B741" s="1" t="s">
        <v>1391</v>
      </c>
      <c r="C741" s="1" t="s">
        <v>1143</v>
      </c>
      <c r="D741" s="1" t="s">
        <v>20</v>
      </c>
      <c r="E741" t="s">
        <v>1392</v>
      </c>
      <c r="F741" t="s">
        <v>97</v>
      </c>
      <c r="G741" t="s">
        <v>45</v>
      </c>
      <c r="H741" t="s">
        <v>65</v>
      </c>
      <c r="I741" t="s">
        <v>94</v>
      </c>
      <c r="J741">
        <v>2</v>
      </c>
      <c r="K741">
        <v>899</v>
      </c>
      <c r="L741">
        <f>Table1[[#This Row],[Quantity]] * Table1[[#This Row],[UnitPrice]]</f>
        <v>1798</v>
      </c>
      <c r="M741" s="25">
        <v>0</v>
      </c>
      <c r="N741">
        <f>Table1[[#This Row],[Revenue]]*Table1[[#This Row],[Discount%]]/100</f>
        <v>0</v>
      </c>
      <c r="O741" s="6">
        <f>Table1[[#This Row],[Revenue]]-Table1[[#This Row],[Disc_amount]]</f>
        <v>1798</v>
      </c>
      <c r="P741" t="s">
        <v>86</v>
      </c>
      <c r="Q741" t="s">
        <v>27</v>
      </c>
    </row>
    <row r="742" spans="1:17">
      <c r="A742" t="s">
        <v>1393</v>
      </c>
      <c r="B742" s="1" t="s">
        <v>1391</v>
      </c>
      <c r="C742" s="1" t="s">
        <v>1143</v>
      </c>
      <c r="D742" s="1" t="s">
        <v>20</v>
      </c>
      <c r="E742" t="s">
        <v>895</v>
      </c>
      <c r="F742" t="s">
        <v>759</v>
      </c>
      <c r="G742" t="s">
        <v>31</v>
      </c>
      <c r="H742" t="s">
        <v>24</v>
      </c>
      <c r="I742" t="s">
        <v>32</v>
      </c>
      <c r="J742">
        <v>1</v>
      </c>
      <c r="K742">
        <v>199</v>
      </c>
      <c r="L742">
        <f>Table1[[#This Row],[Quantity]] * Table1[[#This Row],[UnitPrice]]</f>
        <v>199</v>
      </c>
      <c r="M742" s="25">
        <v>20</v>
      </c>
      <c r="N742">
        <f>Table1[[#This Row],[Revenue]]*Table1[[#This Row],[Discount%]]/100</f>
        <v>39.799999999999997</v>
      </c>
      <c r="O742" s="6">
        <f>Table1[[#This Row],[Revenue]]-Table1[[#This Row],[Disc_amount]]</f>
        <v>159.19999999999999</v>
      </c>
      <c r="P742" t="s">
        <v>26</v>
      </c>
      <c r="Q742" t="s">
        <v>27</v>
      </c>
    </row>
    <row r="743" spans="1:17">
      <c r="A743" t="s">
        <v>1394</v>
      </c>
      <c r="B743" s="1" t="s">
        <v>1391</v>
      </c>
      <c r="C743" s="1" t="s">
        <v>1143</v>
      </c>
      <c r="D743" s="1" t="s">
        <v>20</v>
      </c>
      <c r="E743" t="s">
        <v>1395</v>
      </c>
      <c r="F743" t="s">
        <v>1396</v>
      </c>
      <c r="G743" t="s">
        <v>23</v>
      </c>
      <c r="H743" t="s">
        <v>39</v>
      </c>
      <c r="I743" t="s">
        <v>40</v>
      </c>
      <c r="J743">
        <v>2</v>
      </c>
      <c r="K743">
        <v>599</v>
      </c>
      <c r="L743">
        <f>Table1[[#This Row],[Quantity]] * Table1[[#This Row],[UnitPrice]]</f>
        <v>1198</v>
      </c>
      <c r="M743" s="25">
        <v>0</v>
      </c>
      <c r="N743">
        <f>Table1[[#This Row],[Revenue]]*Table1[[#This Row],[Discount%]]/100</f>
        <v>0</v>
      </c>
      <c r="O743" s="6">
        <f>Table1[[#This Row],[Revenue]]-Table1[[#This Row],[Disc_amount]]</f>
        <v>1198</v>
      </c>
      <c r="P743" t="s">
        <v>26</v>
      </c>
      <c r="Q743" t="s">
        <v>27</v>
      </c>
    </row>
    <row r="744" spans="1:17">
      <c r="A744" t="s">
        <v>1397</v>
      </c>
      <c r="B744" s="1" t="s">
        <v>1391</v>
      </c>
      <c r="C744" s="1" t="s">
        <v>1143</v>
      </c>
      <c r="D744" s="1" t="s">
        <v>20</v>
      </c>
      <c r="E744" t="s">
        <v>475</v>
      </c>
      <c r="F744" t="s">
        <v>80</v>
      </c>
      <c r="G744" t="s">
        <v>38</v>
      </c>
      <c r="H744" t="s">
        <v>24</v>
      </c>
      <c r="I744" t="s">
        <v>25</v>
      </c>
      <c r="J744">
        <v>1</v>
      </c>
      <c r="K744">
        <v>99</v>
      </c>
      <c r="L744">
        <f>Table1[[#This Row],[Quantity]] * Table1[[#This Row],[UnitPrice]]</f>
        <v>99</v>
      </c>
      <c r="M744" s="25">
        <v>0</v>
      </c>
      <c r="N744">
        <f>Table1[[#This Row],[Revenue]]*Table1[[#This Row],[Discount%]]/100</f>
        <v>0</v>
      </c>
      <c r="O744" s="6">
        <f>Table1[[#This Row],[Revenue]]-Table1[[#This Row],[Disc_amount]]</f>
        <v>99</v>
      </c>
      <c r="P744" t="s">
        <v>86</v>
      </c>
      <c r="Q744" t="s">
        <v>27</v>
      </c>
    </row>
    <row r="745" spans="1:17">
      <c r="A745" t="s">
        <v>1398</v>
      </c>
      <c r="B745" s="1" t="s">
        <v>1391</v>
      </c>
      <c r="C745" s="1" t="s">
        <v>1143</v>
      </c>
      <c r="D745" s="1" t="s">
        <v>20</v>
      </c>
      <c r="E745" t="s">
        <v>1399</v>
      </c>
      <c r="F745" t="s">
        <v>802</v>
      </c>
      <c r="G745" t="s">
        <v>45</v>
      </c>
      <c r="H745" t="s">
        <v>65</v>
      </c>
      <c r="I745" t="s">
        <v>98</v>
      </c>
      <c r="J745">
        <v>2</v>
      </c>
      <c r="K745">
        <v>499</v>
      </c>
      <c r="L745">
        <f>Table1[[#This Row],[Quantity]] * Table1[[#This Row],[UnitPrice]]</f>
        <v>998</v>
      </c>
      <c r="M745" s="25">
        <v>10</v>
      </c>
      <c r="N745">
        <f>Table1[[#This Row],[Revenue]]*Table1[[#This Row],[Discount%]]/100</f>
        <v>99.8</v>
      </c>
      <c r="O745" s="6">
        <f>Table1[[#This Row],[Revenue]]-Table1[[#This Row],[Disc_amount]]</f>
        <v>898.2</v>
      </c>
      <c r="P745" t="s">
        <v>86</v>
      </c>
      <c r="Q745" t="s">
        <v>27</v>
      </c>
    </row>
    <row r="746" spans="1:17">
      <c r="A746" t="s">
        <v>1400</v>
      </c>
      <c r="B746" s="1" t="s">
        <v>1391</v>
      </c>
      <c r="C746" s="1" t="s">
        <v>1143</v>
      </c>
      <c r="D746" s="1" t="s">
        <v>20</v>
      </c>
      <c r="E746" t="s">
        <v>480</v>
      </c>
      <c r="F746" t="s">
        <v>253</v>
      </c>
      <c r="G746" t="s">
        <v>56</v>
      </c>
      <c r="H746" t="s">
        <v>70</v>
      </c>
      <c r="I746" t="s">
        <v>91</v>
      </c>
      <c r="J746">
        <v>1</v>
      </c>
      <c r="K746">
        <v>549</v>
      </c>
      <c r="L746">
        <f>Table1[[#This Row],[Quantity]] * Table1[[#This Row],[UnitPrice]]</f>
        <v>549</v>
      </c>
      <c r="M746" s="25">
        <v>0</v>
      </c>
      <c r="N746">
        <f>Table1[[#This Row],[Revenue]]*Table1[[#This Row],[Discount%]]/100</f>
        <v>0</v>
      </c>
      <c r="O746" s="6">
        <f>Table1[[#This Row],[Revenue]]-Table1[[#This Row],[Disc_amount]]</f>
        <v>549</v>
      </c>
      <c r="P746" t="s">
        <v>33</v>
      </c>
      <c r="Q746" t="s">
        <v>27</v>
      </c>
    </row>
    <row r="747" spans="1:17">
      <c r="A747" t="s">
        <v>1401</v>
      </c>
      <c r="B747" s="1" t="s">
        <v>1391</v>
      </c>
      <c r="C747" s="1" t="s">
        <v>1143</v>
      </c>
      <c r="D747" s="1" t="s">
        <v>20</v>
      </c>
      <c r="E747" t="s">
        <v>991</v>
      </c>
      <c r="F747" t="s">
        <v>304</v>
      </c>
      <c r="G747" t="s">
        <v>56</v>
      </c>
      <c r="H747" t="s">
        <v>65</v>
      </c>
      <c r="I747" t="s">
        <v>94</v>
      </c>
      <c r="J747">
        <v>2</v>
      </c>
      <c r="K747">
        <v>899</v>
      </c>
      <c r="L747">
        <f>Table1[[#This Row],[Quantity]] * Table1[[#This Row],[UnitPrice]]</f>
        <v>1798</v>
      </c>
      <c r="M747" s="25">
        <v>15</v>
      </c>
      <c r="N747">
        <f>Table1[[#This Row],[Revenue]]*Table1[[#This Row],[Discount%]]/100</f>
        <v>269.7</v>
      </c>
      <c r="O747" s="6">
        <f>Table1[[#This Row],[Revenue]]-Table1[[#This Row],[Disc_amount]]</f>
        <v>1528.3</v>
      </c>
      <c r="P747" t="s">
        <v>41</v>
      </c>
      <c r="Q747" t="s">
        <v>27</v>
      </c>
    </row>
    <row r="748" spans="1:17">
      <c r="A748" t="s">
        <v>1402</v>
      </c>
      <c r="B748" s="1" t="s">
        <v>1391</v>
      </c>
      <c r="C748" s="1" t="s">
        <v>1143</v>
      </c>
      <c r="D748" s="1" t="s">
        <v>20</v>
      </c>
      <c r="E748" t="s">
        <v>334</v>
      </c>
      <c r="F748" t="s">
        <v>335</v>
      </c>
      <c r="G748" t="s">
        <v>38</v>
      </c>
      <c r="H748" t="s">
        <v>57</v>
      </c>
      <c r="I748" t="s">
        <v>62</v>
      </c>
      <c r="J748">
        <v>1</v>
      </c>
      <c r="K748">
        <v>799</v>
      </c>
      <c r="L748">
        <f>Table1[[#This Row],[Quantity]] * Table1[[#This Row],[UnitPrice]]</f>
        <v>799</v>
      </c>
      <c r="M748" s="25">
        <v>0</v>
      </c>
      <c r="N748">
        <f>Table1[[#This Row],[Revenue]]*Table1[[#This Row],[Discount%]]/100</f>
        <v>0</v>
      </c>
      <c r="O748" s="6">
        <f>Table1[[#This Row],[Revenue]]-Table1[[#This Row],[Disc_amount]]</f>
        <v>799</v>
      </c>
      <c r="P748" t="s">
        <v>86</v>
      </c>
      <c r="Q748" t="s">
        <v>34</v>
      </c>
    </row>
    <row r="749" spans="1:17">
      <c r="A749" t="s">
        <v>1403</v>
      </c>
      <c r="B749" s="1" t="s">
        <v>1404</v>
      </c>
      <c r="C749" s="1" t="s">
        <v>1405</v>
      </c>
      <c r="D749" s="1" t="s">
        <v>20</v>
      </c>
      <c r="E749" t="s">
        <v>244</v>
      </c>
      <c r="F749" t="s">
        <v>245</v>
      </c>
      <c r="G749" t="s">
        <v>38</v>
      </c>
      <c r="H749" t="s">
        <v>70</v>
      </c>
      <c r="I749" t="s">
        <v>71</v>
      </c>
      <c r="J749">
        <v>3</v>
      </c>
      <c r="K749">
        <v>349</v>
      </c>
      <c r="L749">
        <f>Table1[[#This Row],[Quantity]] * Table1[[#This Row],[UnitPrice]]</f>
        <v>1047</v>
      </c>
      <c r="M749" s="25">
        <v>0</v>
      </c>
      <c r="N749">
        <f>Table1[[#This Row],[Revenue]]*Table1[[#This Row],[Discount%]]/100</f>
        <v>0</v>
      </c>
      <c r="O749" s="6">
        <f>Table1[[#This Row],[Revenue]]-Table1[[#This Row],[Disc_amount]]</f>
        <v>1047</v>
      </c>
      <c r="P749" t="s">
        <v>52</v>
      </c>
      <c r="Q749" t="s">
        <v>34</v>
      </c>
    </row>
    <row r="750" spans="1:17">
      <c r="A750" t="s">
        <v>1406</v>
      </c>
      <c r="B750" s="1" t="s">
        <v>1404</v>
      </c>
      <c r="C750" s="1" t="s">
        <v>1405</v>
      </c>
      <c r="D750" s="1" t="s">
        <v>20</v>
      </c>
      <c r="E750" t="s">
        <v>1407</v>
      </c>
      <c r="F750" t="s">
        <v>907</v>
      </c>
      <c r="G750" t="s">
        <v>38</v>
      </c>
      <c r="H750" t="s">
        <v>108</v>
      </c>
      <c r="I750" t="s">
        <v>130</v>
      </c>
      <c r="J750">
        <v>2</v>
      </c>
      <c r="K750">
        <v>699</v>
      </c>
      <c r="L750">
        <f>Table1[[#This Row],[Quantity]] * Table1[[#This Row],[UnitPrice]]</f>
        <v>1398</v>
      </c>
      <c r="M750" s="25">
        <v>10</v>
      </c>
      <c r="N750">
        <f>Table1[[#This Row],[Revenue]]*Table1[[#This Row],[Discount%]]/100</f>
        <v>139.80000000000001</v>
      </c>
      <c r="O750" s="6">
        <f>Table1[[#This Row],[Revenue]]-Table1[[#This Row],[Disc_amount]]</f>
        <v>1258.2</v>
      </c>
      <c r="P750" t="s">
        <v>26</v>
      </c>
      <c r="Q750" t="s">
        <v>27</v>
      </c>
    </row>
    <row r="751" spans="1:17">
      <c r="A751" t="s">
        <v>1408</v>
      </c>
      <c r="B751" s="1" t="s">
        <v>1404</v>
      </c>
      <c r="C751" s="1" t="s">
        <v>1405</v>
      </c>
      <c r="D751" s="1" t="s">
        <v>20</v>
      </c>
      <c r="E751" t="s">
        <v>959</v>
      </c>
      <c r="F751" t="s">
        <v>960</v>
      </c>
      <c r="G751" t="s">
        <v>23</v>
      </c>
      <c r="H751" t="s">
        <v>70</v>
      </c>
      <c r="I751" t="s">
        <v>91</v>
      </c>
      <c r="J751">
        <v>3</v>
      </c>
      <c r="K751">
        <v>549</v>
      </c>
      <c r="L751">
        <f>Table1[[#This Row],[Quantity]] * Table1[[#This Row],[UnitPrice]]</f>
        <v>1647</v>
      </c>
      <c r="M751" s="25">
        <v>10</v>
      </c>
      <c r="N751">
        <f>Table1[[#This Row],[Revenue]]*Table1[[#This Row],[Discount%]]/100</f>
        <v>164.7</v>
      </c>
      <c r="O751" s="6">
        <f>Table1[[#This Row],[Revenue]]-Table1[[#This Row],[Disc_amount]]</f>
        <v>1482.3</v>
      </c>
      <c r="P751" t="s">
        <v>41</v>
      </c>
      <c r="Q751" t="s">
        <v>34</v>
      </c>
    </row>
    <row r="752" spans="1:17">
      <c r="A752" t="s">
        <v>1409</v>
      </c>
      <c r="B752" s="1" t="s">
        <v>1404</v>
      </c>
      <c r="C752" s="1" t="s">
        <v>1405</v>
      </c>
      <c r="D752" s="1" t="s">
        <v>20</v>
      </c>
      <c r="E752" t="s">
        <v>750</v>
      </c>
      <c r="F752" t="s">
        <v>83</v>
      </c>
      <c r="G752" t="s">
        <v>31</v>
      </c>
      <c r="H752" t="s">
        <v>65</v>
      </c>
      <c r="I752" t="s">
        <v>66</v>
      </c>
      <c r="J752">
        <v>3</v>
      </c>
      <c r="K752">
        <v>1999</v>
      </c>
      <c r="L752">
        <f>Table1[[#This Row],[Quantity]] * Table1[[#This Row],[UnitPrice]]</f>
        <v>5997</v>
      </c>
      <c r="M752" s="25">
        <v>5</v>
      </c>
      <c r="N752">
        <f>Table1[[#This Row],[Revenue]]*Table1[[#This Row],[Discount%]]/100</f>
        <v>299.85000000000002</v>
      </c>
      <c r="O752" s="6">
        <f>Table1[[#This Row],[Revenue]]-Table1[[#This Row],[Disc_amount]]</f>
        <v>5697.15</v>
      </c>
      <c r="P752" t="s">
        <v>33</v>
      </c>
      <c r="Q752" t="s">
        <v>34</v>
      </c>
    </row>
    <row r="753" spans="1:17">
      <c r="A753" t="s">
        <v>1410</v>
      </c>
      <c r="B753" s="1" t="s">
        <v>1404</v>
      </c>
      <c r="C753" s="1" t="s">
        <v>1405</v>
      </c>
      <c r="D753" s="1" t="s">
        <v>20</v>
      </c>
      <c r="E753" t="s">
        <v>85</v>
      </c>
      <c r="F753" t="s">
        <v>83</v>
      </c>
      <c r="G753" t="s">
        <v>38</v>
      </c>
      <c r="H753" t="s">
        <v>108</v>
      </c>
      <c r="I753" t="s">
        <v>130</v>
      </c>
      <c r="J753">
        <v>1</v>
      </c>
      <c r="K753">
        <v>699</v>
      </c>
      <c r="L753">
        <f>Table1[[#This Row],[Quantity]] * Table1[[#This Row],[UnitPrice]]</f>
        <v>699</v>
      </c>
      <c r="M753" s="25">
        <v>0</v>
      </c>
      <c r="N753">
        <f>Table1[[#This Row],[Revenue]]*Table1[[#This Row],[Discount%]]/100</f>
        <v>0</v>
      </c>
      <c r="O753" s="6">
        <f>Table1[[#This Row],[Revenue]]-Table1[[#This Row],[Disc_amount]]</f>
        <v>699</v>
      </c>
      <c r="P753" t="s">
        <v>52</v>
      </c>
      <c r="Q753" t="s">
        <v>27</v>
      </c>
    </row>
    <row r="754" spans="1:17">
      <c r="A754" t="s">
        <v>1411</v>
      </c>
      <c r="B754" s="1" t="s">
        <v>1404</v>
      </c>
      <c r="C754" s="1" t="s">
        <v>1405</v>
      </c>
      <c r="D754" s="1" t="s">
        <v>20</v>
      </c>
      <c r="E754" t="s">
        <v>596</v>
      </c>
      <c r="F754" t="s">
        <v>597</v>
      </c>
      <c r="G754" t="s">
        <v>38</v>
      </c>
      <c r="H754" t="s">
        <v>57</v>
      </c>
      <c r="I754" t="s">
        <v>58</v>
      </c>
      <c r="J754">
        <v>1</v>
      </c>
      <c r="K754">
        <v>1299</v>
      </c>
      <c r="L754">
        <f>Table1[[#This Row],[Quantity]] * Table1[[#This Row],[UnitPrice]]</f>
        <v>1299</v>
      </c>
      <c r="M754" s="25">
        <v>0</v>
      </c>
      <c r="N754">
        <f>Table1[[#This Row],[Revenue]]*Table1[[#This Row],[Discount%]]/100</f>
        <v>0</v>
      </c>
      <c r="O754" s="6">
        <f>Table1[[#This Row],[Revenue]]-Table1[[#This Row],[Disc_amount]]</f>
        <v>1299</v>
      </c>
      <c r="P754" t="s">
        <v>41</v>
      </c>
      <c r="Q754" t="s">
        <v>27</v>
      </c>
    </row>
    <row r="755" spans="1:17">
      <c r="A755" t="s">
        <v>1412</v>
      </c>
      <c r="B755" s="1" t="s">
        <v>1413</v>
      </c>
      <c r="C755" s="1" t="s">
        <v>1405</v>
      </c>
      <c r="D755" s="1" t="s">
        <v>20</v>
      </c>
      <c r="E755" t="s">
        <v>722</v>
      </c>
      <c r="F755" t="s">
        <v>723</v>
      </c>
      <c r="G755" t="s">
        <v>38</v>
      </c>
      <c r="H755" t="s">
        <v>46</v>
      </c>
      <c r="I755" t="s">
        <v>47</v>
      </c>
      <c r="J755">
        <v>1</v>
      </c>
      <c r="K755">
        <v>249</v>
      </c>
      <c r="L755">
        <f>Table1[[#This Row],[Quantity]] * Table1[[#This Row],[UnitPrice]]</f>
        <v>249</v>
      </c>
      <c r="M755" s="25">
        <v>0</v>
      </c>
      <c r="N755">
        <f>Table1[[#This Row],[Revenue]]*Table1[[#This Row],[Discount%]]/100</f>
        <v>0</v>
      </c>
      <c r="O755" s="6">
        <f>Table1[[#This Row],[Revenue]]-Table1[[#This Row],[Disc_amount]]</f>
        <v>249</v>
      </c>
      <c r="P755" t="s">
        <v>86</v>
      </c>
      <c r="Q755" t="s">
        <v>27</v>
      </c>
    </row>
    <row r="756" spans="1:17">
      <c r="A756" t="s">
        <v>1414</v>
      </c>
      <c r="B756" s="1" t="s">
        <v>1413</v>
      </c>
      <c r="C756" s="1" t="s">
        <v>1405</v>
      </c>
      <c r="D756" s="1" t="s">
        <v>20</v>
      </c>
      <c r="E756" t="s">
        <v>442</v>
      </c>
      <c r="F756" t="s">
        <v>443</v>
      </c>
      <c r="G756" t="s">
        <v>38</v>
      </c>
      <c r="H756" t="s">
        <v>57</v>
      </c>
      <c r="I756" t="s">
        <v>62</v>
      </c>
      <c r="J756">
        <v>5</v>
      </c>
      <c r="K756">
        <v>799</v>
      </c>
      <c r="L756">
        <f>Table1[[#This Row],[Quantity]] * Table1[[#This Row],[UnitPrice]]</f>
        <v>3995</v>
      </c>
      <c r="M756" s="25">
        <v>15</v>
      </c>
      <c r="N756">
        <f>Table1[[#This Row],[Revenue]]*Table1[[#This Row],[Discount%]]/100</f>
        <v>599.25</v>
      </c>
      <c r="O756" s="6">
        <f>Table1[[#This Row],[Revenue]]-Table1[[#This Row],[Disc_amount]]</f>
        <v>3395.75</v>
      </c>
      <c r="P756" t="s">
        <v>26</v>
      </c>
      <c r="Q756" t="s">
        <v>27</v>
      </c>
    </row>
    <row r="757" spans="1:17">
      <c r="A757" t="s">
        <v>1415</v>
      </c>
      <c r="B757" s="1" t="s">
        <v>1413</v>
      </c>
      <c r="C757" s="1" t="s">
        <v>1405</v>
      </c>
      <c r="D757" s="1" t="s">
        <v>20</v>
      </c>
      <c r="E757" t="s">
        <v>371</v>
      </c>
      <c r="F757" t="s">
        <v>118</v>
      </c>
      <c r="G757" t="s">
        <v>38</v>
      </c>
      <c r="H757" t="s">
        <v>24</v>
      </c>
      <c r="I757" t="s">
        <v>25</v>
      </c>
      <c r="J757">
        <v>1</v>
      </c>
      <c r="K757">
        <v>99</v>
      </c>
      <c r="L757">
        <f>Table1[[#This Row],[Quantity]] * Table1[[#This Row],[UnitPrice]]</f>
        <v>99</v>
      </c>
      <c r="M757" s="25">
        <v>10</v>
      </c>
      <c r="N757">
        <f>Table1[[#This Row],[Revenue]]*Table1[[#This Row],[Discount%]]/100</f>
        <v>9.9</v>
      </c>
      <c r="O757" s="6">
        <f>Table1[[#This Row],[Revenue]]-Table1[[#This Row],[Disc_amount]]</f>
        <v>89.1</v>
      </c>
      <c r="P757" t="s">
        <v>41</v>
      </c>
      <c r="Q757" t="s">
        <v>34</v>
      </c>
    </row>
    <row r="758" spans="1:17">
      <c r="A758" t="s">
        <v>1416</v>
      </c>
      <c r="B758" s="1" t="s">
        <v>1413</v>
      </c>
      <c r="C758" s="1" t="s">
        <v>1405</v>
      </c>
      <c r="D758" s="1" t="s">
        <v>20</v>
      </c>
      <c r="E758" t="s">
        <v>835</v>
      </c>
      <c r="F758" t="s">
        <v>836</v>
      </c>
      <c r="G758" t="s">
        <v>56</v>
      </c>
      <c r="H758" t="s">
        <v>57</v>
      </c>
      <c r="I758" t="s">
        <v>58</v>
      </c>
      <c r="J758">
        <v>1</v>
      </c>
      <c r="K758">
        <v>1299</v>
      </c>
      <c r="L758">
        <f>Table1[[#This Row],[Quantity]] * Table1[[#This Row],[UnitPrice]]</f>
        <v>1299</v>
      </c>
      <c r="M758" s="25">
        <v>20</v>
      </c>
      <c r="N758">
        <f>Table1[[#This Row],[Revenue]]*Table1[[#This Row],[Discount%]]/100</f>
        <v>259.8</v>
      </c>
      <c r="O758" s="6">
        <f>Table1[[#This Row],[Revenue]]-Table1[[#This Row],[Disc_amount]]</f>
        <v>1039.2</v>
      </c>
      <c r="P758" t="s">
        <v>33</v>
      </c>
      <c r="Q758" t="s">
        <v>27</v>
      </c>
    </row>
    <row r="759" spans="1:17">
      <c r="A759" t="s">
        <v>1417</v>
      </c>
      <c r="B759" s="1" t="s">
        <v>1413</v>
      </c>
      <c r="C759" s="1" t="s">
        <v>1405</v>
      </c>
      <c r="D759" s="1" t="s">
        <v>20</v>
      </c>
      <c r="E759" t="s">
        <v>282</v>
      </c>
      <c r="F759" t="s">
        <v>283</v>
      </c>
      <c r="G759" t="s">
        <v>56</v>
      </c>
      <c r="H759" t="s">
        <v>108</v>
      </c>
      <c r="I759" t="s">
        <v>130</v>
      </c>
      <c r="J759">
        <v>1</v>
      </c>
      <c r="K759">
        <v>699</v>
      </c>
      <c r="L759">
        <f>Table1[[#This Row],[Quantity]] * Table1[[#This Row],[UnitPrice]]</f>
        <v>699</v>
      </c>
      <c r="M759" s="25">
        <v>5</v>
      </c>
      <c r="N759">
        <f>Table1[[#This Row],[Revenue]]*Table1[[#This Row],[Discount%]]/100</f>
        <v>34.950000000000003</v>
      </c>
      <c r="O759" s="6">
        <f>Table1[[#This Row],[Revenue]]-Table1[[#This Row],[Disc_amount]]</f>
        <v>664.05</v>
      </c>
      <c r="P759" t="s">
        <v>33</v>
      </c>
      <c r="Q759" t="s">
        <v>27</v>
      </c>
    </row>
    <row r="760" spans="1:17">
      <c r="A760" t="s">
        <v>1418</v>
      </c>
      <c r="B760" s="1" t="s">
        <v>1413</v>
      </c>
      <c r="C760" s="1" t="s">
        <v>1405</v>
      </c>
      <c r="D760" s="1" t="s">
        <v>20</v>
      </c>
      <c r="E760" t="s">
        <v>1407</v>
      </c>
      <c r="F760" t="s">
        <v>907</v>
      </c>
      <c r="G760" t="s">
        <v>56</v>
      </c>
      <c r="H760" t="s">
        <v>46</v>
      </c>
      <c r="I760" t="s">
        <v>47</v>
      </c>
      <c r="J760">
        <v>3</v>
      </c>
      <c r="K760">
        <v>249</v>
      </c>
      <c r="L760">
        <f>Table1[[#This Row],[Quantity]] * Table1[[#This Row],[UnitPrice]]</f>
        <v>747</v>
      </c>
      <c r="M760" s="25">
        <v>10</v>
      </c>
      <c r="N760">
        <f>Table1[[#This Row],[Revenue]]*Table1[[#This Row],[Discount%]]/100</f>
        <v>74.7</v>
      </c>
      <c r="O760" s="6">
        <f>Table1[[#This Row],[Revenue]]-Table1[[#This Row],[Disc_amount]]</f>
        <v>672.3</v>
      </c>
      <c r="P760" t="s">
        <v>33</v>
      </c>
      <c r="Q760" t="s">
        <v>27</v>
      </c>
    </row>
    <row r="761" spans="1:17">
      <c r="A761" t="s">
        <v>1419</v>
      </c>
      <c r="B761" s="1" t="s">
        <v>1413</v>
      </c>
      <c r="C761" s="1" t="s">
        <v>1405</v>
      </c>
      <c r="D761" s="1" t="s">
        <v>20</v>
      </c>
      <c r="E761" t="s">
        <v>1420</v>
      </c>
      <c r="F761" t="s">
        <v>1396</v>
      </c>
      <c r="G761" t="s">
        <v>38</v>
      </c>
      <c r="H761" t="s">
        <v>39</v>
      </c>
      <c r="I761" t="s">
        <v>140</v>
      </c>
      <c r="J761">
        <v>1</v>
      </c>
      <c r="K761">
        <v>1799</v>
      </c>
      <c r="L761">
        <f>Table1[[#This Row],[Quantity]] * Table1[[#This Row],[UnitPrice]]</f>
        <v>1799</v>
      </c>
      <c r="M761" s="25">
        <v>0</v>
      </c>
      <c r="N761">
        <f>Table1[[#This Row],[Revenue]]*Table1[[#This Row],[Discount%]]/100</f>
        <v>0</v>
      </c>
      <c r="O761" s="6">
        <f>Table1[[#This Row],[Revenue]]-Table1[[#This Row],[Disc_amount]]</f>
        <v>1799</v>
      </c>
      <c r="P761" t="s">
        <v>33</v>
      </c>
      <c r="Q761" t="s">
        <v>34</v>
      </c>
    </row>
    <row r="762" spans="1:17">
      <c r="A762" t="s">
        <v>1421</v>
      </c>
      <c r="B762" s="1" t="s">
        <v>1413</v>
      </c>
      <c r="C762" s="1" t="s">
        <v>1405</v>
      </c>
      <c r="D762" s="1" t="s">
        <v>20</v>
      </c>
      <c r="E762" t="s">
        <v>1422</v>
      </c>
      <c r="F762" t="s">
        <v>236</v>
      </c>
      <c r="G762" t="s">
        <v>56</v>
      </c>
      <c r="H762" t="s">
        <v>65</v>
      </c>
      <c r="I762" t="s">
        <v>94</v>
      </c>
      <c r="J762">
        <v>1</v>
      </c>
      <c r="K762">
        <v>899</v>
      </c>
      <c r="L762">
        <f>Table1[[#This Row],[Quantity]] * Table1[[#This Row],[UnitPrice]]</f>
        <v>899</v>
      </c>
      <c r="M762" s="25">
        <v>5</v>
      </c>
      <c r="N762">
        <f>Table1[[#This Row],[Revenue]]*Table1[[#This Row],[Discount%]]/100</f>
        <v>44.95</v>
      </c>
      <c r="O762" s="6">
        <f>Table1[[#This Row],[Revenue]]-Table1[[#This Row],[Disc_amount]]</f>
        <v>854.05</v>
      </c>
      <c r="P762" t="s">
        <v>33</v>
      </c>
      <c r="Q762" t="s">
        <v>34</v>
      </c>
    </row>
    <row r="763" spans="1:17">
      <c r="A763" t="s">
        <v>1423</v>
      </c>
      <c r="B763" s="1" t="s">
        <v>1424</v>
      </c>
      <c r="C763" s="1" t="s">
        <v>1405</v>
      </c>
      <c r="D763" s="1" t="s">
        <v>20</v>
      </c>
      <c r="E763" t="s">
        <v>612</v>
      </c>
      <c r="F763" t="s">
        <v>613</v>
      </c>
      <c r="G763" t="s">
        <v>56</v>
      </c>
      <c r="H763" t="s">
        <v>108</v>
      </c>
      <c r="I763" t="s">
        <v>130</v>
      </c>
      <c r="J763">
        <v>1</v>
      </c>
      <c r="K763">
        <v>699</v>
      </c>
      <c r="L763">
        <f>Table1[[#This Row],[Quantity]] * Table1[[#This Row],[UnitPrice]]</f>
        <v>699</v>
      </c>
      <c r="M763" s="25">
        <v>20</v>
      </c>
      <c r="N763">
        <f>Table1[[#This Row],[Revenue]]*Table1[[#This Row],[Discount%]]/100</f>
        <v>139.80000000000001</v>
      </c>
      <c r="O763" s="6">
        <f>Table1[[#This Row],[Revenue]]-Table1[[#This Row],[Disc_amount]]</f>
        <v>559.20000000000005</v>
      </c>
      <c r="P763" t="s">
        <v>41</v>
      </c>
      <c r="Q763" t="s">
        <v>34</v>
      </c>
    </row>
    <row r="764" spans="1:17">
      <c r="A764" t="s">
        <v>1425</v>
      </c>
      <c r="B764" s="1" t="s">
        <v>1424</v>
      </c>
      <c r="C764" s="1" t="s">
        <v>1405</v>
      </c>
      <c r="D764" s="1" t="s">
        <v>20</v>
      </c>
      <c r="E764" t="s">
        <v>568</v>
      </c>
      <c r="F764" t="s">
        <v>569</v>
      </c>
      <c r="G764" t="s">
        <v>56</v>
      </c>
      <c r="H764" t="s">
        <v>108</v>
      </c>
      <c r="I764" t="s">
        <v>109</v>
      </c>
      <c r="J764">
        <v>1</v>
      </c>
      <c r="K764">
        <v>1499</v>
      </c>
      <c r="L764">
        <f>Table1[[#This Row],[Quantity]] * Table1[[#This Row],[UnitPrice]]</f>
        <v>1499</v>
      </c>
      <c r="M764" s="25">
        <v>5</v>
      </c>
      <c r="N764">
        <f>Table1[[#This Row],[Revenue]]*Table1[[#This Row],[Discount%]]/100</f>
        <v>74.95</v>
      </c>
      <c r="O764" s="6">
        <f>Table1[[#This Row],[Revenue]]-Table1[[#This Row],[Disc_amount]]</f>
        <v>1424.05</v>
      </c>
      <c r="P764" t="s">
        <v>26</v>
      </c>
      <c r="Q764" t="s">
        <v>27</v>
      </c>
    </row>
    <row r="765" spans="1:17">
      <c r="A765" t="s">
        <v>1426</v>
      </c>
      <c r="B765" s="1" t="s">
        <v>1424</v>
      </c>
      <c r="C765" s="1" t="s">
        <v>1405</v>
      </c>
      <c r="D765" s="1" t="s">
        <v>20</v>
      </c>
      <c r="E765" t="s">
        <v>1337</v>
      </c>
      <c r="F765" t="s">
        <v>584</v>
      </c>
      <c r="G765" t="s">
        <v>23</v>
      </c>
      <c r="H765" t="s">
        <v>57</v>
      </c>
      <c r="I765" t="s">
        <v>62</v>
      </c>
      <c r="J765">
        <v>2</v>
      </c>
      <c r="K765">
        <v>799</v>
      </c>
      <c r="L765">
        <f>Table1[[#This Row],[Quantity]] * Table1[[#This Row],[UnitPrice]]</f>
        <v>1598</v>
      </c>
      <c r="M765" s="25">
        <v>0</v>
      </c>
      <c r="N765">
        <f>Table1[[#This Row],[Revenue]]*Table1[[#This Row],[Discount%]]/100</f>
        <v>0</v>
      </c>
      <c r="O765" s="6">
        <f>Table1[[#This Row],[Revenue]]-Table1[[#This Row],[Disc_amount]]</f>
        <v>1598</v>
      </c>
      <c r="P765" t="s">
        <v>33</v>
      </c>
      <c r="Q765" t="s">
        <v>27</v>
      </c>
    </row>
    <row r="766" spans="1:17">
      <c r="A766" t="s">
        <v>1427</v>
      </c>
      <c r="B766" s="1" t="s">
        <v>1424</v>
      </c>
      <c r="C766" s="1" t="s">
        <v>1405</v>
      </c>
      <c r="D766" s="1" t="s">
        <v>20</v>
      </c>
      <c r="E766" t="s">
        <v>1428</v>
      </c>
      <c r="F766" t="s">
        <v>607</v>
      </c>
      <c r="G766" t="s">
        <v>23</v>
      </c>
      <c r="H766" t="s">
        <v>70</v>
      </c>
      <c r="I766" t="s">
        <v>71</v>
      </c>
      <c r="J766">
        <v>1</v>
      </c>
      <c r="K766">
        <v>349</v>
      </c>
      <c r="L766">
        <f>Table1[[#This Row],[Quantity]] * Table1[[#This Row],[UnitPrice]]</f>
        <v>349</v>
      </c>
      <c r="M766" s="25">
        <v>5</v>
      </c>
      <c r="N766">
        <f>Table1[[#This Row],[Revenue]]*Table1[[#This Row],[Discount%]]/100</f>
        <v>17.45</v>
      </c>
      <c r="O766" s="6">
        <f>Table1[[#This Row],[Revenue]]-Table1[[#This Row],[Disc_amount]]</f>
        <v>331.55</v>
      </c>
      <c r="P766" t="s">
        <v>26</v>
      </c>
      <c r="Q766" t="s">
        <v>27</v>
      </c>
    </row>
    <row r="767" spans="1:17">
      <c r="A767" t="s">
        <v>1429</v>
      </c>
      <c r="B767" s="1" t="s">
        <v>1424</v>
      </c>
      <c r="C767" s="1" t="s">
        <v>1405</v>
      </c>
      <c r="D767" s="1" t="s">
        <v>20</v>
      </c>
      <c r="E767" t="s">
        <v>235</v>
      </c>
      <c r="F767" t="s">
        <v>236</v>
      </c>
      <c r="G767" t="s">
        <v>56</v>
      </c>
      <c r="H767" t="s">
        <v>39</v>
      </c>
      <c r="I767" t="s">
        <v>40</v>
      </c>
      <c r="J767">
        <v>1</v>
      </c>
      <c r="K767">
        <v>599</v>
      </c>
      <c r="L767">
        <f>Table1[[#This Row],[Quantity]] * Table1[[#This Row],[UnitPrice]]</f>
        <v>599</v>
      </c>
      <c r="M767" s="25">
        <v>0</v>
      </c>
      <c r="N767">
        <f>Table1[[#This Row],[Revenue]]*Table1[[#This Row],[Discount%]]/100</f>
        <v>0</v>
      </c>
      <c r="O767" s="6">
        <f>Table1[[#This Row],[Revenue]]-Table1[[#This Row],[Disc_amount]]</f>
        <v>599</v>
      </c>
      <c r="P767" t="s">
        <v>41</v>
      </c>
      <c r="Q767" t="s">
        <v>34</v>
      </c>
    </row>
    <row r="768" spans="1:17">
      <c r="A768" t="s">
        <v>1430</v>
      </c>
      <c r="B768" s="1" t="s">
        <v>1424</v>
      </c>
      <c r="C768" s="1" t="s">
        <v>1405</v>
      </c>
      <c r="D768" s="1" t="s">
        <v>20</v>
      </c>
      <c r="E768" t="s">
        <v>603</v>
      </c>
      <c r="F768" t="s">
        <v>604</v>
      </c>
      <c r="G768" t="s">
        <v>23</v>
      </c>
      <c r="H768" t="s">
        <v>39</v>
      </c>
      <c r="I768" t="s">
        <v>51</v>
      </c>
      <c r="J768">
        <v>1</v>
      </c>
      <c r="K768">
        <v>2999</v>
      </c>
      <c r="L768">
        <f>Table1[[#This Row],[Quantity]] * Table1[[#This Row],[UnitPrice]]</f>
        <v>2999</v>
      </c>
      <c r="M768" s="25">
        <v>5</v>
      </c>
      <c r="N768">
        <f>Table1[[#This Row],[Revenue]]*Table1[[#This Row],[Discount%]]/100</f>
        <v>149.94999999999999</v>
      </c>
      <c r="O768" s="6">
        <f>Table1[[#This Row],[Revenue]]-Table1[[#This Row],[Disc_amount]]</f>
        <v>2849.05</v>
      </c>
      <c r="P768" t="s">
        <v>33</v>
      </c>
      <c r="Q768" t="s">
        <v>27</v>
      </c>
    </row>
    <row r="769" spans="1:17">
      <c r="A769" t="s">
        <v>1431</v>
      </c>
      <c r="B769" s="1" t="s">
        <v>1424</v>
      </c>
      <c r="C769" s="1" t="s">
        <v>1405</v>
      </c>
      <c r="D769" s="1" t="s">
        <v>20</v>
      </c>
      <c r="E769" t="s">
        <v>968</v>
      </c>
      <c r="F769" t="s">
        <v>907</v>
      </c>
      <c r="G769" t="s">
        <v>56</v>
      </c>
      <c r="H769" t="s">
        <v>57</v>
      </c>
      <c r="I769" t="s">
        <v>62</v>
      </c>
      <c r="J769">
        <v>5</v>
      </c>
      <c r="K769">
        <v>799</v>
      </c>
      <c r="L769">
        <f>Table1[[#This Row],[Quantity]] * Table1[[#This Row],[UnitPrice]]</f>
        <v>3995</v>
      </c>
      <c r="M769" s="25">
        <v>10</v>
      </c>
      <c r="N769">
        <f>Table1[[#This Row],[Revenue]]*Table1[[#This Row],[Discount%]]/100</f>
        <v>399.5</v>
      </c>
      <c r="O769" s="6">
        <f>Table1[[#This Row],[Revenue]]-Table1[[#This Row],[Disc_amount]]</f>
        <v>3595.5</v>
      </c>
      <c r="P769" t="s">
        <v>86</v>
      </c>
      <c r="Q769" t="s">
        <v>27</v>
      </c>
    </row>
    <row r="770" spans="1:17">
      <c r="A770" t="s">
        <v>1432</v>
      </c>
      <c r="B770" s="1" t="s">
        <v>1424</v>
      </c>
      <c r="C770" s="1" t="s">
        <v>1405</v>
      </c>
      <c r="D770" s="1" t="s">
        <v>20</v>
      </c>
      <c r="E770" t="s">
        <v>1259</v>
      </c>
      <c r="F770" t="s">
        <v>1260</v>
      </c>
      <c r="G770" t="s">
        <v>45</v>
      </c>
      <c r="H770" t="s">
        <v>65</v>
      </c>
      <c r="I770" t="s">
        <v>94</v>
      </c>
      <c r="J770">
        <v>1</v>
      </c>
      <c r="K770">
        <v>899</v>
      </c>
      <c r="L770">
        <f>Table1[[#This Row],[Quantity]] * Table1[[#This Row],[UnitPrice]]</f>
        <v>899</v>
      </c>
      <c r="M770" s="25">
        <v>20</v>
      </c>
      <c r="N770">
        <f>Table1[[#This Row],[Revenue]]*Table1[[#This Row],[Discount%]]/100</f>
        <v>179.8</v>
      </c>
      <c r="O770" s="6">
        <f>Table1[[#This Row],[Revenue]]-Table1[[#This Row],[Disc_amount]]</f>
        <v>719.2</v>
      </c>
      <c r="P770" t="s">
        <v>52</v>
      </c>
      <c r="Q770" t="s">
        <v>34</v>
      </c>
    </row>
    <row r="771" spans="1:17">
      <c r="A771" t="s">
        <v>1433</v>
      </c>
      <c r="B771" s="1" t="s">
        <v>1424</v>
      </c>
      <c r="C771" s="1" t="s">
        <v>1405</v>
      </c>
      <c r="D771" s="1" t="s">
        <v>20</v>
      </c>
      <c r="E771" t="s">
        <v>1434</v>
      </c>
      <c r="F771" t="s">
        <v>326</v>
      </c>
      <c r="G771" t="s">
        <v>23</v>
      </c>
      <c r="H771" t="s">
        <v>39</v>
      </c>
      <c r="I771" t="s">
        <v>140</v>
      </c>
      <c r="J771">
        <v>1</v>
      </c>
      <c r="K771">
        <v>1799</v>
      </c>
      <c r="L771">
        <f>Table1[[#This Row],[Quantity]] * Table1[[#This Row],[UnitPrice]]</f>
        <v>1799</v>
      </c>
      <c r="M771" s="25">
        <v>0</v>
      </c>
      <c r="N771">
        <f>Table1[[#This Row],[Revenue]]*Table1[[#This Row],[Discount%]]/100</f>
        <v>0</v>
      </c>
      <c r="O771" s="6">
        <f>Table1[[#This Row],[Revenue]]-Table1[[#This Row],[Disc_amount]]</f>
        <v>1799</v>
      </c>
      <c r="P771" t="s">
        <v>26</v>
      </c>
      <c r="Q771" t="s">
        <v>27</v>
      </c>
    </row>
    <row r="772" spans="1:17">
      <c r="A772" t="s">
        <v>1435</v>
      </c>
      <c r="B772" s="1" t="s">
        <v>1436</v>
      </c>
      <c r="C772" s="1" t="s">
        <v>1405</v>
      </c>
      <c r="D772" s="1" t="s">
        <v>20</v>
      </c>
      <c r="E772" t="s">
        <v>182</v>
      </c>
      <c r="F772" t="s">
        <v>183</v>
      </c>
      <c r="G772" t="s">
        <v>23</v>
      </c>
      <c r="H772" t="s">
        <v>57</v>
      </c>
      <c r="I772" t="s">
        <v>58</v>
      </c>
      <c r="J772">
        <v>5</v>
      </c>
      <c r="K772">
        <v>1299</v>
      </c>
      <c r="L772">
        <f>Table1[[#This Row],[Quantity]] * Table1[[#This Row],[UnitPrice]]</f>
        <v>6495</v>
      </c>
      <c r="M772" s="25">
        <v>15</v>
      </c>
      <c r="N772">
        <f>Table1[[#This Row],[Revenue]]*Table1[[#This Row],[Discount%]]/100</f>
        <v>974.25</v>
      </c>
      <c r="O772" s="6">
        <f>Table1[[#This Row],[Revenue]]-Table1[[#This Row],[Disc_amount]]</f>
        <v>5520.75</v>
      </c>
      <c r="P772" t="s">
        <v>52</v>
      </c>
      <c r="Q772" t="s">
        <v>27</v>
      </c>
    </row>
    <row r="773" spans="1:17">
      <c r="A773" t="s">
        <v>1437</v>
      </c>
      <c r="B773" s="1" t="s">
        <v>1436</v>
      </c>
      <c r="C773" s="1" t="s">
        <v>1405</v>
      </c>
      <c r="D773" s="1" t="s">
        <v>20</v>
      </c>
      <c r="E773" t="s">
        <v>525</v>
      </c>
      <c r="F773" t="s">
        <v>470</v>
      </c>
      <c r="G773" t="s">
        <v>45</v>
      </c>
      <c r="H773" t="s">
        <v>24</v>
      </c>
      <c r="I773" t="s">
        <v>25</v>
      </c>
      <c r="J773">
        <v>1</v>
      </c>
      <c r="K773">
        <v>99</v>
      </c>
      <c r="L773">
        <f>Table1[[#This Row],[Quantity]] * Table1[[#This Row],[UnitPrice]]</f>
        <v>99</v>
      </c>
      <c r="M773" s="25">
        <v>5</v>
      </c>
      <c r="N773">
        <f>Table1[[#This Row],[Revenue]]*Table1[[#This Row],[Discount%]]/100</f>
        <v>4.95</v>
      </c>
      <c r="O773" s="6">
        <f>Table1[[#This Row],[Revenue]]-Table1[[#This Row],[Disc_amount]]</f>
        <v>94.05</v>
      </c>
      <c r="P773" t="s">
        <v>41</v>
      </c>
      <c r="Q773" t="s">
        <v>27</v>
      </c>
    </row>
    <row r="774" spans="1:17">
      <c r="A774" t="s">
        <v>1438</v>
      </c>
      <c r="B774" s="1" t="s">
        <v>1436</v>
      </c>
      <c r="C774" s="1" t="s">
        <v>1405</v>
      </c>
      <c r="D774" s="1" t="s">
        <v>20</v>
      </c>
      <c r="E774" t="s">
        <v>1439</v>
      </c>
      <c r="F774" t="s">
        <v>195</v>
      </c>
      <c r="G774" t="s">
        <v>31</v>
      </c>
      <c r="H774" t="s">
        <v>70</v>
      </c>
      <c r="I774" t="s">
        <v>71</v>
      </c>
      <c r="J774">
        <v>5</v>
      </c>
      <c r="K774">
        <v>349</v>
      </c>
      <c r="L774">
        <f>Table1[[#This Row],[Quantity]] * Table1[[#This Row],[UnitPrice]]</f>
        <v>1745</v>
      </c>
      <c r="M774" s="25">
        <v>0</v>
      </c>
      <c r="N774">
        <f>Table1[[#This Row],[Revenue]]*Table1[[#This Row],[Discount%]]/100</f>
        <v>0</v>
      </c>
      <c r="O774" s="6">
        <f>Table1[[#This Row],[Revenue]]-Table1[[#This Row],[Disc_amount]]</f>
        <v>1745</v>
      </c>
      <c r="P774" t="s">
        <v>86</v>
      </c>
      <c r="Q774" t="s">
        <v>34</v>
      </c>
    </row>
    <row r="775" spans="1:17">
      <c r="A775" t="s">
        <v>1440</v>
      </c>
      <c r="B775" s="1" t="s">
        <v>1436</v>
      </c>
      <c r="C775" s="1" t="s">
        <v>1405</v>
      </c>
      <c r="D775" s="1" t="s">
        <v>20</v>
      </c>
      <c r="E775" t="s">
        <v>1085</v>
      </c>
      <c r="F775" t="s">
        <v>425</v>
      </c>
      <c r="G775" t="s">
        <v>45</v>
      </c>
      <c r="H775" t="s">
        <v>70</v>
      </c>
      <c r="I775" t="s">
        <v>91</v>
      </c>
      <c r="J775">
        <v>1</v>
      </c>
      <c r="K775">
        <v>549</v>
      </c>
      <c r="L775">
        <f>Table1[[#This Row],[Quantity]] * Table1[[#This Row],[UnitPrice]]</f>
        <v>549</v>
      </c>
      <c r="M775" s="25">
        <v>0</v>
      </c>
      <c r="N775">
        <f>Table1[[#This Row],[Revenue]]*Table1[[#This Row],[Discount%]]/100</f>
        <v>0</v>
      </c>
      <c r="O775" s="6">
        <f>Table1[[#This Row],[Revenue]]-Table1[[#This Row],[Disc_amount]]</f>
        <v>549</v>
      </c>
      <c r="P775" t="s">
        <v>33</v>
      </c>
      <c r="Q775" t="s">
        <v>27</v>
      </c>
    </row>
    <row r="776" spans="1:17">
      <c r="A776" t="s">
        <v>1441</v>
      </c>
      <c r="B776" s="1" t="s">
        <v>1436</v>
      </c>
      <c r="C776" s="1" t="s">
        <v>1405</v>
      </c>
      <c r="D776" s="1" t="s">
        <v>20</v>
      </c>
      <c r="E776" t="s">
        <v>1001</v>
      </c>
      <c r="F776" t="s">
        <v>90</v>
      </c>
      <c r="G776" t="s">
        <v>56</v>
      </c>
      <c r="H776" t="s">
        <v>39</v>
      </c>
      <c r="I776" t="s">
        <v>40</v>
      </c>
      <c r="J776">
        <v>1</v>
      </c>
      <c r="K776">
        <v>599</v>
      </c>
      <c r="L776">
        <f>Table1[[#This Row],[Quantity]] * Table1[[#This Row],[UnitPrice]]</f>
        <v>599</v>
      </c>
      <c r="M776" s="25">
        <v>15</v>
      </c>
      <c r="N776">
        <f>Table1[[#This Row],[Revenue]]*Table1[[#This Row],[Discount%]]/100</f>
        <v>89.85</v>
      </c>
      <c r="O776" s="6">
        <f>Table1[[#This Row],[Revenue]]-Table1[[#This Row],[Disc_amount]]</f>
        <v>509.15</v>
      </c>
      <c r="P776" t="s">
        <v>26</v>
      </c>
      <c r="Q776" t="s">
        <v>27</v>
      </c>
    </row>
    <row r="777" spans="1:17">
      <c r="A777" t="s">
        <v>1442</v>
      </c>
      <c r="B777" s="1" t="s">
        <v>1436</v>
      </c>
      <c r="C777" s="1" t="s">
        <v>1405</v>
      </c>
      <c r="D777" s="1" t="s">
        <v>20</v>
      </c>
      <c r="E777" t="s">
        <v>541</v>
      </c>
      <c r="F777" t="s">
        <v>314</v>
      </c>
      <c r="G777" t="s">
        <v>31</v>
      </c>
      <c r="H777" t="s">
        <v>57</v>
      </c>
      <c r="I777" t="s">
        <v>58</v>
      </c>
      <c r="J777">
        <v>1</v>
      </c>
      <c r="K777">
        <v>1299</v>
      </c>
      <c r="L777">
        <f>Table1[[#This Row],[Quantity]] * Table1[[#This Row],[UnitPrice]]</f>
        <v>1299</v>
      </c>
      <c r="M777" s="25">
        <v>0</v>
      </c>
      <c r="N777">
        <f>Table1[[#This Row],[Revenue]]*Table1[[#This Row],[Discount%]]/100</f>
        <v>0</v>
      </c>
      <c r="O777" s="6">
        <f>Table1[[#This Row],[Revenue]]-Table1[[#This Row],[Disc_amount]]</f>
        <v>1299</v>
      </c>
      <c r="P777" t="s">
        <v>26</v>
      </c>
      <c r="Q777" t="s">
        <v>34</v>
      </c>
    </row>
    <row r="778" spans="1:17">
      <c r="A778" t="s">
        <v>1443</v>
      </c>
      <c r="B778" s="1" t="s">
        <v>1436</v>
      </c>
      <c r="C778" s="1" t="s">
        <v>1405</v>
      </c>
      <c r="D778" s="1" t="s">
        <v>20</v>
      </c>
      <c r="E778" t="s">
        <v>525</v>
      </c>
      <c r="F778" t="s">
        <v>470</v>
      </c>
      <c r="G778" t="s">
        <v>23</v>
      </c>
      <c r="H778" t="s">
        <v>39</v>
      </c>
      <c r="I778" t="s">
        <v>140</v>
      </c>
      <c r="J778">
        <v>2</v>
      </c>
      <c r="K778">
        <v>1799</v>
      </c>
      <c r="L778">
        <f>Table1[[#This Row],[Quantity]] * Table1[[#This Row],[UnitPrice]]</f>
        <v>3598</v>
      </c>
      <c r="M778" s="25">
        <v>10</v>
      </c>
      <c r="N778">
        <f>Table1[[#This Row],[Revenue]]*Table1[[#This Row],[Discount%]]/100</f>
        <v>359.8</v>
      </c>
      <c r="O778" s="6">
        <f>Table1[[#This Row],[Revenue]]-Table1[[#This Row],[Disc_amount]]</f>
        <v>3238.2</v>
      </c>
      <c r="P778" t="s">
        <v>41</v>
      </c>
      <c r="Q778" t="s">
        <v>34</v>
      </c>
    </row>
    <row r="779" spans="1:17">
      <c r="A779" t="s">
        <v>1444</v>
      </c>
      <c r="B779" s="1" t="s">
        <v>1445</v>
      </c>
      <c r="C779" s="1" t="s">
        <v>1405</v>
      </c>
      <c r="D779" s="1" t="s">
        <v>20</v>
      </c>
      <c r="E779" t="s">
        <v>1176</v>
      </c>
      <c r="F779" t="s">
        <v>173</v>
      </c>
      <c r="G779" t="s">
        <v>31</v>
      </c>
      <c r="H779" t="s">
        <v>70</v>
      </c>
      <c r="I779" t="s">
        <v>71</v>
      </c>
      <c r="J779">
        <v>1</v>
      </c>
      <c r="K779">
        <v>349</v>
      </c>
      <c r="L779">
        <f>Table1[[#This Row],[Quantity]] * Table1[[#This Row],[UnitPrice]]</f>
        <v>349</v>
      </c>
      <c r="M779" s="25">
        <v>0</v>
      </c>
      <c r="N779">
        <f>Table1[[#This Row],[Revenue]]*Table1[[#This Row],[Discount%]]/100</f>
        <v>0</v>
      </c>
      <c r="O779" s="6">
        <f>Table1[[#This Row],[Revenue]]-Table1[[#This Row],[Disc_amount]]</f>
        <v>349</v>
      </c>
      <c r="P779" t="s">
        <v>41</v>
      </c>
      <c r="Q779" t="s">
        <v>34</v>
      </c>
    </row>
    <row r="780" spans="1:17">
      <c r="A780" t="s">
        <v>1446</v>
      </c>
      <c r="B780" s="1" t="s">
        <v>1445</v>
      </c>
      <c r="C780" s="1" t="s">
        <v>1405</v>
      </c>
      <c r="D780" s="1" t="s">
        <v>20</v>
      </c>
      <c r="E780" t="s">
        <v>54</v>
      </c>
      <c r="F780" t="s">
        <v>55</v>
      </c>
      <c r="G780" t="s">
        <v>23</v>
      </c>
      <c r="H780" t="s">
        <v>65</v>
      </c>
      <c r="I780" t="s">
        <v>66</v>
      </c>
      <c r="J780">
        <v>1</v>
      </c>
      <c r="K780">
        <v>1999</v>
      </c>
      <c r="L780">
        <f>Table1[[#This Row],[Quantity]] * Table1[[#This Row],[UnitPrice]]</f>
        <v>1999</v>
      </c>
      <c r="M780" s="25">
        <v>0</v>
      </c>
      <c r="N780">
        <f>Table1[[#This Row],[Revenue]]*Table1[[#This Row],[Discount%]]/100</f>
        <v>0</v>
      </c>
      <c r="O780" s="6">
        <f>Table1[[#This Row],[Revenue]]-Table1[[#This Row],[Disc_amount]]</f>
        <v>1999</v>
      </c>
      <c r="P780" t="s">
        <v>26</v>
      </c>
      <c r="Q780" t="s">
        <v>27</v>
      </c>
    </row>
    <row r="781" spans="1:17">
      <c r="A781" t="s">
        <v>1447</v>
      </c>
      <c r="B781" s="1" t="s">
        <v>1445</v>
      </c>
      <c r="C781" s="1" t="s">
        <v>1405</v>
      </c>
      <c r="D781" s="1" t="s">
        <v>20</v>
      </c>
      <c r="E781" t="s">
        <v>645</v>
      </c>
      <c r="F781" t="s">
        <v>248</v>
      </c>
      <c r="G781" t="s">
        <v>38</v>
      </c>
      <c r="H781" t="s">
        <v>65</v>
      </c>
      <c r="I781" t="s">
        <v>66</v>
      </c>
      <c r="J781">
        <v>3</v>
      </c>
      <c r="K781">
        <v>1999</v>
      </c>
      <c r="L781">
        <f>Table1[[#This Row],[Quantity]] * Table1[[#This Row],[UnitPrice]]</f>
        <v>5997</v>
      </c>
      <c r="M781" s="25">
        <v>10</v>
      </c>
      <c r="N781">
        <f>Table1[[#This Row],[Revenue]]*Table1[[#This Row],[Discount%]]/100</f>
        <v>599.70000000000005</v>
      </c>
      <c r="O781" s="6">
        <f>Table1[[#This Row],[Revenue]]-Table1[[#This Row],[Disc_amount]]</f>
        <v>5397.3</v>
      </c>
      <c r="P781" t="s">
        <v>52</v>
      </c>
      <c r="Q781" t="s">
        <v>27</v>
      </c>
    </row>
    <row r="782" spans="1:17">
      <c r="A782" t="s">
        <v>1448</v>
      </c>
      <c r="B782" s="1" t="s">
        <v>1445</v>
      </c>
      <c r="C782" s="1" t="s">
        <v>1405</v>
      </c>
      <c r="D782" s="1" t="s">
        <v>20</v>
      </c>
      <c r="E782" t="s">
        <v>1214</v>
      </c>
      <c r="F782" t="s">
        <v>376</v>
      </c>
      <c r="G782" t="s">
        <v>23</v>
      </c>
      <c r="H782" t="s">
        <v>65</v>
      </c>
      <c r="I782" t="s">
        <v>94</v>
      </c>
      <c r="J782">
        <v>2</v>
      </c>
      <c r="K782">
        <v>899</v>
      </c>
      <c r="L782">
        <f>Table1[[#This Row],[Quantity]] * Table1[[#This Row],[UnitPrice]]</f>
        <v>1798</v>
      </c>
      <c r="M782" s="25">
        <v>15</v>
      </c>
      <c r="N782">
        <f>Table1[[#This Row],[Revenue]]*Table1[[#This Row],[Discount%]]/100</f>
        <v>269.7</v>
      </c>
      <c r="O782" s="6">
        <f>Table1[[#This Row],[Revenue]]-Table1[[#This Row],[Disc_amount]]</f>
        <v>1528.3</v>
      </c>
      <c r="P782" t="s">
        <v>41</v>
      </c>
      <c r="Q782" t="s">
        <v>27</v>
      </c>
    </row>
    <row r="783" spans="1:17">
      <c r="A783" t="s">
        <v>1449</v>
      </c>
      <c r="B783" s="1" t="s">
        <v>1450</v>
      </c>
      <c r="C783" s="1" t="s">
        <v>1405</v>
      </c>
      <c r="D783" s="1" t="s">
        <v>20</v>
      </c>
      <c r="E783" t="s">
        <v>354</v>
      </c>
      <c r="F783" t="s">
        <v>355</v>
      </c>
      <c r="G783" t="s">
        <v>45</v>
      </c>
      <c r="H783" t="s">
        <v>46</v>
      </c>
      <c r="I783" t="s">
        <v>47</v>
      </c>
      <c r="J783">
        <v>3</v>
      </c>
      <c r="K783">
        <v>249</v>
      </c>
      <c r="L783">
        <f>Table1[[#This Row],[Quantity]] * Table1[[#This Row],[UnitPrice]]</f>
        <v>747</v>
      </c>
      <c r="M783" s="25">
        <v>15</v>
      </c>
      <c r="N783">
        <f>Table1[[#This Row],[Revenue]]*Table1[[#This Row],[Discount%]]/100</f>
        <v>112.05</v>
      </c>
      <c r="O783" s="6">
        <f>Table1[[#This Row],[Revenue]]-Table1[[#This Row],[Disc_amount]]</f>
        <v>634.95000000000005</v>
      </c>
      <c r="P783" t="s">
        <v>41</v>
      </c>
      <c r="Q783" t="s">
        <v>27</v>
      </c>
    </row>
    <row r="784" spans="1:17">
      <c r="A784" t="s">
        <v>1451</v>
      </c>
      <c r="B784" s="1" t="s">
        <v>1450</v>
      </c>
      <c r="C784" s="1" t="s">
        <v>1405</v>
      </c>
      <c r="D784" s="1" t="s">
        <v>20</v>
      </c>
      <c r="E784" t="s">
        <v>1264</v>
      </c>
      <c r="F784" t="s">
        <v>462</v>
      </c>
      <c r="G784" t="s">
        <v>31</v>
      </c>
      <c r="H784" t="s">
        <v>39</v>
      </c>
      <c r="I784" t="s">
        <v>40</v>
      </c>
      <c r="J784">
        <v>1</v>
      </c>
      <c r="K784">
        <v>599</v>
      </c>
      <c r="L784">
        <f>Table1[[#This Row],[Quantity]] * Table1[[#This Row],[UnitPrice]]</f>
        <v>599</v>
      </c>
      <c r="M784" s="25">
        <v>20</v>
      </c>
      <c r="N784">
        <f>Table1[[#This Row],[Revenue]]*Table1[[#This Row],[Discount%]]/100</f>
        <v>119.8</v>
      </c>
      <c r="O784" s="6">
        <f>Table1[[#This Row],[Revenue]]-Table1[[#This Row],[Disc_amount]]</f>
        <v>479.2</v>
      </c>
      <c r="P784" t="s">
        <v>33</v>
      </c>
      <c r="Q784" t="s">
        <v>27</v>
      </c>
    </row>
    <row r="785" spans="1:17">
      <c r="A785" t="s">
        <v>1452</v>
      </c>
      <c r="B785" s="1" t="s">
        <v>1450</v>
      </c>
      <c r="C785" s="1" t="s">
        <v>1405</v>
      </c>
      <c r="D785" s="1" t="s">
        <v>20</v>
      </c>
      <c r="E785" t="s">
        <v>1056</v>
      </c>
      <c r="F785" t="s">
        <v>61</v>
      </c>
      <c r="G785" t="s">
        <v>31</v>
      </c>
      <c r="H785" t="s">
        <v>39</v>
      </c>
      <c r="I785" t="s">
        <v>51</v>
      </c>
      <c r="J785">
        <v>2</v>
      </c>
      <c r="K785">
        <v>2999</v>
      </c>
      <c r="L785">
        <f>Table1[[#This Row],[Quantity]] * Table1[[#This Row],[UnitPrice]]</f>
        <v>5998</v>
      </c>
      <c r="M785" s="25">
        <v>5</v>
      </c>
      <c r="N785">
        <f>Table1[[#This Row],[Revenue]]*Table1[[#This Row],[Discount%]]/100</f>
        <v>299.89999999999998</v>
      </c>
      <c r="O785" s="6">
        <f>Table1[[#This Row],[Revenue]]-Table1[[#This Row],[Disc_amount]]</f>
        <v>5698.1</v>
      </c>
      <c r="P785" t="s">
        <v>33</v>
      </c>
      <c r="Q785" t="s">
        <v>27</v>
      </c>
    </row>
    <row r="786" spans="1:17">
      <c r="A786" t="s">
        <v>1453</v>
      </c>
      <c r="B786" s="1" t="s">
        <v>1450</v>
      </c>
      <c r="C786" s="1" t="s">
        <v>1405</v>
      </c>
      <c r="D786" s="1" t="s">
        <v>20</v>
      </c>
      <c r="E786" t="s">
        <v>316</v>
      </c>
      <c r="F786" t="s">
        <v>317</v>
      </c>
      <c r="G786" t="s">
        <v>31</v>
      </c>
      <c r="H786" t="s">
        <v>39</v>
      </c>
      <c r="I786" t="s">
        <v>140</v>
      </c>
      <c r="J786">
        <v>2</v>
      </c>
      <c r="K786">
        <v>1799</v>
      </c>
      <c r="L786">
        <f>Table1[[#This Row],[Quantity]] * Table1[[#This Row],[UnitPrice]]</f>
        <v>3598</v>
      </c>
      <c r="M786" s="25">
        <v>0</v>
      </c>
      <c r="N786">
        <f>Table1[[#This Row],[Revenue]]*Table1[[#This Row],[Discount%]]/100</f>
        <v>0</v>
      </c>
      <c r="O786" s="6">
        <f>Table1[[#This Row],[Revenue]]-Table1[[#This Row],[Disc_amount]]</f>
        <v>3598</v>
      </c>
      <c r="P786" t="s">
        <v>33</v>
      </c>
      <c r="Q786" t="s">
        <v>34</v>
      </c>
    </row>
    <row r="787" spans="1:17">
      <c r="A787" t="s">
        <v>1454</v>
      </c>
      <c r="B787" s="1" t="s">
        <v>1455</v>
      </c>
      <c r="C787" s="1" t="s">
        <v>1405</v>
      </c>
      <c r="D787" s="1" t="s">
        <v>20</v>
      </c>
      <c r="E787" t="s">
        <v>659</v>
      </c>
      <c r="F787" t="s">
        <v>253</v>
      </c>
      <c r="G787" t="s">
        <v>56</v>
      </c>
      <c r="H787" t="s">
        <v>39</v>
      </c>
      <c r="I787" t="s">
        <v>140</v>
      </c>
      <c r="J787">
        <v>1</v>
      </c>
      <c r="K787">
        <v>1799</v>
      </c>
      <c r="L787">
        <f>Table1[[#This Row],[Quantity]] * Table1[[#This Row],[UnitPrice]]</f>
        <v>1799</v>
      </c>
      <c r="M787" s="25">
        <v>0</v>
      </c>
      <c r="N787">
        <f>Table1[[#This Row],[Revenue]]*Table1[[#This Row],[Discount%]]/100</f>
        <v>0</v>
      </c>
      <c r="O787" s="6">
        <f>Table1[[#This Row],[Revenue]]-Table1[[#This Row],[Disc_amount]]</f>
        <v>1799</v>
      </c>
      <c r="P787" t="s">
        <v>86</v>
      </c>
      <c r="Q787" t="s">
        <v>34</v>
      </c>
    </row>
    <row r="788" spans="1:17">
      <c r="A788" t="s">
        <v>1456</v>
      </c>
      <c r="B788" s="1" t="s">
        <v>1455</v>
      </c>
      <c r="C788" s="1" t="s">
        <v>1405</v>
      </c>
      <c r="D788" s="1" t="s">
        <v>20</v>
      </c>
      <c r="E788" t="s">
        <v>136</v>
      </c>
      <c r="F788" t="s">
        <v>115</v>
      </c>
      <c r="G788" t="s">
        <v>45</v>
      </c>
      <c r="H788" t="s">
        <v>57</v>
      </c>
      <c r="I788" t="s">
        <v>62</v>
      </c>
      <c r="J788">
        <v>3</v>
      </c>
      <c r="K788">
        <v>799</v>
      </c>
      <c r="L788">
        <f>Table1[[#This Row],[Quantity]] * Table1[[#This Row],[UnitPrice]]</f>
        <v>2397</v>
      </c>
      <c r="M788" s="25">
        <v>5</v>
      </c>
      <c r="N788">
        <f>Table1[[#This Row],[Revenue]]*Table1[[#This Row],[Discount%]]/100</f>
        <v>119.85</v>
      </c>
      <c r="O788" s="6">
        <f>Table1[[#This Row],[Revenue]]-Table1[[#This Row],[Disc_amount]]</f>
        <v>2277.15</v>
      </c>
      <c r="P788" t="s">
        <v>33</v>
      </c>
      <c r="Q788" t="s">
        <v>27</v>
      </c>
    </row>
    <row r="789" spans="1:17">
      <c r="A789" t="s">
        <v>1457</v>
      </c>
      <c r="B789" s="1" t="s">
        <v>1455</v>
      </c>
      <c r="C789" s="1" t="s">
        <v>1405</v>
      </c>
      <c r="D789" s="1" t="s">
        <v>20</v>
      </c>
      <c r="E789" t="s">
        <v>964</v>
      </c>
      <c r="F789" t="s">
        <v>265</v>
      </c>
      <c r="G789" t="s">
        <v>56</v>
      </c>
      <c r="H789" t="s">
        <v>70</v>
      </c>
      <c r="I789" t="s">
        <v>71</v>
      </c>
      <c r="J789">
        <v>1</v>
      </c>
      <c r="K789">
        <v>349</v>
      </c>
      <c r="L789">
        <f>Table1[[#This Row],[Quantity]] * Table1[[#This Row],[UnitPrice]]</f>
        <v>349</v>
      </c>
      <c r="M789" s="25">
        <v>0</v>
      </c>
      <c r="N789">
        <f>Table1[[#This Row],[Revenue]]*Table1[[#This Row],[Discount%]]/100</f>
        <v>0</v>
      </c>
      <c r="O789" s="6">
        <f>Table1[[#This Row],[Revenue]]-Table1[[#This Row],[Disc_amount]]</f>
        <v>349</v>
      </c>
      <c r="P789" t="s">
        <v>26</v>
      </c>
      <c r="Q789" t="s">
        <v>34</v>
      </c>
    </row>
    <row r="790" spans="1:17">
      <c r="A790" t="s">
        <v>1458</v>
      </c>
      <c r="B790" s="1" t="s">
        <v>1455</v>
      </c>
      <c r="C790" s="1" t="s">
        <v>1405</v>
      </c>
      <c r="D790" s="1" t="s">
        <v>20</v>
      </c>
      <c r="E790" t="s">
        <v>152</v>
      </c>
      <c r="F790" t="s">
        <v>153</v>
      </c>
      <c r="G790" t="s">
        <v>56</v>
      </c>
      <c r="H790" t="s">
        <v>57</v>
      </c>
      <c r="I790" t="s">
        <v>62</v>
      </c>
      <c r="J790">
        <v>4</v>
      </c>
      <c r="K790">
        <v>799</v>
      </c>
      <c r="L790">
        <f>Table1[[#This Row],[Quantity]] * Table1[[#This Row],[UnitPrice]]</f>
        <v>3196</v>
      </c>
      <c r="M790" s="25">
        <v>5</v>
      </c>
      <c r="N790">
        <f>Table1[[#This Row],[Revenue]]*Table1[[#This Row],[Discount%]]/100</f>
        <v>159.80000000000001</v>
      </c>
      <c r="O790" s="6">
        <f>Table1[[#This Row],[Revenue]]-Table1[[#This Row],[Disc_amount]]</f>
        <v>3036.2</v>
      </c>
      <c r="P790" t="s">
        <v>33</v>
      </c>
      <c r="Q790" t="s">
        <v>27</v>
      </c>
    </row>
    <row r="791" spans="1:17">
      <c r="A791" t="s">
        <v>1459</v>
      </c>
      <c r="B791" s="1" t="s">
        <v>1460</v>
      </c>
      <c r="C791" s="1" t="s">
        <v>1405</v>
      </c>
      <c r="D791" s="1" t="s">
        <v>20</v>
      </c>
      <c r="E791" t="s">
        <v>334</v>
      </c>
      <c r="F791" t="s">
        <v>335</v>
      </c>
      <c r="G791" t="s">
        <v>31</v>
      </c>
      <c r="H791" t="s">
        <v>24</v>
      </c>
      <c r="I791" t="s">
        <v>32</v>
      </c>
      <c r="J791">
        <v>1</v>
      </c>
      <c r="K791">
        <v>199</v>
      </c>
      <c r="L791">
        <f>Table1[[#This Row],[Quantity]] * Table1[[#This Row],[UnitPrice]]</f>
        <v>199</v>
      </c>
      <c r="M791" s="25">
        <v>20</v>
      </c>
      <c r="N791">
        <f>Table1[[#This Row],[Revenue]]*Table1[[#This Row],[Discount%]]/100</f>
        <v>39.799999999999997</v>
      </c>
      <c r="O791" s="6">
        <f>Table1[[#This Row],[Revenue]]-Table1[[#This Row],[Disc_amount]]</f>
        <v>159.19999999999999</v>
      </c>
      <c r="P791" t="s">
        <v>26</v>
      </c>
      <c r="Q791" t="s">
        <v>27</v>
      </c>
    </row>
    <row r="792" spans="1:17">
      <c r="A792" t="s">
        <v>1461</v>
      </c>
      <c r="B792" s="1" t="s">
        <v>1460</v>
      </c>
      <c r="C792" s="1" t="s">
        <v>1405</v>
      </c>
      <c r="D792" s="1" t="s">
        <v>20</v>
      </c>
      <c r="E792" t="s">
        <v>1462</v>
      </c>
      <c r="F792" t="s">
        <v>1463</v>
      </c>
      <c r="G792" t="s">
        <v>38</v>
      </c>
      <c r="H792" t="s">
        <v>46</v>
      </c>
      <c r="I792" t="s">
        <v>154</v>
      </c>
      <c r="J792">
        <v>1</v>
      </c>
      <c r="K792">
        <v>299</v>
      </c>
      <c r="L792">
        <f>Table1[[#This Row],[Quantity]] * Table1[[#This Row],[UnitPrice]]</f>
        <v>299</v>
      </c>
      <c r="M792" s="25">
        <v>0</v>
      </c>
      <c r="N792">
        <f>Table1[[#This Row],[Revenue]]*Table1[[#This Row],[Discount%]]/100</f>
        <v>0</v>
      </c>
      <c r="O792" s="6">
        <f>Table1[[#This Row],[Revenue]]-Table1[[#This Row],[Disc_amount]]</f>
        <v>299</v>
      </c>
      <c r="P792" t="s">
        <v>26</v>
      </c>
      <c r="Q792" t="s">
        <v>27</v>
      </c>
    </row>
    <row r="793" spans="1:17">
      <c r="A793" t="s">
        <v>1464</v>
      </c>
      <c r="B793" s="1" t="s">
        <v>1460</v>
      </c>
      <c r="C793" s="1" t="s">
        <v>1405</v>
      </c>
      <c r="D793" s="1" t="s">
        <v>20</v>
      </c>
      <c r="E793" t="s">
        <v>1465</v>
      </c>
      <c r="F793" t="s">
        <v>1466</v>
      </c>
      <c r="G793" t="s">
        <v>45</v>
      </c>
      <c r="H793" t="s">
        <v>39</v>
      </c>
      <c r="I793" t="s">
        <v>51</v>
      </c>
      <c r="J793">
        <v>1</v>
      </c>
      <c r="K793">
        <v>2999</v>
      </c>
      <c r="L793">
        <f>Table1[[#This Row],[Quantity]] * Table1[[#This Row],[UnitPrice]]</f>
        <v>2999</v>
      </c>
      <c r="M793" s="25">
        <v>0</v>
      </c>
      <c r="N793">
        <f>Table1[[#This Row],[Revenue]]*Table1[[#This Row],[Discount%]]/100</f>
        <v>0</v>
      </c>
      <c r="O793" s="6">
        <f>Table1[[#This Row],[Revenue]]-Table1[[#This Row],[Disc_amount]]</f>
        <v>2999</v>
      </c>
      <c r="P793" t="s">
        <v>86</v>
      </c>
      <c r="Q793" t="s">
        <v>34</v>
      </c>
    </row>
    <row r="794" spans="1:17">
      <c r="A794" t="s">
        <v>1467</v>
      </c>
      <c r="B794" s="1" t="s">
        <v>1460</v>
      </c>
      <c r="C794" s="1" t="s">
        <v>1405</v>
      </c>
      <c r="D794" s="1" t="s">
        <v>20</v>
      </c>
      <c r="E794" t="s">
        <v>745</v>
      </c>
      <c r="F794" t="s">
        <v>519</v>
      </c>
      <c r="G794" t="s">
        <v>45</v>
      </c>
      <c r="H794" t="s">
        <v>24</v>
      </c>
      <c r="I794" t="s">
        <v>25</v>
      </c>
      <c r="J794">
        <v>1</v>
      </c>
      <c r="K794">
        <v>99</v>
      </c>
      <c r="L794">
        <f>Table1[[#This Row],[Quantity]] * Table1[[#This Row],[UnitPrice]]</f>
        <v>99</v>
      </c>
      <c r="M794" s="25">
        <v>0</v>
      </c>
      <c r="N794">
        <f>Table1[[#This Row],[Revenue]]*Table1[[#This Row],[Discount%]]/100</f>
        <v>0</v>
      </c>
      <c r="O794" s="6">
        <f>Table1[[#This Row],[Revenue]]-Table1[[#This Row],[Disc_amount]]</f>
        <v>99</v>
      </c>
      <c r="P794" t="s">
        <v>41</v>
      </c>
      <c r="Q794" t="s">
        <v>34</v>
      </c>
    </row>
    <row r="795" spans="1:17">
      <c r="A795" t="s">
        <v>1468</v>
      </c>
      <c r="B795" s="1" t="s">
        <v>1460</v>
      </c>
      <c r="C795" s="1" t="s">
        <v>1405</v>
      </c>
      <c r="D795" s="1" t="s">
        <v>20</v>
      </c>
      <c r="E795" t="s">
        <v>778</v>
      </c>
      <c r="F795" t="s">
        <v>287</v>
      </c>
      <c r="G795" t="s">
        <v>56</v>
      </c>
      <c r="H795" t="s">
        <v>24</v>
      </c>
      <c r="I795" t="s">
        <v>32</v>
      </c>
      <c r="J795">
        <v>3</v>
      </c>
      <c r="K795">
        <v>199</v>
      </c>
      <c r="L795">
        <f>Table1[[#This Row],[Quantity]] * Table1[[#This Row],[UnitPrice]]</f>
        <v>597</v>
      </c>
      <c r="M795" s="25">
        <v>10</v>
      </c>
      <c r="N795">
        <f>Table1[[#This Row],[Revenue]]*Table1[[#This Row],[Discount%]]/100</f>
        <v>59.7</v>
      </c>
      <c r="O795" s="6">
        <f>Table1[[#This Row],[Revenue]]-Table1[[#This Row],[Disc_amount]]</f>
        <v>537.29999999999995</v>
      </c>
      <c r="P795" t="s">
        <v>86</v>
      </c>
      <c r="Q795" t="s">
        <v>27</v>
      </c>
    </row>
    <row r="796" spans="1:17">
      <c r="A796" t="s">
        <v>1469</v>
      </c>
      <c r="B796" s="1" t="s">
        <v>1470</v>
      </c>
      <c r="C796" s="1" t="s">
        <v>1405</v>
      </c>
      <c r="D796" s="1" t="s">
        <v>20</v>
      </c>
      <c r="E796" t="s">
        <v>424</v>
      </c>
      <c r="F796" t="s">
        <v>425</v>
      </c>
      <c r="G796" t="s">
        <v>45</v>
      </c>
      <c r="H796" t="s">
        <v>46</v>
      </c>
      <c r="I796" t="s">
        <v>154</v>
      </c>
      <c r="J796">
        <v>1</v>
      </c>
      <c r="K796">
        <v>299</v>
      </c>
      <c r="L796">
        <f>Table1[[#This Row],[Quantity]] * Table1[[#This Row],[UnitPrice]]</f>
        <v>299</v>
      </c>
      <c r="M796" s="25">
        <v>0</v>
      </c>
      <c r="N796">
        <f>Table1[[#This Row],[Revenue]]*Table1[[#This Row],[Discount%]]/100</f>
        <v>0</v>
      </c>
      <c r="O796" s="6">
        <f>Table1[[#This Row],[Revenue]]-Table1[[#This Row],[Disc_amount]]</f>
        <v>299</v>
      </c>
      <c r="P796" t="s">
        <v>41</v>
      </c>
      <c r="Q796" t="s">
        <v>34</v>
      </c>
    </row>
    <row r="797" spans="1:17">
      <c r="A797" t="s">
        <v>1471</v>
      </c>
      <c r="B797" s="1" t="s">
        <v>1470</v>
      </c>
      <c r="C797" s="1" t="s">
        <v>1405</v>
      </c>
      <c r="D797" s="1" t="s">
        <v>20</v>
      </c>
      <c r="E797" t="s">
        <v>904</v>
      </c>
      <c r="F797" t="s">
        <v>191</v>
      </c>
      <c r="G797" t="s">
        <v>56</v>
      </c>
      <c r="H797" t="s">
        <v>46</v>
      </c>
      <c r="I797" t="s">
        <v>47</v>
      </c>
      <c r="J797">
        <v>2</v>
      </c>
      <c r="K797">
        <v>249</v>
      </c>
      <c r="L797">
        <f>Table1[[#This Row],[Quantity]] * Table1[[#This Row],[UnitPrice]]</f>
        <v>498</v>
      </c>
      <c r="M797" s="25">
        <v>0</v>
      </c>
      <c r="N797">
        <f>Table1[[#This Row],[Revenue]]*Table1[[#This Row],[Discount%]]/100</f>
        <v>0</v>
      </c>
      <c r="O797" s="6">
        <f>Table1[[#This Row],[Revenue]]-Table1[[#This Row],[Disc_amount]]</f>
        <v>498</v>
      </c>
      <c r="P797" t="s">
        <v>33</v>
      </c>
      <c r="Q797" t="s">
        <v>27</v>
      </c>
    </row>
    <row r="798" spans="1:17">
      <c r="A798" t="s">
        <v>1472</v>
      </c>
      <c r="B798" s="1" t="s">
        <v>1470</v>
      </c>
      <c r="C798" s="1" t="s">
        <v>1405</v>
      </c>
      <c r="D798" s="1" t="s">
        <v>20</v>
      </c>
      <c r="E798" t="s">
        <v>1473</v>
      </c>
      <c r="F798" t="s">
        <v>617</v>
      </c>
      <c r="G798" t="s">
        <v>56</v>
      </c>
      <c r="H798" t="s">
        <v>39</v>
      </c>
      <c r="I798" t="s">
        <v>51</v>
      </c>
      <c r="J798">
        <v>1</v>
      </c>
      <c r="K798">
        <v>2999</v>
      </c>
      <c r="L798">
        <f>Table1[[#This Row],[Quantity]] * Table1[[#This Row],[UnitPrice]]</f>
        <v>2999</v>
      </c>
      <c r="M798" s="25">
        <v>10</v>
      </c>
      <c r="N798">
        <f>Table1[[#This Row],[Revenue]]*Table1[[#This Row],[Discount%]]/100</f>
        <v>299.89999999999998</v>
      </c>
      <c r="O798" s="6">
        <f>Table1[[#This Row],[Revenue]]-Table1[[#This Row],[Disc_amount]]</f>
        <v>2699.1</v>
      </c>
      <c r="P798" t="s">
        <v>41</v>
      </c>
      <c r="Q798" t="s">
        <v>27</v>
      </c>
    </row>
    <row r="799" spans="1:17">
      <c r="A799" t="s">
        <v>1474</v>
      </c>
      <c r="B799" s="1" t="s">
        <v>1475</v>
      </c>
      <c r="C799" s="1" t="s">
        <v>1405</v>
      </c>
      <c r="D799" s="1" t="s">
        <v>20</v>
      </c>
      <c r="E799" t="s">
        <v>1186</v>
      </c>
      <c r="F799" t="s">
        <v>1187</v>
      </c>
      <c r="G799" t="s">
        <v>31</v>
      </c>
      <c r="H799" t="s">
        <v>24</v>
      </c>
      <c r="I799" t="s">
        <v>32</v>
      </c>
      <c r="J799">
        <v>1</v>
      </c>
      <c r="K799">
        <v>199</v>
      </c>
      <c r="L799">
        <f>Table1[[#This Row],[Quantity]] * Table1[[#This Row],[UnitPrice]]</f>
        <v>199</v>
      </c>
      <c r="M799" s="25">
        <v>0</v>
      </c>
      <c r="N799">
        <f>Table1[[#This Row],[Revenue]]*Table1[[#This Row],[Discount%]]/100</f>
        <v>0</v>
      </c>
      <c r="O799" s="6">
        <f>Table1[[#This Row],[Revenue]]-Table1[[#This Row],[Disc_amount]]</f>
        <v>199</v>
      </c>
      <c r="P799" t="s">
        <v>52</v>
      </c>
      <c r="Q799" t="s">
        <v>27</v>
      </c>
    </row>
    <row r="800" spans="1:17">
      <c r="A800" t="s">
        <v>1476</v>
      </c>
      <c r="B800" s="1" t="s">
        <v>1475</v>
      </c>
      <c r="C800" s="1" t="s">
        <v>1405</v>
      </c>
      <c r="D800" s="1" t="s">
        <v>20</v>
      </c>
      <c r="E800" t="s">
        <v>686</v>
      </c>
      <c r="F800" t="s">
        <v>443</v>
      </c>
      <c r="G800" t="s">
        <v>23</v>
      </c>
      <c r="H800" t="s">
        <v>46</v>
      </c>
      <c r="I800" t="s">
        <v>47</v>
      </c>
      <c r="J800">
        <v>4</v>
      </c>
      <c r="K800">
        <v>249</v>
      </c>
      <c r="L800">
        <f>Table1[[#This Row],[Quantity]] * Table1[[#This Row],[UnitPrice]]</f>
        <v>996</v>
      </c>
      <c r="M800" s="25">
        <v>5</v>
      </c>
      <c r="N800">
        <f>Table1[[#This Row],[Revenue]]*Table1[[#This Row],[Discount%]]/100</f>
        <v>49.8</v>
      </c>
      <c r="O800" s="6">
        <f>Table1[[#This Row],[Revenue]]-Table1[[#This Row],[Disc_amount]]</f>
        <v>946.2</v>
      </c>
      <c r="P800" t="s">
        <v>52</v>
      </c>
      <c r="Q800" t="s">
        <v>27</v>
      </c>
    </row>
    <row r="801" spans="1:17">
      <c r="A801" t="s">
        <v>1477</v>
      </c>
      <c r="B801" s="1" t="s">
        <v>1475</v>
      </c>
      <c r="C801" s="1" t="s">
        <v>1405</v>
      </c>
      <c r="D801" s="1" t="s">
        <v>20</v>
      </c>
      <c r="E801" t="s">
        <v>1420</v>
      </c>
      <c r="F801" t="s">
        <v>1396</v>
      </c>
      <c r="G801" t="s">
        <v>45</v>
      </c>
      <c r="H801" t="s">
        <v>39</v>
      </c>
      <c r="I801" t="s">
        <v>140</v>
      </c>
      <c r="J801">
        <v>1</v>
      </c>
      <c r="K801">
        <v>1799</v>
      </c>
      <c r="L801">
        <f>Table1[[#This Row],[Quantity]] * Table1[[#This Row],[UnitPrice]]</f>
        <v>1799</v>
      </c>
      <c r="M801" s="25">
        <v>15</v>
      </c>
      <c r="N801">
        <f>Table1[[#This Row],[Revenue]]*Table1[[#This Row],[Discount%]]/100</f>
        <v>269.85000000000002</v>
      </c>
      <c r="O801" s="6">
        <f>Table1[[#This Row],[Revenue]]-Table1[[#This Row],[Disc_amount]]</f>
        <v>1529.15</v>
      </c>
      <c r="P801" t="s">
        <v>26</v>
      </c>
      <c r="Q801" t="s">
        <v>27</v>
      </c>
    </row>
    <row r="802" spans="1:17">
      <c r="A802" t="s">
        <v>1478</v>
      </c>
      <c r="B802" s="1" t="s">
        <v>1475</v>
      </c>
      <c r="C802" s="1" t="s">
        <v>1405</v>
      </c>
      <c r="D802" s="1" t="s">
        <v>20</v>
      </c>
      <c r="E802" t="s">
        <v>310</v>
      </c>
      <c r="F802" t="s">
        <v>311</v>
      </c>
      <c r="G802" t="s">
        <v>23</v>
      </c>
      <c r="H802" t="s">
        <v>57</v>
      </c>
      <c r="I802" t="s">
        <v>58</v>
      </c>
      <c r="J802">
        <v>1</v>
      </c>
      <c r="K802">
        <v>1299</v>
      </c>
      <c r="L802">
        <f>Table1[[#This Row],[Quantity]] * Table1[[#This Row],[UnitPrice]]</f>
        <v>1299</v>
      </c>
      <c r="M802" s="25">
        <v>0</v>
      </c>
      <c r="N802">
        <f>Table1[[#This Row],[Revenue]]*Table1[[#This Row],[Discount%]]/100</f>
        <v>0</v>
      </c>
      <c r="O802" s="6">
        <f>Table1[[#This Row],[Revenue]]-Table1[[#This Row],[Disc_amount]]</f>
        <v>1299</v>
      </c>
      <c r="P802" t="s">
        <v>33</v>
      </c>
      <c r="Q802" t="s">
        <v>27</v>
      </c>
    </row>
    <row r="803" spans="1:17">
      <c r="A803" t="s">
        <v>1479</v>
      </c>
      <c r="B803" s="1" t="s">
        <v>1475</v>
      </c>
      <c r="C803" s="1" t="s">
        <v>1405</v>
      </c>
      <c r="D803" s="1" t="s">
        <v>20</v>
      </c>
      <c r="E803" t="s">
        <v>599</v>
      </c>
      <c r="F803" t="s">
        <v>600</v>
      </c>
      <c r="G803" t="s">
        <v>45</v>
      </c>
      <c r="H803" t="s">
        <v>70</v>
      </c>
      <c r="I803" t="s">
        <v>91</v>
      </c>
      <c r="J803">
        <v>1</v>
      </c>
      <c r="K803">
        <v>549</v>
      </c>
      <c r="L803">
        <f>Table1[[#This Row],[Quantity]] * Table1[[#This Row],[UnitPrice]]</f>
        <v>549</v>
      </c>
      <c r="M803" s="25">
        <v>10</v>
      </c>
      <c r="N803">
        <f>Table1[[#This Row],[Revenue]]*Table1[[#This Row],[Discount%]]/100</f>
        <v>54.9</v>
      </c>
      <c r="O803" s="6">
        <f>Table1[[#This Row],[Revenue]]-Table1[[#This Row],[Disc_amount]]</f>
        <v>494.1</v>
      </c>
      <c r="P803" t="s">
        <v>26</v>
      </c>
      <c r="Q803" t="s">
        <v>27</v>
      </c>
    </row>
    <row r="804" spans="1:17">
      <c r="A804" t="s">
        <v>1480</v>
      </c>
      <c r="B804" s="1" t="s">
        <v>1475</v>
      </c>
      <c r="C804" s="1" t="s">
        <v>1405</v>
      </c>
      <c r="D804" s="1" t="s">
        <v>20</v>
      </c>
      <c r="E804" t="s">
        <v>1481</v>
      </c>
      <c r="F804" t="s">
        <v>853</v>
      </c>
      <c r="G804" t="s">
        <v>23</v>
      </c>
      <c r="H804" t="s">
        <v>46</v>
      </c>
      <c r="I804" t="s">
        <v>154</v>
      </c>
      <c r="J804">
        <v>4</v>
      </c>
      <c r="K804">
        <v>299</v>
      </c>
      <c r="L804">
        <f>Table1[[#This Row],[Quantity]] * Table1[[#This Row],[UnitPrice]]</f>
        <v>1196</v>
      </c>
      <c r="M804" s="25">
        <v>5</v>
      </c>
      <c r="N804">
        <f>Table1[[#This Row],[Revenue]]*Table1[[#This Row],[Discount%]]/100</f>
        <v>59.8</v>
      </c>
      <c r="O804" s="6">
        <f>Table1[[#This Row],[Revenue]]-Table1[[#This Row],[Disc_amount]]</f>
        <v>1136.2</v>
      </c>
      <c r="P804" t="s">
        <v>52</v>
      </c>
      <c r="Q804" t="s">
        <v>27</v>
      </c>
    </row>
    <row r="805" spans="1:17">
      <c r="A805" t="s">
        <v>1482</v>
      </c>
      <c r="B805" s="1" t="s">
        <v>1475</v>
      </c>
      <c r="C805" s="1" t="s">
        <v>1405</v>
      </c>
      <c r="D805" s="1" t="s">
        <v>20</v>
      </c>
      <c r="E805" t="s">
        <v>453</v>
      </c>
      <c r="F805" t="s">
        <v>454</v>
      </c>
      <c r="G805" t="s">
        <v>38</v>
      </c>
      <c r="H805" t="s">
        <v>39</v>
      </c>
      <c r="I805" t="s">
        <v>51</v>
      </c>
      <c r="J805">
        <v>2</v>
      </c>
      <c r="K805">
        <v>2999</v>
      </c>
      <c r="L805">
        <f>Table1[[#This Row],[Quantity]] * Table1[[#This Row],[UnitPrice]]</f>
        <v>5998</v>
      </c>
      <c r="M805" s="25">
        <v>15</v>
      </c>
      <c r="N805">
        <f>Table1[[#This Row],[Revenue]]*Table1[[#This Row],[Discount%]]/100</f>
        <v>899.7</v>
      </c>
      <c r="O805" s="6">
        <f>Table1[[#This Row],[Revenue]]-Table1[[#This Row],[Disc_amount]]</f>
        <v>5098.3</v>
      </c>
      <c r="P805" t="s">
        <v>41</v>
      </c>
      <c r="Q805" t="s">
        <v>27</v>
      </c>
    </row>
    <row r="806" spans="1:17">
      <c r="A806" t="s">
        <v>1483</v>
      </c>
      <c r="B806" s="1" t="s">
        <v>1484</v>
      </c>
      <c r="C806" s="1" t="s">
        <v>1405</v>
      </c>
      <c r="D806" s="1" t="s">
        <v>20</v>
      </c>
      <c r="E806" t="s">
        <v>835</v>
      </c>
      <c r="F806" t="s">
        <v>836</v>
      </c>
      <c r="G806" t="s">
        <v>38</v>
      </c>
      <c r="H806" t="s">
        <v>46</v>
      </c>
      <c r="I806" t="s">
        <v>47</v>
      </c>
      <c r="J806">
        <v>2</v>
      </c>
      <c r="K806">
        <v>249</v>
      </c>
      <c r="L806">
        <f>Table1[[#This Row],[Quantity]] * Table1[[#This Row],[UnitPrice]]</f>
        <v>498</v>
      </c>
      <c r="M806" s="25">
        <v>15</v>
      </c>
      <c r="N806">
        <f>Table1[[#This Row],[Revenue]]*Table1[[#This Row],[Discount%]]/100</f>
        <v>74.7</v>
      </c>
      <c r="O806" s="6">
        <f>Table1[[#This Row],[Revenue]]-Table1[[#This Row],[Disc_amount]]</f>
        <v>423.3</v>
      </c>
      <c r="P806" t="s">
        <v>33</v>
      </c>
      <c r="Q806" t="s">
        <v>27</v>
      </c>
    </row>
    <row r="807" spans="1:17">
      <c r="A807" t="s">
        <v>1485</v>
      </c>
      <c r="B807" s="1" t="s">
        <v>1484</v>
      </c>
      <c r="C807" s="1" t="s">
        <v>1405</v>
      </c>
      <c r="D807" s="1" t="s">
        <v>20</v>
      </c>
      <c r="E807" t="s">
        <v>780</v>
      </c>
      <c r="F807" t="s">
        <v>504</v>
      </c>
      <c r="G807" t="s">
        <v>38</v>
      </c>
      <c r="H807" t="s">
        <v>57</v>
      </c>
      <c r="I807" t="s">
        <v>62</v>
      </c>
      <c r="J807">
        <v>1</v>
      </c>
      <c r="K807">
        <v>799</v>
      </c>
      <c r="L807">
        <f>Table1[[#This Row],[Quantity]] * Table1[[#This Row],[UnitPrice]]</f>
        <v>799</v>
      </c>
      <c r="M807" s="25">
        <v>15</v>
      </c>
      <c r="N807">
        <f>Table1[[#This Row],[Revenue]]*Table1[[#This Row],[Discount%]]/100</f>
        <v>119.85</v>
      </c>
      <c r="O807" s="6">
        <f>Table1[[#This Row],[Revenue]]-Table1[[#This Row],[Disc_amount]]</f>
        <v>679.15</v>
      </c>
      <c r="P807" t="s">
        <v>26</v>
      </c>
      <c r="Q807" t="s">
        <v>27</v>
      </c>
    </row>
    <row r="808" spans="1:17">
      <c r="A808" t="s">
        <v>1486</v>
      </c>
      <c r="B808" s="1" t="s">
        <v>1484</v>
      </c>
      <c r="C808" s="1" t="s">
        <v>1405</v>
      </c>
      <c r="D808" s="1" t="s">
        <v>20</v>
      </c>
      <c r="E808" t="s">
        <v>1344</v>
      </c>
      <c r="F808" t="s">
        <v>694</v>
      </c>
      <c r="G808" t="s">
        <v>23</v>
      </c>
      <c r="H808" t="s">
        <v>39</v>
      </c>
      <c r="I808" t="s">
        <v>40</v>
      </c>
      <c r="J808">
        <v>1</v>
      </c>
      <c r="K808">
        <v>599</v>
      </c>
      <c r="L808">
        <f>Table1[[#This Row],[Quantity]] * Table1[[#This Row],[UnitPrice]]</f>
        <v>599</v>
      </c>
      <c r="M808" s="25">
        <v>0</v>
      </c>
      <c r="N808">
        <f>Table1[[#This Row],[Revenue]]*Table1[[#This Row],[Discount%]]/100</f>
        <v>0</v>
      </c>
      <c r="O808" s="6">
        <f>Table1[[#This Row],[Revenue]]-Table1[[#This Row],[Disc_amount]]</f>
        <v>599</v>
      </c>
      <c r="P808" t="s">
        <v>52</v>
      </c>
      <c r="Q808" t="s">
        <v>34</v>
      </c>
    </row>
    <row r="809" spans="1:17">
      <c r="A809" t="s">
        <v>1487</v>
      </c>
      <c r="B809" s="1" t="s">
        <v>1484</v>
      </c>
      <c r="C809" s="1" t="s">
        <v>1405</v>
      </c>
      <c r="D809" s="1" t="s">
        <v>20</v>
      </c>
      <c r="E809" t="s">
        <v>835</v>
      </c>
      <c r="F809" t="s">
        <v>836</v>
      </c>
      <c r="G809" t="s">
        <v>31</v>
      </c>
      <c r="H809" t="s">
        <v>57</v>
      </c>
      <c r="I809" t="s">
        <v>62</v>
      </c>
      <c r="J809">
        <v>1</v>
      </c>
      <c r="K809">
        <v>799</v>
      </c>
      <c r="L809">
        <f>Table1[[#This Row],[Quantity]] * Table1[[#This Row],[UnitPrice]]</f>
        <v>799</v>
      </c>
      <c r="M809" s="25">
        <v>5</v>
      </c>
      <c r="N809">
        <f>Table1[[#This Row],[Revenue]]*Table1[[#This Row],[Discount%]]/100</f>
        <v>39.950000000000003</v>
      </c>
      <c r="O809" s="6">
        <f>Table1[[#This Row],[Revenue]]-Table1[[#This Row],[Disc_amount]]</f>
        <v>759.05</v>
      </c>
      <c r="P809" t="s">
        <v>33</v>
      </c>
      <c r="Q809" t="s">
        <v>27</v>
      </c>
    </row>
    <row r="810" spans="1:17">
      <c r="A810" t="s">
        <v>1488</v>
      </c>
      <c r="B810" s="1" t="s">
        <v>1484</v>
      </c>
      <c r="C810" s="1" t="s">
        <v>1405</v>
      </c>
      <c r="D810" s="1" t="s">
        <v>20</v>
      </c>
      <c r="E810" t="s">
        <v>791</v>
      </c>
      <c r="F810" t="s">
        <v>37</v>
      </c>
      <c r="G810" t="s">
        <v>56</v>
      </c>
      <c r="H810" t="s">
        <v>70</v>
      </c>
      <c r="I810" t="s">
        <v>71</v>
      </c>
      <c r="J810">
        <v>3</v>
      </c>
      <c r="K810">
        <v>349</v>
      </c>
      <c r="L810">
        <f>Table1[[#This Row],[Quantity]] * Table1[[#This Row],[UnitPrice]]</f>
        <v>1047</v>
      </c>
      <c r="M810" s="25">
        <v>15</v>
      </c>
      <c r="N810">
        <f>Table1[[#This Row],[Revenue]]*Table1[[#This Row],[Discount%]]/100</f>
        <v>157.05000000000001</v>
      </c>
      <c r="O810" s="6">
        <f>Table1[[#This Row],[Revenue]]-Table1[[#This Row],[Disc_amount]]</f>
        <v>889.95</v>
      </c>
      <c r="P810" t="s">
        <v>86</v>
      </c>
      <c r="Q810" t="s">
        <v>27</v>
      </c>
    </row>
    <row r="811" spans="1:17">
      <c r="A811" t="s">
        <v>1489</v>
      </c>
      <c r="B811" s="1" t="s">
        <v>1484</v>
      </c>
      <c r="C811" s="1" t="s">
        <v>1405</v>
      </c>
      <c r="D811" s="1" t="s">
        <v>20</v>
      </c>
      <c r="E811" t="s">
        <v>533</v>
      </c>
      <c r="F811" t="s">
        <v>534</v>
      </c>
      <c r="G811" t="s">
        <v>31</v>
      </c>
      <c r="H811" t="s">
        <v>70</v>
      </c>
      <c r="I811" t="s">
        <v>71</v>
      </c>
      <c r="J811">
        <v>1</v>
      </c>
      <c r="K811">
        <v>349</v>
      </c>
      <c r="L811">
        <f>Table1[[#This Row],[Quantity]] * Table1[[#This Row],[UnitPrice]]</f>
        <v>349</v>
      </c>
      <c r="M811" s="25">
        <v>10</v>
      </c>
      <c r="N811">
        <f>Table1[[#This Row],[Revenue]]*Table1[[#This Row],[Discount%]]/100</f>
        <v>34.9</v>
      </c>
      <c r="O811" s="6">
        <f>Table1[[#This Row],[Revenue]]-Table1[[#This Row],[Disc_amount]]</f>
        <v>314.10000000000002</v>
      </c>
      <c r="P811" t="s">
        <v>33</v>
      </c>
      <c r="Q811" t="s">
        <v>27</v>
      </c>
    </row>
    <row r="812" spans="1:17">
      <c r="A812" t="s">
        <v>1490</v>
      </c>
      <c r="B812" s="1" t="s">
        <v>1484</v>
      </c>
      <c r="C812" s="1" t="s">
        <v>1405</v>
      </c>
      <c r="D812" s="1" t="s">
        <v>20</v>
      </c>
      <c r="E812" t="s">
        <v>303</v>
      </c>
      <c r="F812" t="s">
        <v>304</v>
      </c>
      <c r="G812" t="s">
        <v>23</v>
      </c>
      <c r="H812" t="s">
        <v>46</v>
      </c>
      <c r="I812" t="s">
        <v>154</v>
      </c>
      <c r="J812">
        <v>1</v>
      </c>
      <c r="K812">
        <v>299</v>
      </c>
      <c r="L812">
        <f>Table1[[#This Row],[Quantity]] * Table1[[#This Row],[UnitPrice]]</f>
        <v>299</v>
      </c>
      <c r="M812" s="25">
        <v>0</v>
      </c>
      <c r="N812">
        <f>Table1[[#This Row],[Revenue]]*Table1[[#This Row],[Discount%]]/100</f>
        <v>0</v>
      </c>
      <c r="O812" s="6">
        <f>Table1[[#This Row],[Revenue]]-Table1[[#This Row],[Disc_amount]]</f>
        <v>299</v>
      </c>
      <c r="P812" t="s">
        <v>52</v>
      </c>
      <c r="Q812" t="s">
        <v>27</v>
      </c>
    </row>
    <row r="813" spans="1:17">
      <c r="A813" t="s">
        <v>1491</v>
      </c>
      <c r="B813" s="1" t="s">
        <v>1484</v>
      </c>
      <c r="C813" s="1" t="s">
        <v>1405</v>
      </c>
      <c r="D813" s="1" t="s">
        <v>20</v>
      </c>
      <c r="E813" t="s">
        <v>1178</v>
      </c>
      <c r="F813" t="s">
        <v>358</v>
      </c>
      <c r="G813" t="s">
        <v>31</v>
      </c>
      <c r="H813" t="s">
        <v>24</v>
      </c>
      <c r="I813" t="s">
        <v>32</v>
      </c>
      <c r="J813">
        <v>4</v>
      </c>
      <c r="K813">
        <v>199</v>
      </c>
      <c r="L813">
        <f>Table1[[#This Row],[Quantity]] * Table1[[#This Row],[UnitPrice]]</f>
        <v>796</v>
      </c>
      <c r="M813" s="25">
        <v>20</v>
      </c>
      <c r="N813">
        <f>Table1[[#This Row],[Revenue]]*Table1[[#This Row],[Discount%]]/100</f>
        <v>159.19999999999999</v>
      </c>
      <c r="O813" s="6">
        <f>Table1[[#This Row],[Revenue]]-Table1[[#This Row],[Disc_amount]]</f>
        <v>636.79999999999995</v>
      </c>
      <c r="P813" t="s">
        <v>26</v>
      </c>
      <c r="Q813" t="s">
        <v>27</v>
      </c>
    </row>
    <row r="814" spans="1:17">
      <c r="A814" t="s">
        <v>1492</v>
      </c>
      <c r="B814" s="1" t="s">
        <v>1484</v>
      </c>
      <c r="C814" s="1" t="s">
        <v>1405</v>
      </c>
      <c r="D814" s="1" t="s">
        <v>20</v>
      </c>
      <c r="E814" t="s">
        <v>414</v>
      </c>
      <c r="F814" t="s">
        <v>415</v>
      </c>
      <c r="G814" t="s">
        <v>23</v>
      </c>
      <c r="H814" t="s">
        <v>65</v>
      </c>
      <c r="I814" t="s">
        <v>98</v>
      </c>
      <c r="J814">
        <v>1</v>
      </c>
      <c r="K814">
        <v>499</v>
      </c>
      <c r="L814">
        <f>Table1[[#This Row],[Quantity]] * Table1[[#This Row],[UnitPrice]]</f>
        <v>499</v>
      </c>
      <c r="M814" s="25">
        <v>10</v>
      </c>
      <c r="N814">
        <f>Table1[[#This Row],[Revenue]]*Table1[[#This Row],[Discount%]]/100</f>
        <v>49.9</v>
      </c>
      <c r="O814" s="6">
        <f>Table1[[#This Row],[Revenue]]-Table1[[#This Row],[Disc_amount]]</f>
        <v>449.1</v>
      </c>
      <c r="P814" t="s">
        <v>52</v>
      </c>
      <c r="Q814" t="s">
        <v>27</v>
      </c>
    </row>
    <row r="815" spans="1:17">
      <c r="A815" t="s">
        <v>1493</v>
      </c>
      <c r="B815" s="1" t="s">
        <v>1484</v>
      </c>
      <c r="C815" s="1" t="s">
        <v>1405</v>
      </c>
      <c r="D815" s="1" t="s">
        <v>20</v>
      </c>
      <c r="E815" t="s">
        <v>811</v>
      </c>
      <c r="F815" t="s">
        <v>166</v>
      </c>
      <c r="G815" t="s">
        <v>45</v>
      </c>
      <c r="H815" t="s">
        <v>46</v>
      </c>
      <c r="I815" t="s">
        <v>47</v>
      </c>
      <c r="J815">
        <v>1</v>
      </c>
      <c r="K815">
        <v>249</v>
      </c>
      <c r="L815">
        <f>Table1[[#This Row],[Quantity]] * Table1[[#This Row],[UnitPrice]]</f>
        <v>249</v>
      </c>
      <c r="M815" s="25">
        <v>0</v>
      </c>
      <c r="N815">
        <f>Table1[[#This Row],[Revenue]]*Table1[[#This Row],[Discount%]]/100</f>
        <v>0</v>
      </c>
      <c r="O815" s="6">
        <f>Table1[[#This Row],[Revenue]]-Table1[[#This Row],[Disc_amount]]</f>
        <v>249</v>
      </c>
      <c r="P815" t="s">
        <v>26</v>
      </c>
      <c r="Q815" t="s">
        <v>27</v>
      </c>
    </row>
    <row r="816" spans="1:17">
      <c r="A816" t="s">
        <v>1494</v>
      </c>
      <c r="B816" s="1" t="s">
        <v>1484</v>
      </c>
      <c r="C816" s="1" t="s">
        <v>1405</v>
      </c>
      <c r="D816" s="1" t="s">
        <v>20</v>
      </c>
      <c r="E816" t="s">
        <v>205</v>
      </c>
      <c r="F816" t="s">
        <v>206</v>
      </c>
      <c r="G816" t="s">
        <v>38</v>
      </c>
      <c r="H816" t="s">
        <v>46</v>
      </c>
      <c r="I816" t="s">
        <v>47</v>
      </c>
      <c r="J816">
        <v>1</v>
      </c>
      <c r="K816">
        <v>249</v>
      </c>
      <c r="L816">
        <f>Table1[[#This Row],[Quantity]] * Table1[[#This Row],[UnitPrice]]</f>
        <v>249</v>
      </c>
      <c r="M816" s="25">
        <v>0</v>
      </c>
      <c r="N816">
        <f>Table1[[#This Row],[Revenue]]*Table1[[#This Row],[Discount%]]/100</f>
        <v>0</v>
      </c>
      <c r="O816" s="6">
        <f>Table1[[#This Row],[Revenue]]-Table1[[#This Row],[Disc_amount]]</f>
        <v>249</v>
      </c>
      <c r="P816" t="s">
        <v>52</v>
      </c>
      <c r="Q816" t="s">
        <v>27</v>
      </c>
    </row>
    <row r="817" spans="1:17">
      <c r="A817" t="s">
        <v>1495</v>
      </c>
      <c r="B817" s="1" t="s">
        <v>1484</v>
      </c>
      <c r="C817" s="1" t="s">
        <v>1405</v>
      </c>
      <c r="D817" s="1" t="s">
        <v>20</v>
      </c>
      <c r="E817" t="s">
        <v>386</v>
      </c>
      <c r="F817" t="s">
        <v>183</v>
      </c>
      <c r="G817" t="s">
        <v>38</v>
      </c>
      <c r="H817" t="s">
        <v>24</v>
      </c>
      <c r="I817" t="s">
        <v>25</v>
      </c>
      <c r="J817">
        <v>1</v>
      </c>
      <c r="K817">
        <v>99</v>
      </c>
      <c r="L817">
        <f>Table1[[#This Row],[Quantity]] * Table1[[#This Row],[UnitPrice]]</f>
        <v>99</v>
      </c>
      <c r="M817" s="25">
        <v>10</v>
      </c>
      <c r="N817">
        <f>Table1[[#This Row],[Revenue]]*Table1[[#This Row],[Discount%]]/100</f>
        <v>9.9</v>
      </c>
      <c r="O817" s="6">
        <f>Table1[[#This Row],[Revenue]]-Table1[[#This Row],[Disc_amount]]</f>
        <v>89.1</v>
      </c>
      <c r="P817" t="s">
        <v>33</v>
      </c>
      <c r="Q817" t="s">
        <v>27</v>
      </c>
    </row>
    <row r="818" spans="1:17">
      <c r="A818" t="s">
        <v>1496</v>
      </c>
      <c r="B818" s="1" t="s">
        <v>1484</v>
      </c>
      <c r="C818" s="1" t="s">
        <v>1405</v>
      </c>
      <c r="D818" s="1" t="s">
        <v>20</v>
      </c>
      <c r="E818" t="s">
        <v>640</v>
      </c>
      <c r="F818" t="s">
        <v>225</v>
      </c>
      <c r="G818" t="s">
        <v>45</v>
      </c>
      <c r="H818" t="s">
        <v>39</v>
      </c>
      <c r="I818" t="s">
        <v>140</v>
      </c>
      <c r="J818">
        <v>1</v>
      </c>
      <c r="K818">
        <v>1799</v>
      </c>
      <c r="L818">
        <f>Table1[[#This Row],[Quantity]] * Table1[[#This Row],[UnitPrice]]</f>
        <v>1799</v>
      </c>
      <c r="M818" s="25">
        <v>5</v>
      </c>
      <c r="N818">
        <f>Table1[[#This Row],[Revenue]]*Table1[[#This Row],[Discount%]]/100</f>
        <v>89.95</v>
      </c>
      <c r="O818" s="6">
        <f>Table1[[#This Row],[Revenue]]-Table1[[#This Row],[Disc_amount]]</f>
        <v>1709.05</v>
      </c>
      <c r="P818" t="s">
        <v>26</v>
      </c>
      <c r="Q818" t="s">
        <v>34</v>
      </c>
    </row>
    <row r="819" spans="1:17">
      <c r="A819" t="s">
        <v>1497</v>
      </c>
      <c r="B819" s="1" t="s">
        <v>1498</v>
      </c>
      <c r="C819" s="1" t="s">
        <v>1405</v>
      </c>
      <c r="D819" s="1" t="s">
        <v>20</v>
      </c>
      <c r="E819" t="s">
        <v>1499</v>
      </c>
      <c r="F819" t="s">
        <v>730</v>
      </c>
      <c r="G819" t="s">
        <v>56</v>
      </c>
      <c r="H819" t="s">
        <v>70</v>
      </c>
      <c r="I819" t="s">
        <v>71</v>
      </c>
      <c r="J819">
        <v>5</v>
      </c>
      <c r="K819">
        <v>349</v>
      </c>
      <c r="L819">
        <f>Table1[[#This Row],[Quantity]] * Table1[[#This Row],[UnitPrice]]</f>
        <v>1745</v>
      </c>
      <c r="M819" s="25">
        <v>0</v>
      </c>
      <c r="N819">
        <f>Table1[[#This Row],[Revenue]]*Table1[[#This Row],[Discount%]]/100</f>
        <v>0</v>
      </c>
      <c r="O819" s="6">
        <f>Table1[[#This Row],[Revenue]]-Table1[[#This Row],[Disc_amount]]</f>
        <v>1745</v>
      </c>
      <c r="P819" t="s">
        <v>26</v>
      </c>
      <c r="Q819" t="s">
        <v>27</v>
      </c>
    </row>
    <row r="820" spans="1:17">
      <c r="A820" t="s">
        <v>1500</v>
      </c>
      <c r="B820" s="1" t="s">
        <v>1498</v>
      </c>
      <c r="C820" s="1" t="s">
        <v>1405</v>
      </c>
      <c r="D820" s="1" t="s">
        <v>20</v>
      </c>
      <c r="E820" t="s">
        <v>1176</v>
      </c>
      <c r="F820" t="s">
        <v>173</v>
      </c>
      <c r="G820" t="s">
        <v>38</v>
      </c>
      <c r="H820" t="s">
        <v>46</v>
      </c>
      <c r="I820" t="s">
        <v>47</v>
      </c>
      <c r="J820">
        <v>1</v>
      </c>
      <c r="K820">
        <v>249</v>
      </c>
      <c r="L820">
        <f>Table1[[#This Row],[Quantity]] * Table1[[#This Row],[UnitPrice]]</f>
        <v>249</v>
      </c>
      <c r="M820" s="25">
        <v>20</v>
      </c>
      <c r="N820">
        <f>Table1[[#This Row],[Revenue]]*Table1[[#This Row],[Discount%]]/100</f>
        <v>49.8</v>
      </c>
      <c r="O820" s="6">
        <f>Table1[[#This Row],[Revenue]]-Table1[[#This Row],[Disc_amount]]</f>
        <v>199.2</v>
      </c>
      <c r="P820" t="s">
        <v>41</v>
      </c>
      <c r="Q820" t="s">
        <v>27</v>
      </c>
    </row>
    <row r="821" spans="1:17">
      <c r="A821" t="s">
        <v>1501</v>
      </c>
      <c r="B821" s="1" t="s">
        <v>1498</v>
      </c>
      <c r="C821" s="1" t="s">
        <v>1405</v>
      </c>
      <c r="D821" s="1" t="s">
        <v>20</v>
      </c>
      <c r="E821" t="s">
        <v>373</v>
      </c>
      <c r="F821" t="s">
        <v>183</v>
      </c>
      <c r="G821" t="s">
        <v>23</v>
      </c>
      <c r="H821" t="s">
        <v>65</v>
      </c>
      <c r="I821" t="s">
        <v>66</v>
      </c>
      <c r="J821">
        <v>1</v>
      </c>
      <c r="K821">
        <v>1999</v>
      </c>
      <c r="L821">
        <f>Table1[[#This Row],[Quantity]] * Table1[[#This Row],[UnitPrice]]</f>
        <v>1999</v>
      </c>
      <c r="M821" s="25">
        <v>10</v>
      </c>
      <c r="N821">
        <f>Table1[[#This Row],[Revenue]]*Table1[[#This Row],[Discount%]]/100</f>
        <v>199.9</v>
      </c>
      <c r="O821" s="6">
        <f>Table1[[#This Row],[Revenue]]-Table1[[#This Row],[Disc_amount]]</f>
        <v>1799.1</v>
      </c>
      <c r="P821" t="s">
        <v>33</v>
      </c>
      <c r="Q821" t="s">
        <v>27</v>
      </c>
    </row>
    <row r="822" spans="1:17">
      <c r="A822" t="s">
        <v>1502</v>
      </c>
      <c r="B822" s="1" t="s">
        <v>1498</v>
      </c>
      <c r="C822" s="1" t="s">
        <v>1405</v>
      </c>
      <c r="D822" s="1" t="s">
        <v>20</v>
      </c>
      <c r="E822" t="s">
        <v>533</v>
      </c>
      <c r="F822" t="s">
        <v>534</v>
      </c>
      <c r="G822" t="s">
        <v>38</v>
      </c>
      <c r="H822" t="s">
        <v>65</v>
      </c>
      <c r="I822" t="s">
        <v>94</v>
      </c>
      <c r="J822">
        <v>1</v>
      </c>
      <c r="K822">
        <v>899</v>
      </c>
      <c r="L822">
        <f>Table1[[#This Row],[Quantity]] * Table1[[#This Row],[UnitPrice]]</f>
        <v>899</v>
      </c>
      <c r="M822" s="25">
        <v>5</v>
      </c>
      <c r="N822">
        <f>Table1[[#This Row],[Revenue]]*Table1[[#This Row],[Discount%]]/100</f>
        <v>44.95</v>
      </c>
      <c r="O822" s="6">
        <f>Table1[[#This Row],[Revenue]]-Table1[[#This Row],[Disc_amount]]</f>
        <v>854.05</v>
      </c>
      <c r="P822" t="s">
        <v>26</v>
      </c>
      <c r="Q822" t="s">
        <v>27</v>
      </c>
    </row>
    <row r="823" spans="1:17">
      <c r="A823" t="s">
        <v>1503</v>
      </c>
      <c r="B823" s="1" t="s">
        <v>1498</v>
      </c>
      <c r="C823" s="1" t="s">
        <v>1405</v>
      </c>
      <c r="D823" s="1" t="s">
        <v>20</v>
      </c>
      <c r="E823" t="s">
        <v>480</v>
      </c>
      <c r="F823" t="s">
        <v>253</v>
      </c>
      <c r="G823" t="s">
        <v>31</v>
      </c>
      <c r="H823" t="s">
        <v>70</v>
      </c>
      <c r="I823" t="s">
        <v>71</v>
      </c>
      <c r="J823">
        <v>2</v>
      </c>
      <c r="K823">
        <v>349</v>
      </c>
      <c r="L823">
        <f>Table1[[#This Row],[Quantity]] * Table1[[#This Row],[UnitPrice]]</f>
        <v>698</v>
      </c>
      <c r="M823" s="25">
        <v>5</v>
      </c>
      <c r="N823">
        <f>Table1[[#This Row],[Revenue]]*Table1[[#This Row],[Discount%]]/100</f>
        <v>34.9</v>
      </c>
      <c r="O823" s="6">
        <f>Table1[[#This Row],[Revenue]]-Table1[[#This Row],[Disc_amount]]</f>
        <v>663.1</v>
      </c>
      <c r="P823" t="s">
        <v>41</v>
      </c>
      <c r="Q823" t="s">
        <v>27</v>
      </c>
    </row>
    <row r="824" spans="1:17">
      <c r="A824" t="s">
        <v>1504</v>
      </c>
      <c r="B824" s="1" t="s">
        <v>1498</v>
      </c>
      <c r="C824" s="1" t="s">
        <v>1405</v>
      </c>
      <c r="D824" s="1" t="s">
        <v>20</v>
      </c>
      <c r="E824" t="s">
        <v>392</v>
      </c>
      <c r="F824" t="s">
        <v>236</v>
      </c>
      <c r="G824" t="s">
        <v>31</v>
      </c>
      <c r="H824" t="s">
        <v>65</v>
      </c>
      <c r="I824" t="s">
        <v>66</v>
      </c>
      <c r="J824">
        <v>2</v>
      </c>
      <c r="K824">
        <v>1999</v>
      </c>
      <c r="L824">
        <f>Table1[[#This Row],[Quantity]] * Table1[[#This Row],[UnitPrice]]</f>
        <v>3998</v>
      </c>
      <c r="M824" s="25">
        <v>15</v>
      </c>
      <c r="N824">
        <f>Table1[[#This Row],[Revenue]]*Table1[[#This Row],[Discount%]]/100</f>
        <v>599.70000000000005</v>
      </c>
      <c r="O824" s="6">
        <f>Table1[[#This Row],[Revenue]]-Table1[[#This Row],[Disc_amount]]</f>
        <v>3398.3</v>
      </c>
      <c r="P824" t="s">
        <v>26</v>
      </c>
      <c r="Q824" t="s">
        <v>27</v>
      </c>
    </row>
    <row r="825" spans="1:17">
      <c r="A825" t="s">
        <v>1505</v>
      </c>
      <c r="B825" s="1" t="s">
        <v>1498</v>
      </c>
      <c r="C825" s="1" t="s">
        <v>1405</v>
      </c>
      <c r="D825" s="1" t="s">
        <v>20</v>
      </c>
      <c r="E825" t="s">
        <v>252</v>
      </c>
      <c r="F825" t="s">
        <v>253</v>
      </c>
      <c r="G825" t="s">
        <v>38</v>
      </c>
      <c r="H825" t="s">
        <v>108</v>
      </c>
      <c r="I825" t="s">
        <v>130</v>
      </c>
      <c r="J825">
        <v>3</v>
      </c>
      <c r="K825">
        <v>699</v>
      </c>
      <c r="L825">
        <f>Table1[[#This Row],[Quantity]] * Table1[[#This Row],[UnitPrice]]</f>
        <v>2097</v>
      </c>
      <c r="M825" s="25">
        <v>0</v>
      </c>
      <c r="N825">
        <f>Table1[[#This Row],[Revenue]]*Table1[[#This Row],[Discount%]]/100</f>
        <v>0</v>
      </c>
      <c r="O825" s="6">
        <f>Table1[[#This Row],[Revenue]]-Table1[[#This Row],[Disc_amount]]</f>
        <v>2097</v>
      </c>
      <c r="P825" t="s">
        <v>41</v>
      </c>
      <c r="Q825" t="s">
        <v>27</v>
      </c>
    </row>
    <row r="826" spans="1:17">
      <c r="A826" t="s">
        <v>1506</v>
      </c>
      <c r="B826" s="1" t="s">
        <v>1498</v>
      </c>
      <c r="C826" s="1" t="s">
        <v>1405</v>
      </c>
      <c r="D826" s="1" t="s">
        <v>20</v>
      </c>
      <c r="E826" t="s">
        <v>763</v>
      </c>
      <c r="F826" t="s">
        <v>118</v>
      </c>
      <c r="G826" t="s">
        <v>31</v>
      </c>
      <c r="H826" t="s">
        <v>24</v>
      </c>
      <c r="I826" t="s">
        <v>25</v>
      </c>
      <c r="J826">
        <v>1</v>
      </c>
      <c r="K826">
        <v>99</v>
      </c>
      <c r="L826">
        <f>Table1[[#This Row],[Quantity]] * Table1[[#This Row],[UnitPrice]]</f>
        <v>99</v>
      </c>
      <c r="M826" s="25">
        <v>5</v>
      </c>
      <c r="N826">
        <f>Table1[[#This Row],[Revenue]]*Table1[[#This Row],[Discount%]]/100</f>
        <v>4.95</v>
      </c>
      <c r="O826" s="6">
        <f>Table1[[#This Row],[Revenue]]-Table1[[#This Row],[Disc_amount]]</f>
        <v>94.05</v>
      </c>
      <c r="P826" t="s">
        <v>86</v>
      </c>
      <c r="Q826" t="s">
        <v>34</v>
      </c>
    </row>
    <row r="827" spans="1:17">
      <c r="A827" t="s">
        <v>1507</v>
      </c>
      <c r="B827" s="1" t="s">
        <v>1508</v>
      </c>
      <c r="C827" s="1" t="s">
        <v>1405</v>
      </c>
      <c r="D827" s="1" t="s">
        <v>20</v>
      </c>
      <c r="E827" t="s">
        <v>252</v>
      </c>
      <c r="F827" t="s">
        <v>253</v>
      </c>
      <c r="G827" t="s">
        <v>31</v>
      </c>
      <c r="H827" t="s">
        <v>24</v>
      </c>
      <c r="I827" t="s">
        <v>25</v>
      </c>
      <c r="J827">
        <v>4</v>
      </c>
      <c r="K827">
        <v>99</v>
      </c>
      <c r="L827">
        <f>Table1[[#This Row],[Quantity]] * Table1[[#This Row],[UnitPrice]]</f>
        <v>396</v>
      </c>
      <c r="M827" s="25">
        <v>0</v>
      </c>
      <c r="N827">
        <f>Table1[[#This Row],[Revenue]]*Table1[[#This Row],[Discount%]]/100</f>
        <v>0</v>
      </c>
      <c r="O827" s="6">
        <f>Table1[[#This Row],[Revenue]]-Table1[[#This Row],[Disc_amount]]</f>
        <v>396</v>
      </c>
      <c r="P827" t="s">
        <v>41</v>
      </c>
      <c r="Q827" t="s">
        <v>34</v>
      </c>
    </row>
    <row r="828" spans="1:17">
      <c r="A828" t="s">
        <v>1509</v>
      </c>
      <c r="B828" s="1" t="s">
        <v>1508</v>
      </c>
      <c r="C828" s="1" t="s">
        <v>1405</v>
      </c>
      <c r="D828" s="1" t="s">
        <v>20</v>
      </c>
      <c r="E828" t="s">
        <v>657</v>
      </c>
      <c r="F828" t="s">
        <v>147</v>
      </c>
      <c r="G828" t="s">
        <v>56</v>
      </c>
      <c r="H828" t="s">
        <v>46</v>
      </c>
      <c r="I828" t="s">
        <v>154</v>
      </c>
      <c r="J828">
        <v>1</v>
      </c>
      <c r="K828">
        <v>299</v>
      </c>
      <c r="L828">
        <f>Table1[[#This Row],[Quantity]] * Table1[[#This Row],[UnitPrice]]</f>
        <v>299</v>
      </c>
      <c r="M828" s="25">
        <v>15</v>
      </c>
      <c r="N828">
        <f>Table1[[#This Row],[Revenue]]*Table1[[#This Row],[Discount%]]/100</f>
        <v>44.85</v>
      </c>
      <c r="O828" s="6">
        <f>Table1[[#This Row],[Revenue]]-Table1[[#This Row],[Disc_amount]]</f>
        <v>254.15</v>
      </c>
      <c r="P828" t="s">
        <v>26</v>
      </c>
      <c r="Q828" t="s">
        <v>34</v>
      </c>
    </row>
    <row r="829" spans="1:17">
      <c r="A829" t="s">
        <v>1510</v>
      </c>
      <c r="B829" s="1" t="s">
        <v>1508</v>
      </c>
      <c r="C829" s="1" t="s">
        <v>1405</v>
      </c>
      <c r="D829" s="1" t="s">
        <v>20</v>
      </c>
      <c r="E829" t="s">
        <v>133</v>
      </c>
      <c r="F829" t="s">
        <v>134</v>
      </c>
      <c r="G829" t="s">
        <v>23</v>
      </c>
      <c r="H829" t="s">
        <v>57</v>
      </c>
      <c r="I829" t="s">
        <v>62</v>
      </c>
      <c r="J829">
        <v>1</v>
      </c>
      <c r="K829">
        <v>799</v>
      </c>
      <c r="L829">
        <f>Table1[[#This Row],[Quantity]] * Table1[[#This Row],[UnitPrice]]</f>
        <v>799</v>
      </c>
      <c r="M829" s="25">
        <v>0</v>
      </c>
      <c r="N829">
        <f>Table1[[#This Row],[Revenue]]*Table1[[#This Row],[Discount%]]/100</f>
        <v>0</v>
      </c>
      <c r="O829" s="6">
        <f>Table1[[#This Row],[Revenue]]-Table1[[#This Row],[Disc_amount]]</f>
        <v>799</v>
      </c>
      <c r="P829" t="s">
        <v>52</v>
      </c>
      <c r="Q829" t="s">
        <v>27</v>
      </c>
    </row>
    <row r="830" spans="1:17">
      <c r="A830" t="s">
        <v>1511</v>
      </c>
      <c r="B830" s="1" t="s">
        <v>1508</v>
      </c>
      <c r="C830" s="1" t="s">
        <v>1405</v>
      </c>
      <c r="D830" s="1" t="s">
        <v>20</v>
      </c>
      <c r="E830" t="s">
        <v>297</v>
      </c>
      <c r="F830" t="s">
        <v>298</v>
      </c>
      <c r="G830" t="s">
        <v>31</v>
      </c>
      <c r="H830" t="s">
        <v>39</v>
      </c>
      <c r="I830" t="s">
        <v>140</v>
      </c>
      <c r="J830">
        <v>1</v>
      </c>
      <c r="K830">
        <v>1799</v>
      </c>
      <c r="L830">
        <f>Table1[[#This Row],[Quantity]] * Table1[[#This Row],[UnitPrice]]</f>
        <v>1799</v>
      </c>
      <c r="M830" s="25">
        <v>10</v>
      </c>
      <c r="N830">
        <f>Table1[[#This Row],[Revenue]]*Table1[[#This Row],[Discount%]]/100</f>
        <v>179.9</v>
      </c>
      <c r="O830" s="6">
        <f>Table1[[#This Row],[Revenue]]-Table1[[#This Row],[Disc_amount]]</f>
        <v>1619.1</v>
      </c>
      <c r="P830" t="s">
        <v>26</v>
      </c>
      <c r="Q830" t="s">
        <v>27</v>
      </c>
    </row>
    <row r="831" spans="1:17">
      <c r="A831" t="s">
        <v>1512</v>
      </c>
      <c r="B831" s="1" t="s">
        <v>1508</v>
      </c>
      <c r="C831" s="1" t="s">
        <v>1405</v>
      </c>
      <c r="D831" s="1" t="s">
        <v>20</v>
      </c>
      <c r="E831" t="s">
        <v>106</v>
      </c>
      <c r="F831" t="s">
        <v>107</v>
      </c>
      <c r="G831" t="s">
        <v>38</v>
      </c>
      <c r="H831" t="s">
        <v>39</v>
      </c>
      <c r="I831" t="s">
        <v>51</v>
      </c>
      <c r="J831">
        <v>1</v>
      </c>
      <c r="K831">
        <v>2999</v>
      </c>
      <c r="L831">
        <f>Table1[[#This Row],[Quantity]] * Table1[[#This Row],[UnitPrice]]</f>
        <v>2999</v>
      </c>
      <c r="M831" s="25">
        <v>0</v>
      </c>
      <c r="N831">
        <f>Table1[[#This Row],[Revenue]]*Table1[[#This Row],[Discount%]]/100</f>
        <v>0</v>
      </c>
      <c r="O831" s="6">
        <f>Table1[[#This Row],[Revenue]]-Table1[[#This Row],[Disc_amount]]</f>
        <v>2999</v>
      </c>
      <c r="P831" t="s">
        <v>33</v>
      </c>
      <c r="Q831" t="s">
        <v>27</v>
      </c>
    </row>
    <row r="832" spans="1:17">
      <c r="A832" t="s">
        <v>1513</v>
      </c>
      <c r="B832" s="1" t="s">
        <v>1508</v>
      </c>
      <c r="C832" s="1" t="s">
        <v>1405</v>
      </c>
      <c r="D832" s="1" t="s">
        <v>20</v>
      </c>
      <c r="E832" t="s">
        <v>1183</v>
      </c>
      <c r="F832" t="s">
        <v>1184</v>
      </c>
      <c r="G832" t="s">
        <v>45</v>
      </c>
      <c r="H832" t="s">
        <v>108</v>
      </c>
      <c r="I832" t="s">
        <v>109</v>
      </c>
      <c r="J832">
        <v>4</v>
      </c>
      <c r="K832">
        <v>1499</v>
      </c>
      <c r="L832">
        <f>Table1[[#This Row],[Quantity]] * Table1[[#This Row],[UnitPrice]]</f>
        <v>5996</v>
      </c>
      <c r="M832" s="25">
        <v>20</v>
      </c>
      <c r="N832">
        <f>Table1[[#This Row],[Revenue]]*Table1[[#This Row],[Discount%]]/100</f>
        <v>1199.2</v>
      </c>
      <c r="O832" s="6">
        <f>Table1[[#This Row],[Revenue]]-Table1[[#This Row],[Disc_amount]]</f>
        <v>4796.8</v>
      </c>
      <c r="P832" t="s">
        <v>41</v>
      </c>
      <c r="Q832" t="s">
        <v>27</v>
      </c>
    </row>
    <row r="833" spans="1:17">
      <c r="A833" t="s">
        <v>1514</v>
      </c>
      <c r="B833" s="1" t="s">
        <v>1515</v>
      </c>
      <c r="C833" s="1" t="s">
        <v>1405</v>
      </c>
      <c r="D833" s="1" t="s">
        <v>20</v>
      </c>
      <c r="E833" t="s">
        <v>36</v>
      </c>
      <c r="F833" t="s">
        <v>37</v>
      </c>
      <c r="G833" t="s">
        <v>56</v>
      </c>
      <c r="H833" t="s">
        <v>39</v>
      </c>
      <c r="I833" t="s">
        <v>40</v>
      </c>
      <c r="J833">
        <v>1</v>
      </c>
      <c r="K833">
        <v>599</v>
      </c>
      <c r="L833">
        <f>Table1[[#This Row],[Quantity]] * Table1[[#This Row],[UnitPrice]]</f>
        <v>599</v>
      </c>
      <c r="M833" s="25">
        <v>0</v>
      </c>
      <c r="N833">
        <f>Table1[[#This Row],[Revenue]]*Table1[[#This Row],[Discount%]]/100</f>
        <v>0</v>
      </c>
      <c r="O833" s="6">
        <f>Table1[[#This Row],[Revenue]]-Table1[[#This Row],[Disc_amount]]</f>
        <v>599</v>
      </c>
      <c r="P833" t="s">
        <v>86</v>
      </c>
      <c r="Q833" t="s">
        <v>34</v>
      </c>
    </row>
    <row r="834" spans="1:17">
      <c r="A834" t="s">
        <v>1516</v>
      </c>
      <c r="B834" s="1" t="s">
        <v>1515</v>
      </c>
      <c r="C834" s="1" t="s">
        <v>1405</v>
      </c>
      <c r="D834" s="1" t="s">
        <v>20</v>
      </c>
      <c r="E834" t="s">
        <v>424</v>
      </c>
      <c r="F834" t="s">
        <v>425</v>
      </c>
      <c r="G834" t="s">
        <v>31</v>
      </c>
      <c r="H834" t="s">
        <v>39</v>
      </c>
      <c r="I834" t="s">
        <v>140</v>
      </c>
      <c r="J834">
        <v>1</v>
      </c>
      <c r="K834">
        <v>1799</v>
      </c>
      <c r="L834">
        <f>Table1[[#This Row],[Quantity]] * Table1[[#This Row],[UnitPrice]]</f>
        <v>1799</v>
      </c>
      <c r="M834" s="25">
        <v>0</v>
      </c>
      <c r="N834">
        <f>Table1[[#This Row],[Revenue]]*Table1[[#This Row],[Discount%]]/100</f>
        <v>0</v>
      </c>
      <c r="O834" s="6">
        <f>Table1[[#This Row],[Revenue]]-Table1[[#This Row],[Disc_amount]]</f>
        <v>1799</v>
      </c>
      <c r="P834" t="s">
        <v>33</v>
      </c>
      <c r="Q834" t="s">
        <v>27</v>
      </c>
    </row>
    <row r="835" spans="1:17">
      <c r="A835" t="s">
        <v>1517</v>
      </c>
      <c r="B835" s="1" t="s">
        <v>1515</v>
      </c>
      <c r="C835" s="1" t="s">
        <v>1405</v>
      </c>
      <c r="D835" s="1" t="s">
        <v>20</v>
      </c>
      <c r="E835" t="s">
        <v>884</v>
      </c>
      <c r="F835" t="s">
        <v>160</v>
      </c>
      <c r="G835" t="s">
        <v>56</v>
      </c>
      <c r="H835" t="s">
        <v>57</v>
      </c>
      <c r="I835" t="s">
        <v>58</v>
      </c>
      <c r="J835">
        <v>2</v>
      </c>
      <c r="K835">
        <v>1299</v>
      </c>
      <c r="L835">
        <f>Table1[[#This Row],[Quantity]] * Table1[[#This Row],[UnitPrice]]</f>
        <v>2598</v>
      </c>
      <c r="M835" s="25">
        <v>5</v>
      </c>
      <c r="N835">
        <f>Table1[[#This Row],[Revenue]]*Table1[[#This Row],[Discount%]]/100</f>
        <v>129.9</v>
      </c>
      <c r="O835" s="6">
        <f>Table1[[#This Row],[Revenue]]-Table1[[#This Row],[Disc_amount]]</f>
        <v>2468.1</v>
      </c>
      <c r="P835" t="s">
        <v>26</v>
      </c>
      <c r="Q835" t="s">
        <v>27</v>
      </c>
    </row>
    <row r="836" spans="1:17">
      <c r="A836" t="s">
        <v>1518</v>
      </c>
      <c r="B836" s="1" t="s">
        <v>1515</v>
      </c>
      <c r="C836" s="1" t="s">
        <v>1405</v>
      </c>
      <c r="D836" s="1" t="s">
        <v>20</v>
      </c>
      <c r="E836" t="s">
        <v>1428</v>
      </c>
      <c r="F836" t="s">
        <v>607</v>
      </c>
      <c r="G836" t="s">
        <v>38</v>
      </c>
      <c r="H836" t="s">
        <v>108</v>
      </c>
      <c r="I836" t="s">
        <v>130</v>
      </c>
      <c r="J836">
        <v>2</v>
      </c>
      <c r="K836">
        <v>699</v>
      </c>
      <c r="L836">
        <f>Table1[[#This Row],[Quantity]] * Table1[[#This Row],[UnitPrice]]</f>
        <v>1398</v>
      </c>
      <c r="M836" s="25">
        <v>0</v>
      </c>
      <c r="N836">
        <f>Table1[[#This Row],[Revenue]]*Table1[[#This Row],[Discount%]]/100</f>
        <v>0</v>
      </c>
      <c r="O836" s="6">
        <f>Table1[[#This Row],[Revenue]]-Table1[[#This Row],[Disc_amount]]</f>
        <v>1398</v>
      </c>
      <c r="P836" t="s">
        <v>52</v>
      </c>
      <c r="Q836" t="s">
        <v>27</v>
      </c>
    </row>
    <row r="837" spans="1:17">
      <c r="A837" t="s">
        <v>1519</v>
      </c>
      <c r="B837" s="1" t="s">
        <v>1520</v>
      </c>
      <c r="C837" s="1" t="s">
        <v>1405</v>
      </c>
      <c r="D837" s="1" t="s">
        <v>20</v>
      </c>
      <c r="E837" t="s">
        <v>1521</v>
      </c>
      <c r="F837" t="s">
        <v>960</v>
      </c>
      <c r="G837" t="s">
        <v>23</v>
      </c>
      <c r="H837" t="s">
        <v>70</v>
      </c>
      <c r="I837" t="s">
        <v>71</v>
      </c>
      <c r="J837">
        <v>4</v>
      </c>
      <c r="K837">
        <v>349</v>
      </c>
      <c r="L837">
        <f>Table1[[#This Row],[Quantity]] * Table1[[#This Row],[UnitPrice]]</f>
        <v>1396</v>
      </c>
      <c r="M837" s="25">
        <v>15</v>
      </c>
      <c r="N837">
        <f>Table1[[#This Row],[Revenue]]*Table1[[#This Row],[Discount%]]/100</f>
        <v>209.4</v>
      </c>
      <c r="O837" s="6">
        <f>Table1[[#This Row],[Revenue]]-Table1[[#This Row],[Disc_amount]]</f>
        <v>1186.5999999999999</v>
      </c>
      <c r="P837" t="s">
        <v>52</v>
      </c>
      <c r="Q837" t="s">
        <v>27</v>
      </c>
    </row>
    <row r="838" spans="1:17">
      <c r="A838" t="s">
        <v>1522</v>
      </c>
      <c r="B838" s="1" t="s">
        <v>1520</v>
      </c>
      <c r="C838" s="1" t="s">
        <v>1405</v>
      </c>
      <c r="D838" s="1" t="s">
        <v>20</v>
      </c>
      <c r="E838" t="s">
        <v>1364</v>
      </c>
      <c r="F838" t="s">
        <v>326</v>
      </c>
      <c r="G838" t="s">
        <v>45</v>
      </c>
      <c r="H838" t="s">
        <v>65</v>
      </c>
      <c r="I838" t="s">
        <v>94</v>
      </c>
      <c r="J838">
        <v>2</v>
      </c>
      <c r="K838">
        <v>899</v>
      </c>
      <c r="L838">
        <f>Table1[[#This Row],[Quantity]] * Table1[[#This Row],[UnitPrice]]</f>
        <v>1798</v>
      </c>
      <c r="M838" s="25">
        <v>5</v>
      </c>
      <c r="N838">
        <f>Table1[[#This Row],[Revenue]]*Table1[[#This Row],[Discount%]]/100</f>
        <v>89.9</v>
      </c>
      <c r="O838" s="6">
        <f>Table1[[#This Row],[Revenue]]-Table1[[#This Row],[Disc_amount]]</f>
        <v>1708.1</v>
      </c>
      <c r="P838" t="s">
        <v>26</v>
      </c>
      <c r="Q838" t="s">
        <v>27</v>
      </c>
    </row>
    <row r="839" spans="1:17">
      <c r="A839" t="s">
        <v>1523</v>
      </c>
      <c r="B839" s="1" t="s">
        <v>1520</v>
      </c>
      <c r="C839" s="1" t="s">
        <v>1405</v>
      </c>
      <c r="D839" s="1" t="s">
        <v>20</v>
      </c>
      <c r="E839" t="s">
        <v>373</v>
      </c>
      <c r="F839" t="s">
        <v>183</v>
      </c>
      <c r="G839" t="s">
        <v>31</v>
      </c>
      <c r="H839" t="s">
        <v>65</v>
      </c>
      <c r="I839" t="s">
        <v>98</v>
      </c>
      <c r="J839">
        <v>4</v>
      </c>
      <c r="K839">
        <v>499</v>
      </c>
      <c r="L839">
        <f>Table1[[#This Row],[Quantity]] * Table1[[#This Row],[UnitPrice]]</f>
        <v>1996</v>
      </c>
      <c r="M839" s="25">
        <v>10</v>
      </c>
      <c r="N839">
        <f>Table1[[#This Row],[Revenue]]*Table1[[#This Row],[Discount%]]/100</f>
        <v>199.6</v>
      </c>
      <c r="O839" s="6">
        <f>Table1[[#This Row],[Revenue]]-Table1[[#This Row],[Disc_amount]]</f>
        <v>1796.4</v>
      </c>
      <c r="P839" t="s">
        <v>26</v>
      </c>
      <c r="Q839" t="s">
        <v>34</v>
      </c>
    </row>
    <row r="840" spans="1:17">
      <c r="A840" t="s">
        <v>1524</v>
      </c>
      <c r="B840" s="1" t="s">
        <v>1520</v>
      </c>
      <c r="C840" s="1" t="s">
        <v>1405</v>
      </c>
      <c r="D840" s="1" t="s">
        <v>20</v>
      </c>
      <c r="E840" t="s">
        <v>729</v>
      </c>
      <c r="F840" t="s">
        <v>730</v>
      </c>
      <c r="G840" t="s">
        <v>23</v>
      </c>
      <c r="H840" t="s">
        <v>65</v>
      </c>
      <c r="I840" t="s">
        <v>94</v>
      </c>
      <c r="J840">
        <v>2</v>
      </c>
      <c r="K840">
        <v>899</v>
      </c>
      <c r="L840">
        <f>Table1[[#This Row],[Quantity]] * Table1[[#This Row],[UnitPrice]]</f>
        <v>1798</v>
      </c>
      <c r="M840" s="25">
        <v>20</v>
      </c>
      <c r="N840">
        <f>Table1[[#This Row],[Revenue]]*Table1[[#This Row],[Discount%]]/100</f>
        <v>359.6</v>
      </c>
      <c r="O840" s="6">
        <f>Table1[[#This Row],[Revenue]]-Table1[[#This Row],[Disc_amount]]</f>
        <v>1438.4</v>
      </c>
      <c r="P840" t="s">
        <v>52</v>
      </c>
      <c r="Q840" t="s">
        <v>34</v>
      </c>
    </row>
    <row r="841" spans="1:17">
      <c r="A841" t="s">
        <v>1525</v>
      </c>
      <c r="B841" s="1" t="s">
        <v>1520</v>
      </c>
      <c r="C841" s="1" t="s">
        <v>1405</v>
      </c>
      <c r="D841" s="1" t="s">
        <v>20</v>
      </c>
      <c r="E841" t="s">
        <v>138</v>
      </c>
      <c r="F841" t="s">
        <v>139</v>
      </c>
      <c r="G841" t="s">
        <v>38</v>
      </c>
      <c r="H841" t="s">
        <v>65</v>
      </c>
      <c r="I841" t="s">
        <v>98</v>
      </c>
      <c r="J841">
        <v>1</v>
      </c>
      <c r="K841">
        <v>499</v>
      </c>
      <c r="L841">
        <f>Table1[[#This Row],[Quantity]] * Table1[[#This Row],[UnitPrice]]</f>
        <v>499</v>
      </c>
      <c r="M841" s="25">
        <v>15</v>
      </c>
      <c r="N841">
        <f>Table1[[#This Row],[Revenue]]*Table1[[#This Row],[Discount%]]/100</f>
        <v>74.849999999999994</v>
      </c>
      <c r="O841" s="6">
        <f>Table1[[#This Row],[Revenue]]-Table1[[#This Row],[Disc_amount]]</f>
        <v>424.15</v>
      </c>
      <c r="P841" t="s">
        <v>41</v>
      </c>
      <c r="Q841" t="s">
        <v>34</v>
      </c>
    </row>
    <row r="842" spans="1:17">
      <c r="A842" t="s">
        <v>1526</v>
      </c>
      <c r="B842" s="1" t="s">
        <v>1520</v>
      </c>
      <c r="C842" s="1" t="s">
        <v>1405</v>
      </c>
      <c r="D842" s="1" t="s">
        <v>20</v>
      </c>
      <c r="E842" t="s">
        <v>665</v>
      </c>
      <c r="F842" t="s">
        <v>666</v>
      </c>
      <c r="G842" t="s">
        <v>56</v>
      </c>
      <c r="H842" t="s">
        <v>39</v>
      </c>
      <c r="I842" t="s">
        <v>40</v>
      </c>
      <c r="J842">
        <v>3</v>
      </c>
      <c r="K842">
        <v>599</v>
      </c>
      <c r="L842">
        <f>Table1[[#This Row],[Quantity]] * Table1[[#This Row],[UnitPrice]]</f>
        <v>1797</v>
      </c>
      <c r="M842" s="25">
        <v>20</v>
      </c>
      <c r="N842">
        <f>Table1[[#This Row],[Revenue]]*Table1[[#This Row],[Discount%]]/100</f>
        <v>359.4</v>
      </c>
      <c r="O842" s="6">
        <f>Table1[[#This Row],[Revenue]]-Table1[[#This Row],[Disc_amount]]</f>
        <v>1437.6</v>
      </c>
      <c r="P842" t="s">
        <v>33</v>
      </c>
      <c r="Q842" t="s">
        <v>34</v>
      </c>
    </row>
    <row r="843" spans="1:17">
      <c r="A843" t="s">
        <v>1527</v>
      </c>
      <c r="B843" s="1" t="s">
        <v>1520</v>
      </c>
      <c r="C843" s="1" t="s">
        <v>1405</v>
      </c>
      <c r="D843" s="1" t="s">
        <v>20</v>
      </c>
      <c r="E843" t="s">
        <v>341</v>
      </c>
      <c r="F843" t="s">
        <v>342</v>
      </c>
      <c r="G843" t="s">
        <v>31</v>
      </c>
      <c r="H843" t="s">
        <v>65</v>
      </c>
      <c r="I843" t="s">
        <v>98</v>
      </c>
      <c r="J843">
        <v>2</v>
      </c>
      <c r="K843">
        <v>499</v>
      </c>
      <c r="L843">
        <f>Table1[[#This Row],[Quantity]] * Table1[[#This Row],[UnitPrice]]</f>
        <v>998</v>
      </c>
      <c r="M843" s="25">
        <v>15</v>
      </c>
      <c r="N843">
        <f>Table1[[#This Row],[Revenue]]*Table1[[#This Row],[Discount%]]/100</f>
        <v>149.69999999999999</v>
      </c>
      <c r="O843" s="6">
        <f>Table1[[#This Row],[Revenue]]-Table1[[#This Row],[Disc_amount]]</f>
        <v>848.3</v>
      </c>
      <c r="P843" t="s">
        <v>41</v>
      </c>
      <c r="Q843" t="s">
        <v>27</v>
      </c>
    </row>
    <row r="844" spans="1:17">
      <c r="A844" t="s">
        <v>1528</v>
      </c>
      <c r="B844" s="1" t="s">
        <v>1520</v>
      </c>
      <c r="C844" s="1" t="s">
        <v>1405</v>
      </c>
      <c r="D844" s="1" t="s">
        <v>20</v>
      </c>
      <c r="E844" t="s">
        <v>1071</v>
      </c>
      <c r="F844" t="s">
        <v>118</v>
      </c>
      <c r="G844" t="s">
        <v>23</v>
      </c>
      <c r="H844" t="s">
        <v>39</v>
      </c>
      <c r="I844" t="s">
        <v>40</v>
      </c>
      <c r="J844">
        <v>1</v>
      </c>
      <c r="K844">
        <v>599</v>
      </c>
      <c r="L844">
        <f>Table1[[#This Row],[Quantity]] * Table1[[#This Row],[UnitPrice]]</f>
        <v>599</v>
      </c>
      <c r="M844" s="25">
        <v>10</v>
      </c>
      <c r="N844">
        <f>Table1[[#This Row],[Revenue]]*Table1[[#This Row],[Discount%]]/100</f>
        <v>59.9</v>
      </c>
      <c r="O844" s="6">
        <f>Table1[[#This Row],[Revenue]]-Table1[[#This Row],[Disc_amount]]</f>
        <v>539.1</v>
      </c>
      <c r="P844" t="s">
        <v>52</v>
      </c>
      <c r="Q844" t="s">
        <v>27</v>
      </c>
    </row>
    <row r="845" spans="1:17">
      <c r="A845" t="s">
        <v>1529</v>
      </c>
      <c r="B845" s="1" t="s">
        <v>1520</v>
      </c>
      <c r="C845" s="1" t="s">
        <v>1405</v>
      </c>
      <c r="D845" s="1" t="s">
        <v>20</v>
      </c>
      <c r="E845" t="s">
        <v>85</v>
      </c>
      <c r="F845" t="s">
        <v>83</v>
      </c>
      <c r="G845" t="s">
        <v>56</v>
      </c>
      <c r="H845" t="s">
        <v>65</v>
      </c>
      <c r="I845" t="s">
        <v>94</v>
      </c>
      <c r="J845">
        <v>1</v>
      </c>
      <c r="K845">
        <v>899</v>
      </c>
      <c r="L845">
        <f>Table1[[#This Row],[Quantity]] * Table1[[#This Row],[UnitPrice]]</f>
        <v>899</v>
      </c>
      <c r="M845" s="25">
        <v>5</v>
      </c>
      <c r="N845">
        <f>Table1[[#This Row],[Revenue]]*Table1[[#This Row],[Discount%]]/100</f>
        <v>44.95</v>
      </c>
      <c r="O845" s="6">
        <f>Table1[[#This Row],[Revenue]]-Table1[[#This Row],[Disc_amount]]</f>
        <v>854.05</v>
      </c>
      <c r="P845" t="s">
        <v>52</v>
      </c>
      <c r="Q845" t="s">
        <v>34</v>
      </c>
    </row>
    <row r="846" spans="1:17">
      <c r="A846" t="s">
        <v>1530</v>
      </c>
      <c r="B846" s="1" t="s">
        <v>1520</v>
      </c>
      <c r="C846" s="1" t="s">
        <v>1405</v>
      </c>
      <c r="D846" s="1" t="s">
        <v>20</v>
      </c>
      <c r="E846" t="s">
        <v>1434</v>
      </c>
      <c r="F846" t="s">
        <v>326</v>
      </c>
      <c r="G846" t="s">
        <v>56</v>
      </c>
      <c r="H846" t="s">
        <v>65</v>
      </c>
      <c r="I846" t="s">
        <v>66</v>
      </c>
      <c r="J846">
        <v>1</v>
      </c>
      <c r="K846">
        <v>1999</v>
      </c>
      <c r="L846">
        <f>Table1[[#This Row],[Quantity]] * Table1[[#This Row],[UnitPrice]]</f>
        <v>1999</v>
      </c>
      <c r="M846" s="25">
        <v>0</v>
      </c>
      <c r="N846">
        <f>Table1[[#This Row],[Revenue]]*Table1[[#This Row],[Discount%]]/100</f>
        <v>0</v>
      </c>
      <c r="O846" s="6">
        <f>Table1[[#This Row],[Revenue]]-Table1[[#This Row],[Disc_amount]]</f>
        <v>1999</v>
      </c>
      <c r="P846" t="s">
        <v>86</v>
      </c>
      <c r="Q846" t="s">
        <v>34</v>
      </c>
    </row>
    <row r="847" spans="1:17">
      <c r="A847" t="s">
        <v>1531</v>
      </c>
      <c r="B847" s="1" t="s">
        <v>1520</v>
      </c>
      <c r="C847" s="1" t="s">
        <v>1405</v>
      </c>
      <c r="D847" s="1" t="s">
        <v>20</v>
      </c>
      <c r="E847" t="s">
        <v>1163</v>
      </c>
      <c r="F847" t="s">
        <v>390</v>
      </c>
      <c r="G847" t="s">
        <v>56</v>
      </c>
      <c r="H847" t="s">
        <v>39</v>
      </c>
      <c r="I847" t="s">
        <v>51</v>
      </c>
      <c r="J847">
        <v>1</v>
      </c>
      <c r="K847">
        <v>2999</v>
      </c>
      <c r="L847">
        <f>Table1[[#This Row],[Quantity]] * Table1[[#This Row],[UnitPrice]]</f>
        <v>2999</v>
      </c>
      <c r="M847" s="25">
        <v>0</v>
      </c>
      <c r="N847">
        <f>Table1[[#This Row],[Revenue]]*Table1[[#This Row],[Discount%]]/100</f>
        <v>0</v>
      </c>
      <c r="O847" s="6">
        <f>Table1[[#This Row],[Revenue]]-Table1[[#This Row],[Disc_amount]]</f>
        <v>2999</v>
      </c>
      <c r="P847" t="s">
        <v>41</v>
      </c>
      <c r="Q847" t="s">
        <v>27</v>
      </c>
    </row>
    <row r="848" spans="1:17">
      <c r="A848" t="s">
        <v>1532</v>
      </c>
      <c r="B848" s="1" t="s">
        <v>1533</v>
      </c>
      <c r="C848" s="1" t="s">
        <v>1405</v>
      </c>
      <c r="D848" s="1" t="s">
        <v>20</v>
      </c>
      <c r="E848" t="s">
        <v>328</v>
      </c>
      <c r="F848" t="s">
        <v>329</v>
      </c>
      <c r="G848" t="s">
        <v>31</v>
      </c>
      <c r="H848" t="s">
        <v>46</v>
      </c>
      <c r="I848" t="s">
        <v>47</v>
      </c>
      <c r="J848">
        <v>4</v>
      </c>
      <c r="K848">
        <v>249</v>
      </c>
      <c r="L848">
        <f>Table1[[#This Row],[Quantity]] * Table1[[#This Row],[UnitPrice]]</f>
        <v>996</v>
      </c>
      <c r="M848" s="25">
        <v>0</v>
      </c>
      <c r="N848">
        <f>Table1[[#This Row],[Revenue]]*Table1[[#This Row],[Discount%]]/100</f>
        <v>0</v>
      </c>
      <c r="O848" s="6">
        <f>Table1[[#This Row],[Revenue]]-Table1[[#This Row],[Disc_amount]]</f>
        <v>996</v>
      </c>
      <c r="P848" t="s">
        <v>26</v>
      </c>
      <c r="Q848" t="s">
        <v>27</v>
      </c>
    </row>
    <row r="849" spans="1:17">
      <c r="A849" t="s">
        <v>1534</v>
      </c>
      <c r="B849" s="1" t="s">
        <v>1533</v>
      </c>
      <c r="C849" s="1" t="s">
        <v>1405</v>
      </c>
      <c r="D849" s="1" t="s">
        <v>20</v>
      </c>
      <c r="E849" t="s">
        <v>573</v>
      </c>
      <c r="F849" t="s">
        <v>574</v>
      </c>
      <c r="G849" t="s">
        <v>56</v>
      </c>
      <c r="H849" t="s">
        <v>24</v>
      </c>
      <c r="I849" t="s">
        <v>25</v>
      </c>
      <c r="J849">
        <v>3</v>
      </c>
      <c r="K849">
        <v>99</v>
      </c>
      <c r="L849">
        <f>Table1[[#This Row],[Quantity]] * Table1[[#This Row],[UnitPrice]]</f>
        <v>297</v>
      </c>
      <c r="M849" s="25">
        <v>15</v>
      </c>
      <c r="N849">
        <f>Table1[[#This Row],[Revenue]]*Table1[[#This Row],[Discount%]]/100</f>
        <v>44.55</v>
      </c>
      <c r="O849" s="6">
        <f>Table1[[#This Row],[Revenue]]-Table1[[#This Row],[Disc_amount]]</f>
        <v>252.45</v>
      </c>
      <c r="P849" t="s">
        <v>33</v>
      </c>
      <c r="Q849" t="s">
        <v>27</v>
      </c>
    </row>
    <row r="850" spans="1:17">
      <c r="A850" t="s">
        <v>1535</v>
      </c>
      <c r="B850" s="1" t="s">
        <v>1533</v>
      </c>
      <c r="C850" s="1" t="s">
        <v>1405</v>
      </c>
      <c r="D850" s="1" t="s">
        <v>20</v>
      </c>
      <c r="E850" t="s">
        <v>668</v>
      </c>
      <c r="F850" t="s">
        <v>669</v>
      </c>
      <c r="G850" t="s">
        <v>56</v>
      </c>
      <c r="H850" t="s">
        <v>24</v>
      </c>
      <c r="I850" t="s">
        <v>25</v>
      </c>
      <c r="J850">
        <v>1</v>
      </c>
      <c r="K850">
        <v>99</v>
      </c>
      <c r="L850">
        <f>Table1[[#This Row],[Quantity]] * Table1[[#This Row],[UnitPrice]]</f>
        <v>99</v>
      </c>
      <c r="M850" s="25">
        <v>5</v>
      </c>
      <c r="N850">
        <f>Table1[[#This Row],[Revenue]]*Table1[[#This Row],[Discount%]]/100</f>
        <v>4.95</v>
      </c>
      <c r="O850" s="6">
        <f>Table1[[#This Row],[Revenue]]-Table1[[#This Row],[Disc_amount]]</f>
        <v>94.05</v>
      </c>
      <c r="P850" t="s">
        <v>41</v>
      </c>
      <c r="Q850" t="s">
        <v>27</v>
      </c>
    </row>
    <row r="851" spans="1:17">
      <c r="A851" t="s">
        <v>1536</v>
      </c>
      <c r="B851" s="1" t="s">
        <v>1533</v>
      </c>
      <c r="C851" s="1" t="s">
        <v>1405</v>
      </c>
      <c r="D851" s="1" t="s">
        <v>20</v>
      </c>
      <c r="E851" t="s">
        <v>1049</v>
      </c>
      <c r="F851" t="s">
        <v>415</v>
      </c>
      <c r="G851" t="s">
        <v>38</v>
      </c>
      <c r="H851" t="s">
        <v>65</v>
      </c>
      <c r="I851" t="s">
        <v>66</v>
      </c>
      <c r="J851">
        <v>1</v>
      </c>
      <c r="K851">
        <v>1999</v>
      </c>
      <c r="L851">
        <f>Table1[[#This Row],[Quantity]] * Table1[[#This Row],[UnitPrice]]</f>
        <v>1999</v>
      </c>
      <c r="M851" s="25">
        <v>0</v>
      </c>
      <c r="N851">
        <f>Table1[[#This Row],[Revenue]]*Table1[[#This Row],[Discount%]]/100</f>
        <v>0</v>
      </c>
      <c r="O851" s="6">
        <f>Table1[[#This Row],[Revenue]]-Table1[[#This Row],[Disc_amount]]</f>
        <v>1999</v>
      </c>
      <c r="P851" t="s">
        <v>41</v>
      </c>
      <c r="Q851" t="s">
        <v>27</v>
      </c>
    </row>
    <row r="852" spans="1:17">
      <c r="A852" t="s">
        <v>1537</v>
      </c>
      <c r="B852" s="1" t="s">
        <v>1538</v>
      </c>
      <c r="C852" s="1" t="s">
        <v>1405</v>
      </c>
      <c r="D852" s="1" t="s">
        <v>20</v>
      </c>
      <c r="E852" t="s">
        <v>303</v>
      </c>
      <c r="F852" t="s">
        <v>304</v>
      </c>
      <c r="G852" t="s">
        <v>45</v>
      </c>
      <c r="H852" t="s">
        <v>24</v>
      </c>
      <c r="I852" t="s">
        <v>32</v>
      </c>
      <c r="J852">
        <v>1</v>
      </c>
      <c r="K852">
        <v>199</v>
      </c>
      <c r="L852">
        <f>Table1[[#This Row],[Quantity]] * Table1[[#This Row],[UnitPrice]]</f>
        <v>199</v>
      </c>
      <c r="M852" s="25">
        <v>20</v>
      </c>
      <c r="N852">
        <f>Table1[[#This Row],[Revenue]]*Table1[[#This Row],[Discount%]]/100</f>
        <v>39.799999999999997</v>
      </c>
      <c r="O852" s="6">
        <f>Table1[[#This Row],[Revenue]]-Table1[[#This Row],[Disc_amount]]</f>
        <v>159.19999999999999</v>
      </c>
      <c r="P852" t="s">
        <v>86</v>
      </c>
      <c r="Q852" t="s">
        <v>27</v>
      </c>
    </row>
    <row r="853" spans="1:17">
      <c r="A853" t="s">
        <v>1539</v>
      </c>
      <c r="B853" s="1" t="s">
        <v>1538</v>
      </c>
      <c r="C853" s="1" t="s">
        <v>1405</v>
      </c>
      <c r="D853" s="1" t="s">
        <v>20</v>
      </c>
      <c r="E853" t="s">
        <v>1088</v>
      </c>
      <c r="F853" t="s">
        <v>160</v>
      </c>
      <c r="G853" t="s">
        <v>45</v>
      </c>
      <c r="H853" t="s">
        <v>65</v>
      </c>
      <c r="I853" t="s">
        <v>66</v>
      </c>
      <c r="J853">
        <v>3</v>
      </c>
      <c r="K853">
        <v>1999</v>
      </c>
      <c r="L853">
        <f>Table1[[#This Row],[Quantity]] * Table1[[#This Row],[UnitPrice]]</f>
        <v>5997</v>
      </c>
      <c r="M853" s="25">
        <v>15</v>
      </c>
      <c r="N853">
        <f>Table1[[#This Row],[Revenue]]*Table1[[#This Row],[Discount%]]/100</f>
        <v>899.55</v>
      </c>
      <c r="O853" s="6">
        <f>Table1[[#This Row],[Revenue]]-Table1[[#This Row],[Disc_amount]]</f>
        <v>5097.45</v>
      </c>
      <c r="P853" t="s">
        <v>26</v>
      </c>
      <c r="Q853" t="s">
        <v>27</v>
      </c>
    </row>
    <row r="854" spans="1:17">
      <c r="A854" t="s">
        <v>1540</v>
      </c>
      <c r="B854" s="1" t="s">
        <v>1538</v>
      </c>
      <c r="C854" s="1" t="s">
        <v>1405</v>
      </c>
      <c r="D854" s="1" t="s">
        <v>20</v>
      </c>
      <c r="E854" t="s">
        <v>1165</v>
      </c>
      <c r="F854" t="s">
        <v>272</v>
      </c>
      <c r="G854" t="s">
        <v>23</v>
      </c>
      <c r="H854" t="s">
        <v>57</v>
      </c>
      <c r="I854" t="s">
        <v>58</v>
      </c>
      <c r="J854">
        <v>1</v>
      </c>
      <c r="K854">
        <v>1299</v>
      </c>
      <c r="L854">
        <f>Table1[[#This Row],[Quantity]] * Table1[[#This Row],[UnitPrice]]</f>
        <v>1299</v>
      </c>
      <c r="M854" s="25">
        <v>15</v>
      </c>
      <c r="N854">
        <f>Table1[[#This Row],[Revenue]]*Table1[[#This Row],[Discount%]]/100</f>
        <v>194.85</v>
      </c>
      <c r="O854" s="6">
        <f>Table1[[#This Row],[Revenue]]-Table1[[#This Row],[Disc_amount]]</f>
        <v>1104.1500000000001</v>
      </c>
      <c r="P854" t="s">
        <v>52</v>
      </c>
      <c r="Q854" t="s">
        <v>27</v>
      </c>
    </row>
    <row r="855" spans="1:17">
      <c r="A855" t="s">
        <v>1541</v>
      </c>
      <c r="B855" s="1" t="s">
        <v>1542</v>
      </c>
      <c r="C855" s="1" t="s">
        <v>1405</v>
      </c>
      <c r="D855" s="1" t="s">
        <v>20</v>
      </c>
      <c r="E855" t="s">
        <v>1183</v>
      </c>
      <c r="F855" t="s">
        <v>1184</v>
      </c>
      <c r="G855" t="s">
        <v>45</v>
      </c>
      <c r="H855" t="s">
        <v>24</v>
      </c>
      <c r="I855" t="s">
        <v>25</v>
      </c>
      <c r="J855">
        <v>3</v>
      </c>
      <c r="K855">
        <v>99</v>
      </c>
      <c r="L855">
        <f>Table1[[#This Row],[Quantity]] * Table1[[#This Row],[UnitPrice]]</f>
        <v>297</v>
      </c>
      <c r="M855" s="25">
        <v>0</v>
      </c>
      <c r="N855">
        <f>Table1[[#This Row],[Revenue]]*Table1[[#This Row],[Discount%]]/100</f>
        <v>0</v>
      </c>
      <c r="O855" s="6">
        <f>Table1[[#This Row],[Revenue]]-Table1[[#This Row],[Disc_amount]]</f>
        <v>297</v>
      </c>
      <c r="P855" t="s">
        <v>52</v>
      </c>
      <c r="Q855" t="s">
        <v>27</v>
      </c>
    </row>
    <row r="856" spans="1:17">
      <c r="A856" t="s">
        <v>1543</v>
      </c>
      <c r="B856" s="1" t="s">
        <v>1542</v>
      </c>
      <c r="C856" s="1" t="s">
        <v>1405</v>
      </c>
      <c r="D856" s="1" t="s">
        <v>20</v>
      </c>
      <c r="E856" t="s">
        <v>117</v>
      </c>
      <c r="F856" t="s">
        <v>118</v>
      </c>
      <c r="G856" t="s">
        <v>56</v>
      </c>
      <c r="H856" t="s">
        <v>108</v>
      </c>
      <c r="I856" t="s">
        <v>109</v>
      </c>
      <c r="J856">
        <v>3</v>
      </c>
      <c r="K856">
        <v>1499</v>
      </c>
      <c r="L856">
        <f>Table1[[#This Row],[Quantity]] * Table1[[#This Row],[UnitPrice]]</f>
        <v>4497</v>
      </c>
      <c r="M856" s="25">
        <v>20</v>
      </c>
      <c r="N856">
        <f>Table1[[#This Row],[Revenue]]*Table1[[#This Row],[Discount%]]/100</f>
        <v>899.4</v>
      </c>
      <c r="O856" s="6">
        <f>Table1[[#This Row],[Revenue]]-Table1[[#This Row],[Disc_amount]]</f>
        <v>3597.6</v>
      </c>
      <c r="P856" t="s">
        <v>26</v>
      </c>
      <c r="Q856" t="s">
        <v>27</v>
      </c>
    </row>
    <row r="857" spans="1:17">
      <c r="A857" t="s">
        <v>1544</v>
      </c>
      <c r="B857" s="1" t="s">
        <v>1542</v>
      </c>
      <c r="C857" s="1" t="s">
        <v>1405</v>
      </c>
      <c r="D857" s="1" t="s">
        <v>20</v>
      </c>
      <c r="E857" t="s">
        <v>149</v>
      </c>
      <c r="F857" t="s">
        <v>150</v>
      </c>
      <c r="G857" t="s">
        <v>45</v>
      </c>
      <c r="H857" t="s">
        <v>24</v>
      </c>
      <c r="I857" t="s">
        <v>25</v>
      </c>
      <c r="J857">
        <v>3</v>
      </c>
      <c r="K857">
        <v>99</v>
      </c>
      <c r="L857">
        <f>Table1[[#This Row],[Quantity]] * Table1[[#This Row],[UnitPrice]]</f>
        <v>297</v>
      </c>
      <c r="M857" s="25">
        <v>0</v>
      </c>
      <c r="N857">
        <f>Table1[[#This Row],[Revenue]]*Table1[[#This Row],[Discount%]]/100</f>
        <v>0</v>
      </c>
      <c r="O857" s="6">
        <f>Table1[[#This Row],[Revenue]]-Table1[[#This Row],[Disc_amount]]</f>
        <v>297</v>
      </c>
      <c r="P857" t="s">
        <v>26</v>
      </c>
      <c r="Q857" t="s">
        <v>27</v>
      </c>
    </row>
    <row r="858" spans="1:17">
      <c r="A858" t="s">
        <v>1545</v>
      </c>
      <c r="B858" s="1" t="s">
        <v>1542</v>
      </c>
      <c r="C858" s="1" t="s">
        <v>1405</v>
      </c>
      <c r="D858" s="1" t="s">
        <v>20</v>
      </c>
      <c r="E858" t="s">
        <v>362</v>
      </c>
      <c r="F858" t="s">
        <v>101</v>
      </c>
      <c r="G858" t="s">
        <v>56</v>
      </c>
      <c r="H858" t="s">
        <v>108</v>
      </c>
      <c r="I858" t="s">
        <v>109</v>
      </c>
      <c r="J858">
        <v>1</v>
      </c>
      <c r="K858">
        <v>1499</v>
      </c>
      <c r="L858">
        <f>Table1[[#This Row],[Quantity]] * Table1[[#This Row],[UnitPrice]]</f>
        <v>1499</v>
      </c>
      <c r="M858" s="25">
        <v>15</v>
      </c>
      <c r="N858">
        <f>Table1[[#This Row],[Revenue]]*Table1[[#This Row],[Discount%]]/100</f>
        <v>224.85</v>
      </c>
      <c r="O858" s="6">
        <f>Table1[[#This Row],[Revenue]]-Table1[[#This Row],[Disc_amount]]</f>
        <v>1274.1500000000001</v>
      </c>
      <c r="P858" t="s">
        <v>26</v>
      </c>
      <c r="Q858" t="s">
        <v>27</v>
      </c>
    </row>
    <row r="859" spans="1:17">
      <c r="A859" t="s">
        <v>1546</v>
      </c>
      <c r="B859" s="1" t="s">
        <v>1542</v>
      </c>
      <c r="C859" s="1" t="s">
        <v>1405</v>
      </c>
      <c r="D859" s="1" t="s">
        <v>20</v>
      </c>
      <c r="E859" t="s">
        <v>142</v>
      </c>
      <c r="F859" t="s">
        <v>143</v>
      </c>
      <c r="G859" t="s">
        <v>23</v>
      </c>
      <c r="H859" t="s">
        <v>24</v>
      </c>
      <c r="I859" t="s">
        <v>32</v>
      </c>
      <c r="J859">
        <v>1</v>
      </c>
      <c r="K859">
        <v>199</v>
      </c>
      <c r="L859">
        <f>Table1[[#This Row],[Quantity]] * Table1[[#This Row],[UnitPrice]]</f>
        <v>199</v>
      </c>
      <c r="M859" s="25">
        <v>0</v>
      </c>
      <c r="N859">
        <f>Table1[[#This Row],[Revenue]]*Table1[[#This Row],[Discount%]]/100</f>
        <v>0</v>
      </c>
      <c r="O859" s="6">
        <f>Table1[[#This Row],[Revenue]]-Table1[[#This Row],[Disc_amount]]</f>
        <v>199</v>
      </c>
      <c r="P859" t="s">
        <v>33</v>
      </c>
      <c r="Q859" t="s">
        <v>27</v>
      </c>
    </row>
    <row r="860" spans="1:17">
      <c r="A860" t="s">
        <v>1547</v>
      </c>
      <c r="B860" s="1" t="s">
        <v>1542</v>
      </c>
      <c r="C860" s="1" t="s">
        <v>1405</v>
      </c>
      <c r="D860" s="1" t="s">
        <v>20</v>
      </c>
      <c r="E860" t="s">
        <v>938</v>
      </c>
      <c r="F860" t="s">
        <v>187</v>
      </c>
      <c r="G860" t="s">
        <v>31</v>
      </c>
      <c r="H860" t="s">
        <v>65</v>
      </c>
      <c r="I860" t="s">
        <v>66</v>
      </c>
      <c r="J860">
        <v>3</v>
      </c>
      <c r="K860">
        <v>1999</v>
      </c>
      <c r="L860">
        <f>Table1[[#This Row],[Quantity]] * Table1[[#This Row],[UnitPrice]]</f>
        <v>5997</v>
      </c>
      <c r="M860" s="25">
        <v>15</v>
      </c>
      <c r="N860">
        <f>Table1[[#This Row],[Revenue]]*Table1[[#This Row],[Discount%]]/100</f>
        <v>899.55</v>
      </c>
      <c r="O860" s="6">
        <f>Table1[[#This Row],[Revenue]]-Table1[[#This Row],[Disc_amount]]</f>
        <v>5097.45</v>
      </c>
      <c r="P860" t="s">
        <v>41</v>
      </c>
      <c r="Q860" t="s">
        <v>34</v>
      </c>
    </row>
    <row r="861" spans="1:17">
      <c r="A861" t="s">
        <v>1548</v>
      </c>
      <c r="B861" s="1" t="s">
        <v>1542</v>
      </c>
      <c r="C861" s="1" t="s">
        <v>1405</v>
      </c>
      <c r="D861" s="1" t="s">
        <v>20</v>
      </c>
      <c r="E861" t="s">
        <v>1549</v>
      </c>
      <c r="F861" t="s">
        <v>562</v>
      </c>
      <c r="G861" t="s">
        <v>31</v>
      </c>
      <c r="H861" t="s">
        <v>70</v>
      </c>
      <c r="I861" t="s">
        <v>91</v>
      </c>
      <c r="J861">
        <v>1</v>
      </c>
      <c r="K861">
        <v>549</v>
      </c>
      <c r="L861">
        <f>Table1[[#This Row],[Quantity]] * Table1[[#This Row],[UnitPrice]]</f>
        <v>549</v>
      </c>
      <c r="M861" s="25">
        <v>15</v>
      </c>
      <c r="N861">
        <f>Table1[[#This Row],[Revenue]]*Table1[[#This Row],[Discount%]]/100</f>
        <v>82.35</v>
      </c>
      <c r="O861" s="6">
        <f>Table1[[#This Row],[Revenue]]-Table1[[#This Row],[Disc_amount]]</f>
        <v>466.65</v>
      </c>
      <c r="P861" t="s">
        <v>26</v>
      </c>
      <c r="Q861" t="s">
        <v>27</v>
      </c>
    </row>
    <row r="862" spans="1:17">
      <c r="A862" t="s">
        <v>1550</v>
      </c>
      <c r="B862" s="1" t="s">
        <v>1542</v>
      </c>
      <c r="C862" s="1" t="s">
        <v>1405</v>
      </c>
      <c r="D862" s="1" t="s">
        <v>20</v>
      </c>
      <c r="E862" t="s">
        <v>319</v>
      </c>
      <c r="F862" t="s">
        <v>213</v>
      </c>
      <c r="G862" t="s">
        <v>45</v>
      </c>
      <c r="H862" t="s">
        <v>65</v>
      </c>
      <c r="I862" t="s">
        <v>66</v>
      </c>
      <c r="J862">
        <v>2</v>
      </c>
      <c r="K862">
        <v>1999</v>
      </c>
      <c r="L862">
        <f>Table1[[#This Row],[Quantity]] * Table1[[#This Row],[UnitPrice]]</f>
        <v>3998</v>
      </c>
      <c r="M862" s="25">
        <v>15</v>
      </c>
      <c r="N862">
        <f>Table1[[#This Row],[Revenue]]*Table1[[#This Row],[Discount%]]/100</f>
        <v>599.70000000000005</v>
      </c>
      <c r="O862" s="6">
        <f>Table1[[#This Row],[Revenue]]-Table1[[#This Row],[Disc_amount]]</f>
        <v>3398.3</v>
      </c>
      <c r="P862" t="s">
        <v>26</v>
      </c>
      <c r="Q862" t="s">
        <v>34</v>
      </c>
    </row>
    <row r="863" spans="1:17">
      <c r="A863" t="s">
        <v>1551</v>
      </c>
      <c r="B863" s="1" t="s">
        <v>1552</v>
      </c>
      <c r="C863" s="1" t="s">
        <v>1405</v>
      </c>
      <c r="D863" s="1" t="s">
        <v>20</v>
      </c>
      <c r="E863" t="s">
        <v>966</v>
      </c>
      <c r="F863" t="s">
        <v>345</v>
      </c>
      <c r="G863" t="s">
        <v>31</v>
      </c>
      <c r="H863" t="s">
        <v>39</v>
      </c>
      <c r="I863" t="s">
        <v>51</v>
      </c>
      <c r="J863">
        <v>3</v>
      </c>
      <c r="K863">
        <v>2999</v>
      </c>
      <c r="L863">
        <f>Table1[[#This Row],[Quantity]] * Table1[[#This Row],[UnitPrice]]</f>
        <v>8997</v>
      </c>
      <c r="M863" s="25">
        <v>0</v>
      </c>
      <c r="N863">
        <f>Table1[[#This Row],[Revenue]]*Table1[[#This Row],[Discount%]]/100</f>
        <v>0</v>
      </c>
      <c r="O863" s="6">
        <f>Table1[[#This Row],[Revenue]]-Table1[[#This Row],[Disc_amount]]</f>
        <v>8997</v>
      </c>
      <c r="P863" t="s">
        <v>41</v>
      </c>
      <c r="Q863" t="s">
        <v>34</v>
      </c>
    </row>
    <row r="864" spans="1:17">
      <c r="A864" t="s">
        <v>1553</v>
      </c>
      <c r="B864" s="1" t="s">
        <v>1552</v>
      </c>
      <c r="C864" s="1" t="s">
        <v>1405</v>
      </c>
      <c r="D864" s="1" t="s">
        <v>20</v>
      </c>
      <c r="E864" t="s">
        <v>1554</v>
      </c>
      <c r="F864" t="s">
        <v>268</v>
      </c>
      <c r="G864" t="s">
        <v>31</v>
      </c>
      <c r="H864" t="s">
        <v>57</v>
      </c>
      <c r="I864" t="s">
        <v>62</v>
      </c>
      <c r="J864">
        <v>1</v>
      </c>
      <c r="K864">
        <v>799</v>
      </c>
      <c r="L864">
        <f>Table1[[#This Row],[Quantity]] * Table1[[#This Row],[UnitPrice]]</f>
        <v>799</v>
      </c>
      <c r="M864" s="25">
        <v>0</v>
      </c>
      <c r="N864">
        <f>Table1[[#This Row],[Revenue]]*Table1[[#This Row],[Discount%]]/100</f>
        <v>0</v>
      </c>
      <c r="O864" s="6">
        <f>Table1[[#This Row],[Revenue]]-Table1[[#This Row],[Disc_amount]]</f>
        <v>799</v>
      </c>
      <c r="P864" t="s">
        <v>26</v>
      </c>
      <c r="Q864" t="s">
        <v>27</v>
      </c>
    </row>
    <row r="865" spans="1:17">
      <c r="A865" t="s">
        <v>1555</v>
      </c>
      <c r="B865" s="1" t="s">
        <v>1552</v>
      </c>
      <c r="C865" s="1" t="s">
        <v>1405</v>
      </c>
      <c r="D865" s="1" t="s">
        <v>20</v>
      </c>
      <c r="E865" t="s">
        <v>114</v>
      </c>
      <c r="F865" t="s">
        <v>115</v>
      </c>
      <c r="G865" t="s">
        <v>45</v>
      </c>
      <c r="H865" t="s">
        <v>57</v>
      </c>
      <c r="I865" t="s">
        <v>58</v>
      </c>
      <c r="J865">
        <v>3</v>
      </c>
      <c r="K865">
        <v>1299</v>
      </c>
      <c r="L865">
        <f>Table1[[#This Row],[Quantity]] * Table1[[#This Row],[UnitPrice]]</f>
        <v>3897</v>
      </c>
      <c r="M865" s="25">
        <v>0</v>
      </c>
      <c r="N865">
        <f>Table1[[#This Row],[Revenue]]*Table1[[#This Row],[Discount%]]/100</f>
        <v>0</v>
      </c>
      <c r="O865" s="6">
        <f>Table1[[#This Row],[Revenue]]-Table1[[#This Row],[Disc_amount]]</f>
        <v>3897</v>
      </c>
      <c r="P865" t="s">
        <v>26</v>
      </c>
      <c r="Q865" t="s">
        <v>34</v>
      </c>
    </row>
    <row r="866" spans="1:17">
      <c r="A866" t="s">
        <v>1556</v>
      </c>
      <c r="B866" s="1" t="s">
        <v>1552</v>
      </c>
      <c r="C866" s="1" t="s">
        <v>1405</v>
      </c>
      <c r="D866" s="1" t="s">
        <v>20</v>
      </c>
      <c r="E866" t="s">
        <v>217</v>
      </c>
      <c r="F866" t="s">
        <v>218</v>
      </c>
      <c r="G866" t="s">
        <v>31</v>
      </c>
      <c r="H866" t="s">
        <v>70</v>
      </c>
      <c r="I866" t="s">
        <v>71</v>
      </c>
      <c r="J866">
        <v>2</v>
      </c>
      <c r="K866">
        <v>349</v>
      </c>
      <c r="L866">
        <f>Table1[[#This Row],[Quantity]] * Table1[[#This Row],[UnitPrice]]</f>
        <v>698</v>
      </c>
      <c r="M866" s="25">
        <v>0</v>
      </c>
      <c r="N866">
        <f>Table1[[#This Row],[Revenue]]*Table1[[#This Row],[Discount%]]/100</f>
        <v>0</v>
      </c>
      <c r="O866" s="6">
        <f>Table1[[#This Row],[Revenue]]-Table1[[#This Row],[Disc_amount]]</f>
        <v>698</v>
      </c>
      <c r="P866" t="s">
        <v>26</v>
      </c>
      <c r="Q866" t="s">
        <v>27</v>
      </c>
    </row>
    <row r="867" spans="1:17">
      <c r="A867" t="s">
        <v>1557</v>
      </c>
      <c r="B867" s="1" t="s">
        <v>1552</v>
      </c>
      <c r="C867" s="1" t="s">
        <v>1405</v>
      </c>
      <c r="D867" s="1" t="s">
        <v>20</v>
      </c>
      <c r="E867" t="s">
        <v>640</v>
      </c>
      <c r="F867" t="s">
        <v>225</v>
      </c>
      <c r="G867" t="s">
        <v>31</v>
      </c>
      <c r="H867" t="s">
        <v>65</v>
      </c>
      <c r="I867" t="s">
        <v>66</v>
      </c>
      <c r="J867">
        <v>3</v>
      </c>
      <c r="K867">
        <v>1999</v>
      </c>
      <c r="L867">
        <f>Table1[[#This Row],[Quantity]] * Table1[[#This Row],[UnitPrice]]</f>
        <v>5997</v>
      </c>
      <c r="M867" s="25">
        <v>20</v>
      </c>
      <c r="N867">
        <f>Table1[[#This Row],[Revenue]]*Table1[[#This Row],[Discount%]]/100</f>
        <v>1199.4000000000001</v>
      </c>
      <c r="O867" s="6">
        <f>Table1[[#This Row],[Revenue]]-Table1[[#This Row],[Disc_amount]]</f>
        <v>4797.6000000000004</v>
      </c>
      <c r="P867" t="s">
        <v>41</v>
      </c>
      <c r="Q867" t="s">
        <v>27</v>
      </c>
    </row>
    <row r="868" spans="1:17">
      <c r="A868" t="s">
        <v>1558</v>
      </c>
      <c r="B868" s="1" t="s">
        <v>1552</v>
      </c>
      <c r="C868" s="1" t="s">
        <v>1405</v>
      </c>
      <c r="D868" s="1" t="s">
        <v>20</v>
      </c>
      <c r="E868" t="s">
        <v>884</v>
      </c>
      <c r="F868" t="s">
        <v>160</v>
      </c>
      <c r="G868" t="s">
        <v>31</v>
      </c>
      <c r="H868" t="s">
        <v>70</v>
      </c>
      <c r="I868" t="s">
        <v>71</v>
      </c>
      <c r="J868">
        <v>1</v>
      </c>
      <c r="K868">
        <v>349</v>
      </c>
      <c r="L868">
        <f>Table1[[#This Row],[Quantity]] * Table1[[#This Row],[UnitPrice]]</f>
        <v>349</v>
      </c>
      <c r="M868" s="25">
        <v>0</v>
      </c>
      <c r="N868">
        <f>Table1[[#This Row],[Revenue]]*Table1[[#This Row],[Discount%]]/100</f>
        <v>0</v>
      </c>
      <c r="O868" s="6">
        <f>Table1[[#This Row],[Revenue]]-Table1[[#This Row],[Disc_amount]]</f>
        <v>349</v>
      </c>
      <c r="P868" t="s">
        <v>33</v>
      </c>
      <c r="Q868" t="s">
        <v>27</v>
      </c>
    </row>
    <row r="869" spans="1:17">
      <c r="A869" t="s">
        <v>1559</v>
      </c>
      <c r="B869" s="1" t="s">
        <v>1552</v>
      </c>
      <c r="C869" s="1" t="s">
        <v>1405</v>
      </c>
      <c r="D869" s="1" t="s">
        <v>20</v>
      </c>
      <c r="E869" t="s">
        <v>1038</v>
      </c>
      <c r="F869" t="s">
        <v>245</v>
      </c>
      <c r="G869" t="s">
        <v>45</v>
      </c>
      <c r="H869" t="s">
        <v>65</v>
      </c>
      <c r="I869" t="s">
        <v>98</v>
      </c>
      <c r="J869">
        <v>1</v>
      </c>
      <c r="K869">
        <v>499</v>
      </c>
      <c r="L869">
        <f>Table1[[#This Row],[Quantity]] * Table1[[#This Row],[UnitPrice]]</f>
        <v>499</v>
      </c>
      <c r="M869" s="25">
        <v>15</v>
      </c>
      <c r="N869">
        <f>Table1[[#This Row],[Revenue]]*Table1[[#This Row],[Discount%]]/100</f>
        <v>74.849999999999994</v>
      </c>
      <c r="O869" s="6">
        <f>Table1[[#This Row],[Revenue]]-Table1[[#This Row],[Disc_amount]]</f>
        <v>424.15</v>
      </c>
      <c r="P869" t="s">
        <v>41</v>
      </c>
      <c r="Q869" t="s">
        <v>27</v>
      </c>
    </row>
    <row r="870" spans="1:17">
      <c r="A870" t="s">
        <v>1560</v>
      </c>
      <c r="B870" s="1" t="s">
        <v>1552</v>
      </c>
      <c r="C870" s="1" t="s">
        <v>1405</v>
      </c>
      <c r="D870" s="1" t="s">
        <v>20</v>
      </c>
      <c r="E870" t="s">
        <v>722</v>
      </c>
      <c r="F870" t="s">
        <v>723</v>
      </c>
      <c r="G870" t="s">
        <v>31</v>
      </c>
      <c r="H870" t="s">
        <v>57</v>
      </c>
      <c r="I870" t="s">
        <v>62</v>
      </c>
      <c r="J870">
        <v>1</v>
      </c>
      <c r="K870">
        <v>799</v>
      </c>
      <c r="L870">
        <f>Table1[[#This Row],[Quantity]] * Table1[[#This Row],[UnitPrice]]</f>
        <v>799</v>
      </c>
      <c r="M870" s="25">
        <v>0</v>
      </c>
      <c r="N870">
        <f>Table1[[#This Row],[Revenue]]*Table1[[#This Row],[Discount%]]/100</f>
        <v>0</v>
      </c>
      <c r="O870" s="6">
        <f>Table1[[#This Row],[Revenue]]-Table1[[#This Row],[Disc_amount]]</f>
        <v>799</v>
      </c>
      <c r="P870" t="s">
        <v>41</v>
      </c>
      <c r="Q870" t="s">
        <v>27</v>
      </c>
    </row>
    <row r="871" spans="1:17">
      <c r="A871" t="s">
        <v>1561</v>
      </c>
      <c r="B871" s="1" t="s">
        <v>1552</v>
      </c>
      <c r="C871" s="1" t="s">
        <v>1405</v>
      </c>
      <c r="D871" s="1" t="s">
        <v>20</v>
      </c>
      <c r="E871" t="s">
        <v>1101</v>
      </c>
      <c r="F871" t="s">
        <v>989</v>
      </c>
      <c r="G871" t="s">
        <v>56</v>
      </c>
      <c r="H871" t="s">
        <v>46</v>
      </c>
      <c r="I871" t="s">
        <v>47</v>
      </c>
      <c r="J871">
        <v>2</v>
      </c>
      <c r="K871">
        <v>249</v>
      </c>
      <c r="L871">
        <f>Table1[[#This Row],[Quantity]] * Table1[[#This Row],[UnitPrice]]</f>
        <v>498</v>
      </c>
      <c r="M871" s="25">
        <v>5</v>
      </c>
      <c r="N871">
        <f>Table1[[#This Row],[Revenue]]*Table1[[#This Row],[Discount%]]/100</f>
        <v>24.9</v>
      </c>
      <c r="O871" s="6">
        <f>Table1[[#This Row],[Revenue]]-Table1[[#This Row],[Disc_amount]]</f>
        <v>473.1</v>
      </c>
      <c r="P871" t="s">
        <v>33</v>
      </c>
      <c r="Q871" t="s">
        <v>27</v>
      </c>
    </row>
    <row r="872" spans="1:17">
      <c r="A872" t="s">
        <v>1562</v>
      </c>
      <c r="B872" s="1" t="s">
        <v>1563</v>
      </c>
      <c r="C872" s="1" t="s">
        <v>1405</v>
      </c>
      <c r="D872" s="1" t="s">
        <v>20</v>
      </c>
      <c r="E872" t="s">
        <v>1152</v>
      </c>
      <c r="F872" t="s">
        <v>209</v>
      </c>
      <c r="G872" t="s">
        <v>45</v>
      </c>
      <c r="H872" t="s">
        <v>24</v>
      </c>
      <c r="I872" t="s">
        <v>32</v>
      </c>
      <c r="J872">
        <v>1</v>
      </c>
      <c r="K872">
        <v>199</v>
      </c>
      <c r="L872">
        <f>Table1[[#This Row],[Quantity]] * Table1[[#This Row],[UnitPrice]]</f>
        <v>199</v>
      </c>
      <c r="M872" s="25">
        <v>0</v>
      </c>
      <c r="N872">
        <f>Table1[[#This Row],[Revenue]]*Table1[[#This Row],[Discount%]]/100</f>
        <v>0</v>
      </c>
      <c r="O872" s="6">
        <f>Table1[[#This Row],[Revenue]]-Table1[[#This Row],[Disc_amount]]</f>
        <v>199</v>
      </c>
      <c r="P872" t="s">
        <v>26</v>
      </c>
      <c r="Q872" t="s">
        <v>27</v>
      </c>
    </row>
    <row r="873" spans="1:17">
      <c r="A873" t="s">
        <v>1564</v>
      </c>
      <c r="B873" s="1" t="s">
        <v>1563</v>
      </c>
      <c r="C873" s="1" t="s">
        <v>1405</v>
      </c>
      <c r="D873" s="1" t="s">
        <v>20</v>
      </c>
      <c r="E873" t="s">
        <v>655</v>
      </c>
      <c r="F873" t="s">
        <v>195</v>
      </c>
      <c r="G873" t="s">
        <v>38</v>
      </c>
      <c r="H873" t="s">
        <v>65</v>
      </c>
      <c r="I873" t="s">
        <v>66</v>
      </c>
      <c r="J873">
        <v>2</v>
      </c>
      <c r="K873">
        <v>1999</v>
      </c>
      <c r="L873">
        <f>Table1[[#This Row],[Quantity]] * Table1[[#This Row],[UnitPrice]]</f>
        <v>3998</v>
      </c>
      <c r="M873" s="25">
        <v>15</v>
      </c>
      <c r="N873">
        <f>Table1[[#This Row],[Revenue]]*Table1[[#This Row],[Discount%]]/100</f>
        <v>599.70000000000005</v>
      </c>
      <c r="O873" s="6">
        <f>Table1[[#This Row],[Revenue]]-Table1[[#This Row],[Disc_amount]]</f>
        <v>3398.3</v>
      </c>
      <c r="P873" t="s">
        <v>33</v>
      </c>
      <c r="Q873" t="s">
        <v>27</v>
      </c>
    </row>
    <row r="874" spans="1:17">
      <c r="A874" t="s">
        <v>1565</v>
      </c>
      <c r="B874" s="1" t="s">
        <v>1563</v>
      </c>
      <c r="C874" s="1" t="s">
        <v>1405</v>
      </c>
      <c r="D874" s="1" t="s">
        <v>20</v>
      </c>
      <c r="E874" t="s">
        <v>875</v>
      </c>
      <c r="F874" t="s">
        <v>876</v>
      </c>
      <c r="G874" t="s">
        <v>31</v>
      </c>
      <c r="H874" t="s">
        <v>65</v>
      </c>
      <c r="I874" t="s">
        <v>98</v>
      </c>
      <c r="J874">
        <v>2</v>
      </c>
      <c r="K874">
        <v>499</v>
      </c>
      <c r="L874">
        <f>Table1[[#This Row],[Quantity]] * Table1[[#This Row],[UnitPrice]]</f>
        <v>998</v>
      </c>
      <c r="M874" s="25">
        <v>0</v>
      </c>
      <c r="N874">
        <f>Table1[[#This Row],[Revenue]]*Table1[[#This Row],[Discount%]]/100</f>
        <v>0</v>
      </c>
      <c r="O874" s="6">
        <f>Table1[[#This Row],[Revenue]]-Table1[[#This Row],[Disc_amount]]</f>
        <v>998</v>
      </c>
      <c r="P874" t="s">
        <v>33</v>
      </c>
      <c r="Q874" t="s">
        <v>34</v>
      </c>
    </row>
    <row r="875" spans="1:17">
      <c r="A875" t="s">
        <v>1566</v>
      </c>
      <c r="B875" s="1" t="s">
        <v>1563</v>
      </c>
      <c r="C875" s="1" t="s">
        <v>1405</v>
      </c>
      <c r="D875" s="1" t="s">
        <v>20</v>
      </c>
      <c r="E875" t="s">
        <v>1567</v>
      </c>
      <c r="F875" t="s">
        <v>143</v>
      </c>
      <c r="G875" t="s">
        <v>56</v>
      </c>
      <c r="H875" t="s">
        <v>65</v>
      </c>
      <c r="I875" t="s">
        <v>98</v>
      </c>
      <c r="J875">
        <v>1</v>
      </c>
      <c r="K875">
        <v>499</v>
      </c>
      <c r="L875">
        <f>Table1[[#This Row],[Quantity]] * Table1[[#This Row],[UnitPrice]]</f>
        <v>499</v>
      </c>
      <c r="M875" s="25">
        <v>15</v>
      </c>
      <c r="N875">
        <f>Table1[[#This Row],[Revenue]]*Table1[[#This Row],[Discount%]]/100</f>
        <v>74.849999999999994</v>
      </c>
      <c r="O875" s="6">
        <f>Table1[[#This Row],[Revenue]]-Table1[[#This Row],[Disc_amount]]</f>
        <v>424.15</v>
      </c>
      <c r="P875" t="s">
        <v>86</v>
      </c>
      <c r="Q875" t="s">
        <v>27</v>
      </c>
    </row>
    <row r="876" spans="1:17">
      <c r="A876" t="s">
        <v>1568</v>
      </c>
      <c r="B876" s="1" t="s">
        <v>1563</v>
      </c>
      <c r="C876" s="1" t="s">
        <v>1405</v>
      </c>
      <c r="D876" s="1" t="s">
        <v>20</v>
      </c>
      <c r="E876" t="s">
        <v>337</v>
      </c>
      <c r="F876" t="s">
        <v>338</v>
      </c>
      <c r="G876" t="s">
        <v>38</v>
      </c>
      <c r="H876" t="s">
        <v>65</v>
      </c>
      <c r="I876" t="s">
        <v>94</v>
      </c>
      <c r="J876">
        <v>1</v>
      </c>
      <c r="K876">
        <v>899</v>
      </c>
      <c r="L876">
        <f>Table1[[#This Row],[Quantity]] * Table1[[#This Row],[UnitPrice]]</f>
        <v>899</v>
      </c>
      <c r="M876" s="25">
        <v>10</v>
      </c>
      <c r="N876">
        <f>Table1[[#This Row],[Revenue]]*Table1[[#This Row],[Discount%]]/100</f>
        <v>89.9</v>
      </c>
      <c r="O876" s="6">
        <f>Table1[[#This Row],[Revenue]]-Table1[[#This Row],[Disc_amount]]</f>
        <v>809.1</v>
      </c>
      <c r="P876" t="s">
        <v>52</v>
      </c>
      <c r="Q876" t="s">
        <v>27</v>
      </c>
    </row>
    <row r="877" spans="1:17">
      <c r="A877" t="s">
        <v>1569</v>
      </c>
      <c r="B877" s="1" t="s">
        <v>1570</v>
      </c>
      <c r="C877" s="1" t="s">
        <v>1405</v>
      </c>
      <c r="D877" s="1" t="s">
        <v>20</v>
      </c>
      <c r="E877" t="s">
        <v>106</v>
      </c>
      <c r="F877" t="s">
        <v>107</v>
      </c>
      <c r="G877" t="s">
        <v>56</v>
      </c>
      <c r="H877" t="s">
        <v>46</v>
      </c>
      <c r="I877" t="s">
        <v>47</v>
      </c>
      <c r="J877">
        <v>1</v>
      </c>
      <c r="K877">
        <v>249</v>
      </c>
      <c r="L877">
        <f>Table1[[#This Row],[Quantity]] * Table1[[#This Row],[UnitPrice]]</f>
        <v>249</v>
      </c>
      <c r="M877" s="25">
        <v>0</v>
      </c>
      <c r="N877">
        <f>Table1[[#This Row],[Revenue]]*Table1[[#This Row],[Discount%]]/100</f>
        <v>0</v>
      </c>
      <c r="O877" s="6">
        <f>Table1[[#This Row],[Revenue]]-Table1[[#This Row],[Disc_amount]]</f>
        <v>249</v>
      </c>
      <c r="P877" t="s">
        <v>41</v>
      </c>
      <c r="Q877" t="s">
        <v>27</v>
      </c>
    </row>
    <row r="878" spans="1:17">
      <c r="A878" t="s">
        <v>1571</v>
      </c>
      <c r="B878" s="1" t="s">
        <v>1570</v>
      </c>
      <c r="C878" s="1" t="s">
        <v>1405</v>
      </c>
      <c r="D878" s="1" t="s">
        <v>20</v>
      </c>
      <c r="E878" t="s">
        <v>612</v>
      </c>
      <c r="F878" t="s">
        <v>613</v>
      </c>
      <c r="G878" t="s">
        <v>38</v>
      </c>
      <c r="H878" t="s">
        <v>65</v>
      </c>
      <c r="I878" t="s">
        <v>94</v>
      </c>
      <c r="J878">
        <v>2</v>
      </c>
      <c r="K878">
        <v>899</v>
      </c>
      <c r="L878">
        <f>Table1[[#This Row],[Quantity]] * Table1[[#This Row],[UnitPrice]]</f>
        <v>1798</v>
      </c>
      <c r="M878" s="25">
        <v>0</v>
      </c>
      <c r="N878">
        <f>Table1[[#This Row],[Revenue]]*Table1[[#This Row],[Discount%]]/100</f>
        <v>0</v>
      </c>
      <c r="O878" s="6">
        <f>Table1[[#This Row],[Revenue]]-Table1[[#This Row],[Disc_amount]]</f>
        <v>1798</v>
      </c>
      <c r="P878" t="s">
        <v>26</v>
      </c>
      <c r="Q878" t="s">
        <v>27</v>
      </c>
    </row>
    <row r="879" spans="1:17">
      <c r="A879" t="s">
        <v>1572</v>
      </c>
      <c r="B879" s="1" t="s">
        <v>1570</v>
      </c>
      <c r="C879" s="1" t="s">
        <v>1405</v>
      </c>
      <c r="D879" s="1" t="s">
        <v>20</v>
      </c>
      <c r="E879" t="s">
        <v>1029</v>
      </c>
      <c r="F879" t="s">
        <v>345</v>
      </c>
      <c r="G879" t="s">
        <v>38</v>
      </c>
      <c r="H879" t="s">
        <v>24</v>
      </c>
      <c r="I879" t="s">
        <v>25</v>
      </c>
      <c r="J879">
        <v>1</v>
      </c>
      <c r="K879">
        <v>99</v>
      </c>
      <c r="L879">
        <f>Table1[[#This Row],[Quantity]] * Table1[[#This Row],[UnitPrice]]</f>
        <v>99</v>
      </c>
      <c r="M879" s="25">
        <v>20</v>
      </c>
      <c r="N879">
        <f>Table1[[#This Row],[Revenue]]*Table1[[#This Row],[Discount%]]/100</f>
        <v>19.8</v>
      </c>
      <c r="O879" s="6">
        <f>Table1[[#This Row],[Revenue]]-Table1[[#This Row],[Disc_amount]]</f>
        <v>79.2</v>
      </c>
      <c r="P879" t="s">
        <v>52</v>
      </c>
      <c r="Q879" t="s">
        <v>27</v>
      </c>
    </row>
    <row r="880" spans="1:17">
      <c r="A880" t="s">
        <v>1573</v>
      </c>
      <c r="B880" s="1" t="s">
        <v>1570</v>
      </c>
      <c r="C880" s="1" t="s">
        <v>1405</v>
      </c>
      <c r="D880" s="1" t="s">
        <v>20</v>
      </c>
      <c r="E880" t="s">
        <v>1337</v>
      </c>
      <c r="F880" t="s">
        <v>584</v>
      </c>
      <c r="G880" t="s">
        <v>38</v>
      </c>
      <c r="H880" t="s">
        <v>57</v>
      </c>
      <c r="I880" t="s">
        <v>62</v>
      </c>
      <c r="J880">
        <v>5</v>
      </c>
      <c r="K880">
        <v>799</v>
      </c>
      <c r="L880">
        <f>Table1[[#This Row],[Quantity]] * Table1[[#This Row],[UnitPrice]]</f>
        <v>3995</v>
      </c>
      <c r="M880" s="25">
        <v>20</v>
      </c>
      <c r="N880">
        <f>Table1[[#This Row],[Revenue]]*Table1[[#This Row],[Discount%]]/100</f>
        <v>799</v>
      </c>
      <c r="O880" s="6">
        <f>Table1[[#This Row],[Revenue]]-Table1[[#This Row],[Disc_amount]]</f>
        <v>3196</v>
      </c>
      <c r="P880" t="s">
        <v>41</v>
      </c>
      <c r="Q880" t="s">
        <v>27</v>
      </c>
    </row>
    <row r="881" spans="1:17">
      <c r="A881" t="s">
        <v>1574</v>
      </c>
      <c r="B881" s="1" t="s">
        <v>1570</v>
      </c>
      <c r="C881" s="1" t="s">
        <v>1405</v>
      </c>
      <c r="D881" s="1" t="s">
        <v>20</v>
      </c>
      <c r="E881" t="s">
        <v>1575</v>
      </c>
      <c r="F881" t="s">
        <v>311</v>
      </c>
      <c r="G881" t="s">
        <v>23</v>
      </c>
      <c r="H881" t="s">
        <v>24</v>
      </c>
      <c r="I881" t="s">
        <v>25</v>
      </c>
      <c r="J881">
        <v>1</v>
      </c>
      <c r="K881">
        <v>99</v>
      </c>
      <c r="L881">
        <f>Table1[[#This Row],[Quantity]] * Table1[[#This Row],[UnitPrice]]</f>
        <v>99</v>
      </c>
      <c r="M881" s="25">
        <v>20</v>
      </c>
      <c r="N881">
        <f>Table1[[#This Row],[Revenue]]*Table1[[#This Row],[Discount%]]/100</f>
        <v>19.8</v>
      </c>
      <c r="O881" s="6">
        <f>Table1[[#This Row],[Revenue]]-Table1[[#This Row],[Disc_amount]]</f>
        <v>79.2</v>
      </c>
      <c r="P881" t="s">
        <v>41</v>
      </c>
      <c r="Q881" t="s">
        <v>27</v>
      </c>
    </row>
    <row r="882" spans="1:17">
      <c r="A882" t="s">
        <v>1576</v>
      </c>
      <c r="B882" s="1" t="s">
        <v>1570</v>
      </c>
      <c r="C882" s="1" t="s">
        <v>1405</v>
      </c>
      <c r="D882" s="1" t="s">
        <v>20</v>
      </c>
      <c r="E882" t="s">
        <v>1318</v>
      </c>
      <c r="F882" t="s">
        <v>470</v>
      </c>
      <c r="G882" t="s">
        <v>38</v>
      </c>
      <c r="H882" t="s">
        <v>24</v>
      </c>
      <c r="I882" t="s">
        <v>32</v>
      </c>
      <c r="J882">
        <v>1</v>
      </c>
      <c r="K882">
        <v>199</v>
      </c>
      <c r="L882">
        <f>Table1[[#This Row],[Quantity]] * Table1[[#This Row],[UnitPrice]]</f>
        <v>199</v>
      </c>
      <c r="M882" s="25">
        <v>0</v>
      </c>
      <c r="N882">
        <f>Table1[[#This Row],[Revenue]]*Table1[[#This Row],[Discount%]]/100</f>
        <v>0</v>
      </c>
      <c r="O882" s="6">
        <f>Table1[[#This Row],[Revenue]]-Table1[[#This Row],[Disc_amount]]</f>
        <v>199</v>
      </c>
      <c r="P882" t="s">
        <v>52</v>
      </c>
      <c r="Q882" t="s">
        <v>27</v>
      </c>
    </row>
    <row r="883" spans="1:17">
      <c r="A883" t="s">
        <v>1577</v>
      </c>
      <c r="B883" s="1" t="s">
        <v>1570</v>
      </c>
      <c r="C883" s="1" t="s">
        <v>1405</v>
      </c>
      <c r="D883" s="1" t="s">
        <v>20</v>
      </c>
      <c r="E883" t="s">
        <v>1578</v>
      </c>
      <c r="F883" t="s">
        <v>44</v>
      </c>
      <c r="G883" t="s">
        <v>31</v>
      </c>
      <c r="H883" t="s">
        <v>57</v>
      </c>
      <c r="I883" t="s">
        <v>58</v>
      </c>
      <c r="J883">
        <v>1</v>
      </c>
      <c r="K883">
        <v>1299</v>
      </c>
      <c r="L883">
        <f>Table1[[#This Row],[Quantity]] * Table1[[#This Row],[UnitPrice]]</f>
        <v>1299</v>
      </c>
      <c r="M883" s="25">
        <v>0</v>
      </c>
      <c r="N883">
        <f>Table1[[#This Row],[Revenue]]*Table1[[#This Row],[Discount%]]/100</f>
        <v>0</v>
      </c>
      <c r="O883" s="6">
        <f>Table1[[#This Row],[Revenue]]-Table1[[#This Row],[Disc_amount]]</f>
        <v>1299</v>
      </c>
      <c r="P883" t="s">
        <v>26</v>
      </c>
      <c r="Q883" t="s">
        <v>34</v>
      </c>
    </row>
    <row r="884" spans="1:17">
      <c r="A884" t="s">
        <v>1579</v>
      </c>
      <c r="B884" s="1" t="s">
        <v>1570</v>
      </c>
      <c r="C884" s="1" t="s">
        <v>1405</v>
      </c>
      <c r="D884" s="1" t="s">
        <v>20</v>
      </c>
      <c r="E884" t="s">
        <v>725</v>
      </c>
      <c r="F884" t="s">
        <v>726</v>
      </c>
      <c r="G884" t="s">
        <v>56</v>
      </c>
      <c r="H884" t="s">
        <v>39</v>
      </c>
      <c r="I884" t="s">
        <v>51</v>
      </c>
      <c r="J884">
        <v>1</v>
      </c>
      <c r="K884">
        <v>2999</v>
      </c>
      <c r="L884">
        <f>Table1[[#This Row],[Quantity]] * Table1[[#This Row],[UnitPrice]]</f>
        <v>2999</v>
      </c>
      <c r="M884" s="25">
        <v>0</v>
      </c>
      <c r="N884">
        <f>Table1[[#This Row],[Revenue]]*Table1[[#This Row],[Discount%]]/100</f>
        <v>0</v>
      </c>
      <c r="O884" s="6">
        <f>Table1[[#This Row],[Revenue]]-Table1[[#This Row],[Disc_amount]]</f>
        <v>2999</v>
      </c>
      <c r="P884" t="s">
        <v>41</v>
      </c>
      <c r="Q884" t="s">
        <v>34</v>
      </c>
    </row>
    <row r="885" spans="1:17">
      <c r="A885" t="s">
        <v>1580</v>
      </c>
      <c r="B885" s="1" t="s">
        <v>1570</v>
      </c>
      <c r="C885" s="1" t="s">
        <v>1405</v>
      </c>
      <c r="D885" s="1" t="s">
        <v>20</v>
      </c>
      <c r="E885" t="s">
        <v>655</v>
      </c>
      <c r="F885" t="s">
        <v>195</v>
      </c>
      <c r="G885" t="s">
        <v>56</v>
      </c>
      <c r="H885" t="s">
        <v>39</v>
      </c>
      <c r="I885" t="s">
        <v>40</v>
      </c>
      <c r="J885">
        <v>1</v>
      </c>
      <c r="K885">
        <v>599</v>
      </c>
      <c r="L885">
        <f>Table1[[#This Row],[Quantity]] * Table1[[#This Row],[UnitPrice]]</f>
        <v>599</v>
      </c>
      <c r="M885" s="25">
        <v>20</v>
      </c>
      <c r="N885">
        <f>Table1[[#This Row],[Revenue]]*Table1[[#This Row],[Discount%]]/100</f>
        <v>119.8</v>
      </c>
      <c r="O885" s="6">
        <f>Table1[[#This Row],[Revenue]]-Table1[[#This Row],[Disc_amount]]</f>
        <v>479.2</v>
      </c>
      <c r="P885" t="s">
        <v>33</v>
      </c>
      <c r="Q885" t="s">
        <v>27</v>
      </c>
    </row>
    <row r="886" spans="1:17">
      <c r="A886" t="s">
        <v>1581</v>
      </c>
      <c r="B886" s="1" t="s">
        <v>1570</v>
      </c>
      <c r="C886" s="1" t="s">
        <v>1405</v>
      </c>
      <c r="D886" s="1" t="s">
        <v>20</v>
      </c>
      <c r="E886" t="s">
        <v>1407</v>
      </c>
      <c r="F886" t="s">
        <v>907</v>
      </c>
      <c r="G886" t="s">
        <v>38</v>
      </c>
      <c r="H886" t="s">
        <v>65</v>
      </c>
      <c r="I886" t="s">
        <v>66</v>
      </c>
      <c r="J886">
        <v>1</v>
      </c>
      <c r="K886">
        <v>1999</v>
      </c>
      <c r="L886">
        <f>Table1[[#This Row],[Quantity]] * Table1[[#This Row],[UnitPrice]]</f>
        <v>1999</v>
      </c>
      <c r="M886" s="25">
        <v>0</v>
      </c>
      <c r="N886">
        <f>Table1[[#This Row],[Revenue]]*Table1[[#This Row],[Discount%]]/100</f>
        <v>0</v>
      </c>
      <c r="O886" s="6">
        <f>Table1[[#This Row],[Revenue]]-Table1[[#This Row],[Disc_amount]]</f>
        <v>1999</v>
      </c>
      <c r="P886" t="s">
        <v>33</v>
      </c>
      <c r="Q886" t="s">
        <v>27</v>
      </c>
    </row>
    <row r="887" spans="1:17">
      <c r="A887" t="s">
        <v>1582</v>
      </c>
      <c r="B887" s="1" t="s">
        <v>1570</v>
      </c>
      <c r="C887" s="1" t="s">
        <v>1405</v>
      </c>
      <c r="D887" s="1" t="s">
        <v>20</v>
      </c>
      <c r="E887" t="s">
        <v>603</v>
      </c>
      <c r="F887" t="s">
        <v>604</v>
      </c>
      <c r="G887" t="s">
        <v>31</v>
      </c>
      <c r="H887" t="s">
        <v>46</v>
      </c>
      <c r="I887" t="s">
        <v>154</v>
      </c>
      <c r="J887">
        <v>1</v>
      </c>
      <c r="K887">
        <v>299</v>
      </c>
      <c r="L887">
        <f>Table1[[#This Row],[Quantity]] * Table1[[#This Row],[UnitPrice]]</f>
        <v>299</v>
      </c>
      <c r="M887" s="25">
        <v>15</v>
      </c>
      <c r="N887">
        <f>Table1[[#This Row],[Revenue]]*Table1[[#This Row],[Discount%]]/100</f>
        <v>44.85</v>
      </c>
      <c r="O887" s="6">
        <f>Table1[[#This Row],[Revenue]]-Table1[[#This Row],[Disc_amount]]</f>
        <v>254.15</v>
      </c>
      <c r="P887" t="s">
        <v>52</v>
      </c>
      <c r="Q887" t="s">
        <v>27</v>
      </c>
    </row>
    <row r="888" spans="1:17">
      <c r="A888" t="s">
        <v>1583</v>
      </c>
      <c r="B888" s="1" t="s">
        <v>1570</v>
      </c>
      <c r="C888" s="1" t="s">
        <v>1405</v>
      </c>
      <c r="D888" s="1" t="s">
        <v>20</v>
      </c>
      <c r="E888" t="s">
        <v>886</v>
      </c>
      <c r="F888" t="s">
        <v>74</v>
      </c>
      <c r="G888" t="s">
        <v>23</v>
      </c>
      <c r="H888" t="s">
        <v>57</v>
      </c>
      <c r="I888" t="s">
        <v>62</v>
      </c>
      <c r="J888">
        <v>1</v>
      </c>
      <c r="K888">
        <v>799</v>
      </c>
      <c r="L888">
        <f>Table1[[#This Row],[Quantity]] * Table1[[#This Row],[UnitPrice]]</f>
        <v>799</v>
      </c>
      <c r="M888" s="25">
        <v>5</v>
      </c>
      <c r="N888">
        <f>Table1[[#This Row],[Revenue]]*Table1[[#This Row],[Discount%]]/100</f>
        <v>39.950000000000003</v>
      </c>
      <c r="O888" s="6">
        <f>Table1[[#This Row],[Revenue]]-Table1[[#This Row],[Disc_amount]]</f>
        <v>759.05</v>
      </c>
      <c r="P888" t="s">
        <v>52</v>
      </c>
      <c r="Q888" t="s">
        <v>27</v>
      </c>
    </row>
    <row r="889" spans="1:17">
      <c r="A889" t="s">
        <v>1584</v>
      </c>
      <c r="B889" s="1" t="s">
        <v>1570</v>
      </c>
      <c r="C889" s="1" t="s">
        <v>1405</v>
      </c>
      <c r="D889" s="1" t="s">
        <v>20</v>
      </c>
      <c r="E889" t="s">
        <v>1585</v>
      </c>
      <c r="F889" t="s">
        <v>298</v>
      </c>
      <c r="G889" t="s">
        <v>31</v>
      </c>
      <c r="H889" t="s">
        <v>65</v>
      </c>
      <c r="I889" t="s">
        <v>98</v>
      </c>
      <c r="J889">
        <v>1</v>
      </c>
      <c r="K889">
        <v>499</v>
      </c>
      <c r="L889">
        <f>Table1[[#This Row],[Quantity]] * Table1[[#This Row],[UnitPrice]]</f>
        <v>499</v>
      </c>
      <c r="M889" s="25">
        <v>5</v>
      </c>
      <c r="N889">
        <f>Table1[[#This Row],[Revenue]]*Table1[[#This Row],[Discount%]]/100</f>
        <v>24.95</v>
      </c>
      <c r="O889" s="6">
        <f>Table1[[#This Row],[Revenue]]-Table1[[#This Row],[Disc_amount]]</f>
        <v>474.05</v>
      </c>
      <c r="P889" t="s">
        <v>41</v>
      </c>
      <c r="Q889" t="s">
        <v>27</v>
      </c>
    </row>
    <row r="890" spans="1:17">
      <c r="A890" t="s">
        <v>1586</v>
      </c>
      <c r="B890" s="1" t="s">
        <v>1587</v>
      </c>
      <c r="C890" s="1" t="s">
        <v>1405</v>
      </c>
      <c r="D890" s="1" t="s">
        <v>20</v>
      </c>
      <c r="E890" t="s">
        <v>322</v>
      </c>
      <c r="F890" t="s">
        <v>323</v>
      </c>
      <c r="G890" t="s">
        <v>31</v>
      </c>
      <c r="H890" t="s">
        <v>65</v>
      </c>
      <c r="I890" t="s">
        <v>94</v>
      </c>
      <c r="J890">
        <v>2</v>
      </c>
      <c r="K890">
        <v>899</v>
      </c>
      <c r="L890">
        <f>Table1[[#This Row],[Quantity]] * Table1[[#This Row],[UnitPrice]]</f>
        <v>1798</v>
      </c>
      <c r="M890" s="25">
        <v>0</v>
      </c>
      <c r="N890">
        <f>Table1[[#This Row],[Revenue]]*Table1[[#This Row],[Discount%]]/100</f>
        <v>0</v>
      </c>
      <c r="O890" s="6">
        <f>Table1[[#This Row],[Revenue]]-Table1[[#This Row],[Disc_amount]]</f>
        <v>1798</v>
      </c>
      <c r="P890" t="s">
        <v>52</v>
      </c>
      <c r="Q890" t="s">
        <v>27</v>
      </c>
    </row>
    <row r="891" spans="1:17">
      <c r="A891" t="s">
        <v>1588</v>
      </c>
      <c r="B891" s="1" t="s">
        <v>1587</v>
      </c>
      <c r="C891" s="1" t="s">
        <v>1405</v>
      </c>
      <c r="D891" s="1" t="s">
        <v>20</v>
      </c>
      <c r="E891" t="s">
        <v>111</v>
      </c>
      <c r="F891" t="s">
        <v>107</v>
      </c>
      <c r="G891" t="s">
        <v>31</v>
      </c>
      <c r="H891" t="s">
        <v>39</v>
      </c>
      <c r="I891" t="s">
        <v>51</v>
      </c>
      <c r="J891">
        <v>3</v>
      </c>
      <c r="K891">
        <v>2999</v>
      </c>
      <c r="L891">
        <f>Table1[[#This Row],[Quantity]] * Table1[[#This Row],[UnitPrice]]</f>
        <v>8997</v>
      </c>
      <c r="M891" s="25">
        <v>10</v>
      </c>
      <c r="N891">
        <f>Table1[[#This Row],[Revenue]]*Table1[[#This Row],[Discount%]]/100</f>
        <v>899.7</v>
      </c>
      <c r="O891" s="6">
        <f>Table1[[#This Row],[Revenue]]-Table1[[#This Row],[Disc_amount]]</f>
        <v>8097.3</v>
      </c>
      <c r="P891" t="s">
        <v>86</v>
      </c>
      <c r="Q891" t="s">
        <v>34</v>
      </c>
    </row>
    <row r="892" spans="1:17">
      <c r="A892" t="s">
        <v>1589</v>
      </c>
      <c r="B892" s="1" t="s">
        <v>1587</v>
      </c>
      <c r="C892" s="1" t="s">
        <v>1405</v>
      </c>
      <c r="D892" s="1" t="s">
        <v>20</v>
      </c>
      <c r="E892" t="s">
        <v>612</v>
      </c>
      <c r="F892" t="s">
        <v>613</v>
      </c>
      <c r="G892" t="s">
        <v>45</v>
      </c>
      <c r="H892" t="s">
        <v>46</v>
      </c>
      <c r="I892" t="s">
        <v>47</v>
      </c>
      <c r="J892">
        <v>3</v>
      </c>
      <c r="K892">
        <v>249</v>
      </c>
      <c r="L892">
        <f>Table1[[#This Row],[Quantity]] * Table1[[#This Row],[UnitPrice]]</f>
        <v>747</v>
      </c>
      <c r="M892" s="25">
        <v>10</v>
      </c>
      <c r="N892">
        <f>Table1[[#This Row],[Revenue]]*Table1[[#This Row],[Discount%]]/100</f>
        <v>74.7</v>
      </c>
      <c r="O892" s="6">
        <f>Table1[[#This Row],[Revenue]]-Table1[[#This Row],[Disc_amount]]</f>
        <v>672.3</v>
      </c>
      <c r="P892" t="s">
        <v>86</v>
      </c>
      <c r="Q892" t="s">
        <v>34</v>
      </c>
    </row>
    <row r="893" spans="1:17">
      <c r="A893" t="s">
        <v>1590</v>
      </c>
      <c r="B893" s="1" t="s">
        <v>1587</v>
      </c>
      <c r="C893" s="1" t="s">
        <v>1405</v>
      </c>
      <c r="D893" s="1" t="s">
        <v>20</v>
      </c>
      <c r="E893" t="s">
        <v>405</v>
      </c>
      <c r="F893" t="s">
        <v>248</v>
      </c>
      <c r="G893" t="s">
        <v>45</v>
      </c>
      <c r="H893" t="s">
        <v>39</v>
      </c>
      <c r="I893" t="s">
        <v>140</v>
      </c>
      <c r="J893">
        <v>1</v>
      </c>
      <c r="K893">
        <v>1799</v>
      </c>
      <c r="L893">
        <f>Table1[[#This Row],[Quantity]] * Table1[[#This Row],[UnitPrice]]</f>
        <v>1799</v>
      </c>
      <c r="M893" s="25">
        <v>0</v>
      </c>
      <c r="N893">
        <f>Table1[[#This Row],[Revenue]]*Table1[[#This Row],[Discount%]]/100</f>
        <v>0</v>
      </c>
      <c r="O893" s="6">
        <f>Table1[[#This Row],[Revenue]]-Table1[[#This Row],[Disc_amount]]</f>
        <v>1799</v>
      </c>
      <c r="P893" t="s">
        <v>41</v>
      </c>
      <c r="Q893" t="s">
        <v>34</v>
      </c>
    </row>
    <row r="894" spans="1:17">
      <c r="A894" t="s">
        <v>1591</v>
      </c>
      <c r="B894" s="1" t="s">
        <v>1587</v>
      </c>
      <c r="C894" s="1" t="s">
        <v>1405</v>
      </c>
      <c r="D894" s="1" t="s">
        <v>20</v>
      </c>
      <c r="E894" t="s">
        <v>1592</v>
      </c>
      <c r="F894" t="s">
        <v>876</v>
      </c>
      <c r="G894" t="s">
        <v>56</v>
      </c>
      <c r="H894" t="s">
        <v>108</v>
      </c>
      <c r="I894" t="s">
        <v>130</v>
      </c>
      <c r="J894">
        <v>1</v>
      </c>
      <c r="K894">
        <v>699</v>
      </c>
      <c r="L894">
        <f>Table1[[#This Row],[Quantity]] * Table1[[#This Row],[UnitPrice]]</f>
        <v>699</v>
      </c>
      <c r="M894" s="25">
        <v>0</v>
      </c>
      <c r="N894">
        <f>Table1[[#This Row],[Revenue]]*Table1[[#This Row],[Discount%]]/100</f>
        <v>0</v>
      </c>
      <c r="O894" s="6">
        <f>Table1[[#This Row],[Revenue]]-Table1[[#This Row],[Disc_amount]]</f>
        <v>699</v>
      </c>
      <c r="P894" t="s">
        <v>41</v>
      </c>
      <c r="Q894" t="s">
        <v>34</v>
      </c>
    </row>
    <row r="895" spans="1:17">
      <c r="A895" t="s">
        <v>1593</v>
      </c>
      <c r="B895" s="1" t="s">
        <v>1587</v>
      </c>
      <c r="C895" s="1" t="s">
        <v>1405</v>
      </c>
      <c r="D895" s="1" t="s">
        <v>20</v>
      </c>
      <c r="E895" t="s">
        <v>430</v>
      </c>
      <c r="F895" t="s">
        <v>101</v>
      </c>
      <c r="G895" t="s">
        <v>38</v>
      </c>
      <c r="H895" t="s">
        <v>46</v>
      </c>
      <c r="I895" t="s">
        <v>154</v>
      </c>
      <c r="J895">
        <v>2</v>
      </c>
      <c r="K895">
        <v>299</v>
      </c>
      <c r="L895">
        <f>Table1[[#This Row],[Quantity]] * Table1[[#This Row],[UnitPrice]]</f>
        <v>598</v>
      </c>
      <c r="M895" s="25">
        <v>5</v>
      </c>
      <c r="N895">
        <f>Table1[[#This Row],[Revenue]]*Table1[[#This Row],[Discount%]]/100</f>
        <v>29.9</v>
      </c>
      <c r="O895" s="6">
        <f>Table1[[#This Row],[Revenue]]-Table1[[#This Row],[Disc_amount]]</f>
        <v>568.1</v>
      </c>
      <c r="P895" t="s">
        <v>41</v>
      </c>
      <c r="Q895" t="s">
        <v>34</v>
      </c>
    </row>
    <row r="896" spans="1:17">
      <c r="A896" t="s">
        <v>1594</v>
      </c>
      <c r="B896" s="1" t="s">
        <v>1587</v>
      </c>
      <c r="C896" s="1" t="s">
        <v>1405</v>
      </c>
      <c r="D896" s="1" t="s">
        <v>20</v>
      </c>
      <c r="E896" t="s">
        <v>832</v>
      </c>
      <c r="F896" t="s">
        <v>166</v>
      </c>
      <c r="G896" t="s">
        <v>45</v>
      </c>
      <c r="H896" t="s">
        <v>39</v>
      </c>
      <c r="I896" t="s">
        <v>51</v>
      </c>
      <c r="J896">
        <v>1</v>
      </c>
      <c r="K896">
        <v>2999</v>
      </c>
      <c r="L896">
        <f>Table1[[#This Row],[Quantity]] * Table1[[#This Row],[UnitPrice]]</f>
        <v>2999</v>
      </c>
      <c r="M896" s="25">
        <v>10</v>
      </c>
      <c r="N896">
        <f>Table1[[#This Row],[Revenue]]*Table1[[#This Row],[Discount%]]/100</f>
        <v>299.89999999999998</v>
      </c>
      <c r="O896" s="6">
        <f>Table1[[#This Row],[Revenue]]-Table1[[#This Row],[Disc_amount]]</f>
        <v>2699.1</v>
      </c>
      <c r="P896" t="s">
        <v>41</v>
      </c>
      <c r="Q896" t="s">
        <v>34</v>
      </c>
    </row>
    <row r="897" spans="1:17">
      <c r="A897" t="s">
        <v>1595</v>
      </c>
      <c r="B897" s="1" t="s">
        <v>1587</v>
      </c>
      <c r="C897" s="1" t="s">
        <v>1405</v>
      </c>
      <c r="D897" s="1" t="s">
        <v>20</v>
      </c>
      <c r="E897" t="s">
        <v>85</v>
      </c>
      <c r="F897" t="s">
        <v>83</v>
      </c>
      <c r="G897" t="s">
        <v>23</v>
      </c>
      <c r="H897" t="s">
        <v>39</v>
      </c>
      <c r="I897" t="s">
        <v>40</v>
      </c>
      <c r="J897">
        <v>2</v>
      </c>
      <c r="K897">
        <v>599</v>
      </c>
      <c r="L897">
        <f>Table1[[#This Row],[Quantity]] * Table1[[#This Row],[UnitPrice]]</f>
        <v>1198</v>
      </c>
      <c r="M897" s="25">
        <v>0</v>
      </c>
      <c r="N897">
        <f>Table1[[#This Row],[Revenue]]*Table1[[#This Row],[Discount%]]/100</f>
        <v>0</v>
      </c>
      <c r="O897" s="6">
        <f>Table1[[#This Row],[Revenue]]-Table1[[#This Row],[Disc_amount]]</f>
        <v>1198</v>
      </c>
      <c r="P897" t="s">
        <v>86</v>
      </c>
      <c r="Q897" t="s">
        <v>34</v>
      </c>
    </row>
    <row r="898" spans="1:17">
      <c r="A898" t="s">
        <v>1596</v>
      </c>
      <c r="B898" s="1" t="s">
        <v>1597</v>
      </c>
      <c r="C898" s="1" t="s">
        <v>1405</v>
      </c>
      <c r="D898" s="1" t="s">
        <v>20</v>
      </c>
      <c r="E898" t="s">
        <v>294</v>
      </c>
      <c r="F898" t="s">
        <v>295</v>
      </c>
      <c r="G898" t="s">
        <v>38</v>
      </c>
      <c r="H898" t="s">
        <v>46</v>
      </c>
      <c r="I898" t="s">
        <v>47</v>
      </c>
      <c r="J898">
        <v>1</v>
      </c>
      <c r="K898">
        <v>249</v>
      </c>
      <c r="L898">
        <f>Table1[[#This Row],[Quantity]] * Table1[[#This Row],[UnitPrice]]</f>
        <v>249</v>
      </c>
      <c r="M898" s="25">
        <v>20</v>
      </c>
      <c r="N898">
        <f>Table1[[#This Row],[Revenue]]*Table1[[#This Row],[Discount%]]/100</f>
        <v>49.8</v>
      </c>
      <c r="O898" s="6">
        <f>Table1[[#This Row],[Revenue]]-Table1[[#This Row],[Disc_amount]]</f>
        <v>199.2</v>
      </c>
      <c r="P898" t="s">
        <v>41</v>
      </c>
      <c r="Q898" t="s">
        <v>27</v>
      </c>
    </row>
    <row r="899" spans="1:17">
      <c r="A899" t="s">
        <v>1598</v>
      </c>
      <c r="B899" s="1" t="s">
        <v>1597</v>
      </c>
      <c r="C899" s="1" t="s">
        <v>1405</v>
      </c>
      <c r="D899" s="1" t="s">
        <v>20</v>
      </c>
      <c r="E899" t="s">
        <v>1259</v>
      </c>
      <c r="F899" t="s">
        <v>1260</v>
      </c>
      <c r="G899" t="s">
        <v>45</v>
      </c>
      <c r="H899" t="s">
        <v>57</v>
      </c>
      <c r="I899" t="s">
        <v>58</v>
      </c>
      <c r="J899">
        <v>1</v>
      </c>
      <c r="K899">
        <v>1299</v>
      </c>
      <c r="L899">
        <f>Table1[[#This Row],[Quantity]] * Table1[[#This Row],[UnitPrice]]</f>
        <v>1299</v>
      </c>
      <c r="M899" s="25">
        <v>0</v>
      </c>
      <c r="N899">
        <f>Table1[[#This Row],[Revenue]]*Table1[[#This Row],[Discount%]]/100</f>
        <v>0</v>
      </c>
      <c r="O899" s="6">
        <f>Table1[[#This Row],[Revenue]]-Table1[[#This Row],[Disc_amount]]</f>
        <v>1299</v>
      </c>
      <c r="P899" t="s">
        <v>33</v>
      </c>
      <c r="Q899" t="s">
        <v>34</v>
      </c>
    </row>
    <row r="900" spans="1:17">
      <c r="A900" t="s">
        <v>1599</v>
      </c>
      <c r="B900" s="1" t="s">
        <v>1597</v>
      </c>
      <c r="C900" s="1" t="s">
        <v>1405</v>
      </c>
      <c r="D900" s="1" t="s">
        <v>20</v>
      </c>
      <c r="E900" t="s">
        <v>319</v>
      </c>
      <c r="F900" t="s">
        <v>213</v>
      </c>
      <c r="G900" t="s">
        <v>45</v>
      </c>
      <c r="H900" t="s">
        <v>24</v>
      </c>
      <c r="I900" t="s">
        <v>32</v>
      </c>
      <c r="J900">
        <v>4</v>
      </c>
      <c r="K900">
        <v>199</v>
      </c>
      <c r="L900">
        <f>Table1[[#This Row],[Quantity]] * Table1[[#This Row],[UnitPrice]]</f>
        <v>796</v>
      </c>
      <c r="M900" s="25">
        <v>0</v>
      </c>
      <c r="N900">
        <f>Table1[[#This Row],[Revenue]]*Table1[[#This Row],[Discount%]]/100</f>
        <v>0</v>
      </c>
      <c r="O900" s="6">
        <f>Table1[[#This Row],[Revenue]]-Table1[[#This Row],[Disc_amount]]</f>
        <v>796</v>
      </c>
      <c r="P900" t="s">
        <v>33</v>
      </c>
      <c r="Q900" t="s">
        <v>34</v>
      </c>
    </row>
    <row r="901" spans="1:17">
      <c r="A901" t="s">
        <v>1600</v>
      </c>
      <c r="B901" s="1" t="s">
        <v>1597</v>
      </c>
      <c r="C901" s="1" t="s">
        <v>1405</v>
      </c>
      <c r="D901" s="1" t="s">
        <v>20</v>
      </c>
      <c r="E901" t="s">
        <v>1428</v>
      </c>
      <c r="F901" t="s">
        <v>607</v>
      </c>
      <c r="G901" t="s">
        <v>56</v>
      </c>
      <c r="H901" t="s">
        <v>24</v>
      </c>
      <c r="I901" t="s">
        <v>25</v>
      </c>
      <c r="J901">
        <v>2</v>
      </c>
      <c r="K901">
        <v>99</v>
      </c>
      <c r="L901">
        <f>Table1[[#This Row],[Quantity]] * Table1[[#This Row],[UnitPrice]]</f>
        <v>198</v>
      </c>
      <c r="M901" s="25">
        <v>20</v>
      </c>
      <c r="N901">
        <f>Table1[[#This Row],[Revenue]]*Table1[[#This Row],[Discount%]]/100</f>
        <v>39.6</v>
      </c>
      <c r="O901" s="6">
        <f>Table1[[#This Row],[Revenue]]-Table1[[#This Row],[Disc_amount]]</f>
        <v>158.4</v>
      </c>
      <c r="P901" t="s">
        <v>33</v>
      </c>
      <c r="Q901" t="s">
        <v>27</v>
      </c>
    </row>
    <row r="902" spans="1:17">
      <c r="A902" t="s">
        <v>1601</v>
      </c>
      <c r="B902" s="1" t="s">
        <v>1597</v>
      </c>
      <c r="C902" s="1" t="s">
        <v>1405</v>
      </c>
      <c r="D902" s="1" t="s">
        <v>20</v>
      </c>
      <c r="E902" t="s">
        <v>795</v>
      </c>
      <c r="F902" t="s">
        <v>796</v>
      </c>
      <c r="G902" t="s">
        <v>38</v>
      </c>
      <c r="H902" t="s">
        <v>24</v>
      </c>
      <c r="I902" t="s">
        <v>25</v>
      </c>
      <c r="J902">
        <v>1</v>
      </c>
      <c r="K902">
        <v>99</v>
      </c>
      <c r="L902">
        <f>Table1[[#This Row],[Quantity]] * Table1[[#This Row],[UnitPrice]]</f>
        <v>99</v>
      </c>
      <c r="M902" s="25">
        <v>0</v>
      </c>
      <c r="N902">
        <f>Table1[[#This Row],[Revenue]]*Table1[[#This Row],[Discount%]]/100</f>
        <v>0</v>
      </c>
      <c r="O902" s="6">
        <f>Table1[[#This Row],[Revenue]]-Table1[[#This Row],[Disc_amount]]</f>
        <v>99</v>
      </c>
      <c r="P902" t="s">
        <v>52</v>
      </c>
      <c r="Q902" t="s">
        <v>34</v>
      </c>
    </row>
    <row r="903" spans="1:17">
      <c r="A903" t="s">
        <v>1602</v>
      </c>
      <c r="B903" s="1" t="s">
        <v>1597</v>
      </c>
      <c r="C903" s="1" t="s">
        <v>1405</v>
      </c>
      <c r="D903" s="1" t="s">
        <v>20</v>
      </c>
      <c r="E903" t="s">
        <v>1040</v>
      </c>
      <c r="F903" t="s">
        <v>307</v>
      </c>
      <c r="G903" t="s">
        <v>56</v>
      </c>
      <c r="H903" t="s">
        <v>39</v>
      </c>
      <c r="I903" t="s">
        <v>51</v>
      </c>
      <c r="J903">
        <v>1</v>
      </c>
      <c r="K903">
        <v>2999</v>
      </c>
      <c r="L903">
        <f>Table1[[#This Row],[Quantity]] * Table1[[#This Row],[UnitPrice]]</f>
        <v>2999</v>
      </c>
      <c r="M903" s="25">
        <v>0</v>
      </c>
      <c r="N903">
        <f>Table1[[#This Row],[Revenue]]*Table1[[#This Row],[Discount%]]/100</f>
        <v>0</v>
      </c>
      <c r="O903" s="6">
        <f>Table1[[#This Row],[Revenue]]-Table1[[#This Row],[Disc_amount]]</f>
        <v>2999</v>
      </c>
      <c r="P903" t="s">
        <v>52</v>
      </c>
      <c r="Q903" t="s">
        <v>34</v>
      </c>
    </row>
    <row r="904" spans="1:17">
      <c r="A904" t="s">
        <v>1603</v>
      </c>
      <c r="B904" s="1" t="s">
        <v>1597</v>
      </c>
      <c r="C904" s="1" t="s">
        <v>1405</v>
      </c>
      <c r="D904" s="1" t="s">
        <v>20</v>
      </c>
      <c r="E904" t="s">
        <v>750</v>
      </c>
      <c r="F904" t="s">
        <v>83</v>
      </c>
      <c r="G904" t="s">
        <v>45</v>
      </c>
      <c r="H904" t="s">
        <v>24</v>
      </c>
      <c r="I904" t="s">
        <v>32</v>
      </c>
      <c r="J904">
        <v>1</v>
      </c>
      <c r="K904">
        <v>199</v>
      </c>
      <c r="L904">
        <f>Table1[[#This Row],[Quantity]] * Table1[[#This Row],[UnitPrice]]</f>
        <v>199</v>
      </c>
      <c r="M904" s="25">
        <v>0</v>
      </c>
      <c r="N904">
        <f>Table1[[#This Row],[Revenue]]*Table1[[#This Row],[Discount%]]/100</f>
        <v>0</v>
      </c>
      <c r="O904" s="6">
        <f>Table1[[#This Row],[Revenue]]-Table1[[#This Row],[Disc_amount]]</f>
        <v>199</v>
      </c>
      <c r="P904" t="s">
        <v>26</v>
      </c>
      <c r="Q904" t="s">
        <v>27</v>
      </c>
    </row>
    <row r="905" spans="1:17">
      <c r="A905" t="s">
        <v>1604</v>
      </c>
      <c r="B905" s="1" t="s">
        <v>1605</v>
      </c>
      <c r="C905" s="1" t="s">
        <v>1405</v>
      </c>
      <c r="D905" s="1" t="s">
        <v>20</v>
      </c>
      <c r="E905" t="s">
        <v>722</v>
      </c>
      <c r="F905" t="s">
        <v>723</v>
      </c>
      <c r="G905" t="s">
        <v>23</v>
      </c>
      <c r="H905" t="s">
        <v>39</v>
      </c>
      <c r="I905" t="s">
        <v>51</v>
      </c>
      <c r="J905">
        <v>1</v>
      </c>
      <c r="K905">
        <v>2999</v>
      </c>
      <c r="L905">
        <f>Table1[[#This Row],[Quantity]] * Table1[[#This Row],[UnitPrice]]</f>
        <v>2999</v>
      </c>
      <c r="M905" s="25">
        <v>0</v>
      </c>
      <c r="N905">
        <f>Table1[[#This Row],[Revenue]]*Table1[[#This Row],[Discount%]]/100</f>
        <v>0</v>
      </c>
      <c r="O905" s="6">
        <f>Table1[[#This Row],[Revenue]]-Table1[[#This Row],[Disc_amount]]</f>
        <v>2999</v>
      </c>
      <c r="P905" t="s">
        <v>52</v>
      </c>
      <c r="Q905" t="s">
        <v>27</v>
      </c>
    </row>
    <row r="906" spans="1:17">
      <c r="A906" t="s">
        <v>1606</v>
      </c>
      <c r="B906" s="1" t="s">
        <v>1605</v>
      </c>
      <c r="C906" s="1" t="s">
        <v>1405</v>
      </c>
      <c r="D906" s="1" t="s">
        <v>20</v>
      </c>
      <c r="E906" t="s">
        <v>536</v>
      </c>
      <c r="F906" t="s">
        <v>295</v>
      </c>
      <c r="G906" t="s">
        <v>45</v>
      </c>
      <c r="H906" t="s">
        <v>108</v>
      </c>
      <c r="I906" t="s">
        <v>109</v>
      </c>
      <c r="J906">
        <v>3</v>
      </c>
      <c r="K906">
        <v>1499</v>
      </c>
      <c r="L906">
        <f>Table1[[#This Row],[Quantity]] * Table1[[#This Row],[UnitPrice]]</f>
        <v>4497</v>
      </c>
      <c r="M906" s="25">
        <v>10</v>
      </c>
      <c r="N906">
        <f>Table1[[#This Row],[Revenue]]*Table1[[#This Row],[Discount%]]/100</f>
        <v>449.7</v>
      </c>
      <c r="O906" s="6">
        <f>Table1[[#This Row],[Revenue]]-Table1[[#This Row],[Disc_amount]]</f>
        <v>4047.3</v>
      </c>
      <c r="P906" t="s">
        <v>26</v>
      </c>
      <c r="Q906" t="s">
        <v>34</v>
      </c>
    </row>
    <row r="907" spans="1:17">
      <c r="A907" t="s">
        <v>1607</v>
      </c>
      <c r="B907" s="1" t="s">
        <v>1605</v>
      </c>
      <c r="C907" s="1" t="s">
        <v>1405</v>
      </c>
      <c r="D907" s="1" t="s">
        <v>20</v>
      </c>
      <c r="E907" t="s">
        <v>1554</v>
      </c>
      <c r="F907" t="s">
        <v>268</v>
      </c>
      <c r="G907" t="s">
        <v>56</v>
      </c>
      <c r="H907" t="s">
        <v>39</v>
      </c>
      <c r="I907" t="s">
        <v>40</v>
      </c>
      <c r="J907">
        <v>1</v>
      </c>
      <c r="K907">
        <v>599</v>
      </c>
      <c r="L907">
        <f>Table1[[#This Row],[Quantity]] * Table1[[#This Row],[UnitPrice]]</f>
        <v>599</v>
      </c>
      <c r="M907" s="25">
        <v>0</v>
      </c>
      <c r="N907">
        <f>Table1[[#This Row],[Revenue]]*Table1[[#This Row],[Discount%]]/100</f>
        <v>0</v>
      </c>
      <c r="O907" s="6">
        <f>Table1[[#This Row],[Revenue]]-Table1[[#This Row],[Disc_amount]]</f>
        <v>599</v>
      </c>
      <c r="P907" t="s">
        <v>26</v>
      </c>
      <c r="Q907" t="s">
        <v>34</v>
      </c>
    </row>
    <row r="908" spans="1:17">
      <c r="A908" t="s">
        <v>1608</v>
      </c>
      <c r="B908" s="1" t="s">
        <v>1605</v>
      </c>
      <c r="C908" s="1" t="s">
        <v>1405</v>
      </c>
      <c r="D908" s="1" t="s">
        <v>20</v>
      </c>
      <c r="E908" t="s">
        <v>29</v>
      </c>
      <c r="F908" t="s">
        <v>30</v>
      </c>
      <c r="G908" t="s">
        <v>23</v>
      </c>
      <c r="H908" t="s">
        <v>39</v>
      </c>
      <c r="I908" t="s">
        <v>51</v>
      </c>
      <c r="J908">
        <v>2</v>
      </c>
      <c r="K908">
        <v>2999</v>
      </c>
      <c r="L908">
        <f>Table1[[#This Row],[Quantity]] * Table1[[#This Row],[UnitPrice]]</f>
        <v>5998</v>
      </c>
      <c r="M908" s="25">
        <v>10</v>
      </c>
      <c r="N908">
        <f>Table1[[#This Row],[Revenue]]*Table1[[#This Row],[Discount%]]/100</f>
        <v>599.79999999999995</v>
      </c>
      <c r="O908" s="6">
        <f>Table1[[#This Row],[Revenue]]-Table1[[#This Row],[Disc_amount]]</f>
        <v>5398.2</v>
      </c>
      <c r="P908" t="s">
        <v>52</v>
      </c>
      <c r="Q908" t="s">
        <v>34</v>
      </c>
    </row>
    <row r="909" spans="1:17">
      <c r="A909" t="s">
        <v>1609</v>
      </c>
      <c r="B909" s="1" t="s">
        <v>1605</v>
      </c>
      <c r="C909" s="1" t="s">
        <v>1405</v>
      </c>
      <c r="D909" s="1" t="s">
        <v>20</v>
      </c>
      <c r="E909" t="s">
        <v>510</v>
      </c>
      <c r="F909" t="s">
        <v>425</v>
      </c>
      <c r="G909" t="s">
        <v>56</v>
      </c>
      <c r="H909" t="s">
        <v>57</v>
      </c>
      <c r="I909" t="s">
        <v>62</v>
      </c>
      <c r="J909">
        <v>2</v>
      </c>
      <c r="K909">
        <v>799</v>
      </c>
      <c r="L909">
        <f>Table1[[#This Row],[Quantity]] * Table1[[#This Row],[UnitPrice]]</f>
        <v>1598</v>
      </c>
      <c r="M909" s="25">
        <v>0</v>
      </c>
      <c r="N909">
        <f>Table1[[#This Row],[Revenue]]*Table1[[#This Row],[Discount%]]/100</f>
        <v>0</v>
      </c>
      <c r="O909" s="6">
        <f>Table1[[#This Row],[Revenue]]-Table1[[#This Row],[Disc_amount]]</f>
        <v>1598</v>
      </c>
      <c r="P909" t="s">
        <v>26</v>
      </c>
      <c r="Q909" t="s">
        <v>34</v>
      </c>
    </row>
    <row r="910" spans="1:17">
      <c r="A910" t="s">
        <v>1610</v>
      </c>
      <c r="B910" s="1" t="s">
        <v>1605</v>
      </c>
      <c r="C910" s="1" t="s">
        <v>1405</v>
      </c>
      <c r="D910" s="1" t="s">
        <v>20</v>
      </c>
      <c r="E910" t="s">
        <v>1291</v>
      </c>
      <c r="F910" t="s">
        <v>1292</v>
      </c>
      <c r="G910" t="s">
        <v>23</v>
      </c>
      <c r="H910" t="s">
        <v>39</v>
      </c>
      <c r="I910" t="s">
        <v>140</v>
      </c>
      <c r="J910">
        <v>3</v>
      </c>
      <c r="K910">
        <v>1799</v>
      </c>
      <c r="L910">
        <f>Table1[[#This Row],[Quantity]] * Table1[[#This Row],[UnitPrice]]</f>
        <v>5397</v>
      </c>
      <c r="M910" s="25">
        <v>0</v>
      </c>
      <c r="N910">
        <f>Table1[[#This Row],[Revenue]]*Table1[[#This Row],[Discount%]]/100</f>
        <v>0</v>
      </c>
      <c r="O910" s="6">
        <f>Table1[[#This Row],[Revenue]]-Table1[[#This Row],[Disc_amount]]</f>
        <v>5397</v>
      </c>
      <c r="P910" t="s">
        <v>33</v>
      </c>
      <c r="Q910" t="s">
        <v>27</v>
      </c>
    </row>
    <row r="911" spans="1:17">
      <c r="A911" t="s">
        <v>1611</v>
      </c>
      <c r="B911" s="1" t="s">
        <v>1605</v>
      </c>
      <c r="C911" s="1" t="s">
        <v>1405</v>
      </c>
      <c r="D911" s="1" t="s">
        <v>20</v>
      </c>
      <c r="E911" t="s">
        <v>334</v>
      </c>
      <c r="F911" t="s">
        <v>335</v>
      </c>
      <c r="G911" t="s">
        <v>31</v>
      </c>
      <c r="H911" t="s">
        <v>108</v>
      </c>
      <c r="I911" t="s">
        <v>130</v>
      </c>
      <c r="J911">
        <v>1</v>
      </c>
      <c r="K911">
        <v>699</v>
      </c>
      <c r="L911">
        <f>Table1[[#This Row],[Quantity]] * Table1[[#This Row],[UnitPrice]]</f>
        <v>699</v>
      </c>
      <c r="M911" s="25">
        <v>0</v>
      </c>
      <c r="N911">
        <f>Table1[[#This Row],[Revenue]]*Table1[[#This Row],[Discount%]]/100</f>
        <v>0</v>
      </c>
      <c r="O911" s="6">
        <f>Table1[[#This Row],[Revenue]]-Table1[[#This Row],[Disc_amount]]</f>
        <v>699</v>
      </c>
      <c r="P911" t="s">
        <v>26</v>
      </c>
      <c r="Q911" t="s">
        <v>34</v>
      </c>
    </row>
    <row r="912" spans="1:17">
      <c r="A912" t="s">
        <v>1612</v>
      </c>
      <c r="B912" s="1" t="s">
        <v>1605</v>
      </c>
      <c r="C912" s="1" t="s">
        <v>1405</v>
      </c>
      <c r="D912" s="1" t="s">
        <v>20</v>
      </c>
      <c r="E912" t="s">
        <v>674</v>
      </c>
      <c r="F912" t="s">
        <v>675</v>
      </c>
      <c r="G912" t="s">
        <v>56</v>
      </c>
      <c r="H912" t="s">
        <v>108</v>
      </c>
      <c r="I912" t="s">
        <v>109</v>
      </c>
      <c r="J912">
        <v>4</v>
      </c>
      <c r="K912">
        <v>1499</v>
      </c>
      <c r="L912">
        <f>Table1[[#This Row],[Quantity]] * Table1[[#This Row],[UnitPrice]]</f>
        <v>5996</v>
      </c>
      <c r="M912" s="25">
        <v>0</v>
      </c>
      <c r="N912">
        <f>Table1[[#This Row],[Revenue]]*Table1[[#This Row],[Discount%]]/100</f>
        <v>0</v>
      </c>
      <c r="O912" s="6">
        <f>Table1[[#This Row],[Revenue]]-Table1[[#This Row],[Disc_amount]]</f>
        <v>5996</v>
      </c>
      <c r="P912" t="s">
        <v>26</v>
      </c>
      <c r="Q912" t="s">
        <v>27</v>
      </c>
    </row>
    <row r="913" spans="1:17">
      <c r="A913" t="s">
        <v>1613</v>
      </c>
      <c r="B913" s="1" t="s">
        <v>1614</v>
      </c>
      <c r="C913" s="1" t="s">
        <v>1405</v>
      </c>
      <c r="D913" s="1" t="s">
        <v>20</v>
      </c>
      <c r="E913" t="s">
        <v>981</v>
      </c>
      <c r="F913" t="s">
        <v>694</v>
      </c>
      <c r="G913" t="s">
        <v>23</v>
      </c>
      <c r="H913" t="s">
        <v>39</v>
      </c>
      <c r="I913" t="s">
        <v>140</v>
      </c>
      <c r="J913">
        <v>2</v>
      </c>
      <c r="K913">
        <v>1799</v>
      </c>
      <c r="L913">
        <f>Table1[[#This Row],[Quantity]] * Table1[[#This Row],[UnitPrice]]</f>
        <v>3598</v>
      </c>
      <c r="M913" s="25">
        <v>0</v>
      </c>
      <c r="N913">
        <f>Table1[[#This Row],[Revenue]]*Table1[[#This Row],[Discount%]]/100</f>
        <v>0</v>
      </c>
      <c r="O913" s="6">
        <f>Table1[[#This Row],[Revenue]]-Table1[[#This Row],[Disc_amount]]</f>
        <v>3598</v>
      </c>
      <c r="P913" t="s">
        <v>33</v>
      </c>
      <c r="Q913" t="s">
        <v>27</v>
      </c>
    </row>
    <row r="914" spans="1:17">
      <c r="A914" t="s">
        <v>1615</v>
      </c>
      <c r="B914" s="1" t="s">
        <v>1614</v>
      </c>
      <c r="C914" s="1" t="s">
        <v>1405</v>
      </c>
      <c r="D914" s="1" t="s">
        <v>20</v>
      </c>
      <c r="E914" t="s">
        <v>1165</v>
      </c>
      <c r="F914" t="s">
        <v>272</v>
      </c>
      <c r="G914" t="s">
        <v>56</v>
      </c>
      <c r="H914" t="s">
        <v>24</v>
      </c>
      <c r="I914" t="s">
        <v>25</v>
      </c>
      <c r="J914">
        <v>1</v>
      </c>
      <c r="K914">
        <v>99</v>
      </c>
      <c r="L914">
        <f>Table1[[#This Row],[Quantity]] * Table1[[#This Row],[UnitPrice]]</f>
        <v>99</v>
      </c>
      <c r="M914" s="25">
        <v>15</v>
      </c>
      <c r="N914">
        <f>Table1[[#This Row],[Revenue]]*Table1[[#This Row],[Discount%]]/100</f>
        <v>14.85</v>
      </c>
      <c r="O914" s="6">
        <f>Table1[[#This Row],[Revenue]]-Table1[[#This Row],[Disc_amount]]</f>
        <v>84.15</v>
      </c>
      <c r="P914" t="s">
        <v>26</v>
      </c>
      <c r="Q914" t="s">
        <v>34</v>
      </c>
    </row>
    <row r="915" spans="1:17">
      <c r="A915" t="s">
        <v>1616</v>
      </c>
      <c r="B915" s="1" t="s">
        <v>1614</v>
      </c>
      <c r="C915" s="1" t="s">
        <v>1405</v>
      </c>
      <c r="D915" s="1" t="s">
        <v>20</v>
      </c>
      <c r="E915" t="s">
        <v>1355</v>
      </c>
      <c r="F915" t="s">
        <v>265</v>
      </c>
      <c r="G915" t="s">
        <v>56</v>
      </c>
      <c r="H915" t="s">
        <v>108</v>
      </c>
      <c r="I915" t="s">
        <v>109</v>
      </c>
      <c r="J915">
        <v>2</v>
      </c>
      <c r="K915">
        <v>1499</v>
      </c>
      <c r="L915">
        <f>Table1[[#This Row],[Quantity]] * Table1[[#This Row],[UnitPrice]]</f>
        <v>2998</v>
      </c>
      <c r="M915" s="25">
        <v>15</v>
      </c>
      <c r="N915">
        <f>Table1[[#This Row],[Revenue]]*Table1[[#This Row],[Discount%]]/100</f>
        <v>449.7</v>
      </c>
      <c r="O915" s="6">
        <f>Table1[[#This Row],[Revenue]]-Table1[[#This Row],[Disc_amount]]</f>
        <v>2548.3000000000002</v>
      </c>
      <c r="P915" t="s">
        <v>41</v>
      </c>
      <c r="Q915" t="s">
        <v>27</v>
      </c>
    </row>
    <row r="916" spans="1:17">
      <c r="A916" t="s">
        <v>1617</v>
      </c>
      <c r="B916" s="1" t="s">
        <v>1614</v>
      </c>
      <c r="C916" s="1" t="s">
        <v>1405</v>
      </c>
      <c r="D916" s="1" t="s">
        <v>20</v>
      </c>
      <c r="E916" t="s">
        <v>606</v>
      </c>
      <c r="F916" t="s">
        <v>607</v>
      </c>
      <c r="G916" t="s">
        <v>56</v>
      </c>
      <c r="H916" t="s">
        <v>70</v>
      </c>
      <c r="I916" t="s">
        <v>91</v>
      </c>
      <c r="J916">
        <v>2</v>
      </c>
      <c r="K916">
        <v>549</v>
      </c>
      <c r="L916">
        <f>Table1[[#This Row],[Quantity]] * Table1[[#This Row],[UnitPrice]]</f>
        <v>1098</v>
      </c>
      <c r="M916" s="25">
        <v>0</v>
      </c>
      <c r="N916">
        <f>Table1[[#This Row],[Revenue]]*Table1[[#This Row],[Discount%]]/100</f>
        <v>0</v>
      </c>
      <c r="O916" s="6">
        <f>Table1[[#This Row],[Revenue]]-Table1[[#This Row],[Disc_amount]]</f>
        <v>1098</v>
      </c>
      <c r="P916" t="s">
        <v>52</v>
      </c>
      <c r="Q916" t="s">
        <v>27</v>
      </c>
    </row>
    <row r="917" spans="1:17">
      <c r="A917" t="s">
        <v>1618</v>
      </c>
      <c r="B917" s="1" t="s">
        <v>1614</v>
      </c>
      <c r="C917" s="1" t="s">
        <v>1405</v>
      </c>
      <c r="D917" s="1" t="s">
        <v>20</v>
      </c>
      <c r="E917" t="s">
        <v>82</v>
      </c>
      <c r="F917" t="s">
        <v>83</v>
      </c>
      <c r="G917" t="s">
        <v>56</v>
      </c>
      <c r="H917" t="s">
        <v>108</v>
      </c>
      <c r="I917" t="s">
        <v>109</v>
      </c>
      <c r="J917">
        <v>3</v>
      </c>
      <c r="K917">
        <v>1499</v>
      </c>
      <c r="L917">
        <f>Table1[[#This Row],[Quantity]] * Table1[[#This Row],[UnitPrice]]</f>
        <v>4497</v>
      </c>
      <c r="M917" s="25">
        <v>0</v>
      </c>
      <c r="N917">
        <f>Table1[[#This Row],[Revenue]]*Table1[[#This Row],[Discount%]]/100</f>
        <v>0</v>
      </c>
      <c r="O917" s="6">
        <f>Table1[[#This Row],[Revenue]]-Table1[[#This Row],[Disc_amount]]</f>
        <v>4497</v>
      </c>
      <c r="P917" t="s">
        <v>52</v>
      </c>
      <c r="Q917" t="s">
        <v>27</v>
      </c>
    </row>
    <row r="918" spans="1:17">
      <c r="A918" t="s">
        <v>1619</v>
      </c>
      <c r="B918" s="1" t="s">
        <v>1614</v>
      </c>
      <c r="C918" s="1" t="s">
        <v>1405</v>
      </c>
      <c r="D918" s="1" t="s">
        <v>20</v>
      </c>
      <c r="E918" t="s">
        <v>1620</v>
      </c>
      <c r="F918" t="s">
        <v>836</v>
      </c>
      <c r="G918" t="s">
        <v>31</v>
      </c>
      <c r="H918" t="s">
        <v>46</v>
      </c>
      <c r="I918" t="s">
        <v>154</v>
      </c>
      <c r="J918">
        <v>3</v>
      </c>
      <c r="K918">
        <v>299</v>
      </c>
      <c r="L918">
        <f>Table1[[#This Row],[Quantity]] * Table1[[#This Row],[UnitPrice]]</f>
        <v>897</v>
      </c>
      <c r="M918" s="25">
        <v>0</v>
      </c>
      <c r="N918">
        <f>Table1[[#This Row],[Revenue]]*Table1[[#This Row],[Discount%]]/100</f>
        <v>0</v>
      </c>
      <c r="O918" s="6">
        <f>Table1[[#This Row],[Revenue]]-Table1[[#This Row],[Disc_amount]]</f>
        <v>897</v>
      </c>
      <c r="P918" t="s">
        <v>41</v>
      </c>
      <c r="Q918" t="s">
        <v>27</v>
      </c>
    </row>
    <row r="919" spans="1:17">
      <c r="A919" t="s">
        <v>1621</v>
      </c>
      <c r="B919" s="1" t="s">
        <v>1614</v>
      </c>
      <c r="C919" s="1" t="s">
        <v>1405</v>
      </c>
      <c r="D919" s="1" t="s">
        <v>20</v>
      </c>
      <c r="E919" t="s">
        <v>991</v>
      </c>
      <c r="F919" t="s">
        <v>304</v>
      </c>
      <c r="G919" t="s">
        <v>23</v>
      </c>
      <c r="H919" t="s">
        <v>65</v>
      </c>
      <c r="I919" t="s">
        <v>98</v>
      </c>
      <c r="J919">
        <v>1</v>
      </c>
      <c r="K919">
        <v>499</v>
      </c>
      <c r="L919">
        <f>Table1[[#This Row],[Quantity]] * Table1[[#This Row],[UnitPrice]]</f>
        <v>499</v>
      </c>
      <c r="M919" s="25">
        <v>10</v>
      </c>
      <c r="N919">
        <f>Table1[[#This Row],[Revenue]]*Table1[[#This Row],[Discount%]]/100</f>
        <v>49.9</v>
      </c>
      <c r="O919" s="6">
        <f>Table1[[#This Row],[Revenue]]-Table1[[#This Row],[Disc_amount]]</f>
        <v>449.1</v>
      </c>
      <c r="P919" t="s">
        <v>52</v>
      </c>
      <c r="Q919" t="s">
        <v>27</v>
      </c>
    </row>
    <row r="920" spans="1:17">
      <c r="A920" t="s">
        <v>1622</v>
      </c>
      <c r="B920" s="1" t="s">
        <v>1614</v>
      </c>
      <c r="C920" s="1" t="s">
        <v>1405</v>
      </c>
      <c r="D920" s="1" t="s">
        <v>20</v>
      </c>
      <c r="E920" t="s">
        <v>1623</v>
      </c>
      <c r="F920" t="s">
        <v>1624</v>
      </c>
      <c r="G920" t="s">
        <v>45</v>
      </c>
      <c r="H920" t="s">
        <v>70</v>
      </c>
      <c r="I920" t="s">
        <v>91</v>
      </c>
      <c r="J920">
        <v>2</v>
      </c>
      <c r="K920">
        <v>549</v>
      </c>
      <c r="L920">
        <f>Table1[[#This Row],[Quantity]] * Table1[[#This Row],[UnitPrice]]</f>
        <v>1098</v>
      </c>
      <c r="M920" s="25">
        <v>0</v>
      </c>
      <c r="N920">
        <f>Table1[[#This Row],[Revenue]]*Table1[[#This Row],[Discount%]]/100</f>
        <v>0</v>
      </c>
      <c r="O920" s="6">
        <f>Table1[[#This Row],[Revenue]]-Table1[[#This Row],[Disc_amount]]</f>
        <v>1098</v>
      </c>
      <c r="P920" t="s">
        <v>86</v>
      </c>
      <c r="Q920" t="s">
        <v>34</v>
      </c>
    </row>
    <row r="921" spans="1:17">
      <c r="A921" t="s">
        <v>1625</v>
      </c>
      <c r="B921" s="1" t="s">
        <v>1626</v>
      </c>
      <c r="C921" s="1" t="s">
        <v>1405</v>
      </c>
      <c r="D921" s="1" t="s">
        <v>20</v>
      </c>
      <c r="E921" t="s">
        <v>1096</v>
      </c>
      <c r="F921" t="s">
        <v>1097</v>
      </c>
      <c r="G921" t="s">
        <v>23</v>
      </c>
      <c r="H921" t="s">
        <v>70</v>
      </c>
      <c r="I921" t="s">
        <v>71</v>
      </c>
      <c r="J921">
        <v>1</v>
      </c>
      <c r="K921">
        <v>349</v>
      </c>
      <c r="L921">
        <f>Table1[[#This Row],[Quantity]] * Table1[[#This Row],[UnitPrice]]</f>
        <v>349</v>
      </c>
      <c r="M921" s="25">
        <v>0</v>
      </c>
      <c r="N921">
        <f>Table1[[#This Row],[Revenue]]*Table1[[#This Row],[Discount%]]/100</f>
        <v>0</v>
      </c>
      <c r="O921" s="6">
        <f>Table1[[#This Row],[Revenue]]-Table1[[#This Row],[Disc_amount]]</f>
        <v>349</v>
      </c>
      <c r="P921" t="s">
        <v>41</v>
      </c>
      <c r="Q921" t="s">
        <v>34</v>
      </c>
    </row>
    <row r="922" spans="1:17">
      <c r="A922" t="s">
        <v>1627</v>
      </c>
      <c r="B922" s="1" t="s">
        <v>1626</v>
      </c>
      <c r="C922" s="1" t="s">
        <v>1405</v>
      </c>
      <c r="D922" s="1" t="s">
        <v>20</v>
      </c>
      <c r="E922" t="s">
        <v>578</v>
      </c>
      <c r="F922" t="s">
        <v>579</v>
      </c>
      <c r="G922" t="s">
        <v>38</v>
      </c>
      <c r="H922" t="s">
        <v>24</v>
      </c>
      <c r="I922" t="s">
        <v>32</v>
      </c>
      <c r="J922">
        <v>4</v>
      </c>
      <c r="K922">
        <v>199</v>
      </c>
      <c r="L922">
        <f>Table1[[#This Row],[Quantity]] * Table1[[#This Row],[UnitPrice]]</f>
        <v>796</v>
      </c>
      <c r="M922" s="25">
        <v>15</v>
      </c>
      <c r="N922">
        <f>Table1[[#This Row],[Revenue]]*Table1[[#This Row],[Discount%]]/100</f>
        <v>119.4</v>
      </c>
      <c r="O922" s="6">
        <f>Table1[[#This Row],[Revenue]]-Table1[[#This Row],[Disc_amount]]</f>
        <v>676.6</v>
      </c>
      <c r="P922" t="s">
        <v>26</v>
      </c>
      <c r="Q922" t="s">
        <v>34</v>
      </c>
    </row>
    <row r="923" spans="1:17">
      <c r="A923" t="s">
        <v>1628</v>
      </c>
      <c r="B923" s="1" t="s">
        <v>1626</v>
      </c>
      <c r="C923" s="1" t="s">
        <v>1405</v>
      </c>
      <c r="D923" s="1" t="s">
        <v>20</v>
      </c>
      <c r="E923" t="s">
        <v>677</v>
      </c>
      <c r="F923" t="s">
        <v>597</v>
      </c>
      <c r="G923" t="s">
        <v>23</v>
      </c>
      <c r="H923" t="s">
        <v>70</v>
      </c>
      <c r="I923" t="s">
        <v>71</v>
      </c>
      <c r="J923">
        <v>1</v>
      </c>
      <c r="K923">
        <v>349</v>
      </c>
      <c r="L923">
        <f>Table1[[#This Row],[Quantity]] * Table1[[#This Row],[UnitPrice]]</f>
        <v>349</v>
      </c>
      <c r="M923" s="25">
        <v>20</v>
      </c>
      <c r="N923">
        <f>Table1[[#This Row],[Revenue]]*Table1[[#This Row],[Discount%]]/100</f>
        <v>69.8</v>
      </c>
      <c r="O923" s="6">
        <f>Table1[[#This Row],[Revenue]]-Table1[[#This Row],[Disc_amount]]</f>
        <v>279.2</v>
      </c>
      <c r="P923" t="s">
        <v>33</v>
      </c>
      <c r="Q923" t="s">
        <v>27</v>
      </c>
    </row>
    <row r="924" spans="1:17">
      <c r="A924" t="s">
        <v>1629</v>
      </c>
      <c r="B924" s="1" t="s">
        <v>1626</v>
      </c>
      <c r="C924" s="1" t="s">
        <v>1405</v>
      </c>
      <c r="D924" s="1" t="s">
        <v>20</v>
      </c>
      <c r="E924" t="s">
        <v>1075</v>
      </c>
      <c r="F924" t="s">
        <v>150</v>
      </c>
      <c r="G924" t="s">
        <v>45</v>
      </c>
      <c r="H924" t="s">
        <v>108</v>
      </c>
      <c r="I924" t="s">
        <v>109</v>
      </c>
      <c r="J924">
        <v>2</v>
      </c>
      <c r="K924">
        <v>1499</v>
      </c>
      <c r="L924">
        <f>Table1[[#This Row],[Quantity]] * Table1[[#This Row],[UnitPrice]]</f>
        <v>2998</v>
      </c>
      <c r="M924" s="25">
        <v>10</v>
      </c>
      <c r="N924">
        <f>Table1[[#This Row],[Revenue]]*Table1[[#This Row],[Discount%]]/100</f>
        <v>299.8</v>
      </c>
      <c r="O924" s="6">
        <f>Table1[[#This Row],[Revenue]]-Table1[[#This Row],[Disc_amount]]</f>
        <v>2698.2</v>
      </c>
      <c r="P924" t="s">
        <v>33</v>
      </c>
      <c r="Q924" t="s">
        <v>27</v>
      </c>
    </row>
    <row r="925" spans="1:17">
      <c r="A925" t="s">
        <v>1630</v>
      </c>
      <c r="B925" s="1" t="s">
        <v>1626</v>
      </c>
      <c r="C925" s="1" t="s">
        <v>1405</v>
      </c>
      <c r="D925" s="1" t="s">
        <v>20</v>
      </c>
      <c r="E925" t="s">
        <v>79</v>
      </c>
      <c r="F925" t="s">
        <v>80</v>
      </c>
      <c r="G925" t="s">
        <v>31</v>
      </c>
      <c r="H925" t="s">
        <v>108</v>
      </c>
      <c r="I925" t="s">
        <v>109</v>
      </c>
      <c r="J925">
        <v>4</v>
      </c>
      <c r="K925">
        <v>1499</v>
      </c>
      <c r="L925">
        <f>Table1[[#This Row],[Quantity]] * Table1[[#This Row],[UnitPrice]]</f>
        <v>5996</v>
      </c>
      <c r="M925" s="25">
        <v>0</v>
      </c>
      <c r="N925">
        <f>Table1[[#This Row],[Revenue]]*Table1[[#This Row],[Discount%]]/100</f>
        <v>0</v>
      </c>
      <c r="O925" s="6">
        <f>Table1[[#This Row],[Revenue]]-Table1[[#This Row],[Disc_amount]]</f>
        <v>5996</v>
      </c>
      <c r="P925" t="s">
        <v>26</v>
      </c>
      <c r="Q925" t="s">
        <v>27</v>
      </c>
    </row>
    <row r="926" spans="1:17">
      <c r="A926" t="s">
        <v>1631</v>
      </c>
      <c r="B926" s="1" t="s">
        <v>1626</v>
      </c>
      <c r="C926" s="1" t="s">
        <v>1405</v>
      </c>
      <c r="D926" s="1" t="s">
        <v>20</v>
      </c>
      <c r="E926" t="s">
        <v>319</v>
      </c>
      <c r="F926" t="s">
        <v>213</v>
      </c>
      <c r="G926" t="s">
        <v>23</v>
      </c>
      <c r="H926" t="s">
        <v>24</v>
      </c>
      <c r="I926" t="s">
        <v>25</v>
      </c>
      <c r="J926">
        <v>1</v>
      </c>
      <c r="K926">
        <v>99</v>
      </c>
      <c r="L926">
        <f>Table1[[#This Row],[Quantity]] * Table1[[#This Row],[UnitPrice]]</f>
        <v>99</v>
      </c>
      <c r="M926" s="25">
        <v>15</v>
      </c>
      <c r="N926">
        <f>Table1[[#This Row],[Revenue]]*Table1[[#This Row],[Discount%]]/100</f>
        <v>14.85</v>
      </c>
      <c r="O926" s="6">
        <f>Table1[[#This Row],[Revenue]]-Table1[[#This Row],[Disc_amount]]</f>
        <v>84.15</v>
      </c>
      <c r="P926" t="s">
        <v>41</v>
      </c>
      <c r="Q926" t="s">
        <v>27</v>
      </c>
    </row>
    <row r="927" spans="1:17">
      <c r="A927" t="s">
        <v>1632</v>
      </c>
      <c r="B927" s="1" t="s">
        <v>1633</v>
      </c>
      <c r="C927" s="1" t="s">
        <v>1405</v>
      </c>
      <c r="D927" s="1" t="s">
        <v>20</v>
      </c>
      <c r="E927" t="s">
        <v>373</v>
      </c>
      <c r="F927" t="s">
        <v>183</v>
      </c>
      <c r="G927" t="s">
        <v>45</v>
      </c>
      <c r="H927" t="s">
        <v>108</v>
      </c>
      <c r="I927" t="s">
        <v>109</v>
      </c>
      <c r="J927">
        <v>3</v>
      </c>
      <c r="K927">
        <v>1499</v>
      </c>
      <c r="L927">
        <f>Table1[[#This Row],[Quantity]] * Table1[[#This Row],[UnitPrice]]</f>
        <v>4497</v>
      </c>
      <c r="M927" s="25">
        <v>0</v>
      </c>
      <c r="N927">
        <f>Table1[[#This Row],[Revenue]]*Table1[[#This Row],[Discount%]]/100</f>
        <v>0</v>
      </c>
      <c r="O927" s="6">
        <f>Table1[[#This Row],[Revenue]]-Table1[[#This Row],[Disc_amount]]</f>
        <v>4497</v>
      </c>
      <c r="P927" t="s">
        <v>41</v>
      </c>
      <c r="Q927" t="s">
        <v>27</v>
      </c>
    </row>
    <row r="928" spans="1:17">
      <c r="A928" t="s">
        <v>1634</v>
      </c>
      <c r="B928" s="1" t="s">
        <v>1633</v>
      </c>
      <c r="C928" s="1" t="s">
        <v>1405</v>
      </c>
      <c r="D928" s="1" t="s">
        <v>20</v>
      </c>
      <c r="E928" t="s">
        <v>477</v>
      </c>
      <c r="F928" t="s">
        <v>478</v>
      </c>
      <c r="G928" t="s">
        <v>23</v>
      </c>
      <c r="H928" t="s">
        <v>57</v>
      </c>
      <c r="I928" t="s">
        <v>58</v>
      </c>
      <c r="J928">
        <v>2</v>
      </c>
      <c r="K928">
        <v>1299</v>
      </c>
      <c r="L928">
        <f>Table1[[#This Row],[Quantity]] * Table1[[#This Row],[UnitPrice]]</f>
        <v>2598</v>
      </c>
      <c r="M928" s="25">
        <v>15</v>
      </c>
      <c r="N928">
        <f>Table1[[#This Row],[Revenue]]*Table1[[#This Row],[Discount%]]/100</f>
        <v>389.7</v>
      </c>
      <c r="O928" s="6">
        <f>Table1[[#This Row],[Revenue]]-Table1[[#This Row],[Disc_amount]]</f>
        <v>2208.3000000000002</v>
      </c>
      <c r="P928" t="s">
        <v>41</v>
      </c>
      <c r="Q928" t="s">
        <v>27</v>
      </c>
    </row>
    <row r="929" spans="1:17">
      <c r="A929" t="s">
        <v>1635</v>
      </c>
      <c r="B929" s="1" t="s">
        <v>1633</v>
      </c>
      <c r="C929" s="1" t="s">
        <v>1405</v>
      </c>
      <c r="D929" s="1" t="s">
        <v>20</v>
      </c>
      <c r="E929" t="s">
        <v>729</v>
      </c>
      <c r="F929" t="s">
        <v>730</v>
      </c>
      <c r="G929" t="s">
        <v>23</v>
      </c>
      <c r="H929" t="s">
        <v>24</v>
      </c>
      <c r="I929" t="s">
        <v>25</v>
      </c>
      <c r="J929">
        <v>5</v>
      </c>
      <c r="K929">
        <v>99</v>
      </c>
      <c r="L929">
        <f>Table1[[#This Row],[Quantity]] * Table1[[#This Row],[UnitPrice]]</f>
        <v>495</v>
      </c>
      <c r="M929" s="25">
        <v>10</v>
      </c>
      <c r="N929">
        <f>Table1[[#This Row],[Revenue]]*Table1[[#This Row],[Discount%]]/100</f>
        <v>49.5</v>
      </c>
      <c r="O929" s="6">
        <f>Table1[[#This Row],[Revenue]]-Table1[[#This Row],[Disc_amount]]</f>
        <v>445.5</v>
      </c>
      <c r="P929" t="s">
        <v>86</v>
      </c>
      <c r="Q929" t="s">
        <v>27</v>
      </c>
    </row>
    <row r="930" spans="1:17">
      <c r="A930" t="s">
        <v>1636</v>
      </c>
      <c r="B930" s="1" t="s">
        <v>1633</v>
      </c>
      <c r="C930" s="1" t="s">
        <v>1405</v>
      </c>
      <c r="D930" s="1" t="s">
        <v>20</v>
      </c>
      <c r="E930" t="s">
        <v>1637</v>
      </c>
      <c r="F930" t="s">
        <v>209</v>
      </c>
      <c r="G930" t="s">
        <v>31</v>
      </c>
      <c r="H930" t="s">
        <v>46</v>
      </c>
      <c r="I930" t="s">
        <v>47</v>
      </c>
      <c r="J930">
        <v>3</v>
      </c>
      <c r="K930">
        <v>249</v>
      </c>
      <c r="L930">
        <f>Table1[[#This Row],[Quantity]] * Table1[[#This Row],[UnitPrice]]</f>
        <v>747</v>
      </c>
      <c r="M930" s="25">
        <v>0</v>
      </c>
      <c r="N930">
        <f>Table1[[#This Row],[Revenue]]*Table1[[#This Row],[Discount%]]/100</f>
        <v>0</v>
      </c>
      <c r="O930" s="6">
        <f>Table1[[#This Row],[Revenue]]-Table1[[#This Row],[Disc_amount]]</f>
        <v>747</v>
      </c>
      <c r="P930" t="s">
        <v>33</v>
      </c>
      <c r="Q930" t="s">
        <v>27</v>
      </c>
    </row>
    <row r="931" spans="1:17">
      <c r="A931" t="s">
        <v>1638</v>
      </c>
      <c r="B931" s="1" t="s">
        <v>1633</v>
      </c>
      <c r="C931" s="1" t="s">
        <v>1405</v>
      </c>
      <c r="D931" s="1" t="s">
        <v>20</v>
      </c>
      <c r="E931" t="s">
        <v>713</v>
      </c>
      <c r="F931" t="s">
        <v>714</v>
      </c>
      <c r="G931" t="s">
        <v>23</v>
      </c>
      <c r="H931" t="s">
        <v>65</v>
      </c>
      <c r="I931" t="s">
        <v>98</v>
      </c>
      <c r="J931">
        <v>2</v>
      </c>
      <c r="K931">
        <v>499</v>
      </c>
      <c r="L931">
        <f>Table1[[#This Row],[Quantity]] * Table1[[#This Row],[UnitPrice]]</f>
        <v>998</v>
      </c>
      <c r="M931" s="25">
        <v>5</v>
      </c>
      <c r="N931">
        <f>Table1[[#This Row],[Revenue]]*Table1[[#This Row],[Discount%]]/100</f>
        <v>49.9</v>
      </c>
      <c r="O931" s="6">
        <f>Table1[[#This Row],[Revenue]]-Table1[[#This Row],[Disc_amount]]</f>
        <v>948.1</v>
      </c>
      <c r="P931" t="s">
        <v>33</v>
      </c>
      <c r="Q931" t="s">
        <v>34</v>
      </c>
    </row>
    <row r="932" spans="1:17">
      <c r="A932" t="s">
        <v>1639</v>
      </c>
      <c r="B932" s="1" t="s">
        <v>1633</v>
      </c>
      <c r="C932" s="1" t="s">
        <v>1405</v>
      </c>
      <c r="D932" s="1" t="s">
        <v>20</v>
      </c>
      <c r="E932" t="s">
        <v>1640</v>
      </c>
      <c r="F932" t="s">
        <v>37</v>
      </c>
      <c r="G932" t="s">
        <v>38</v>
      </c>
      <c r="H932" t="s">
        <v>24</v>
      </c>
      <c r="I932" t="s">
        <v>32</v>
      </c>
      <c r="J932">
        <v>1</v>
      </c>
      <c r="K932">
        <v>199</v>
      </c>
      <c r="L932">
        <f>Table1[[#This Row],[Quantity]] * Table1[[#This Row],[UnitPrice]]</f>
        <v>199</v>
      </c>
      <c r="M932" s="25">
        <v>0</v>
      </c>
      <c r="N932">
        <f>Table1[[#This Row],[Revenue]]*Table1[[#This Row],[Discount%]]/100</f>
        <v>0</v>
      </c>
      <c r="O932" s="6">
        <f>Table1[[#This Row],[Revenue]]-Table1[[#This Row],[Disc_amount]]</f>
        <v>199</v>
      </c>
      <c r="P932" t="s">
        <v>41</v>
      </c>
      <c r="Q932" t="s">
        <v>27</v>
      </c>
    </row>
    <row r="933" spans="1:17">
      <c r="A933" t="s">
        <v>1641</v>
      </c>
      <c r="B933" s="1" t="s">
        <v>1633</v>
      </c>
      <c r="C933" s="1" t="s">
        <v>1405</v>
      </c>
      <c r="D933" s="1" t="s">
        <v>20</v>
      </c>
      <c r="E933" t="s">
        <v>862</v>
      </c>
      <c r="F933" t="s">
        <v>863</v>
      </c>
      <c r="G933" t="s">
        <v>38</v>
      </c>
      <c r="H933" t="s">
        <v>46</v>
      </c>
      <c r="I933" t="s">
        <v>154</v>
      </c>
      <c r="J933">
        <v>1</v>
      </c>
      <c r="K933">
        <v>299</v>
      </c>
      <c r="L933">
        <f>Table1[[#This Row],[Quantity]] * Table1[[#This Row],[UnitPrice]]</f>
        <v>299</v>
      </c>
      <c r="M933" s="25">
        <v>0</v>
      </c>
      <c r="N933">
        <f>Table1[[#This Row],[Revenue]]*Table1[[#This Row],[Discount%]]/100</f>
        <v>0</v>
      </c>
      <c r="O933" s="6">
        <f>Table1[[#This Row],[Revenue]]-Table1[[#This Row],[Disc_amount]]</f>
        <v>299</v>
      </c>
      <c r="P933" t="s">
        <v>41</v>
      </c>
      <c r="Q933" t="s">
        <v>27</v>
      </c>
    </row>
    <row r="934" spans="1:17">
      <c r="A934" t="s">
        <v>1642</v>
      </c>
      <c r="B934" s="1" t="s">
        <v>1633</v>
      </c>
      <c r="C934" s="1" t="s">
        <v>1405</v>
      </c>
      <c r="D934" s="1" t="s">
        <v>20</v>
      </c>
      <c r="E934" t="s">
        <v>255</v>
      </c>
      <c r="F934" t="s">
        <v>256</v>
      </c>
      <c r="G934" t="s">
        <v>31</v>
      </c>
      <c r="H934" t="s">
        <v>24</v>
      </c>
      <c r="I934" t="s">
        <v>32</v>
      </c>
      <c r="J934">
        <v>4</v>
      </c>
      <c r="K934">
        <v>199</v>
      </c>
      <c r="L934">
        <f>Table1[[#This Row],[Quantity]] * Table1[[#This Row],[UnitPrice]]</f>
        <v>796</v>
      </c>
      <c r="M934" s="25">
        <v>0</v>
      </c>
      <c r="N934">
        <f>Table1[[#This Row],[Revenue]]*Table1[[#This Row],[Discount%]]/100</f>
        <v>0</v>
      </c>
      <c r="O934" s="6">
        <f>Table1[[#This Row],[Revenue]]-Table1[[#This Row],[Disc_amount]]</f>
        <v>796</v>
      </c>
      <c r="P934" t="s">
        <v>33</v>
      </c>
      <c r="Q934" t="s">
        <v>27</v>
      </c>
    </row>
    <row r="935" spans="1:17">
      <c r="A935" t="s">
        <v>1643</v>
      </c>
      <c r="B935" s="1" t="s">
        <v>1633</v>
      </c>
      <c r="C935" s="1" t="s">
        <v>1405</v>
      </c>
      <c r="D935" s="1" t="s">
        <v>20</v>
      </c>
      <c r="E935" t="s">
        <v>120</v>
      </c>
      <c r="F935" t="s">
        <v>107</v>
      </c>
      <c r="G935" t="s">
        <v>45</v>
      </c>
      <c r="H935" t="s">
        <v>39</v>
      </c>
      <c r="I935" t="s">
        <v>140</v>
      </c>
      <c r="J935">
        <v>1</v>
      </c>
      <c r="K935">
        <v>1799</v>
      </c>
      <c r="L935">
        <f>Table1[[#This Row],[Quantity]] * Table1[[#This Row],[UnitPrice]]</f>
        <v>1799</v>
      </c>
      <c r="M935" s="25">
        <v>10</v>
      </c>
      <c r="N935">
        <f>Table1[[#This Row],[Revenue]]*Table1[[#This Row],[Discount%]]/100</f>
        <v>179.9</v>
      </c>
      <c r="O935" s="6">
        <f>Table1[[#This Row],[Revenue]]-Table1[[#This Row],[Disc_amount]]</f>
        <v>1619.1</v>
      </c>
      <c r="P935" t="s">
        <v>41</v>
      </c>
      <c r="Q935" t="s">
        <v>27</v>
      </c>
    </row>
    <row r="936" spans="1:17">
      <c r="A936" t="s">
        <v>1644</v>
      </c>
      <c r="B936" s="1" t="s">
        <v>1633</v>
      </c>
      <c r="C936" s="1" t="s">
        <v>1405</v>
      </c>
      <c r="D936" s="1" t="s">
        <v>20</v>
      </c>
      <c r="E936" t="s">
        <v>895</v>
      </c>
      <c r="F936" t="s">
        <v>759</v>
      </c>
      <c r="G936" t="s">
        <v>23</v>
      </c>
      <c r="H936" t="s">
        <v>57</v>
      </c>
      <c r="I936" t="s">
        <v>62</v>
      </c>
      <c r="J936">
        <v>1</v>
      </c>
      <c r="K936">
        <v>799</v>
      </c>
      <c r="L936">
        <f>Table1[[#This Row],[Quantity]] * Table1[[#This Row],[UnitPrice]]</f>
        <v>799</v>
      </c>
      <c r="M936" s="25">
        <v>0</v>
      </c>
      <c r="N936">
        <f>Table1[[#This Row],[Revenue]]*Table1[[#This Row],[Discount%]]/100</f>
        <v>0</v>
      </c>
      <c r="O936" s="6">
        <f>Table1[[#This Row],[Revenue]]-Table1[[#This Row],[Disc_amount]]</f>
        <v>799</v>
      </c>
      <c r="P936" t="s">
        <v>41</v>
      </c>
      <c r="Q936" t="s">
        <v>27</v>
      </c>
    </row>
    <row r="937" spans="1:17">
      <c r="A937" t="s">
        <v>1645</v>
      </c>
      <c r="B937" s="1" t="s">
        <v>1633</v>
      </c>
      <c r="C937" s="1" t="s">
        <v>1405</v>
      </c>
      <c r="D937" s="1" t="s">
        <v>20</v>
      </c>
      <c r="E937" t="s">
        <v>568</v>
      </c>
      <c r="F937" t="s">
        <v>569</v>
      </c>
      <c r="G937" t="s">
        <v>56</v>
      </c>
      <c r="H937" t="s">
        <v>57</v>
      </c>
      <c r="I937" t="s">
        <v>58</v>
      </c>
      <c r="J937">
        <v>1</v>
      </c>
      <c r="K937">
        <v>1299</v>
      </c>
      <c r="L937">
        <f>Table1[[#This Row],[Quantity]] * Table1[[#This Row],[UnitPrice]]</f>
        <v>1299</v>
      </c>
      <c r="M937" s="25">
        <v>10</v>
      </c>
      <c r="N937">
        <f>Table1[[#This Row],[Revenue]]*Table1[[#This Row],[Discount%]]/100</f>
        <v>129.9</v>
      </c>
      <c r="O937" s="6">
        <f>Table1[[#This Row],[Revenue]]-Table1[[#This Row],[Disc_amount]]</f>
        <v>1169.0999999999999</v>
      </c>
      <c r="P937" t="s">
        <v>33</v>
      </c>
      <c r="Q937" t="s">
        <v>27</v>
      </c>
    </row>
    <row r="938" spans="1:17">
      <c r="A938" t="s">
        <v>1646</v>
      </c>
      <c r="B938" s="1" t="s">
        <v>1633</v>
      </c>
      <c r="C938" s="1" t="s">
        <v>1405</v>
      </c>
      <c r="D938" s="1" t="s">
        <v>20</v>
      </c>
      <c r="E938" t="s">
        <v>1499</v>
      </c>
      <c r="F938" t="s">
        <v>730</v>
      </c>
      <c r="G938" t="s">
        <v>23</v>
      </c>
      <c r="H938" t="s">
        <v>108</v>
      </c>
      <c r="I938" t="s">
        <v>130</v>
      </c>
      <c r="J938">
        <v>1</v>
      </c>
      <c r="K938">
        <v>699</v>
      </c>
      <c r="L938">
        <f>Table1[[#This Row],[Quantity]] * Table1[[#This Row],[UnitPrice]]</f>
        <v>699</v>
      </c>
      <c r="M938" s="25">
        <v>15</v>
      </c>
      <c r="N938">
        <f>Table1[[#This Row],[Revenue]]*Table1[[#This Row],[Discount%]]/100</f>
        <v>104.85</v>
      </c>
      <c r="O938" s="6">
        <f>Table1[[#This Row],[Revenue]]-Table1[[#This Row],[Disc_amount]]</f>
        <v>594.15</v>
      </c>
      <c r="P938" t="s">
        <v>33</v>
      </c>
      <c r="Q938" t="s">
        <v>27</v>
      </c>
    </row>
    <row r="939" spans="1:17">
      <c r="A939" t="s">
        <v>1647</v>
      </c>
      <c r="B939" s="1" t="s">
        <v>1648</v>
      </c>
      <c r="C939" s="1" t="s">
        <v>1405</v>
      </c>
      <c r="D939" s="1" t="s">
        <v>20</v>
      </c>
      <c r="E939" t="s">
        <v>645</v>
      </c>
      <c r="F939" t="s">
        <v>248</v>
      </c>
      <c r="G939" t="s">
        <v>23</v>
      </c>
      <c r="H939" t="s">
        <v>46</v>
      </c>
      <c r="I939" t="s">
        <v>47</v>
      </c>
      <c r="J939">
        <v>1</v>
      </c>
      <c r="K939">
        <v>249</v>
      </c>
      <c r="L939">
        <f>Table1[[#This Row],[Quantity]] * Table1[[#This Row],[UnitPrice]]</f>
        <v>249</v>
      </c>
      <c r="M939" s="25">
        <v>0</v>
      </c>
      <c r="N939">
        <f>Table1[[#This Row],[Revenue]]*Table1[[#This Row],[Discount%]]/100</f>
        <v>0</v>
      </c>
      <c r="O939" s="6">
        <f>Table1[[#This Row],[Revenue]]-Table1[[#This Row],[Disc_amount]]</f>
        <v>249</v>
      </c>
      <c r="P939" t="s">
        <v>52</v>
      </c>
      <c r="Q939" t="s">
        <v>27</v>
      </c>
    </row>
    <row r="940" spans="1:17">
      <c r="A940" t="s">
        <v>1649</v>
      </c>
      <c r="B940" s="1" t="s">
        <v>1648</v>
      </c>
      <c r="C940" s="1" t="s">
        <v>1405</v>
      </c>
      <c r="D940" s="1" t="s">
        <v>20</v>
      </c>
      <c r="E940" t="s">
        <v>1075</v>
      </c>
      <c r="F940" t="s">
        <v>150</v>
      </c>
      <c r="G940" t="s">
        <v>31</v>
      </c>
      <c r="H940" t="s">
        <v>24</v>
      </c>
      <c r="I940" t="s">
        <v>32</v>
      </c>
      <c r="J940">
        <v>2</v>
      </c>
      <c r="K940">
        <v>199</v>
      </c>
      <c r="L940">
        <f>Table1[[#This Row],[Quantity]] * Table1[[#This Row],[UnitPrice]]</f>
        <v>398</v>
      </c>
      <c r="M940" s="25">
        <v>0</v>
      </c>
      <c r="N940">
        <f>Table1[[#This Row],[Revenue]]*Table1[[#This Row],[Discount%]]/100</f>
        <v>0</v>
      </c>
      <c r="O940" s="6">
        <f>Table1[[#This Row],[Revenue]]-Table1[[#This Row],[Disc_amount]]</f>
        <v>398</v>
      </c>
      <c r="P940" t="s">
        <v>41</v>
      </c>
      <c r="Q940" t="s">
        <v>27</v>
      </c>
    </row>
    <row r="941" spans="1:17">
      <c r="A941" t="s">
        <v>1650</v>
      </c>
      <c r="B941" s="1" t="s">
        <v>1648</v>
      </c>
      <c r="C941" s="1" t="s">
        <v>1405</v>
      </c>
      <c r="D941" s="1" t="s">
        <v>20</v>
      </c>
      <c r="E941" t="s">
        <v>665</v>
      </c>
      <c r="F941" t="s">
        <v>666</v>
      </c>
      <c r="G941" t="s">
        <v>56</v>
      </c>
      <c r="H941" t="s">
        <v>108</v>
      </c>
      <c r="I941" t="s">
        <v>109</v>
      </c>
      <c r="J941">
        <v>2</v>
      </c>
      <c r="K941">
        <v>1499</v>
      </c>
      <c r="L941">
        <f>Table1[[#This Row],[Quantity]] * Table1[[#This Row],[UnitPrice]]</f>
        <v>2998</v>
      </c>
      <c r="M941" s="25">
        <v>0</v>
      </c>
      <c r="N941">
        <f>Table1[[#This Row],[Revenue]]*Table1[[#This Row],[Discount%]]/100</f>
        <v>0</v>
      </c>
      <c r="O941" s="6">
        <f>Table1[[#This Row],[Revenue]]-Table1[[#This Row],[Disc_amount]]</f>
        <v>2998</v>
      </c>
      <c r="P941" t="s">
        <v>41</v>
      </c>
      <c r="Q941" t="s">
        <v>34</v>
      </c>
    </row>
    <row r="942" spans="1:17">
      <c r="A942" t="s">
        <v>1651</v>
      </c>
      <c r="B942" s="1" t="s">
        <v>1648</v>
      </c>
      <c r="C942" s="1" t="s">
        <v>1405</v>
      </c>
      <c r="D942" s="1" t="s">
        <v>20</v>
      </c>
      <c r="E942" t="s">
        <v>776</v>
      </c>
      <c r="F942" t="s">
        <v>153</v>
      </c>
      <c r="G942" t="s">
        <v>23</v>
      </c>
      <c r="H942" t="s">
        <v>46</v>
      </c>
      <c r="I942" t="s">
        <v>47</v>
      </c>
      <c r="J942">
        <v>1</v>
      </c>
      <c r="K942">
        <v>249</v>
      </c>
      <c r="L942">
        <f>Table1[[#This Row],[Quantity]] * Table1[[#This Row],[UnitPrice]]</f>
        <v>249</v>
      </c>
      <c r="M942" s="25">
        <v>15</v>
      </c>
      <c r="N942">
        <f>Table1[[#This Row],[Revenue]]*Table1[[#This Row],[Discount%]]/100</f>
        <v>37.35</v>
      </c>
      <c r="O942" s="6">
        <f>Table1[[#This Row],[Revenue]]-Table1[[#This Row],[Disc_amount]]</f>
        <v>211.65</v>
      </c>
      <c r="P942" t="s">
        <v>41</v>
      </c>
      <c r="Q942" t="s">
        <v>34</v>
      </c>
    </row>
    <row r="943" spans="1:17">
      <c r="A943" t="s">
        <v>1652</v>
      </c>
      <c r="B943" s="1" t="s">
        <v>1648</v>
      </c>
      <c r="C943" s="1" t="s">
        <v>1405</v>
      </c>
      <c r="D943" s="1" t="s">
        <v>20</v>
      </c>
      <c r="E943" t="s">
        <v>821</v>
      </c>
      <c r="F943" t="s">
        <v>714</v>
      </c>
      <c r="G943" t="s">
        <v>45</v>
      </c>
      <c r="H943" t="s">
        <v>70</v>
      </c>
      <c r="I943" t="s">
        <v>71</v>
      </c>
      <c r="J943">
        <v>3</v>
      </c>
      <c r="K943">
        <v>349</v>
      </c>
      <c r="L943">
        <f>Table1[[#This Row],[Quantity]] * Table1[[#This Row],[UnitPrice]]</f>
        <v>1047</v>
      </c>
      <c r="M943" s="25">
        <v>15</v>
      </c>
      <c r="N943">
        <f>Table1[[#This Row],[Revenue]]*Table1[[#This Row],[Discount%]]/100</f>
        <v>157.05000000000001</v>
      </c>
      <c r="O943" s="6">
        <f>Table1[[#This Row],[Revenue]]-Table1[[#This Row],[Disc_amount]]</f>
        <v>889.95</v>
      </c>
      <c r="P943" t="s">
        <v>41</v>
      </c>
      <c r="Q943" t="s">
        <v>27</v>
      </c>
    </row>
    <row r="944" spans="1:17">
      <c r="A944" t="s">
        <v>1653</v>
      </c>
      <c r="B944" s="1" t="s">
        <v>1648</v>
      </c>
      <c r="C944" s="1" t="s">
        <v>1405</v>
      </c>
      <c r="D944" s="1" t="s">
        <v>20</v>
      </c>
      <c r="E944" t="s">
        <v>1096</v>
      </c>
      <c r="F944" t="s">
        <v>1097</v>
      </c>
      <c r="G944" t="s">
        <v>56</v>
      </c>
      <c r="H944" t="s">
        <v>108</v>
      </c>
      <c r="I944" t="s">
        <v>109</v>
      </c>
      <c r="J944">
        <v>4</v>
      </c>
      <c r="K944">
        <v>1499</v>
      </c>
      <c r="L944">
        <f>Table1[[#This Row],[Quantity]] * Table1[[#This Row],[UnitPrice]]</f>
        <v>5996</v>
      </c>
      <c r="M944" s="25">
        <v>0</v>
      </c>
      <c r="N944">
        <f>Table1[[#This Row],[Revenue]]*Table1[[#This Row],[Discount%]]/100</f>
        <v>0</v>
      </c>
      <c r="O944" s="6">
        <f>Table1[[#This Row],[Revenue]]-Table1[[#This Row],[Disc_amount]]</f>
        <v>5996</v>
      </c>
      <c r="P944" t="s">
        <v>41</v>
      </c>
      <c r="Q944" t="s">
        <v>27</v>
      </c>
    </row>
    <row r="945" spans="1:17">
      <c r="A945" t="s">
        <v>1654</v>
      </c>
      <c r="B945" s="1" t="s">
        <v>1648</v>
      </c>
      <c r="C945" s="1" t="s">
        <v>1405</v>
      </c>
      <c r="D945" s="1" t="s">
        <v>20</v>
      </c>
      <c r="E945" t="s">
        <v>1655</v>
      </c>
      <c r="F945" t="s">
        <v>384</v>
      </c>
      <c r="G945" t="s">
        <v>38</v>
      </c>
      <c r="H945" t="s">
        <v>70</v>
      </c>
      <c r="I945" t="s">
        <v>71</v>
      </c>
      <c r="J945">
        <v>1</v>
      </c>
      <c r="K945">
        <v>349</v>
      </c>
      <c r="L945">
        <f>Table1[[#This Row],[Quantity]] * Table1[[#This Row],[UnitPrice]]</f>
        <v>349</v>
      </c>
      <c r="M945" s="25">
        <v>0</v>
      </c>
      <c r="N945">
        <f>Table1[[#This Row],[Revenue]]*Table1[[#This Row],[Discount%]]/100</f>
        <v>0</v>
      </c>
      <c r="O945" s="6">
        <f>Table1[[#This Row],[Revenue]]-Table1[[#This Row],[Disc_amount]]</f>
        <v>349</v>
      </c>
      <c r="P945" t="s">
        <v>52</v>
      </c>
      <c r="Q945" t="s">
        <v>27</v>
      </c>
    </row>
    <row r="946" spans="1:17">
      <c r="A946" t="s">
        <v>1656</v>
      </c>
      <c r="B946" s="1" t="s">
        <v>1648</v>
      </c>
      <c r="C946" s="1" t="s">
        <v>1405</v>
      </c>
      <c r="D946" s="1" t="s">
        <v>20</v>
      </c>
      <c r="E946" t="s">
        <v>949</v>
      </c>
      <c r="F946" t="s">
        <v>77</v>
      </c>
      <c r="G946" t="s">
        <v>45</v>
      </c>
      <c r="H946" t="s">
        <v>57</v>
      </c>
      <c r="I946" t="s">
        <v>58</v>
      </c>
      <c r="J946">
        <v>1</v>
      </c>
      <c r="K946">
        <v>1299</v>
      </c>
      <c r="L946">
        <f>Table1[[#This Row],[Quantity]] * Table1[[#This Row],[UnitPrice]]</f>
        <v>1299</v>
      </c>
      <c r="M946" s="25">
        <v>10</v>
      </c>
      <c r="N946">
        <f>Table1[[#This Row],[Revenue]]*Table1[[#This Row],[Discount%]]/100</f>
        <v>129.9</v>
      </c>
      <c r="O946" s="6">
        <f>Table1[[#This Row],[Revenue]]-Table1[[#This Row],[Disc_amount]]</f>
        <v>1169.0999999999999</v>
      </c>
      <c r="P946" t="s">
        <v>41</v>
      </c>
      <c r="Q946" t="s">
        <v>27</v>
      </c>
    </row>
    <row r="947" spans="1:17">
      <c r="A947" t="s">
        <v>1657</v>
      </c>
      <c r="B947" s="1" t="s">
        <v>1648</v>
      </c>
      <c r="C947" s="1" t="s">
        <v>1405</v>
      </c>
      <c r="D947" s="1" t="s">
        <v>20</v>
      </c>
      <c r="E947" t="s">
        <v>1658</v>
      </c>
      <c r="F947" t="s">
        <v>61</v>
      </c>
      <c r="G947" t="s">
        <v>38</v>
      </c>
      <c r="H947" t="s">
        <v>70</v>
      </c>
      <c r="I947" t="s">
        <v>71</v>
      </c>
      <c r="J947">
        <v>2</v>
      </c>
      <c r="K947">
        <v>349</v>
      </c>
      <c r="L947">
        <f>Table1[[#This Row],[Quantity]] * Table1[[#This Row],[UnitPrice]]</f>
        <v>698</v>
      </c>
      <c r="M947" s="25">
        <v>15</v>
      </c>
      <c r="N947">
        <f>Table1[[#This Row],[Revenue]]*Table1[[#This Row],[Discount%]]/100</f>
        <v>104.7</v>
      </c>
      <c r="O947" s="6">
        <f>Table1[[#This Row],[Revenue]]-Table1[[#This Row],[Disc_amount]]</f>
        <v>593.29999999999995</v>
      </c>
      <c r="P947" t="s">
        <v>41</v>
      </c>
      <c r="Q947" t="s">
        <v>34</v>
      </c>
    </row>
    <row r="948" spans="1:17">
      <c r="A948" t="s">
        <v>1659</v>
      </c>
      <c r="B948" s="1" t="s">
        <v>1648</v>
      </c>
      <c r="C948" s="1" t="s">
        <v>1405</v>
      </c>
      <c r="D948" s="1" t="s">
        <v>20</v>
      </c>
      <c r="E948" t="s">
        <v>190</v>
      </c>
      <c r="F948" t="s">
        <v>191</v>
      </c>
      <c r="G948" t="s">
        <v>38</v>
      </c>
      <c r="H948" t="s">
        <v>39</v>
      </c>
      <c r="I948" t="s">
        <v>51</v>
      </c>
      <c r="J948">
        <v>3</v>
      </c>
      <c r="K948">
        <v>2999</v>
      </c>
      <c r="L948">
        <f>Table1[[#This Row],[Quantity]] * Table1[[#This Row],[UnitPrice]]</f>
        <v>8997</v>
      </c>
      <c r="M948" s="25">
        <v>10</v>
      </c>
      <c r="N948">
        <f>Table1[[#This Row],[Revenue]]*Table1[[#This Row],[Discount%]]/100</f>
        <v>899.7</v>
      </c>
      <c r="O948" s="6">
        <f>Table1[[#This Row],[Revenue]]-Table1[[#This Row],[Disc_amount]]</f>
        <v>8097.3</v>
      </c>
      <c r="P948" t="s">
        <v>86</v>
      </c>
      <c r="Q948" t="s">
        <v>27</v>
      </c>
    </row>
    <row r="949" spans="1:17">
      <c r="A949" t="s">
        <v>1660</v>
      </c>
      <c r="B949" s="1" t="s">
        <v>1648</v>
      </c>
      <c r="C949" s="1" t="s">
        <v>1405</v>
      </c>
      <c r="D949" s="1" t="s">
        <v>20</v>
      </c>
      <c r="E949" t="s">
        <v>533</v>
      </c>
      <c r="F949" t="s">
        <v>534</v>
      </c>
      <c r="G949" t="s">
        <v>45</v>
      </c>
      <c r="H949" t="s">
        <v>39</v>
      </c>
      <c r="I949" t="s">
        <v>40</v>
      </c>
      <c r="J949">
        <v>1</v>
      </c>
      <c r="K949">
        <v>599</v>
      </c>
      <c r="L949">
        <f>Table1[[#This Row],[Quantity]] * Table1[[#This Row],[UnitPrice]]</f>
        <v>599</v>
      </c>
      <c r="M949" s="25">
        <v>10</v>
      </c>
      <c r="N949">
        <f>Table1[[#This Row],[Revenue]]*Table1[[#This Row],[Discount%]]/100</f>
        <v>59.9</v>
      </c>
      <c r="O949" s="6">
        <f>Table1[[#This Row],[Revenue]]-Table1[[#This Row],[Disc_amount]]</f>
        <v>539.1</v>
      </c>
      <c r="P949" t="s">
        <v>52</v>
      </c>
      <c r="Q949" t="s">
        <v>27</v>
      </c>
    </row>
    <row r="950" spans="1:17">
      <c r="A950" t="s">
        <v>1661</v>
      </c>
      <c r="B950" s="1" t="s">
        <v>1648</v>
      </c>
      <c r="C950" s="1" t="s">
        <v>1405</v>
      </c>
      <c r="D950" s="1" t="s">
        <v>20</v>
      </c>
      <c r="E950" t="s">
        <v>895</v>
      </c>
      <c r="F950" t="s">
        <v>759</v>
      </c>
      <c r="G950" t="s">
        <v>23</v>
      </c>
      <c r="H950" t="s">
        <v>70</v>
      </c>
      <c r="I950" t="s">
        <v>71</v>
      </c>
      <c r="J950">
        <v>1</v>
      </c>
      <c r="K950">
        <v>349</v>
      </c>
      <c r="L950">
        <f>Table1[[#This Row],[Quantity]] * Table1[[#This Row],[UnitPrice]]</f>
        <v>349</v>
      </c>
      <c r="M950" s="25">
        <v>20</v>
      </c>
      <c r="N950">
        <f>Table1[[#This Row],[Revenue]]*Table1[[#This Row],[Discount%]]/100</f>
        <v>69.8</v>
      </c>
      <c r="O950" s="6">
        <f>Table1[[#This Row],[Revenue]]-Table1[[#This Row],[Disc_amount]]</f>
        <v>279.2</v>
      </c>
      <c r="P950" t="s">
        <v>52</v>
      </c>
      <c r="Q950" t="s">
        <v>27</v>
      </c>
    </row>
    <row r="951" spans="1:17">
      <c r="A951" t="s">
        <v>1662</v>
      </c>
      <c r="B951" s="1" t="s">
        <v>1663</v>
      </c>
      <c r="C951" s="1" t="s">
        <v>1405</v>
      </c>
      <c r="D951" s="1" t="s">
        <v>20</v>
      </c>
      <c r="E951" t="s">
        <v>469</v>
      </c>
      <c r="F951" t="s">
        <v>470</v>
      </c>
      <c r="G951" t="s">
        <v>45</v>
      </c>
      <c r="H951" t="s">
        <v>57</v>
      </c>
      <c r="I951" t="s">
        <v>58</v>
      </c>
      <c r="J951">
        <v>2</v>
      </c>
      <c r="K951">
        <v>1299</v>
      </c>
      <c r="L951">
        <f>Table1[[#This Row],[Quantity]] * Table1[[#This Row],[UnitPrice]]</f>
        <v>2598</v>
      </c>
      <c r="M951" s="25">
        <v>10</v>
      </c>
      <c r="N951">
        <f>Table1[[#This Row],[Revenue]]*Table1[[#This Row],[Discount%]]/100</f>
        <v>259.8</v>
      </c>
      <c r="O951" s="6">
        <f>Table1[[#This Row],[Revenue]]-Table1[[#This Row],[Disc_amount]]</f>
        <v>2338.1999999999998</v>
      </c>
      <c r="P951" t="s">
        <v>52</v>
      </c>
      <c r="Q951" t="s">
        <v>27</v>
      </c>
    </row>
    <row r="952" spans="1:17">
      <c r="A952" t="s">
        <v>1664</v>
      </c>
      <c r="B952" s="1" t="s">
        <v>1663</v>
      </c>
      <c r="C952" s="1" t="s">
        <v>1405</v>
      </c>
      <c r="D952" s="1" t="s">
        <v>20</v>
      </c>
      <c r="E952" t="s">
        <v>1165</v>
      </c>
      <c r="F952" t="s">
        <v>272</v>
      </c>
      <c r="G952" t="s">
        <v>31</v>
      </c>
      <c r="H952" t="s">
        <v>39</v>
      </c>
      <c r="I952" t="s">
        <v>40</v>
      </c>
      <c r="J952">
        <v>1</v>
      </c>
      <c r="K952">
        <v>599</v>
      </c>
      <c r="L952">
        <f>Table1[[#This Row],[Quantity]] * Table1[[#This Row],[UnitPrice]]</f>
        <v>599</v>
      </c>
      <c r="M952" s="25">
        <v>5</v>
      </c>
      <c r="N952">
        <f>Table1[[#This Row],[Revenue]]*Table1[[#This Row],[Discount%]]/100</f>
        <v>29.95</v>
      </c>
      <c r="O952" s="6">
        <f>Table1[[#This Row],[Revenue]]-Table1[[#This Row],[Disc_amount]]</f>
        <v>569.04999999999995</v>
      </c>
      <c r="P952" t="s">
        <v>41</v>
      </c>
      <c r="Q952" t="s">
        <v>34</v>
      </c>
    </row>
    <row r="953" spans="1:17">
      <c r="A953" t="s">
        <v>1665</v>
      </c>
      <c r="B953" s="1" t="s">
        <v>1663</v>
      </c>
      <c r="C953" s="1" t="s">
        <v>1405</v>
      </c>
      <c r="D953" s="1" t="s">
        <v>20</v>
      </c>
      <c r="E953" t="s">
        <v>674</v>
      </c>
      <c r="F953" t="s">
        <v>675</v>
      </c>
      <c r="G953" t="s">
        <v>31</v>
      </c>
      <c r="H953" t="s">
        <v>24</v>
      </c>
      <c r="I953" t="s">
        <v>25</v>
      </c>
      <c r="J953">
        <v>2</v>
      </c>
      <c r="K953">
        <v>99</v>
      </c>
      <c r="L953">
        <f>Table1[[#This Row],[Quantity]] * Table1[[#This Row],[UnitPrice]]</f>
        <v>198</v>
      </c>
      <c r="M953" s="25">
        <v>0</v>
      </c>
      <c r="N953">
        <f>Table1[[#This Row],[Revenue]]*Table1[[#This Row],[Discount%]]/100</f>
        <v>0</v>
      </c>
      <c r="O953" s="6">
        <f>Table1[[#This Row],[Revenue]]-Table1[[#This Row],[Disc_amount]]</f>
        <v>198</v>
      </c>
      <c r="P953" t="s">
        <v>26</v>
      </c>
      <c r="Q953" t="s">
        <v>27</v>
      </c>
    </row>
    <row r="954" spans="1:17">
      <c r="A954" t="s">
        <v>1666</v>
      </c>
      <c r="B954" s="1" t="s">
        <v>1663</v>
      </c>
      <c r="C954" s="1" t="s">
        <v>1405</v>
      </c>
      <c r="D954" s="1" t="s">
        <v>20</v>
      </c>
      <c r="E954" t="s">
        <v>893</v>
      </c>
      <c r="F954" t="s">
        <v>434</v>
      </c>
      <c r="G954" t="s">
        <v>56</v>
      </c>
      <c r="H954" t="s">
        <v>70</v>
      </c>
      <c r="I954" t="s">
        <v>71</v>
      </c>
      <c r="J954">
        <v>3</v>
      </c>
      <c r="K954">
        <v>349</v>
      </c>
      <c r="L954">
        <f>Table1[[#This Row],[Quantity]] * Table1[[#This Row],[UnitPrice]]</f>
        <v>1047</v>
      </c>
      <c r="M954" s="25">
        <v>0</v>
      </c>
      <c r="N954">
        <f>Table1[[#This Row],[Revenue]]*Table1[[#This Row],[Discount%]]/100</f>
        <v>0</v>
      </c>
      <c r="O954" s="6">
        <f>Table1[[#This Row],[Revenue]]-Table1[[#This Row],[Disc_amount]]</f>
        <v>1047</v>
      </c>
      <c r="P954" t="s">
        <v>41</v>
      </c>
      <c r="Q954" t="s">
        <v>34</v>
      </c>
    </row>
    <row r="955" spans="1:17">
      <c r="A955" t="s">
        <v>1667</v>
      </c>
      <c r="B955" s="1" t="s">
        <v>1663</v>
      </c>
      <c r="C955" s="1" t="s">
        <v>1405</v>
      </c>
      <c r="D955" s="1" t="s">
        <v>20</v>
      </c>
      <c r="E955" t="s">
        <v>138</v>
      </c>
      <c r="F955" t="s">
        <v>139</v>
      </c>
      <c r="G955" t="s">
        <v>45</v>
      </c>
      <c r="H955" t="s">
        <v>46</v>
      </c>
      <c r="I955" t="s">
        <v>47</v>
      </c>
      <c r="J955">
        <v>1</v>
      </c>
      <c r="K955">
        <v>249</v>
      </c>
      <c r="L955">
        <f>Table1[[#This Row],[Quantity]] * Table1[[#This Row],[UnitPrice]]</f>
        <v>249</v>
      </c>
      <c r="M955" s="25">
        <v>15</v>
      </c>
      <c r="N955">
        <f>Table1[[#This Row],[Revenue]]*Table1[[#This Row],[Discount%]]/100</f>
        <v>37.35</v>
      </c>
      <c r="O955" s="6">
        <f>Table1[[#This Row],[Revenue]]-Table1[[#This Row],[Disc_amount]]</f>
        <v>211.65</v>
      </c>
      <c r="P955" t="s">
        <v>41</v>
      </c>
      <c r="Q955" t="s">
        <v>27</v>
      </c>
    </row>
    <row r="956" spans="1:17">
      <c r="A956" t="s">
        <v>1668</v>
      </c>
      <c r="B956" s="1" t="s">
        <v>1663</v>
      </c>
      <c r="C956" s="1" t="s">
        <v>1405</v>
      </c>
      <c r="D956" s="1" t="s">
        <v>20</v>
      </c>
      <c r="E956" t="s">
        <v>1088</v>
      </c>
      <c r="F956" t="s">
        <v>160</v>
      </c>
      <c r="G956" t="s">
        <v>31</v>
      </c>
      <c r="H956" t="s">
        <v>70</v>
      </c>
      <c r="I956" t="s">
        <v>91</v>
      </c>
      <c r="J956">
        <v>1</v>
      </c>
      <c r="K956">
        <v>549</v>
      </c>
      <c r="L956">
        <f>Table1[[#This Row],[Quantity]] * Table1[[#This Row],[UnitPrice]]</f>
        <v>549</v>
      </c>
      <c r="M956" s="25">
        <v>5</v>
      </c>
      <c r="N956">
        <f>Table1[[#This Row],[Revenue]]*Table1[[#This Row],[Discount%]]/100</f>
        <v>27.45</v>
      </c>
      <c r="O956" s="6">
        <f>Table1[[#This Row],[Revenue]]-Table1[[#This Row],[Disc_amount]]</f>
        <v>521.54999999999995</v>
      </c>
      <c r="P956" t="s">
        <v>52</v>
      </c>
      <c r="Q956" t="s">
        <v>27</v>
      </c>
    </row>
    <row r="957" spans="1:17">
      <c r="A957" t="s">
        <v>1669</v>
      </c>
      <c r="B957" s="1" t="s">
        <v>1670</v>
      </c>
      <c r="C957" s="1" t="s">
        <v>1405</v>
      </c>
      <c r="D957" s="1" t="s">
        <v>20</v>
      </c>
      <c r="E957" t="s">
        <v>959</v>
      </c>
      <c r="F957" t="s">
        <v>960</v>
      </c>
      <c r="G957" t="s">
        <v>31</v>
      </c>
      <c r="H957" t="s">
        <v>108</v>
      </c>
      <c r="I957" t="s">
        <v>130</v>
      </c>
      <c r="J957">
        <v>2</v>
      </c>
      <c r="K957">
        <v>699</v>
      </c>
      <c r="L957">
        <f>Table1[[#This Row],[Quantity]] * Table1[[#This Row],[UnitPrice]]</f>
        <v>1398</v>
      </c>
      <c r="M957" s="25">
        <v>0</v>
      </c>
      <c r="N957">
        <f>Table1[[#This Row],[Revenue]]*Table1[[#This Row],[Discount%]]/100</f>
        <v>0</v>
      </c>
      <c r="O957" s="6">
        <f>Table1[[#This Row],[Revenue]]-Table1[[#This Row],[Disc_amount]]</f>
        <v>1398</v>
      </c>
      <c r="P957" t="s">
        <v>26</v>
      </c>
      <c r="Q957" t="s">
        <v>34</v>
      </c>
    </row>
    <row r="958" spans="1:17">
      <c r="A958" t="s">
        <v>1671</v>
      </c>
      <c r="B958" s="1" t="s">
        <v>1670</v>
      </c>
      <c r="C958" s="1" t="s">
        <v>1405</v>
      </c>
      <c r="D958" s="1" t="s">
        <v>20</v>
      </c>
      <c r="E958" t="s">
        <v>979</v>
      </c>
      <c r="F958" t="s">
        <v>604</v>
      </c>
      <c r="G958" t="s">
        <v>56</v>
      </c>
      <c r="H958" t="s">
        <v>108</v>
      </c>
      <c r="I958" t="s">
        <v>130</v>
      </c>
      <c r="J958">
        <v>3</v>
      </c>
      <c r="K958">
        <v>699</v>
      </c>
      <c r="L958">
        <f>Table1[[#This Row],[Quantity]] * Table1[[#This Row],[UnitPrice]]</f>
        <v>2097</v>
      </c>
      <c r="M958" s="25">
        <v>0</v>
      </c>
      <c r="N958">
        <f>Table1[[#This Row],[Revenue]]*Table1[[#This Row],[Discount%]]/100</f>
        <v>0</v>
      </c>
      <c r="O958" s="6">
        <f>Table1[[#This Row],[Revenue]]-Table1[[#This Row],[Disc_amount]]</f>
        <v>2097</v>
      </c>
      <c r="P958" t="s">
        <v>52</v>
      </c>
      <c r="Q958" t="s">
        <v>27</v>
      </c>
    </row>
    <row r="959" spans="1:17">
      <c r="A959" t="s">
        <v>1672</v>
      </c>
      <c r="B959" s="1" t="s">
        <v>1670</v>
      </c>
      <c r="C959" s="1" t="s">
        <v>1405</v>
      </c>
      <c r="D959" s="1" t="s">
        <v>20</v>
      </c>
      <c r="E959" t="s">
        <v>222</v>
      </c>
      <c r="F959" t="s">
        <v>166</v>
      </c>
      <c r="G959" t="s">
        <v>56</v>
      </c>
      <c r="H959" t="s">
        <v>65</v>
      </c>
      <c r="I959" t="s">
        <v>94</v>
      </c>
      <c r="J959">
        <v>1</v>
      </c>
      <c r="K959">
        <v>899</v>
      </c>
      <c r="L959">
        <f>Table1[[#This Row],[Quantity]] * Table1[[#This Row],[UnitPrice]]</f>
        <v>899</v>
      </c>
      <c r="M959" s="25">
        <v>15</v>
      </c>
      <c r="N959">
        <f>Table1[[#This Row],[Revenue]]*Table1[[#This Row],[Discount%]]/100</f>
        <v>134.85</v>
      </c>
      <c r="O959" s="6">
        <f>Table1[[#This Row],[Revenue]]-Table1[[#This Row],[Disc_amount]]</f>
        <v>764.15</v>
      </c>
      <c r="P959" t="s">
        <v>41</v>
      </c>
      <c r="Q959" t="s">
        <v>27</v>
      </c>
    </row>
    <row r="960" spans="1:17">
      <c r="A960" t="s">
        <v>1673</v>
      </c>
      <c r="B960" s="1" t="s">
        <v>1670</v>
      </c>
      <c r="C960" s="1" t="s">
        <v>1405</v>
      </c>
      <c r="D960" s="1" t="s">
        <v>20</v>
      </c>
      <c r="E960" t="s">
        <v>1674</v>
      </c>
      <c r="F960" t="s">
        <v>176</v>
      </c>
      <c r="G960" t="s">
        <v>31</v>
      </c>
      <c r="H960" t="s">
        <v>39</v>
      </c>
      <c r="I960" t="s">
        <v>40</v>
      </c>
      <c r="J960">
        <v>2</v>
      </c>
      <c r="K960">
        <v>599</v>
      </c>
      <c r="L960">
        <f>Table1[[#This Row],[Quantity]] * Table1[[#This Row],[UnitPrice]]</f>
        <v>1198</v>
      </c>
      <c r="M960" s="25">
        <v>0</v>
      </c>
      <c r="N960">
        <f>Table1[[#This Row],[Revenue]]*Table1[[#This Row],[Discount%]]/100</f>
        <v>0</v>
      </c>
      <c r="O960" s="6">
        <f>Table1[[#This Row],[Revenue]]-Table1[[#This Row],[Disc_amount]]</f>
        <v>1198</v>
      </c>
      <c r="P960" t="s">
        <v>52</v>
      </c>
      <c r="Q960" t="s">
        <v>27</v>
      </c>
    </row>
    <row r="961" spans="1:17">
      <c r="A961" t="s">
        <v>1675</v>
      </c>
      <c r="B961" s="1" t="s">
        <v>1670</v>
      </c>
      <c r="C961" s="1" t="s">
        <v>1405</v>
      </c>
      <c r="D961" s="1" t="s">
        <v>20</v>
      </c>
      <c r="E961" t="s">
        <v>186</v>
      </c>
      <c r="F961" t="s">
        <v>187</v>
      </c>
      <c r="G961" t="s">
        <v>31</v>
      </c>
      <c r="H961" t="s">
        <v>108</v>
      </c>
      <c r="I961" t="s">
        <v>109</v>
      </c>
      <c r="J961">
        <v>1</v>
      </c>
      <c r="K961">
        <v>1499</v>
      </c>
      <c r="L961">
        <f>Table1[[#This Row],[Quantity]] * Table1[[#This Row],[UnitPrice]]</f>
        <v>1499</v>
      </c>
      <c r="M961" s="25">
        <v>0</v>
      </c>
      <c r="N961">
        <f>Table1[[#This Row],[Revenue]]*Table1[[#This Row],[Discount%]]/100</f>
        <v>0</v>
      </c>
      <c r="O961" s="6">
        <f>Table1[[#This Row],[Revenue]]-Table1[[#This Row],[Disc_amount]]</f>
        <v>1499</v>
      </c>
      <c r="P961" t="s">
        <v>26</v>
      </c>
      <c r="Q961" t="s">
        <v>27</v>
      </c>
    </row>
    <row r="962" spans="1:17">
      <c r="A962" t="s">
        <v>1676</v>
      </c>
      <c r="B962" s="1" t="s">
        <v>1670</v>
      </c>
      <c r="C962" s="1" t="s">
        <v>1405</v>
      </c>
      <c r="D962" s="1" t="s">
        <v>20</v>
      </c>
      <c r="E962" t="s">
        <v>1172</v>
      </c>
      <c r="F962" t="s">
        <v>248</v>
      </c>
      <c r="G962" t="s">
        <v>56</v>
      </c>
      <c r="H962" t="s">
        <v>65</v>
      </c>
      <c r="I962" t="s">
        <v>94</v>
      </c>
      <c r="J962">
        <v>1</v>
      </c>
      <c r="K962">
        <v>899</v>
      </c>
      <c r="L962">
        <f>Table1[[#This Row],[Quantity]] * Table1[[#This Row],[UnitPrice]]</f>
        <v>899</v>
      </c>
      <c r="M962" s="25">
        <v>0</v>
      </c>
      <c r="N962">
        <f>Table1[[#This Row],[Revenue]]*Table1[[#This Row],[Discount%]]/100</f>
        <v>0</v>
      </c>
      <c r="O962" s="6">
        <f>Table1[[#This Row],[Revenue]]-Table1[[#This Row],[Disc_amount]]</f>
        <v>899</v>
      </c>
      <c r="P962" t="s">
        <v>41</v>
      </c>
      <c r="Q962" t="s">
        <v>27</v>
      </c>
    </row>
    <row r="963" spans="1:17">
      <c r="A963" t="s">
        <v>1677</v>
      </c>
      <c r="B963" s="1" t="s">
        <v>1670</v>
      </c>
      <c r="C963" s="1" t="s">
        <v>1405</v>
      </c>
      <c r="D963" s="1" t="s">
        <v>20</v>
      </c>
      <c r="E963" t="s">
        <v>725</v>
      </c>
      <c r="F963" t="s">
        <v>726</v>
      </c>
      <c r="G963" t="s">
        <v>31</v>
      </c>
      <c r="H963" t="s">
        <v>46</v>
      </c>
      <c r="I963" t="s">
        <v>47</v>
      </c>
      <c r="J963">
        <v>3</v>
      </c>
      <c r="K963">
        <v>249</v>
      </c>
      <c r="L963">
        <f>Table1[[#This Row],[Quantity]] * Table1[[#This Row],[UnitPrice]]</f>
        <v>747</v>
      </c>
      <c r="M963" s="25">
        <v>0</v>
      </c>
      <c r="N963">
        <f>Table1[[#This Row],[Revenue]]*Table1[[#This Row],[Discount%]]/100</f>
        <v>0</v>
      </c>
      <c r="O963" s="6">
        <f>Table1[[#This Row],[Revenue]]-Table1[[#This Row],[Disc_amount]]</f>
        <v>747</v>
      </c>
      <c r="P963" t="s">
        <v>52</v>
      </c>
      <c r="Q963" t="s">
        <v>27</v>
      </c>
    </row>
    <row r="964" spans="1:17">
      <c r="A964" t="s">
        <v>1678</v>
      </c>
      <c r="B964" s="1" t="s">
        <v>1679</v>
      </c>
      <c r="C964" s="1" t="s">
        <v>1405</v>
      </c>
      <c r="D964" s="1" t="s">
        <v>20</v>
      </c>
      <c r="E964" t="s">
        <v>1088</v>
      </c>
      <c r="F964" t="s">
        <v>160</v>
      </c>
      <c r="G964" t="s">
        <v>31</v>
      </c>
      <c r="H964" t="s">
        <v>65</v>
      </c>
      <c r="I964" t="s">
        <v>98</v>
      </c>
      <c r="J964">
        <v>1</v>
      </c>
      <c r="K964">
        <v>499</v>
      </c>
      <c r="L964">
        <f>Table1[[#This Row],[Quantity]] * Table1[[#This Row],[UnitPrice]]</f>
        <v>499</v>
      </c>
      <c r="M964" s="25">
        <v>5</v>
      </c>
      <c r="N964">
        <f>Table1[[#This Row],[Revenue]]*Table1[[#This Row],[Discount%]]/100</f>
        <v>24.95</v>
      </c>
      <c r="O964" s="6">
        <f>Table1[[#This Row],[Revenue]]-Table1[[#This Row],[Disc_amount]]</f>
        <v>474.05</v>
      </c>
      <c r="P964" t="s">
        <v>41</v>
      </c>
      <c r="Q964" t="s">
        <v>27</v>
      </c>
    </row>
    <row r="965" spans="1:17">
      <c r="A965" t="s">
        <v>1680</v>
      </c>
      <c r="B965" s="1" t="s">
        <v>1679</v>
      </c>
      <c r="C965" s="1" t="s">
        <v>1405</v>
      </c>
      <c r="D965" s="1" t="s">
        <v>20</v>
      </c>
      <c r="E965" t="s">
        <v>518</v>
      </c>
      <c r="F965" t="s">
        <v>519</v>
      </c>
      <c r="G965" t="s">
        <v>23</v>
      </c>
      <c r="H965" t="s">
        <v>57</v>
      </c>
      <c r="I965" t="s">
        <v>62</v>
      </c>
      <c r="J965">
        <v>3</v>
      </c>
      <c r="K965">
        <v>799</v>
      </c>
      <c r="L965">
        <f>Table1[[#This Row],[Quantity]] * Table1[[#This Row],[UnitPrice]]</f>
        <v>2397</v>
      </c>
      <c r="M965" s="25">
        <v>0</v>
      </c>
      <c r="N965">
        <f>Table1[[#This Row],[Revenue]]*Table1[[#This Row],[Discount%]]/100</f>
        <v>0</v>
      </c>
      <c r="O965" s="6">
        <f>Table1[[#This Row],[Revenue]]-Table1[[#This Row],[Disc_amount]]</f>
        <v>2397</v>
      </c>
      <c r="P965" t="s">
        <v>26</v>
      </c>
      <c r="Q965" t="s">
        <v>34</v>
      </c>
    </row>
    <row r="966" spans="1:17">
      <c r="A966" t="s">
        <v>1681</v>
      </c>
      <c r="B966" s="1" t="s">
        <v>1679</v>
      </c>
      <c r="C966" s="1" t="s">
        <v>1405</v>
      </c>
      <c r="D966" s="1" t="s">
        <v>20</v>
      </c>
      <c r="E966" t="s">
        <v>224</v>
      </c>
      <c r="F966" t="s">
        <v>225</v>
      </c>
      <c r="G966" t="s">
        <v>45</v>
      </c>
      <c r="H966" t="s">
        <v>39</v>
      </c>
      <c r="I966" t="s">
        <v>140</v>
      </c>
      <c r="J966">
        <v>1</v>
      </c>
      <c r="K966">
        <v>1799</v>
      </c>
      <c r="L966">
        <f>Table1[[#This Row],[Quantity]] * Table1[[#This Row],[UnitPrice]]</f>
        <v>1799</v>
      </c>
      <c r="M966" s="25">
        <v>15</v>
      </c>
      <c r="N966">
        <f>Table1[[#This Row],[Revenue]]*Table1[[#This Row],[Discount%]]/100</f>
        <v>269.85000000000002</v>
      </c>
      <c r="O966" s="6">
        <f>Table1[[#This Row],[Revenue]]-Table1[[#This Row],[Disc_amount]]</f>
        <v>1529.15</v>
      </c>
      <c r="P966" t="s">
        <v>86</v>
      </c>
      <c r="Q966" t="s">
        <v>27</v>
      </c>
    </row>
    <row r="967" spans="1:17">
      <c r="A967" t="s">
        <v>1682</v>
      </c>
      <c r="B967" s="1" t="s">
        <v>1679</v>
      </c>
      <c r="C967" s="1" t="s">
        <v>1405</v>
      </c>
      <c r="D967" s="1" t="s">
        <v>20</v>
      </c>
      <c r="E967" t="s">
        <v>707</v>
      </c>
      <c r="F967" t="s">
        <v>242</v>
      </c>
      <c r="G967" t="s">
        <v>38</v>
      </c>
      <c r="H967" t="s">
        <v>57</v>
      </c>
      <c r="I967" t="s">
        <v>62</v>
      </c>
      <c r="J967">
        <v>2</v>
      </c>
      <c r="K967">
        <v>799</v>
      </c>
      <c r="L967">
        <f>Table1[[#This Row],[Quantity]] * Table1[[#This Row],[UnitPrice]]</f>
        <v>1598</v>
      </c>
      <c r="M967" s="25">
        <v>0</v>
      </c>
      <c r="N967">
        <f>Table1[[#This Row],[Revenue]]*Table1[[#This Row],[Discount%]]/100</f>
        <v>0</v>
      </c>
      <c r="O967" s="6">
        <f>Table1[[#This Row],[Revenue]]-Table1[[#This Row],[Disc_amount]]</f>
        <v>1598</v>
      </c>
      <c r="P967" t="s">
        <v>26</v>
      </c>
      <c r="Q967" t="s">
        <v>27</v>
      </c>
    </row>
    <row r="968" spans="1:17">
      <c r="A968" t="s">
        <v>1683</v>
      </c>
      <c r="B968" s="1" t="s">
        <v>1679</v>
      </c>
      <c r="C968" s="1" t="s">
        <v>1405</v>
      </c>
      <c r="D968" s="1" t="s">
        <v>20</v>
      </c>
      <c r="E968" t="s">
        <v>780</v>
      </c>
      <c r="F968" t="s">
        <v>504</v>
      </c>
      <c r="G968" t="s">
        <v>31</v>
      </c>
      <c r="H968" t="s">
        <v>39</v>
      </c>
      <c r="I968" t="s">
        <v>40</v>
      </c>
      <c r="J968">
        <v>1</v>
      </c>
      <c r="K968">
        <v>599</v>
      </c>
      <c r="L968">
        <f>Table1[[#This Row],[Quantity]] * Table1[[#This Row],[UnitPrice]]</f>
        <v>599</v>
      </c>
      <c r="M968" s="25">
        <v>0</v>
      </c>
      <c r="N968">
        <f>Table1[[#This Row],[Revenue]]*Table1[[#This Row],[Discount%]]/100</f>
        <v>0</v>
      </c>
      <c r="O968" s="6">
        <f>Table1[[#This Row],[Revenue]]-Table1[[#This Row],[Disc_amount]]</f>
        <v>599</v>
      </c>
      <c r="P968" t="s">
        <v>33</v>
      </c>
      <c r="Q968" t="s">
        <v>27</v>
      </c>
    </row>
    <row r="969" spans="1:17">
      <c r="A969" t="s">
        <v>1684</v>
      </c>
      <c r="B969" s="1" t="s">
        <v>1679</v>
      </c>
      <c r="C969" s="1" t="s">
        <v>1405</v>
      </c>
      <c r="D969" s="1" t="s">
        <v>20</v>
      </c>
      <c r="E969" t="s">
        <v>1685</v>
      </c>
      <c r="F969" t="s">
        <v>784</v>
      </c>
      <c r="G969" t="s">
        <v>56</v>
      </c>
      <c r="H969" t="s">
        <v>65</v>
      </c>
      <c r="I969" t="s">
        <v>94</v>
      </c>
      <c r="J969">
        <v>2</v>
      </c>
      <c r="K969">
        <v>899</v>
      </c>
      <c r="L969">
        <f>Table1[[#This Row],[Quantity]] * Table1[[#This Row],[UnitPrice]]</f>
        <v>1798</v>
      </c>
      <c r="M969" s="25">
        <v>10</v>
      </c>
      <c r="N969">
        <f>Table1[[#This Row],[Revenue]]*Table1[[#This Row],[Discount%]]/100</f>
        <v>179.8</v>
      </c>
      <c r="O969" s="6">
        <f>Table1[[#This Row],[Revenue]]-Table1[[#This Row],[Disc_amount]]</f>
        <v>1618.2</v>
      </c>
      <c r="P969" t="s">
        <v>26</v>
      </c>
      <c r="Q969" t="s">
        <v>27</v>
      </c>
    </row>
    <row r="970" spans="1:17">
      <c r="A970" t="s">
        <v>1686</v>
      </c>
      <c r="B970" s="1" t="s">
        <v>1679</v>
      </c>
      <c r="C970" s="1" t="s">
        <v>1405</v>
      </c>
      <c r="D970" s="1" t="s">
        <v>20</v>
      </c>
      <c r="E970" t="s">
        <v>247</v>
      </c>
      <c r="F970" t="s">
        <v>248</v>
      </c>
      <c r="G970" t="s">
        <v>45</v>
      </c>
      <c r="H970" t="s">
        <v>39</v>
      </c>
      <c r="I970" t="s">
        <v>51</v>
      </c>
      <c r="J970">
        <v>2</v>
      </c>
      <c r="K970">
        <v>2999</v>
      </c>
      <c r="L970">
        <f>Table1[[#This Row],[Quantity]] * Table1[[#This Row],[UnitPrice]]</f>
        <v>5998</v>
      </c>
      <c r="M970" s="25">
        <v>10</v>
      </c>
      <c r="N970">
        <f>Table1[[#This Row],[Revenue]]*Table1[[#This Row],[Discount%]]/100</f>
        <v>599.79999999999995</v>
      </c>
      <c r="O970" s="6">
        <f>Table1[[#This Row],[Revenue]]-Table1[[#This Row],[Disc_amount]]</f>
        <v>5398.2</v>
      </c>
      <c r="P970" t="s">
        <v>26</v>
      </c>
      <c r="Q970" t="s">
        <v>27</v>
      </c>
    </row>
    <row r="971" spans="1:17">
      <c r="A971" t="s">
        <v>1687</v>
      </c>
      <c r="B971" s="1" t="s">
        <v>1679</v>
      </c>
      <c r="C971" s="1" t="s">
        <v>1405</v>
      </c>
      <c r="D971" s="1" t="s">
        <v>20</v>
      </c>
      <c r="E971" t="s">
        <v>933</v>
      </c>
      <c r="F971" t="s">
        <v>853</v>
      </c>
      <c r="G971" t="s">
        <v>23</v>
      </c>
      <c r="H971" t="s">
        <v>24</v>
      </c>
      <c r="I971" t="s">
        <v>25</v>
      </c>
      <c r="J971">
        <v>3</v>
      </c>
      <c r="K971">
        <v>99</v>
      </c>
      <c r="L971">
        <f>Table1[[#This Row],[Quantity]] * Table1[[#This Row],[UnitPrice]]</f>
        <v>297</v>
      </c>
      <c r="M971" s="25">
        <v>15</v>
      </c>
      <c r="N971">
        <f>Table1[[#This Row],[Revenue]]*Table1[[#This Row],[Discount%]]/100</f>
        <v>44.55</v>
      </c>
      <c r="O971" s="6">
        <f>Table1[[#This Row],[Revenue]]-Table1[[#This Row],[Disc_amount]]</f>
        <v>252.45</v>
      </c>
      <c r="P971" t="s">
        <v>33</v>
      </c>
      <c r="Q971" t="s">
        <v>27</v>
      </c>
    </row>
    <row r="972" spans="1:17">
      <c r="A972" t="s">
        <v>1688</v>
      </c>
      <c r="B972" s="1" t="s">
        <v>1679</v>
      </c>
      <c r="C972" s="1" t="s">
        <v>1405</v>
      </c>
      <c r="D972" s="1" t="s">
        <v>20</v>
      </c>
      <c r="E972" t="s">
        <v>872</v>
      </c>
      <c r="F972" t="s">
        <v>873</v>
      </c>
      <c r="G972" t="s">
        <v>23</v>
      </c>
      <c r="H972" t="s">
        <v>70</v>
      </c>
      <c r="I972" t="s">
        <v>71</v>
      </c>
      <c r="J972">
        <v>2</v>
      </c>
      <c r="K972">
        <v>349</v>
      </c>
      <c r="L972">
        <f>Table1[[#This Row],[Quantity]] * Table1[[#This Row],[UnitPrice]]</f>
        <v>698</v>
      </c>
      <c r="M972" s="25">
        <v>5</v>
      </c>
      <c r="N972">
        <f>Table1[[#This Row],[Revenue]]*Table1[[#This Row],[Discount%]]/100</f>
        <v>34.9</v>
      </c>
      <c r="O972" s="6">
        <f>Table1[[#This Row],[Revenue]]-Table1[[#This Row],[Disc_amount]]</f>
        <v>663.1</v>
      </c>
      <c r="P972" t="s">
        <v>26</v>
      </c>
      <c r="Q972" t="s">
        <v>34</v>
      </c>
    </row>
    <row r="973" spans="1:17">
      <c r="A973" t="s">
        <v>1689</v>
      </c>
      <c r="B973" s="1" t="s">
        <v>1679</v>
      </c>
      <c r="C973" s="1" t="s">
        <v>1405</v>
      </c>
      <c r="D973" s="1" t="s">
        <v>20</v>
      </c>
      <c r="E973" t="s">
        <v>1554</v>
      </c>
      <c r="F973" t="s">
        <v>268</v>
      </c>
      <c r="G973" t="s">
        <v>31</v>
      </c>
      <c r="H973" t="s">
        <v>65</v>
      </c>
      <c r="I973" t="s">
        <v>98</v>
      </c>
      <c r="J973">
        <v>1</v>
      </c>
      <c r="K973">
        <v>499</v>
      </c>
      <c r="L973">
        <f>Table1[[#This Row],[Quantity]] * Table1[[#This Row],[UnitPrice]]</f>
        <v>499</v>
      </c>
      <c r="M973" s="25">
        <v>0</v>
      </c>
      <c r="N973">
        <f>Table1[[#This Row],[Revenue]]*Table1[[#This Row],[Discount%]]/100</f>
        <v>0</v>
      </c>
      <c r="O973" s="6">
        <f>Table1[[#This Row],[Revenue]]-Table1[[#This Row],[Disc_amount]]</f>
        <v>499</v>
      </c>
      <c r="P973" t="s">
        <v>52</v>
      </c>
      <c r="Q973" t="s">
        <v>34</v>
      </c>
    </row>
    <row r="974" spans="1:17">
      <c r="A974" t="s">
        <v>1690</v>
      </c>
      <c r="B974" s="1" t="s">
        <v>1679</v>
      </c>
      <c r="C974" s="1" t="s">
        <v>1405</v>
      </c>
      <c r="D974" s="1" t="s">
        <v>20</v>
      </c>
      <c r="E974" t="s">
        <v>215</v>
      </c>
      <c r="F974" t="s">
        <v>90</v>
      </c>
      <c r="G974" t="s">
        <v>31</v>
      </c>
      <c r="H974" t="s">
        <v>108</v>
      </c>
      <c r="I974" t="s">
        <v>109</v>
      </c>
      <c r="J974">
        <v>1</v>
      </c>
      <c r="K974">
        <v>1499</v>
      </c>
      <c r="L974">
        <f>Table1[[#This Row],[Quantity]] * Table1[[#This Row],[UnitPrice]]</f>
        <v>1499</v>
      </c>
      <c r="M974" s="25">
        <v>0</v>
      </c>
      <c r="N974">
        <f>Table1[[#This Row],[Revenue]]*Table1[[#This Row],[Discount%]]/100</f>
        <v>0</v>
      </c>
      <c r="O974" s="6">
        <f>Table1[[#This Row],[Revenue]]-Table1[[#This Row],[Disc_amount]]</f>
        <v>1499</v>
      </c>
      <c r="P974" t="s">
        <v>26</v>
      </c>
      <c r="Q974" t="s">
        <v>27</v>
      </c>
    </row>
    <row r="975" spans="1:17">
      <c r="A975" t="s">
        <v>1691</v>
      </c>
      <c r="B975" s="1" t="s">
        <v>1692</v>
      </c>
      <c r="C975" s="1" t="s">
        <v>1693</v>
      </c>
      <c r="D975" s="1" t="s">
        <v>20</v>
      </c>
      <c r="E975" t="s">
        <v>1395</v>
      </c>
      <c r="F975" t="s">
        <v>1396</v>
      </c>
      <c r="G975" t="s">
        <v>23</v>
      </c>
      <c r="H975" t="s">
        <v>70</v>
      </c>
      <c r="I975" t="s">
        <v>71</v>
      </c>
      <c r="J975">
        <v>1</v>
      </c>
      <c r="K975">
        <v>349</v>
      </c>
      <c r="L975">
        <f>Table1[[#This Row],[Quantity]] * Table1[[#This Row],[UnitPrice]]</f>
        <v>349</v>
      </c>
      <c r="M975" s="25">
        <v>10</v>
      </c>
      <c r="N975">
        <f>Table1[[#This Row],[Revenue]]*Table1[[#This Row],[Discount%]]/100</f>
        <v>34.9</v>
      </c>
      <c r="O975" s="6">
        <f>Table1[[#This Row],[Revenue]]-Table1[[#This Row],[Disc_amount]]</f>
        <v>314.10000000000002</v>
      </c>
      <c r="P975" t="s">
        <v>52</v>
      </c>
      <c r="Q975" t="s">
        <v>34</v>
      </c>
    </row>
    <row r="976" spans="1:17">
      <c r="A976" t="s">
        <v>1694</v>
      </c>
      <c r="B976" s="1" t="s">
        <v>1692</v>
      </c>
      <c r="C976" s="1" t="s">
        <v>1693</v>
      </c>
      <c r="D976" s="1" t="s">
        <v>20</v>
      </c>
      <c r="E976" t="s">
        <v>371</v>
      </c>
      <c r="F976" t="s">
        <v>118</v>
      </c>
      <c r="G976" t="s">
        <v>38</v>
      </c>
      <c r="H976" t="s">
        <v>46</v>
      </c>
      <c r="I976" t="s">
        <v>47</v>
      </c>
      <c r="J976">
        <v>2</v>
      </c>
      <c r="K976">
        <v>249</v>
      </c>
      <c r="L976">
        <f>Table1[[#This Row],[Quantity]] * Table1[[#This Row],[UnitPrice]]</f>
        <v>498</v>
      </c>
      <c r="M976" s="25">
        <v>0</v>
      </c>
      <c r="N976">
        <f>Table1[[#This Row],[Revenue]]*Table1[[#This Row],[Discount%]]/100</f>
        <v>0</v>
      </c>
      <c r="O976" s="6">
        <f>Table1[[#This Row],[Revenue]]-Table1[[#This Row],[Disc_amount]]</f>
        <v>498</v>
      </c>
      <c r="P976" t="s">
        <v>41</v>
      </c>
      <c r="Q976" t="s">
        <v>27</v>
      </c>
    </row>
    <row r="977" spans="1:17">
      <c r="A977" t="s">
        <v>1695</v>
      </c>
      <c r="B977" s="1" t="s">
        <v>1692</v>
      </c>
      <c r="C977" s="1" t="s">
        <v>1693</v>
      </c>
      <c r="D977" s="1" t="s">
        <v>20</v>
      </c>
      <c r="E977" t="s">
        <v>1019</v>
      </c>
      <c r="F977" t="s">
        <v>1020</v>
      </c>
      <c r="G977" t="s">
        <v>23</v>
      </c>
      <c r="H977" t="s">
        <v>24</v>
      </c>
      <c r="I977" t="s">
        <v>32</v>
      </c>
      <c r="J977">
        <v>3</v>
      </c>
      <c r="K977">
        <v>199</v>
      </c>
      <c r="L977">
        <f>Table1[[#This Row],[Quantity]] * Table1[[#This Row],[UnitPrice]]</f>
        <v>597</v>
      </c>
      <c r="M977" s="25">
        <v>25</v>
      </c>
      <c r="N977">
        <f>Table1[[#This Row],[Revenue]]*Table1[[#This Row],[Discount%]]/100</f>
        <v>149.25</v>
      </c>
      <c r="O977" s="6">
        <f>Table1[[#This Row],[Revenue]]-Table1[[#This Row],[Disc_amount]]</f>
        <v>447.75</v>
      </c>
      <c r="P977" t="s">
        <v>33</v>
      </c>
      <c r="Q977" t="s">
        <v>27</v>
      </c>
    </row>
    <row r="978" spans="1:17">
      <c r="A978" t="s">
        <v>1696</v>
      </c>
      <c r="B978" s="1" t="s">
        <v>1692</v>
      </c>
      <c r="C978" s="1" t="s">
        <v>1693</v>
      </c>
      <c r="D978" s="1" t="s">
        <v>20</v>
      </c>
      <c r="E978" t="s">
        <v>899</v>
      </c>
      <c r="F978" t="s">
        <v>900</v>
      </c>
      <c r="G978" t="s">
        <v>45</v>
      </c>
      <c r="H978" t="s">
        <v>108</v>
      </c>
      <c r="I978" t="s">
        <v>109</v>
      </c>
      <c r="J978">
        <v>1</v>
      </c>
      <c r="K978">
        <v>1499</v>
      </c>
      <c r="L978">
        <f>Table1[[#This Row],[Quantity]] * Table1[[#This Row],[UnitPrice]]</f>
        <v>1499</v>
      </c>
      <c r="M978" s="25">
        <v>25</v>
      </c>
      <c r="N978">
        <f>Table1[[#This Row],[Revenue]]*Table1[[#This Row],[Discount%]]/100</f>
        <v>374.75</v>
      </c>
      <c r="O978" s="6">
        <f>Table1[[#This Row],[Revenue]]-Table1[[#This Row],[Disc_amount]]</f>
        <v>1124.25</v>
      </c>
      <c r="P978" t="s">
        <v>41</v>
      </c>
      <c r="Q978" t="s">
        <v>27</v>
      </c>
    </row>
    <row r="979" spans="1:17">
      <c r="A979" t="s">
        <v>1697</v>
      </c>
      <c r="B979" s="1" t="s">
        <v>1692</v>
      </c>
      <c r="C979" s="1" t="s">
        <v>1693</v>
      </c>
      <c r="D979" s="1" t="s">
        <v>20</v>
      </c>
      <c r="E979" t="s">
        <v>1152</v>
      </c>
      <c r="F979" t="s">
        <v>209</v>
      </c>
      <c r="G979" t="s">
        <v>31</v>
      </c>
      <c r="H979" t="s">
        <v>39</v>
      </c>
      <c r="I979" t="s">
        <v>140</v>
      </c>
      <c r="J979">
        <v>1</v>
      </c>
      <c r="K979">
        <v>1799</v>
      </c>
      <c r="L979">
        <f>Table1[[#This Row],[Quantity]] * Table1[[#This Row],[UnitPrice]]</f>
        <v>1799</v>
      </c>
      <c r="M979" s="25">
        <v>30</v>
      </c>
      <c r="N979">
        <f>Table1[[#This Row],[Revenue]]*Table1[[#This Row],[Discount%]]/100</f>
        <v>539.70000000000005</v>
      </c>
      <c r="O979" s="6">
        <f>Table1[[#This Row],[Revenue]]-Table1[[#This Row],[Disc_amount]]</f>
        <v>1259.3</v>
      </c>
      <c r="P979" t="s">
        <v>33</v>
      </c>
      <c r="Q979" t="s">
        <v>27</v>
      </c>
    </row>
    <row r="980" spans="1:17">
      <c r="A980" t="s">
        <v>1698</v>
      </c>
      <c r="B980" s="1" t="s">
        <v>1692</v>
      </c>
      <c r="C980" s="1" t="s">
        <v>1693</v>
      </c>
      <c r="D980" s="1" t="s">
        <v>20</v>
      </c>
      <c r="E980" t="s">
        <v>464</v>
      </c>
      <c r="F980" t="s">
        <v>465</v>
      </c>
      <c r="G980" t="s">
        <v>45</v>
      </c>
      <c r="H980" t="s">
        <v>70</v>
      </c>
      <c r="I980" t="s">
        <v>71</v>
      </c>
      <c r="J980">
        <v>1</v>
      </c>
      <c r="K980">
        <v>349</v>
      </c>
      <c r="L980">
        <f>Table1[[#This Row],[Quantity]] * Table1[[#This Row],[UnitPrice]]</f>
        <v>349</v>
      </c>
      <c r="M980" s="25">
        <v>20</v>
      </c>
      <c r="N980">
        <f>Table1[[#This Row],[Revenue]]*Table1[[#This Row],[Discount%]]/100</f>
        <v>69.8</v>
      </c>
      <c r="O980" s="6">
        <f>Table1[[#This Row],[Revenue]]-Table1[[#This Row],[Disc_amount]]</f>
        <v>279.2</v>
      </c>
      <c r="P980" t="s">
        <v>41</v>
      </c>
      <c r="Q980" t="s">
        <v>34</v>
      </c>
    </row>
    <row r="981" spans="1:17">
      <c r="A981" t="s">
        <v>1699</v>
      </c>
      <c r="B981" s="1" t="s">
        <v>1692</v>
      </c>
      <c r="C981" s="1" t="s">
        <v>1693</v>
      </c>
      <c r="D981" s="1" t="s">
        <v>20</v>
      </c>
      <c r="E981" t="s">
        <v>1473</v>
      </c>
      <c r="F981" t="s">
        <v>617</v>
      </c>
      <c r="G981" t="s">
        <v>31</v>
      </c>
      <c r="H981" t="s">
        <v>46</v>
      </c>
      <c r="I981" t="s">
        <v>154</v>
      </c>
      <c r="J981">
        <v>1</v>
      </c>
      <c r="K981">
        <v>299</v>
      </c>
      <c r="L981">
        <f>Table1[[#This Row],[Quantity]] * Table1[[#This Row],[UnitPrice]]</f>
        <v>299</v>
      </c>
      <c r="M981" s="25">
        <v>30</v>
      </c>
      <c r="N981">
        <f>Table1[[#This Row],[Revenue]]*Table1[[#This Row],[Discount%]]/100</f>
        <v>89.7</v>
      </c>
      <c r="O981" s="6">
        <f>Table1[[#This Row],[Revenue]]-Table1[[#This Row],[Disc_amount]]</f>
        <v>209.3</v>
      </c>
      <c r="P981" t="s">
        <v>26</v>
      </c>
      <c r="Q981" t="s">
        <v>27</v>
      </c>
    </row>
    <row r="982" spans="1:17">
      <c r="A982" t="s">
        <v>1700</v>
      </c>
      <c r="B982" s="1" t="s">
        <v>1692</v>
      </c>
      <c r="C982" s="1" t="s">
        <v>1693</v>
      </c>
      <c r="D982" s="1" t="s">
        <v>20</v>
      </c>
      <c r="E982" t="s">
        <v>389</v>
      </c>
      <c r="F982" t="s">
        <v>390</v>
      </c>
      <c r="G982" t="s">
        <v>45</v>
      </c>
      <c r="H982" t="s">
        <v>46</v>
      </c>
      <c r="I982" t="s">
        <v>154</v>
      </c>
      <c r="J982">
        <v>1</v>
      </c>
      <c r="K982">
        <v>299</v>
      </c>
      <c r="L982">
        <f>Table1[[#This Row],[Quantity]] * Table1[[#This Row],[UnitPrice]]</f>
        <v>299</v>
      </c>
      <c r="M982" s="25">
        <v>0</v>
      </c>
      <c r="N982">
        <f>Table1[[#This Row],[Revenue]]*Table1[[#This Row],[Discount%]]/100</f>
        <v>0</v>
      </c>
      <c r="O982" s="6">
        <f>Table1[[#This Row],[Revenue]]-Table1[[#This Row],[Disc_amount]]</f>
        <v>299</v>
      </c>
      <c r="P982" t="s">
        <v>26</v>
      </c>
      <c r="Q982" t="s">
        <v>34</v>
      </c>
    </row>
    <row r="983" spans="1:17">
      <c r="A983" t="s">
        <v>1701</v>
      </c>
      <c r="B983" s="1" t="s">
        <v>1692</v>
      </c>
      <c r="C983" s="1" t="s">
        <v>1693</v>
      </c>
      <c r="D983" s="1" t="s">
        <v>20</v>
      </c>
      <c r="E983" t="s">
        <v>1075</v>
      </c>
      <c r="F983" t="s">
        <v>150</v>
      </c>
      <c r="G983" t="s">
        <v>56</v>
      </c>
      <c r="H983" t="s">
        <v>46</v>
      </c>
      <c r="I983" t="s">
        <v>154</v>
      </c>
      <c r="J983">
        <v>3</v>
      </c>
      <c r="K983">
        <v>299</v>
      </c>
      <c r="L983">
        <f>Table1[[#This Row],[Quantity]] * Table1[[#This Row],[UnitPrice]]</f>
        <v>897</v>
      </c>
      <c r="M983" s="25">
        <v>15</v>
      </c>
      <c r="N983">
        <f>Table1[[#This Row],[Revenue]]*Table1[[#This Row],[Discount%]]/100</f>
        <v>134.55000000000001</v>
      </c>
      <c r="O983" s="6">
        <f>Table1[[#This Row],[Revenue]]-Table1[[#This Row],[Disc_amount]]</f>
        <v>762.45</v>
      </c>
      <c r="P983" t="s">
        <v>33</v>
      </c>
      <c r="Q983" t="s">
        <v>27</v>
      </c>
    </row>
    <row r="984" spans="1:17">
      <c r="A984" t="s">
        <v>1702</v>
      </c>
      <c r="B984" s="1" t="s">
        <v>1692</v>
      </c>
      <c r="C984" s="1" t="s">
        <v>1693</v>
      </c>
      <c r="D984" s="1" t="s">
        <v>20</v>
      </c>
      <c r="E984" t="s">
        <v>729</v>
      </c>
      <c r="F984" t="s">
        <v>730</v>
      </c>
      <c r="G984" t="s">
        <v>56</v>
      </c>
      <c r="H984" t="s">
        <v>65</v>
      </c>
      <c r="I984" t="s">
        <v>66</v>
      </c>
      <c r="J984">
        <v>1</v>
      </c>
      <c r="K984">
        <v>1999</v>
      </c>
      <c r="L984">
        <f>Table1[[#This Row],[Quantity]] * Table1[[#This Row],[UnitPrice]]</f>
        <v>1999</v>
      </c>
      <c r="M984" s="25">
        <v>5</v>
      </c>
      <c r="N984">
        <f>Table1[[#This Row],[Revenue]]*Table1[[#This Row],[Discount%]]/100</f>
        <v>99.95</v>
      </c>
      <c r="O984" s="6">
        <f>Table1[[#This Row],[Revenue]]-Table1[[#This Row],[Disc_amount]]</f>
        <v>1899.05</v>
      </c>
      <c r="P984" t="s">
        <v>33</v>
      </c>
      <c r="Q984" t="s">
        <v>27</v>
      </c>
    </row>
    <row r="985" spans="1:17">
      <c r="A985" t="s">
        <v>1703</v>
      </c>
      <c r="B985" s="1" t="s">
        <v>1692</v>
      </c>
      <c r="C985" s="1" t="s">
        <v>1693</v>
      </c>
      <c r="D985" s="1" t="s">
        <v>20</v>
      </c>
      <c r="E985" t="s">
        <v>867</v>
      </c>
      <c r="F985" t="s">
        <v>617</v>
      </c>
      <c r="G985" t="s">
        <v>23</v>
      </c>
      <c r="H985" t="s">
        <v>65</v>
      </c>
      <c r="I985" t="s">
        <v>66</v>
      </c>
      <c r="J985">
        <v>4</v>
      </c>
      <c r="K985">
        <v>1999</v>
      </c>
      <c r="L985">
        <f>Table1[[#This Row],[Quantity]] * Table1[[#This Row],[UnitPrice]]</f>
        <v>7996</v>
      </c>
      <c r="M985" s="25">
        <v>20</v>
      </c>
      <c r="N985">
        <f>Table1[[#This Row],[Revenue]]*Table1[[#This Row],[Discount%]]/100</f>
        <v>1599.2</v>
      </c>
      <c r="O985" s="6">
        <f>Table1[[#This Row],[Revenue]]-Table1[[#This Row],[Disc_amount]]</f>
        <v>6396.8</v>
      </c>
      <c r="P985" t="s">
        <v>86</v>
      </c>
      <c r="Q985" t="s">
        <v>27</v>
      </c>
    </row>
    <row r="986" spans="1:17">
      <c r="A986" t="s">
        <v>1704</v>
      </c>
      <c r="B986" s="1" t="s">
        <v>1692</v>
      </c>
      <c r="C986" s="1" t="s">
        <v>1693</v>
      </c>
      <c r="D986" s="1" t="s">
        <v>20</v>
      </c>
      <c r="E986" t="s">
        <v>1110</v>
      </c>
      <c r="F986" t="s">
        <v>279</v>
      </c>
      <c r="G986" t="s">
        <v>56</v>
      </c>
      <c r="H986" t="s">
        <v>24</v>
      </c>
      <c r="I986" t="s">
        <v>32</v>
      </c>
      <c r="J986">
        <v>2</v>
      </c>
      <c r="K986">
        <v>199</v>
      </c>
      <c r="L986">
        <f>Table1[[#This Row],[Quantity]] * Table1[[#This Row],[UnitPrice]]</f>
        <v>398</v>
      </c>
      <c r="M986" s="25">
        <v>5</v>
      </c>
      <c r="N986">
        <f>Table1[[#This Row],[Revenue]]*Table1[[#This Row],[Discount%]]/100</f>
        <v>19.899999999999999</v>
      </c>
      <c r="O986" s="6">
        <f>Table1[[#This Row],[Revenue]]-Table1[[#This Row],[Disc_amount]]</f>
        <v>378.1</v>
      </c>
      <c r="P986" t="s">
        <v>26</v>
      </c>
      <c r="Q986" t="s">
        <v>27</v>
      </c>
    </row>
    <row r="987" spans="1:17">
      <c r="A987" t="s">
        <v>1705</v>
      </c>
      <c r="B987" s="1" t="s">
        <v>1692</v>
      </c>
      <c r="C987" s="1" t="s">
        <v>1693</v>
      </c>
      <c r="D987" s="1" t="s">
        <v>20</v>
      </c>
      <c r="E987" t="s">
        <v>555</v>
      </c>
      <c r="F987" t="s">
        <v>384</v>
      </c>
      <c r="G987" t="s">
        <v>23</v>
      </c>
      <c r="H987" t="s">
        <v>39</v>
      </c>
      <c r="I987" t="s">
        <v>40</v>
      </c>
      <c r="J987">
        <v>1</v>
      </c>
      <c r="K987">
        <v>599</v>
      </c>
      <c r="L987">
        <f>Table1[[#This Row],[Quantity]] * Table1[[#This Row],[UnitPrice]]</f>
        <v>599</v>
      </c>
      <c r="M987" s="25">
        <v>30</v>
      </c>
      <c r="N987">
        <f>Table1[[#This Row],[Revenue]]*Table1[[#This Row],[Discount%]]/100</f>
        <v>179.7</v>
      </c>
      <c r="O987" s="6">
        <f>Table1[[#This Row],[Revenue]]-Table1[[#This Row],[Disc_amount]]</f>
        <v>419.3</v>
      </c>
      <c r="P987" t="s">
        <v>26</v>
      </c>
      <c r="Q987" t="s">
        <v>34</v>
      </c>
    </row>
    <row r="988" spans="1:17">
      <c r="A988" t="s">
        <v>1706</v>
      </c>
      <c r="B988" s="1" t="s">
        <v>1692</v>
      </c>
      <c r="C988" s="1" t="s">
        <v>1693</v>
      </c>
      <c r="D988" s="1" t="s">
        <v>20</v>
      </c>
      <c r="E988" t="s">
        <v>365</v>
      </c>
      <c r="F988" t="s">
        <v>366</v>
      </c>
      <c r="G988" t="s">
        <v>23</v>
      </c>
      <c r="H988" t="s">
        <v>39</v>
      </c>
      <c r="I988" t="s">
        <v>140</v>
      </c>
      <c r="J988">
        <v>4</v>
      </c>
      <c r="K988">
        <v>1799</v>
      </c>
      <c r="L988">
        <f>Table1[[#This Row],[Quantity]] * Table1[[#This Row],[UnitPrice]]</f>
        <v>7196</v>
      </c>
      <c r="M988" s="25">
        <v>30</v>
      </c>
      <c r="N988">
        <f>Table1[[#This Row],[Revenue]]*Table1[[#This Row],[Discount%]]/100</f>
        <v>2158.8000000000002</v>
      </c>
      <c r="O988" s="6">
        <f>Table1[[#This Row],[Revenue]]-Table1[[#This Row],[Disc_amount]]</f>
        <v>5037.2</v>
      </c>
      <c r="P988" t="s">
        <v>41</v>
      </c>
      <c r="Q988" t="s">
        <v>34</v>
      </c>
    </row>
    <row r="989" spans="1:17">
      <c r="A989" t="s">
        <v>1707</v>
      </c>
      <c r="B989" s="1" t="s">
        <v>1708</v>
      </c>
      <c r="C989" s="1" t="s">
        <v>1693</v>
      </c>
      <c r="D989" s="1" t="s">
        <v>20</v>
      </c>
      <c r="E989" t="s">
        <v>1709</v>
      </c>
      <c r="F989" t="s">
        <v>989</v>
      </c>
      <c r="G989" t="s">
        <v>56</v>
      </c>
      <c r="H989" t="s">
        <v>57</v>
      </c>
      <c r="I989" t="s">
        <v>58</v>
      </c>
      <c r="J989">
        <v>2</v>
      </c>
      <c r="K989">
        <v>1299</v>
      </c>
      <c r="L989">
        <f>Table1[[#This Row],[Quantity]] * Table1[[#This Row],[UnitPrice]]</f>
        <v>2598</v>
      </c>
      <c r="M989" s="25">
        <v>5</v>
      </c>
      <c r="N989">
        <f>Table1[[#This Row],[Revenue]]*Table1[[#This Row],[Discount%]]/100</f>
        <v>129.9</v>
      </c>
      <c r="O989" s="6">
        <f>Table1[[#This Row],[Revenue]]-Table1[[#This Row],[Disc_amount]]</f>
        <v>2468.1</v>
      </c>
      <c r="P989" t="s">
        <v>33</v>
      </c>
      <c r="Q989" t="s">
        <v>27</v>
      </c>
    </row>
    <row r="990" spans="1:17">
      <c r="A990" t="s">
        <v>1710</v>
      </c>
      <c r="B990" s="1" t="s">
        <v>1708</v>
      </c>
      <c r="C990" s="1" t="s">
        <v>1693</v>
      </c>
      <c r="D990" s="1" t="s">
        <v>20</v>
      </c>
      <c r="E990" t="s">
        <v>1711</v>
      </c>
      <c r="F990" t="s">
        <v>1712</v>
      </c>
      <c r="G990" t="s">
        <v>31</v>
      </c>
      <c r="H990" t="s">
        <v>39</v>
      </c>
      <c r="I990" t="s">
        <v>51</v>
      </c>
      <c r="J990">
        <v>1</v>
      </c>
      <c r="K990">
        <v>2999</v>
      </c>
      <c r="L990">
        <f>Table1[[#This Row],[Quantity]] * Table1[[#This Row],[UnitPrice]]</f>
        <v>2999</v>
      </c>
      <c r="M990" s="25">
        <v>20</v>
      </c>
      <c r="N990">
        <f>Table1[[#This Row],[Revenue]]*Table1[[#This Row],[Discount%]]/100</f>
        <v>599.79999999999995</v>
      </c>
      <c r="O990" s="6">
        <f>Table1[[#This Row],[Revenue]]-Table1[[#This Row],[Disc_amount]]</f>
        <v>2399.1999999999998</v>
      </c>
      <c r="P990" t="s">
        <v>52</v>
      </c>
      <c r="Q990" t="s">
        <v>27</v>
      </c>
    </row>
    <row r="991" spans="1:17">
      <c r="A991" t="s">
        <v>1713</v>
      </c>
      <c r="B991" s="1" t="s">
        <v>1708</v>
      </c>
      <c r="C991" s="1" t="s">
        <v>1693</v>
      </c>
      <c r="D991" s="1" t="s">
        <v>20</v>
      </c>
      <c r="E991" t="s">
        <v>1093</v>
      </c>
      <c r="F991" t="s">
        <v>1094</v>
      </c>
      <c r="G991" t="s">
        <v>31</v>
      </c>
      <c r="H991" t="s">
        <v>39</v>
      </c>
      <c r="I991" t="s">
        <v>140</v>
      </c>
      <c r="J991">
        <v>1</v>
      </c>
      <c r="K991">
        <v>1799</v>
      </c>
      <c r="L991">
        <f>Table1[[#This Row],[Quantity]] * Table1[[#This Row],[UnitPrice]]</f>
        <v>1799</v>
      </c>
      <c r="M991" s="25">
        <v>0</v>
      </c>
      <c r="N991">
        <f>Table1[[#This Row],[Revenue]]*Table1[[#This Row],[Discount%]]/100</f>
        <v>0</v>
      </c>
      <c r="O991" s="6">
        <f>Table1[[#This Row],[Revenue]]-Table1[[#This Row],[Disc_amount]]</f>
        <v>1799</v>
      </c>
      <c r="P991" t="s">
        <v>41</v>
      </c>
      <c r="Q991" t="s">
        <v>34</v>
      </c>
    </row>
    <row r="992" spans="1:17">
      <c r="A992" t="s">
        <v>1714</v>
      </c>
      <c r="B992" s="1" t="s">
        <v>1708</v>
      </c>
      <c r="C992" s="1" t="s">
        <v>1693</v>
      </c>
      <c r="D992" s="1" t="s">
        <v>20</v>
      </c>
      <c r="E992" t="s">
        <v>365</v>
      </c>
      <c r="F992" t="s">
        <v>366</v>
      </c>
      <c r="G992" t="s">
        <v>38</v>
      </c>
      <c r="H992" t="s">
        <v>24</v>
      </c>
      <c r="I992" t="s">
        <v>25</v>
      </c>
      <c r="J992">
        <v>5</v>
      </c>
      <c r="K992">
        <v>99</v>
      </c>
      <c r="L992">
        <f>Table1[[#This Row],[Quantity]] * Table1[[#This Row],[UnitPrice]]</f>
        <v>495</v>
      </c>
      <c r="M992" s="25">
        <v>30</v>
      </c>
      <c r="N992">
        <f>Table1[[#This Row],[Revenue]]*Table1[[#This Row],[Discount%]]/100</f>
        <v>148.5</v>
      </c>
      <c r="O992" s="6">
        <f>Table1[[#This Row],[Revenue]]-Table1[[#This Row],[Disc_amount]]</f>
        <v>346.5</v>
      </c>
      <c r="P992" t="s">
        <v>52</v>
      </c>
      <c r="Q992" t="s">
        <v>34</v>
      </c>
    </row>
    <row r="993" spans="1:17">
      <c r="A993" t="s">
        <v>1715</v>
      </c>
      <c r="B993" s="1" t="s">
        <v>1708</v>
      </c>
      <c r="C993" s="1" t="s">
        <v>1693</v>
      </c>
      <c r="D993" s="1" t="s">
        <v>20</v>
      </c>
      <c r="E993" t="s">
        <v>89</v>
      </c>
      <c r="F993" t="s">
        <v>90</v>
      </c>
      <c r="G993" t="s">
        <v>45</v>
      </c>
      <c r="H993" t="s">
        <v>24</v>
      </c>
      <c r="I993" t="s">
        <v>25</v>
      </c>
      <c r="J993">
        <v>1</v>
      </c>
      <c r="K993">
        <v>99</v>
      </c>
      <c r="L993">
        <f>Table1[[#This Row],[Quantity]] * Table1[[#This Row],[UnitPrice]]</f>
        <v>99</v>
      </c>
      <c r="M993" s="25">
        <v>5</v>
      </c>
      <c r="N993">
        <f>Table1[[#This Row],[Revenue]]*Table1[[#This Row],[Discount%]]/100</f>
        <v>4.95</v>
      </c>
      <c r="O993" s="6">
        <f>Table1[[#This Row],[Revenue]]-Table1[[#This Row],[Disc_amount]]</f>
        <v>94.05</v>
      </c>
      <c r="P993" t="s">
        <v>33</v>
      </c>
      <c r="Q993" t="s">
        <v>27</v>
      </c>
    </row>
    <row r="994" spans="1:17">
      <c r="A994" t="s">
        <v>1716</v>
      </c>
      <c r="B994" s="1" t="s">
        <v>1717</v>
      </c>
      <c r="C994" s="1" t="s">
        <v>1693</v>
      </c>
      <c r="D994" s="1" t="s">
        <v>20</v>
      </c>
      <c r="E994" t="s">
        <v>1623</v>
      </c>
      <c r="F994" t="s">
        <v>1624</v>
      </c>
      <c r="G994" t="s">
        <v>45</v>
      </c>
      <c r="H994" t="s">
        <v>57</v>
      </c>
      <c r="I994" t="s">
        <v>58</v>
      </c>
      <c r="J994">
        <v>2</v>
      </c>
      <c r="K994">
        <v>1299</v>
      </c>
      <c r="L994">
        <f>Table1[[#This Row],[Quantity]] * Table1[[#This Row],[UnitPrice]]</f>
        <v>2598</v>
      </c>
      <c r="M994" s="25">
        <v>10</v>
      </c>
      <c r="N994">
        <f>Table1[[#This Row],[Revenue]]*Table1[[#This Row],[Discount%]]/100</f>
        <v>259.8</v>
      </c>
      <c r="O994" s="6">
        <f>Table1[[#This Row],[Revenue]]-Table1[[#This Row],[Disc_amount]]</f>
        <v>2338.1999999999998</v>
      </c>
      <c r="P994" t="s">
        <v>33</v>
      </c>
      <c r="Q994" t="s">
        <v>34</v>
      </c>
    </row>
    <row r="995" spans="1:17">
      <c r="A995" t="s">
        <v>1718</v>
      </c>
      <c r="B995" s="1" t="s">
        <v>1717</v>
      </c>
      <c r="C995" s="1" t="s">
        <v>1693</v>
      </c>
      <c r="D995" s="1" t="s">
        <v>20</v>
      </c>
      <c r="E995" t="s">
        <v>758</v>
      </c>
      <c r="F995" t="s">
        <v>759</v>
      </c>
      <c r="G995" t="s">
        <v>45</v>
      </c>
      <c r="H995" t="s">
        <v>108</v>
      </c>
      <c r="I995" t="s">
        <v>109</v>
      </c>
      <c r="J995">
        <v>2</v>
      </c>
      <c r="K995">
        <v>1499</v>
      </c>
      <c r="L995">
        <f>Table1[[#This Row],[Quantity]] * Table1[[#This Row],[UnitPrice]]</f>
        <v>2998</v>
      </c>
      <c r="M995" s="25">
        <v>25</v>
      </c>
      <c r="N995">
        <f>Table1[[#This Row],[Revenue]]*Table1[[#This Row],[Discount%]]/100</f>
        <v>749.5</v>
      </c>
      <c r="O995" s="6">
        <f>Table1[[#This Row],[Revenue]]-Table1[[#This Row],[Disc_amount]]</f>
        <v>2248.5</v>
      </c>
      <c r="P995" t="s">
        <v>33</v>
      </c>
      <c r="Q995" t="s">
        <v>34</v>
      </c>
    </row>
    <row r="996" spans="1:17">
      <c r="A996" t="s">
        <v>1719</v>
      </c>
      <c r="B996" s="1" t="s">
        <v>1717</v>
      </c>
      <c r="C996" s="1" t="s">
        <v>1693</v>
      </c>
      <c r="D996" s="1" t="s">
        <v>20</v>
      </c>
      <c r="E996" t="s">
        <v>662</v>
      </c>
      <c r="F996" t="s">
        <v>450</v>
      </c>
      <c r="G996" t="s">
        <v>38</v>
      </c>
      <c r="H996" t="s">
        <v>57</v>
      </c>
      <c r="I996" t="s">
        <v>62</v>
      </c>
      <c r="J996">
        <v>1</v>
      </c>
      <c r="K996">
        <v>799</v>
      </c>
      <c r="L996">
        <f>Table1[[#This Row],[Quantity]] * Table1[[#This Row],[UnitPrice]]</f>
        <v>799</v>
      </c>
      <c r="M996" s="25">
        <v>20</v>
      </c>
      <c r="N996">
        <f>Table1[[#This Row],[Revenue]]*Table1[[#This Row],[Discount%]]/100</f>
        <v>159.80000000000001</v>
      </c>
      <c r="O996" s="6">
        <f>Table1[[#This Row],[Revenue]]-Table1[[#This Row],[Disc_amount]]</f>
        <v>639.20000000000005</v>
      </c>
      <c r="P996" t="s">
        <v>33</v>
      </c>
      <c r="Q996" t="s">
        <v>27</v>
      </c>
    </row>
    <row r="997" spans="1:17">
      <c r="A997" t="s">
        <v>1720</v>
      </c>
      <c r="B997" s="1" t="s">
        <v>1717</v>
      </c>
      <c r="C997" s="1" t="s">
        <v>1693</v>
      </c>
      <c r="D997" s="1" t="s">
        <v>20</v>
      </c>
      <c r="E997" t="s">
        <v>461</v>
      </c>
      <c r="F997" t="s">
        <v>462</v>
      </c>
      <c r="G997" t="s">
        <v>31</v>
      </c>
      <c r="H997" t="s">
        <v>39</v>
      </c>
      <c r="I997" t="s">
        <v>51</v>
      </c>
      <c r="J997">
        <v>4</v>
      </c>
      <c r="K997">
        <v>2999</v>
      </c>
      <c r="L997">
        <f>Table1[[#This Row],[Quantity]] * Table1[[#This Row],[UnitPrice]]</f>
        <v>11996</v>
      </c>
      <c r="M997" s="25">
        <v>30</v>
      </c>
      <c r="N997">
        <f>Table1[[#This Row],[Revenue]]*Table1[[#This Row],[Discount%]]/100</f>
        <v>3598.8</v>
      </c>
      <c r="O997" s="6">
        <f>Table1[[#This Row],[Revenue]]-Table1[[#This Row],[Disc_amount]]</f>
        <v>8397.2000000000007</v>
      </c>
      <c r="P997" t="s">
        <v>33</v>
      </c>
      <c r="Q997" t="s">
        <v>27</v>
      </c>
    </row>
    <row r="998" spans="1:17">
      <c r="A998" t="s">
        <v>1721</v>
      </c>
      <c r="B998" s="1" t="s">
        <v>1717</v>
      </c>
      <c r="C998" s="1" t="s">
        <v>1693</v>
      </c>
      <c r="D998" s="1" t="s">
        <v>20</v>
      </c>
      <c r="E998" t="s">
        <v>142</v>
      </c>
      <c r="F998" t="s">
        <v>143</v>
      </c>
      <c r="G998" t="s">
        <v>45</v>
      </c>
      <c r="H998" t="s">
        <v>70</v>
      </c>
      <c r="I998" t="s">
        <v>91</v>
      </c>
      <c r="J998">
        <v>2</v>
      </c>
      <c r="K998">
        <v>549</v>
      </c>
      <c r="L998">
        <f>Table1[[#This Row],[Quantity]] * Table1[[#This Row],[UnitPrice]]</f>
        <v>1098</v>
      </c>
      <c r="M998" s="25">
        <v>15</v>
      </c>
      <c r="N998">
        <f>Table1[[#This Row],[Revenue]]*Table1[[#This Row],[Discount%]]/100</f>
        <v>164.7</v>
      </c>
      <c r="O998" s="6">
        <f>Table1[[#This Row],[Revenue]]-Table1[[#This Row],[Disc_amount]]</f>
        <v>933.3</v>
      </c>
      <c r="P998" t="s">
        <v>52</v>
      </c>
      <c r="Q998" t="s">
        <v>34</v>
      </c>
    </row>
    <row r="999" spans="1:17">
      <c r="A999" t="s">
        <v>1722</v>
      </c>
      <c r="B999" s="1" t="s">
        <v>1717</v>
      </c>
      <c r="C999" s="1" t="s">
        <v>1693</v>
      </c>
      <c r="D999" s="1" t="s">
        <v>20</v>
      </c>
      <c r="E999" t="s">
        <v>1205</v>
      </c>
      <c r="F999" t="s">
        <v>734</v>
      </c>
      <c r="G999" t="s">
        <v>56</v>
      </c>
      <c r="H999" t="s">
        <v>70</v>
      </c>
      <c r="I999" t="s">
        <v>71</v>
      </c>
      <c r="J999">
        <v>3</v>
      </c>
      <c r="K999">
        <v>349</v>
      </c>
      <c r="L999">
        <f>Table1[[#This Row],[Quantity]] * Table1[[#This Row],[UnitPrice]]</f>
        <v>1047</v>
      </c>
      <c r="M999" s="25">
        <v>0</v>
      </c>
      <c r="N999">
        <f>Table1[[#This Row],[Revenue]]*Table1[[#This Row],[Discount%]]/100</f>
        <v>0</v>
      </c>
      <c r="O999" s="6">
        <f>Table1[[#This Row],[Revenue]]-Table1[[#This Row],[Disc_amount]]</f>
        <v>1047</v>
      </c>
      <c r="P999" t="s">
        <v>33</v>
      </c>
      <c r="Q999" t="s">
        <v>27</v>
      </c>
    </row>
    <row r="1000" spans="1:17">
      <c r="A1000" t="s">
        <v>1723</v>
      </c>
      <c r="B1000" s="1" t="s">
        <v>1724</v>
      </c>
      <c r="C1000" s="1" t="s">
        <v>1693</v>
      </c>
      <c r="D1000" s="1" t="s">
        <v>20</v>
      </c>
      <c r="E1000" t="s">
        <v>893</v>
      </c>
      <c r="F1000" t="s">
        <v>434</v>
      </c>
      <c r="G1000" t="s">
        <v>23</v>
      </c>
      <c r="H1000" t="s">
        <v>24</v>
      </c>
      <c r="I1000" t="s">
        <v>25</v>
      </c>
      <c r="J1000">
        <v>1</v>
      </c>
      <c r="K1000">
        <v>99</v>
      </c>
      <c r="L1000">
        <f>Table1[[#This Row],[Quantity]] * Table1[[#This Row],[UnitPrice]]</f>
        <v>99</v>
      </c>
      <c r="M1000" s="25">
        <v>10</v>
      </c>
      <c r="N1000">
        <f>Table1[[#This Row],[Revenue]]*Table1[[#This Row],[Discount%]]/100</f>
        <v>9.9</v>
      </c>
      <c r="O1000" s="6">
        <f>Table1[[#This Row],[Revenue]]-Table1[[#This Row],[Disc_amount]]</f>
        <v>89.1</v>
      </c>
      <c r="P1000" t="s">
        <v>26</v>
      </c>
      <c r="Q1000" t="s">
        <v>34</v>
      </c>
    </row>
    <row r="1001" spans="1:17">
      <c r="A1001" t="s">
        <v>1725</v>
      </c>
      <c r="B1001" s="1" t="s">
        <v>1724</v>
      </c>
      <c r="C1001" s="1" t="s">
        <v>1693</v>
      </c>
      <c r="D1001" s="1" t="s">
        <v>20</v>
      </c>
      <c r="E1001" t="s">
        <v>1711</v>
      </c>
      <c r="F1001" t="s">
        <v>1712</v>
      </c>
      <c r="G1001" t="s">
        <v>56</v>
      </c>
      <c r="H1001" t="s">
        <v>65</v>
      </c>
      <c r="I1001" t="s">
        <v>94</v>
      </c>
      <c r="J1001">
        <v>1</v>
      </c>
      <c r="K1001">
        <v>899</v>
      </c>
      <c r="L1001">
        <f>Table1[[#This Row],[Quantity]] * Table1[[#This Row],[UnitPrice]]</f>
        <v>899</v>
      </c>
      <c r="M1001" s="25">
        <v>0</v>
      </c>
      <c r="N1001">
        <f>Table1[[#This Row],[Revenue]]*Table1[[#This Row],[Discount%]]/100</f>
        <v>0</v>
      </c>
      <c r="O1001" s="6">
        <f>Table1[[#This Row],[Revenue]]-Table1[[#This Row],[Disc_amount]]</f>
        <v>899</v>
      </c>
      <c r="P1001" t="s">
        <v>26</v>
      </c>
      <c r="Q1001" t="s">
        <v>34</v>
      </c>
    </row>
    <row r="1002" spans="1:17">
      <c r="A1002" t="s">
        <v>1726</v>
      </c>
      <c r="B1002" s="1" t="s">
        <v>1724</v>
      </c>
      <c r="C1002" s="1" t="s">
        <v>1693</v>
      </c>
      <c r="D1002" s="1" t="s">
        <v>20</v>
      </c>
      <c r="E1002" t="s">
        <v>407</v>
      </c>
      <c r="F1002" t="s">
        <v>329</v>
      </c>
      <c r="G1002" t="s">
        <v>31</v>
      </c>
      <c r="H1002" t="s">
        <v>24</v>
      </c>
      <c r="I1002" t="s">
        <v>32</v>
      </c>
      <c r="J1002">
        <v>1</v>
      </c>
      <c r="K1002">
        <v>199</v>
      </c>
      <c r="L1002">
        <f>Table1[[#This Row],[Quantity]] * Table1[[#This Row],[UnitPrice]]</f>
        <v>199</v>
      </c>
      <c r="M1002" s="25">
        <v>10</v>
      </c>
      <c r="N1002">
        <f>Table1[[#This Row],[Revenue]]*Table1[[#This Row],[Discount%]]/100</f>
        <v>19.899999999999999</v>
      </c>
      <c r="O1002" s="6">
        <f>Table1[[#This Row],[Revenue]]-Table1[[#This Row],[Disc_amount]]</f>
        <v>179.1</v>
      </c>
      <c r="P1002" t="s">
        <v>33</v>
      </c>
      <c r="Q1002" t="s">
        <v>27</v>
      </c>
    </row>
    <row r="1003" spans="1:17">
      <c r="A1003" t="s">
        <v>1727</v>
      </c>
      <c r="B1003" s="1" t="s">
        <v>1724</v>
      </c>
      <c r="C1003" s="1" t="s">
        <v>1693</v>
      </c>
      <c r="D1003" s="1" t="s">
        <v>20</v>
      </c>
      <c r="E1003" t="s">
        <v>915</v>
      </c>
      <c r="F1003" t="s">
        <v>345</v>
      </c>
      <c r="G1003" t="s">
        <v>38</v>
      </c>
      <c r="H1003" t="s">
        <v>39</v>
      </c>
      <c r="I1003" t="s">
        <v>51</v>
      </c>
      <c r="J1003">
        <v>3</v>
      </c>
      <c r="K1003">
        <v>2999</v>
      </c>
      <c r="L1003">
        <f>Table1[[#This Row],[Quantity]] * Table1[[#This Row],[UnitPrice]]</f>
        <v>8997</v>
      </c>
      <c r="M1003" s="25">
        <v>25</v>
      </c>
      <c r="N1003">
        <f>Table1[[#This Row],[Revenue]]*Table1[[#This Row],[Discount%]]/100</f>
        <v>2249.25</v>
      </c>
      <c r="O1003" s="6">
        <f>Table1[[#This Row],[Revenue]]-Table1[[#This Row],[Disc_amount]]</f>
        <v>6747.75</v>
      </c>
      <c r="P1003" t="s">
        <v>26</v>
      </c>
      <c r="Q1003" t="s">
        <v>27</v>
      </c>
    </row>
    <row r="1004" spans="1:17">
      <c r="A1004" t="s">
        <v>1728</v>
      </c>
      <c r="B1004" s="1" t="s">
        <v>1724</v>
      </c>
      <c r="C1004" s="1" t="s">
        <v>1693</v>
      </c>
      <c r="D1004" s="1" t="s">
        <v>20</v>
      </c>
      <c r="E1004" t="s">
        <v>328</v>
      </c>
      <c r="F1004" t="s">
        <v>329</v>
      </c>
      <c r="G1004" t="s">
        <v>45</v>
      </c>
      <c r="H1004" t="s">
        <v>70</v>
      </c>
      <c r="I1004" t="s">
        <v>71</v>
      </c>
      <c r="J1004">
        <v>2</v>
      </c>
      <c r="K1004">
        <v>349</v>
      </c>
      <c r="L1004">
        <f>Table1[[#This Row],[Quantity]] * Table1[[#This Row],[UnitPrice]]</f>
        <v>698</v>
      </c>
      <c r="M1004" s="25">
        <v>15</v>
      </c>
      <c r="N1004">
        <f>Table1[[#This Row],[Revenue]]*Table1[[#This Row],[Discount%]]/100</f>
        <v>104.7</v>
      </c>
      <c r="O1004" s="6">
        <f>Table1[[#This Row],[Revenue]]-Table1[[#This Row],[Disc_amount]]</f>
        <v>593.29999999999995</v>
      </c>
      <c r="P1004" t="s">
        <v>33</v>
      </c>
      <c r="Q1004" t="s">
        <v>27</v>
      </c>
    </row>
    <row r="1005" spans="1:17">
      <c r="A1005" t="s">
        <v>1729</v>
      </c>
      <c r="B1005" s="1" t="s">
        <v>1724</v>
      </c>
      <c r="C1005" s="1" t="s">
        <v>1693</v>
      </c>
      <c r="D1005" s="1" t="s">
        <v>20</v>
      </c>
      <c r="E1005" t="s">
        <v>421</v>
      </c>
      <c r="F1005" t="s">
        <v>422</v>
      </c>
      <c r="G1005" t="s">
        <v>56</v>
      </c>
      <c r="H1005" t="s">
        <v>57</v>
      </c>
      <c r="I1005" t="s">
        <v>58</v>
      </c>
      <c r="J1005">
        <v>2</v>
      </c>
      <c r="K1005">
        <v>1299</v>
      </c>
      <c r="L1005">
        <f>Table1[[#This Row],[Quantity]] * Table1[[#This Row],[UnitPrice]]</f>
        <v>2598</v>
      </c>
      <c r="M1005" s="25">
        <v>5</v>
      </c>
      <c r="N1005">
        <f>Table1[[#This Row],[Revenue]]*Table1[[#This Row],[Discount%]]/100</f>
        <v>129.9</v>
      </c>
      <c r="O1005" s="6">
        <f>Table1[[#This Row],[Revenue]]-Table1[[#This Row],[Disc_amount]]</f>
        <v>2468.1</v>
      </c>
      <c r="P1005" t="s">
        <v>52</v>
      </c>
      <c r="Q1005" t="s">
        <v>27</v>
      </c>
    </row>
    <row r="1006" spans="1:17">
      <c r="A1006" t="s">
        <v>1730</v>
      </c>
      <c r="B1006" s="1" t="s">
        <v>1724</v>
      </c>
      <c r="C1006" s="1" t="s">
        <v>1693</v>
      </c>
      <c r="D1006" s="1" t="s">
        <v>20</v>
      </c>
      <c r="E1006" t="s">
        <v>801</v>
      </c>
      <c r="F1006" t="s">
        <v>802</v>
      </c>
      <c r="G1006" t="s">
        <v>31</v>
      </c>
      <c r="H1006" t="s">
        <v>46</v>
      </c>
      <c r="I1006" t="s">
        <v>47</v>
      </c>
      <c r="J1006">
        <v>3</v>
      </c>
      <c r="K1006">
        <v>249</v>
      </c>
      <c r="L1006">
        <f>Table1[[#This Row],[Quantity]] * Table1[[#This Row],[UnitPrice]]</f>
        <v>747</v>
      </c>
      <c r="M1006" s="25">
        <v>25</v>
      </c>
      <c r="N1006">
        <f>Table1[[#This Row],[Revenue]]*Table1[[#This Row],[Discount%]]/100</f>
        <v>186.75</v>
      </c>
      <c r="O1006" s="6">
        <f>Table1[[#This Row],[Revenue]]-Table1[[#This Row],[Disc_amount]]</f>
        <v>560.25</v>
      </c>
      <c r="P1006" t="s">
        <v>26</v>
      </c>
      <c r="Q1006" t="s">
        <v>27</v>
      </c>
    </row>
    <row r="1007" spans="1:17">
      <c r="A1007" t="s">
        <v>1731</v>
      </c>
      <c r="B1007" s="1" t="s">
        <v>1724</v>
      </c>
      <c r="C1007" s="1" t="s">
        <v>1693</v>
      </c>
      <c r="D1007" s="1" t="s">
        <v>20</v>
      </c>
      <c r="E1007" t="s">
        <v>583</v>
      </c>
      <c r="F1007" t="s">
        <v>584</v>
      </c>
      <c r="G1007" t="s">
        <v>38</v>
      </c>
      <c r="H1007" t="s">
        <v>65</v>
      </c>
      <c r="I1007" t="s">
        <v>94</v>
      </c>
      <c r="J1007">
        <v>2</v>
      </c>
      <c r="K1007">
        <v>899</v>
      </c>
      <c r="L1007">
        <f>Table1[[#This Row],[Quantity]] * Table1[[#This Row],[UnitPrice]]</f>
        <v>1798</v>
      </c>
      <c r="M1007" s="25">
        <v>10</v>
      </c>
      <c r="N1007">
        <f>Table1[[#This Row],[Revenue]]*Table1[[#This Row],[Discount%]]/100</f>
        <v>179.8</v>
      </c>
      <c r="O1007" s="6">
        <f>Table1[[#This Row],[Revenue]]-Table1[[#This Row],[Disc_amount]]</f>
        <v>1618.2</v>
      </c>
      <c r="P1007" t="s">
        <v>86</v>
      </c>
      <c r="Q1007" t="s">
        <v>27</v>
      </c>
    </row>
    <row r="1008" spans="1:17">
      <c r="A1008" t="s">
        <v>1732</v>
      </c>
      <c r="B1008" s="1" t="s">
        <v>1724</v>
      </c>
      <c r="C1008" s="1" t="s">
        <v>1693</v>
      </c>
      <c r="D1008" s="1" t="s">
        <v>20</v>
      </c>
      <c r="E1008" t="s">
        <v>622</v>
      </c>
      <c r="F1008" t="s">
        <v>623</v>
      </c>
      <c r="G1008" t="s">
        <v>23</v>
      </c>
      <c r="H1008" t="s">
        <v>24</v>
      </c>
      <c r="I1008" t="s">
        <v>32</v>
      </c>
      <c r="J1008">
        <v>1</v>
      </c>
      <c r="K1008">
        <v>199</v>
      </c>
      <c r="L1008">
        <f>Table1[[#This Row],[Quantity]] * Table1[[#This Row],[UnitPrice]]</f>
        <v>199</v>
      </c>
      <c r="M1008" s="25">
        <v>0</v>
      </c>
      <c r="N1008">
        <f>Table1[[#This Row],[Revenue]]*Table1[[#This Row],[Discount%]]/100</f>
        <v>0</v>
      </c>
      <c r="O1008" s="6">
        <f>Table1[[#This Row],[Revenue]]-Table1[[#This Row],[Disc_amount]]</f>
        <v>199</v>
      </c>
      <c r="P1008" t="s">
        <v>52</v>
      </c>
      <c r="Q1008" t="s">
        <v>34</v>
      </c>
    </row>
    <row r="1009" spans="1:17">
      <c r="A1009" t="s">
        <v>1733</v>
      </c>
      <c r="B1009" s="1" t="s">
        <v>1724</v>
      </c>
      <c r="C1009" s="1" t="s">
        <v>1693</v>
      </c>
      <c r="D1009" s="1" t="s">
        <v>20</v>
      </c>
      <c r="E1009" t="s">
        <v>1734</v>
      </c>
      <c r="F1009" t="s">
        <v>1735</v>
      </c>
      <c r="G1009" t="s">
        <v>45</v>
      </c>
      <c r="H1009" t="s">
        <v>39</v>
      </c>
      <c r="I1009" t="s">
        <v>51</v>
      </c>
      <c r="J1009">
        <v>2</v>
      </c>
      <c r="K1009">
        <v>2999</v>
      </c>
      <c r="L1009">
        <f>Table1[[#This Row],[Quantity]] * Table1[[#This Row],[UnitPrice]]</f>
        <v>5998</v>
      </c>
      <c r="M1009" s="25">
        <v>15</v>
      </c>
      <c r="N1009">
        <f>Table1[[#This Row],[Revenue]]*Table1[[#This Row],[Discount%]]/100</f>
        <v>899.7</v>
      </c>
      <c r="O1009" s="6">
        <f>Table1[[#This Row],[Revenue]]-Table1[[#This Row],[Disc_amount]]</f>
        <v>5098.3</v>
      </c>
      <c r="P1009" t="s">
        <v>41</v>
      </c>
      <c r="Q1009" t="s">
        <v>34</v>
      </c>
    </row>
    <row r="1010" spans="1:17">
      <c r="A1010" t="s">
        <v>1736</v>
      </c>
      <c r="B1010" s="1" t="s">
        <v>1724</v>
      </c>
      <c r="C1010" s="1" t="s">
        <v>1693</v>
      </c>
      <c r="D1010" s="1" t="s">
        <v>20</v>
      </c>
      <c r="E1010" t="s">
        <v>1152</v>
      </c>
      <c r="F1010" t="s">
        <v>209</v>
      </c>
      <c r="G1010" t="s">
        <v>38</v>
      </c>
      <c r="H1010" t="s">
        <v>46</v>
      </c>
      <c r="I1010" t="s">
        <v>47</v>
      </c>
      <c r="J1010">
        <v>1</v>
      </c>
      <c r="K1010">
        <v>249</v>
      </c>
      <c r="L1010">
        <f>Table1[[#This Row],[Quantity]] * Table1[[#This Row],[UnitPrice]]</f>
        <v>249</v>
      </c>
      <c r="M1010" s="25">
        <v>25</v>
      </c>
      <c r="N1010">
        <f>Table1[[#This Row],[Revenue]]*Table1[[#This Row],[Discount%]]/100</f>
        <v>62.25</v>
      </c>
      <c r="O1010" s="6">
        <f>Table1[[#This Row],[Revenue]]-Table1[[#This Row],[Disc_amount]]</f>
        <v>186.75</v>
      </c>
      <c r="P1010" t="s">
        <v>86</v>
      </c>
      <c r="Q1010" t="s">
        <v>34</v>
      </c>
    </row>
    <row r="1011" spans="1:17">
      <c r="A1011" t="s">
        <v>1737</v>
      </c>
      <c r="B1011" s="1" t="s">
        <v>1738</v>
      </c>
      <c r="C1011" s="1" t="s">
        <v>1693</v>
      </c>
      <c r="D1011" s="1" t="s">
        <v>20</v>
      </c>
      <c r="E1011" t="s">
        <v>964</v>
      </c>
      <c r="F1011" t="s">
        <v>265</v>
      </c>
      <c r="G1011" t="s">
        <v>23</v>
      </c>
      <c r="H1011" t="s">
        <v>65</v>
      </c>
      <c r="I1011" t="s">
        <v>98</v>
      </c>
      <c r="J1011">
        <v>2</v>
      </c>
      <c r="K1011">
        <v>499</v>
      </c>
      <c r="L1011">
        <f>Table1[[#This Row],[Quantity]] * Table1[[#This Row],[UnitPrice]]</f>
        <v>998</v>
      </c>
      <c r="M1011" s="25">
        <v>15</v>
      </c>
      <c r="N1011">
        <f>Table1[[#This Row],[Revenue]]*Table1[[#This Row],[Discount%]]/100</f>
        <v>149.69999999999999</v>
      </c>
      <c r="O1011" s="6">
        <f>Table1[[#This Row],[Revenue]]-Table1[[#This Row],[Disc_amount]]</f>
        <v>848.3</v>
      </c>
      <c r="P1011" t="s">
        <v>52</v>
      </c>
      <c r="Q1011" t="s">
        <v>27</v>
      </c>
    </row>
    <row r="1012" spans="1:17">
      <c r="A1012" t="s">
        <v>1739</v>
      </c>
      <c r="B1012" s="1" t="s">
        <v>1738</v>
      </c>
      <c r="C1012" s="1" t="s">
        <v>1693</v>
      </c>
      <c r="D1012" s="1" t="s">
        <v>20</v>
      </c>
      <c r="E1012" t="s">
        <v>865</v>
      </c>
      <c r="F1012" t="s">
        <v>355</v>
      </c>
      <c r="G1012" t="s">
        <v>31</v>
      </c>
      <c r="H1012" t="s">
        <v>65</v>
      </c>
      <c r="I1012" t="s">
        <v>98</v>
      </c>
      <c r="J1012">
        <v>1</v>
      </c>
      <c r="K1012">
        <v>499</v>
      </c>
      <c r="L1012">
        <f>Table1[[#This Row],[Quantity]] * Table1[[#This Row],[UnitPrice]]</f>
        <v>499</v>
      </c>
      <c r="M1012" s="25">
        <v>15</v>
      </c>
      <c r="N1012">
        <f>Table1[[#This Row],[Revenue]]*Table1[[#This Row],[Discount%]]/100</f>
        <v>74.849999999999994</v>
      </c>
      <c r="O1012" s="6">
        <f>Table1[[#This Row],[Revenue]]-Table1[[#This Row],[Disc_amount]]</f>
        <v>424.15</v>
      </c>
      <c r="P1012" t="s">
        <v>41</v>
      </c>
      <c r="Q1012" t="s">
        <v>34</v>
      </c>
    </row>
    <row r="1013" spans="1:17">
      <c r="A1013" t="s">
        <v>1740</v>
      </c>
      <c r="B1013" s="1" t="s">
        <v>1738</v>
      </c>
      <c r="C1013" s="1" t="s">
        <v>1693</v>
      </c>
      <c r="D1013" s="1" t="s">
        <v>20</v>
      </c>
      <c r="E1013" t="s">
        <v>1741</v>
      </c>
      <c r="F1013" t="s">
        <v>239</v>
      </c>
      <c r="G1013" t="s">
        <v>56</v>
      </c>
      <c r="H1013" t="s">
        <v>70</v>
      </c>
      <c r="I1013" t="s">
        <v>71</v>
      </c>
      <c r="J1013">
        <v>3</v>
      </c>
      <c r="K1013">
        <v>349</v>
      </c>
      <c r="L1013">
        <f>Table1[[#This Row],[Quantity]] * Table1[[#This Row],[UnitPrice]]</f>
        <v>1047</v>
      </c>
      <c r="M1013" s="25">
        <v>5</v>
      </c>
      <c r="N1013">
        <f>Table1[[#This Row],[Revenue]]*Table1[[#This Row],[Discount%]]/100</f>
        <v>52.35</v>
      </c>
      <c r="O1013" s="6">
        <f>Table1[[#This Row],[Revenue]]-Table1[[#This Row],[Disc_amount]]</f>
        <v>994.65</v>
      </c>
      <c r="P1013" t="s">
        <v>33</v>
      </c>
      <c r="Q1013" t="s">
        <v>27</v>
      </c>
    </row>
    <row r="1014" spans="1:17">
      <c r="A1014" t="s">
        <v>1742</v>
      </c>
      <c r="B1014" s="1" t="s">
        <v>1738</v>
      </c>
      <c r="C1014" s="1" t="s">
        <v>1693</v>
      </c>
      <c r="D1014" s="1" t="s">
        <v>20</v>
      </c>
      <c r="E1014" t="s">
        <v>596</v>
      </c>
      <c r="F1014" t="s">
        <v>597</v>
      </c>
      <c r="G1014" t="s">
        <v>23</v>
      </c>
      <c r="H1014" t="s">
        <v>46</v>
      </c>
      <c r="I1014" t="s">
        <v>47</v>
      </c>
      <c r="J1014">
        <v>1</v>
      </c>
      <c r="K1014">
        <v>249</v>
      </c>
      <c r="L1014">
        <f>Table1[[#This Row],[Quantity]] * Table1[[#This Row],[UnitPrice]]</f>
        <v>249</v>
      </c>
      <c r="M1014" s="25">
        <v>10</v>
      </c>
      <c r="N1014">
        <f>Table1[[#This Row],[Revenue]]*Table1[[#This Row],[Discount%]]/100</f>
        <v>24.9</v>
      </c>
      <c r="O1014" s="6">
        <f>Table1[[#This Row],[Revenue]]-Table1[[#This Row],[Disc_amount]]</f>
        <v>224.1</v>
      </c>
      <c r="P1014" t="s">
        <v>33</v>
      </c>
      <c r="Q1014" t="s">
        <v>27</v>
      </c>
    </row>
    <row r="1015" spans="1:17">
      <c r="A1015" t="s">
        <v>1743</v>
      </c>
      <c r="B1015" s="1" t="s">
        <v>1738</v>
      </c>
      <c r="C1015" s="1" t="s">
        <v>1693</v>
      </c>
      <c r="D1015" s="1" t="s">
        <v>20</v>
      </c>
      <c r="E1015" t="s">
        <v>1744</v>
      </c>
      <c r="F1015" t="s">
        <v>546</v>
      </c>
      <c r="G1015" t="s">
        <v>23</v>
      </c>
      <c r="H1015" t="s">
        <v>65</v>
      </c>
      <c r="I1015" t="s">
        <v>66</v>
      </c>
      <c r="J1015">
        <v>1</v>
      </c>
      <c r="K1015">
        <v>1999</v>
      </c>
      <c r="L1015">
        <f>Table1[[#This Row],[Quantity]] * Table1[[#This Row],[UnitPrice]]</f>
        <v>1999</v>
      </c>
      <c r="M1015" s="25">
        <v>15</v>
      </c>
      <c r="N1015">
        <f>Table1[[#This Row],[Revenue]]*Table1[[#This Row],[Discount%]]/100</f>
        <v>299.85000000000002</v>
      </c>
      <c r="O1015" s="6">
        <f>Table1[[#This Row],[Revenue]]-Table1[[#This Row],[Disc_amount]]</f>
        <v>1699.15</v>
      </c>
      <c r="P1015" t="s">
        <v>26</v>
      </c>
      <c r="Q1015" t="s">
        <v>34</v>
      </c>
    </row>
    <row r="1016" spans="1:17">
      <c r="A1016" t="s">
        <v>1745</v>
      </c>
      <c r="B1016" s="1" t="s">
        <v>1738</v>
      </c>
      <c r="C1016" s="1" t="s">
        <v>1693</v>
      </c>
      <c r="D1016" s="1" t="s">
        <v>20</v>
      </c>
      <c r="E1016" t="s">
        <v>1229</v>
      </c>
      <c r="F1016" t="s">
        <v>97</v>
      </c>
      <c r="G1016" t="s">
        <v>56</v>
      </c>
      <c r="H1016" t="s">
        <v>57</v>
      </c>
      <c r="I1016" t="s">
        <v>58</v>
      </c>
      <c r="J1016">
        <v>2</v>
      </c>
      <c r="K1016">
        <v>1299</v>
      </c>
      <c r="L1016">
        <f>Table1[[#This Row],[Quantity]] * Table1[[#This Row],[UnitPrice]]</f>
        <v>2598</v>
      </c>
      <c r="M1016" s="25">
        <v>30</v>
      </c>
      <c r="N1016">
        <f>Table1[[#This Row],[Revenue]]*Table1[[#This Row],[Discount%]]/100</f>
        <v>779.4</v>
      </c>
      <c r="O1016" s="6">
        <f>Table1[[#This Row],[Revenue]]-Table1[[#This Row],[Disc_amount]]</f>
        <v>1818.6</v>
      </c>
      <c r="P1016" t="s">
        <v>26</v>
      </c>
      <c r="Q1016" t="s">
        <v>27</v>
      </c>
    </row>
    <row r="1017" spans="1:17">
      <c r="A1017" t="s">
        <v>1746</v>
      </c>
      <c r="B1017" s="1" t="s">
        <v>1738</v>
      </c>
      <c r="C1017" s="1" t="s">
        <v>1693</v>
      </c>
      <c r="D1017" s="1" t="s">
        <v>20</v>
      </c>
      <c r="E1017" t="s">
        <v>1747</v>
      </c>
      <c r="F1017" t="s">
        <v>796</v>
      </c>
      <c r="G1017" t="s">
        <v>31</v>
      </c>
      <c r="H1017" t="s">
        <v>39</v>
      </c>
      <c r="I1017" t="s">
        <v>140</v>
      </c>
      <c r="J1017">
        <v>1</v>
      </c>
      <c r="K1017">
        <v>1799</v>
      </c>
      <c r="L1017">
        <f>Table1[[#This Row],[Quantity]] * Table1[[#This Row],[UnitPrice]]</f>
        <v>1799</v>
      </c>
      <c r="M1017" s="25">
        <v>20</v>
      </c>
      <c r="N1017">
        <f>Table1[[#This Row],[Revenue]]*Table1[[#This Row],[Discount%]]/100</f>
        <v>359.8</v>
      </c>
      <c r="O1017" s="6">
        <f>Table1[[#This Row],[Revenue]]-Table1[[#This Row],[Disc_amount]]</f>
        <v>1439.2</v>
      </c>
      <c r="P1017" t="s">
        <v>41</v>
      </c>
      <c r="Q1017" t="s">
        <v>27</v>
      </c>
    </row>
    <row r="1018" spans="1:17">
      <c r="A1018" t="s">
        <v>1748</v>
      </c>
      <c r="B1018" s="1" t="s">
        <v>1749</v>
      </c>
      <c r="C1018" s="1" t="s">
        <v>1693</v>
      </c>
      <c r="D1018" s="1" t="s">
        <v>20</v>
      </c>
      <c r="E1018" t="s">
        <v>1156</v>
      </c>
      <c r="F1018" t="s">
        <v>345</v>
      </c>
      <c r="G1018" t="s">
        <v>31</v>
      </c>
      <c r="H1018" t="s">
        <v>39</v>
      </c>
      <c r="I1018" t="s">
        <v>140</v>
      </c>
      <c r="J1018">
        <v>1</v>
      </c>
      <c r="K1018">
        <v>1799</v>
      </c>
      <c r="L1018">
        <f>Table1[[#This Row],[Quantity]] * Table1[[#This Row],[UnitPrice]]</f>
        <v>1799</v>
      </c>
      <c r="M1018" s="25">
        <v>25</v>
      </c>
      <c r="N1018">
        <f>Table1[[#This Row],[Revenue]]*Table1[[#This Row],[Discount%]]/100</f>
        <v>449.75</v>
      </c>
      <c r="O1018" s="6">
        <f>Table1[[#This Row],[Revenue]]-Table1[[#This Row],[Disc_amount]]</f>
        <v>1349.25</v>
      </c>
      <c r="P1018" t="s">
        <v>52</v>
      </c>
      <c r="Q1018" t="s">
        <v>27</v>
      </c>
    </row>
    <row r="1019" spans="1:17">
      <c r="A1019" t="s">
        <v>1750</v>
      </c>
      <c r="B1019" s="1" t="s">
        <v>1749</v>
      </c>
      <c r="C1019" s="1" t="s">
        <v>1693</v>
      </c>
      <c r="D1019" s="1" t="s">
        <v>20</v>
      </c>
      <c r="E1019" t="s">
        <v>1201</v>
      </c>
      <c r="F1019" t="s">
        <v>323</v>
      </c>
      <c r="G1019" t="s">
        <v>56</v>
      </c>
      <c r="H1019" t="s">
        <v>65</v>
      </c>
      <c r="I1019" t="s">
        <v>94</v>
      </c>
      <c r="J1019">
        <v>1</v>
      </c>
      <c r="K1019">
        <v>899</v>
      </c>
      <c r="L1019">
        <f>Table1[[#This Row],[Quantity]] * Table1[[#This Row],[UnitPrice]]</f>
        <v>899</v>
      </c>
      <c r="M1019" s="25">
        <v>10</v>
      </c>
      <c r="N1019">
        <f>Table1[[#This Row],[Revenue]]*Table1[[#This Row],[Discount%]]/100</f>
        <v>89.9</v>
      </c>
      <c r="O1019" s="6">
        <f>Table1[[#This Row],[Revenue]]-Table1[[#This Row],[Disc_amount]]</f>
        <v>809.1</v>
      </c>
      <c r="P1019" t="s">
        <v>41</v>
      </c>
      <c r="Q1019" t="s">
        <v>34</v>
      </c>
    </row>
    <row r="1020" spans="1:17">
      <c r="A1020" t="s">
        <v>1751</v>
      </c>
      <c r="B1020" s="1" t="s">
        <v>1749</v>
      </c>
      <c r="C1020" s="1" t="s">
        <v>1693</v>
      </c>
      <c r="D1020" s="1" t="s">
        <v>20</v>
      </c>
      <c r="E1020" t="s">
        <v>787</v>
      </c>
      <c r="F1020" t="s">
        <v>788</v>
      </c>
      <c r="G1020" t="s">
        <v>38</v>
      </c>
      <c r="H1020" t="s">
        <v>65</v>
      </c>
      <c r="I1020" t="s">
        <v>98</v>
      </c>
      <c r="J1020">
        <v>2</v>
      </c>
      <c r="K1020">
        <v>499</v>
      </c>
      <c r="L1020">
        <f>Table1[[#This Row],[Quantity]] * Table1[[#This Row],[UnitPrice]]</f>
        <v>998</v>
      </c>
      <c r="M1020" s="25">
        <v>15</v>
      </c>
      <c r="N1020">
        <f>Table1[[#This Row],[Revenue]]*Table1[[#This Row],[Discount%]]/100</f>
        <v>149.69999999999999</v>
      </c>
      <c r="O1020" s="6">
        <f>Table1[[#This Row],[Revenue]]-Table1[[#This Row],[Disc_amount]]</f>
        <v>848.3</v>
      </c>
      <c r="P1020" t="s">
        <v>86</v>
      </c>
      <c r="Q1020" t="s">
        <v>27</v>
      </c>
    </row>
    <row r="1021" spans="1:17">
      <c r="A1021" t="s">
        <v>1752</v>
      </c>
      <c r="B1021" s="1" t="s">
        <v>1749</v>
      </c>
      <c r="C1021" s="1" t="s">
        <v>1693</v>
      </c>
      <c r="D1021" s="1" t="s">
        <v>20</v>
      </c>
      <c r="E1021" t="s">
        <v>1257</v>
      </c>
      <c r="F1021" t="s">
        <v>248</v>
      </c>
      <c r="G1021" t="s">
        <v>31</v>
      </c>
      <c r="H1021" t="s">
        <v>108</v>
      </c>
      <c r="I1021" t="s">
        <v>109</v>
      </c>
      <c r="J1021">
        <v>3</v>
      </c>
      <c r="K1021">
        <v>1499</v>
      </c>
      <c r="L1021">
        <f>Table1[[#This Row],[Quantity]] * Table1[[#This Row],[UnitPrice]]</f>
        <v>4497</v>
      </c>
      <c r="M1021" s="25">
        <v>30</v>
      </c>
      <c r="N1021">
        <f>Table1[[#This Row],[Revenue]]*Table1[[#This Row],[Discount%]]/100</f>
        <v>1349.1</v>
      </c>
      <c r="O1021" s="6">
        <f>Table1[[#This Row],[Revenue]]-Table1[[#This Row],[Disc_amount]]</f>
        <v>3147.9</v>
      </c>
      <c r="P1021" t="s">
        <v>41</v>
      </c>
      <c r="Q1021" t="s">
        <v>34</v>
      </c>
    </row>
    <row r="1022" spans="1:17">
      <c r="A1022" t="s">
        <v>1753</v>
      </c>
      <c r="B1022" s="1" t="s">
        <v>1749</v>
      </c>
      <c r="C1022" s="1" t="s">
        <v>1693</v>
      </c>
      <c r="D1022" s="1" t="s">
        <v>20</v>
      </c>
      <c r="E1022" t="s">
        <v>306</v>
      </c>
      <c r="F1022" t="s">
        <v>307</v>
      </c>
      <c r="G1022" t="s">
        <v>31</v>
      </c>
      <c r="H1022" t="s">
        <v>65</v>
      </c>
      <c r="I1022" t="s">
        <v>66</v>
      </c>
      <c r="J1022">
        <v>5</v>
      </c>
      <c r="K1022">
        <v>1999</v>
      </c>
      <c r="L1022">
        <f>Table1[[#This Row],[Quantity]] * Table1[[#This Row],[UnitPrice]]</f>
        <v>9995</v>
      </c>
      <c r="M1022" s="25">
        <v>0</v>
      </c>
      <c r="N1022">
        <f>Table1[[#This Row],[Revenue]]*Table1[[#This Row],[Discount%]]/100</f>
        <v>0</v>
      </c>
      <c r="O1022" s="6">
        <f>Table1[[#This Row],[Revenue]]-Table1[[#This Row],[Disc_amount]]</f>
        <v>9995</v>
      </c>
      <c r="P1022" t="s">
        <v>33</v>
      </c>
      <c r="Q1022" t="s">
        <v>27</v>
      </c>
    </row>
    <row r="1023" spans="1:17">
      <c r="A1023" t="s">
        <v>1754</v>
      </c>
      <c r="B1023" s="1" t="s">
        <v>1749</v>
      </c>
      <c r="C1023" s="1" t="s">
        <v>1693</v>
      </c>
      <c r="D1023" s="1" t="s">
        <v>20</v>
      </c>
      <c r="E1023" t="s">
        <v>791</v>
      </c>
      <c r="F1023" t="s">
        <v>37</v>
      </c>
      <c r="G1023" t="s">
        <v>23</v>
      </c>
      <c r="H1023" t="s">
        <v>57</v>
      </c>
      <c r="I1023" t="s">
        <v>62</v>
      </c>
      <c r="J1023">
        <v>3</v>
      </c>
      <c r="K1023">
        <v>799</v>
      </c>
      <c r="L1023">
        <f>Table1[[#This Row],[Quantity]] * Table1[[#This Row],[UnitPrice]]</f>
        <v>2397</v>
      </c>
      <c r="M1023" s="25">
        <v>15</v>
      </c>
      <c r="N1023">
        <f>Table1[[#This Row],[Revenue]]*Table1[[#This Row],[Discount%]]/100</f>
        <v>359.55</v>
      </c>
      <c r="O1023" s="6">
        <f>Table1[[#This Row],[Revenue]]-Table1[[#This Row],[Disc_amount]]</f>
        <v>2037.45</v>
      </c>
      <c r="P1023" t="s">
        <v>33</v>
      </c>
      <c r="Q1023" t="s">
        <v>27</v>
      </c>
    </row>
    <row r="1024" spans="1:17">
      <c r="A1024" t="s">
        <v>1755</v>
      </c>
      <c r="B1024" s="1" t="s">
        <v>1749</v>
      </c>
      <c r="C1024" s="1" t="s">
        <v>1693</v>
      </c>
      <c r="D1024" s="1" t="s">
        <v>20</v>
      </c>
      <c r="E1024" t="s">
        <v>365</v>
      </c>
      <c r="F1024" t="s">
        <v>366</v>
      </c>
      <c r="G1024" t="s">
        <v>31</v>
      </c>
      <c r="H1024" t="s">
        <v>108</v>
      </c>
      <c r="I1024" t="s">
        <v>130</v>
      </c>
      <c r="J1024">
        <v>2</v>
      </c>
      <c r="K1024">
        <v>699</v>
      </c>
      <c r="L1024">
        <f>Table1[[#This Row],[Quantity]] * Table1[[#This Row],[UnitPrice]]</f>
        <v>1398</v>
      </c>
      <c r="M1024" s="25">
        <v>25</v>
      </c>
      <c r="N1024">
        <f>Table1[[#This Row],[Revenue]]*Table1[[#This Row],[Discount%]]/100</f>
        <v>349.5</v>
      </c>
      <c r="O1024" s="6">
        <f>Table1[[#This Row],[Revenue]]-Table1[[#This Row],[Disc_amount]]</f>
        <v>1048.5</v>
      </c>
      <c r="P1024" t="s">
        <v>26</v>
      </c>
      <c r="Q1024" t="s">
        <v>27</v>
      </c>
    </row>
    <row r="1025" spans="1:17">
      <c r="A1025" t="s">
        <v>1756</v>
      </c>
      <c r="B1025" s="1" t="s">
        <v>1757</v>
      </c>
      <c r="C1025" s="1" t="s">
        <v>1693</v>
      </c>
      <c r="D1025" s="1" t="s">
        <v>20</v>
      </c>
      <c r="E1025" t="s">
        <v>938</v>
      </c>
      <c r="F1025" t="s">
        <v>187</v>
      </c>
      <c r="G1025" t="s">
        <v>56</v>
      </c>
      <c r="H1025" t="s">
        <v>108</v>
      </c>
      <c r="I1025" t="s">
        <v>130</v>
      </c>
      <c r="J1025">
        <v>1</v>
      </c>
      <c r="K1025">
        <v>699</v>
      </c>
      <c r="L1025">
        <f>Table1[[#This Row],[Quantity]] * Table1[[#This Row],[UnitPrice]]</f>
        <v>699</v>
      </c>
      <c r="M1025" s="25">
        <v>20</v>
      </c>
      <c r="N1025">
        <f>Table1[[#This Row],[Revenue]]*Table1[[#This Row],[Discount%]]/100</f>
        <v>139.80000000000001</v>
      </c>
      <c r="O1025" s="6">
        <f>Table1[[#This Row],[Revenue]]-Table1[[#This Row],[Disc_amount]]</f>
        <v>559.20000000000005</v>
      </c>
      <c r="P1025" t="s">
        <v>52</v>
      </c>
      <c r="Q1025" t="s">
        <v>34</v>
      </c>
    </row>
    <row r="1026" spans="1:17">
      <c r="A1026" t="s">
        <v>1758</v>
      </c>
      <c r="B1026" s="1" t="s">
        <v>1757</v>
      </c>
      <c r="C1026" s="1" t="s">
        <v>1693</v>
      </c>
      <c r="D1026" s="1" t="s">
        <v>20</v>
      </c>
      <c r="E1026" t="s">
        <v>357</v>
      </c>
      <c r="F1026" t="s">
        <v>358</v>
      </c>
      <c r="G1026" t="s">
        <v>23</v>
      </c>
      <c r="H1026" t="s">
        <v>65</v>
      </c>
      <c r="I1026" t="s">
        <v>94</v>
      </c>
      <c r="J1026">
        <v>2</v>
      </c>
      <c r="K1026">
        <v>899</v>
      </c>
      <c r="L1026">
        <f>Table1[[#This Row],[Quantity]] * Table1[[#This Row],[UnitPrice]]</f>
        <v>1798</v>
      </c>
      <c r="M1026" s="25">
        <v>10</v>
      </c>
      <c r="N1026">
        <f>Table1[[#This Row],[Revenue]]*Table1[[#This Row],[Discount%]]/100</f>
        <v>179.8</v>
      </c>
      <c r="O1026" s="6">
        <f>Table1[[#This Row],[Revenue]]-Table1[[#This Row],[Disc_amount]]</f>
        <v>1618.2</v>
      </c>
      <c r="P1026" t="s">
        <v>33</v>
      </c>
      <c r="Q1026" t="s">
        <v>34</v>
      </c>
    </row>
    <row r="1027" spans="1:17">
      <c r="A1027" t="s">
        <v>1759</v>
      </c>
      <c r="B1027" s="1" t="s">
        <v>1757</v>
      </c>
      <c r="C1027" s="1" t="s">
        <v>1693</v>
      </c>
      <c r="D1027" s="1" t="s">
        <v>20</v>
      </c>
      <c r="E1027" t="s">
        <v>89</v>
      </c>
      <c r="F1027" t="s">
        <v>90</v>
      </c>
      <c r="G1027" t="s">
        <v>31</v>
      </c>
      <c r="H1027" t="s">
        <v>108</v>
      </c>
      <c r="I1027" t="s">
        <v>109</v>
      </c>
      <c r="J1027">
        <v>2</v>
      </c>
      <c r="K1027">
        <v>1499</v>
      </c>
      <c r="L1027">
        <f>Table1[[#This Row],[Quantity]] * Table1[[#This Row],[UnitPrice]]</f>
        <v>2998</v>
      </c>
      <c r="M1027" s="25">
        <v>30</v>
      </c>
      <c r="N1027">
        <f>Table1[[#This Row],[Revenue]]*Table1[[#This Row],[Discount%]]/100</f>
        <v>899.4</v>
      </c>
      <c r="O1027" s="6">
        <f>Table1[[#This Row],[Revenue]]-Table1[[#This Row],[Disc_amount]]</f>
        <v>2098.6</v>
      </c>
      <c r="P1027" t="s">
        <v>41</v>
      </c>
      <c r="Q1027" t="s">
        <v>27</v>
      </c>
    </row>
    <row r="1028" spans="1:17">
      <c r="A1028" t="s">
        <v>1760</v>
      </c>
      <c r="B1028" s="1" t="s">
        <v>1757</v>
      </c>
      <c r="C1028" s="1" t="s">
        <v>1693</v>
      </c>
      <c r="D1028" s="1" t="s">
        <v>20</v>
      </c>
      <c r="E1028" t="s">
        <v>686</v>
      </c>
      <c r="F1028" t="s">
        <v>443</v>
      </c>
      <c r="G1028" t="s">
        <v>23</v>
      </c>
      <c r="H1028" t="s">
        <v>108</v>
      </c>
      <c r="I1028" t="s">
        <v>130</v>
      </c>
      <c r="J1028">
        <v>2</v>
      </c>
      <c r="K1028">
        <v>699</v>
      </c>
      <c r="L1028">
        <f>Table1[[#This Row],[Quantity]] * Table1[[#This Row],[UnitPrice]]</f>
        <v>1398</v>
      </c>
      <c r="M1028" s="25">
        <v>20</v>
      </c>
      <c r="N1028">
        <f>Table1[[#This Row],[Revenue]]*Table1[[#This Row],[Discount%]]/100</f>
        <v>279.60000000000002</v>
      </c>
      <c r="O1028" s="6">
        <f>Table1[[#This Row],[Revenue]]-Table1[[#This Row],[Disc_amount]]</f>
        <v>1118.4000000000001</v>
      </c>
      <c r="P1028" t="s">
        <v>86</v>
      </c>
      <c r="Q1028" t="s">
        <v>34</v>
      </c>
    </row>
    <row r="1029" spans="1:17">
      <c r="A1029" t="s">
        <v>1761</v>
      </c>
      <c r="B1029" s="1" t="s">
        <v>1757</v>
      </c>
      <c r="C1029" s="1" t="s">
        <v>1693</v>
      </c>
      <c r="D1029" s="1" t="s">
        <v>20</v>
      </c>
      <c r="E1029" t="s">
        <v>396</v>
      </c>
      <c r="F1029" t="s">
        <v>323</v>
      </c>
      <c r="G1029" t="s">
        <v>23</v>
      </c>
      <c r="H1029" t="s">
        <v>108</v>
      </c>
      <c r="I1029" t="s">
        <v>130</v>
      </c>
      <c r="J1029">
        <v>2</v>
      </c>
      <c r="K1029">
        <v>699</v>
      </c>
      <c r="L1029">
        <f>Table1[[#This Row],[Quantity]] * Table1[[#This Row],[UnitPrice]]</f>
        <v>1398</v>
      </c>
      <c r="M1029" s="25">
        <v>30</v>
      </c>
      <c r="N1029">
        <f>Table1[[#This Row],[Revenue]]*Table1[[#This Row],[Discount%]]/100</f>
        <v>419.4</v>
      </c>
      <c r="O1029" s="6">
        <f>Table1[[#This Row],[Revenue]]-Table1[[#This Row],[Disc_amount]]</f>
        <v>978.6</v>
      </c>
      <c r="P1029" t="s">
        <v>41</v>
      </c>
      <c r="Q1029" t="s">
        <v>34</v>
      </c>
    </row>
    <row r="1030" spans="1:17">
      <c r="A1030" t="s">
        <v>1762</v>
      </c>
      <c r="B1030" s="1" t="s">
        <v>1757</v>
      </c>
      <c r="C1030" s="1" t="s">
        <v>1693</v>
      </c>
      <c r="D1030" s="1" t="s">
        <v>20</v>
      </c>
      <c r="E1030" t="s">
        <v>1298</v>
      </c>
      <c r="F1030" t="s">
        <v>384</v>
      </c>
      <c r="G1030" t="s">
        <v>31</v>
      </c>
      <c r="H1030" t="s">
        <v>108</v>
      </c>
      <c r="I1030" t="s">
        <v>130</v>
      </c>
      <c r="J1030">
        <v>2</v>
      </c>
      <c r="K1030">
        <v>699</v>
      </c>
      <c r="L1030">
        <f>Table1[[#This Row],[Quantity]] * Table1[[#This Row],[UnitPrice]]</f>
        <v>1398</v>
      </c>
      <c r="M1030" s="25">
        <v>25</v>
      </c>
      <c r="N1030">
        <f>Table1[[#This Row],[Revenue]]*Table1[[#This Row],[Discount%]]/100</f>
        <v>349.5</v>
      </c>
      <c r="O1030" s="6">
        <f>Table1[[#This Row],[Revenue]]-Table1[[#This Row],[Disc_amount]]</f>
        <v>1048.5</v>
      </c>
      <c r="P1030" t="s">
        <v>86</v>
      </c>
      <c r="Q1030" t="s">
        <v>27</v>
      </c>
    </row>
    <row r="1031" spans="1:17">
      <c r="A1031" t="s">
        <v>1763</v>
      </c>
      <c r="B1031" s="1" t="s">
        <v>1757</v>
      </c>
      <c r="C1031" s="1" t="s">
        <v>1693</v>
      </c>
      <c r="D1031" s="1" t="s">
        <v>20</v>
      </c>
      <c r="E1031" t="s">
        <v>616</v>
      </c>
      <c r="F1031" t="s">
        <v>617</v>
      </c>
      <c r="G1031" t="s">
        <v>45</v>
      </c>
      <c r="H1031" t="s">
        <v>65</v>
      </c>
      <c r="I1031" t="s">
        <v>94</v>
      </c>
      <c r="J1031">
        <v>1</v>
      </c>
      <c r="K1031">
        <v>899</v>
      </c>
      <c r="L1031">
        <f>Table1[[#This Row],[Quantity]] * Table1[[#This Row],[UnitPrice]]</f>
        <v>899</v>
      </c>
      <c r="M1031" s="25">
        <v>0</v>
      </c>
      <c r="N1031">
        <f>Table1[[#This Row],[Revenue]]*Table1[[#This Row],[Discount%]]/100</f>
        <v>0</v>
      </c>
      <c r="O1031" s="6">
        <f>Table1[[#This Row],[Revenue]]-Table1[[#This Row],[Disc_amount]]</f>
        <v>899</v>
      </c>
      <c r="P1031" t="s">
        <v>26</v>
      </c>
      <c r="Q1031" t="s">
        <v>27</v>
      </c>
    </row>
    <row r="1032" spans="1:17">
      <c r="A1032" t="s">
        <v>1764</v>
      </c>
      <c r="B1032" s="1" t="s">
        <v>1765</v>
      </c>
      <c r="C1032" s="1" t="s">
        <v>1693</v>
      </c>
      <c r="D1032" s="1" t="s">
        <v>20</v>
      </c>
      <c r="E1032" t="s">
        <v>596</v>
      </c>
      <c r="F1032" t="s">
        <v>597</v>
      </c>
      <c r="G1032" t="s">
        <v>56</v>
      </c>
      <c r="H1032" t="s">
        <v>24</v>
      </c>
      <c r="I1032" t="s">
        <v>32</v>
      </c>
      <c r="J1032">
        <v>1</v>
      </c>
      <c r="K1032">
        <v>199</v>
      </c>
      <c r="L1032">
        <f>Table1[[#This Row],[Quantity]] * Table1[[#This Row],[UnitPrice]]</f>
        <v>199</v>
      </c>
      <c r="M1032" s="25">
        <v>25</v>
      </c>
      <c r="N1032">
        <f>Table1[[#This Row],[Revenue]]*Table1[[#This Row],[Discount%]]/100</f>
        <v>49.75</v>
      </c>
      <c r="O1032" s="6">
        <f>Table1[[#This Row],[Revenue]]-Table1[[#This Row],[Disc_amount]]</f>
        <v>149.25</v>
      </c>
      <c r="P1032" t="s">
        <v>41</v>
      </c>
      <c r="Q1032" t="s">
        <v>27</v>
      </c>
    </row>
    <row r="1033" spans="1:17">
      <c r="A1033" t="s">
        <v>1766</v>
      </c>
      <c r="B1033" s="1" t="s">
        <v>1765</v>
      </c>
      <c r="C1033" s="1" t="s">
        <v>1693</v>
      </c>
      <c r="D1033" s="1" t="s">
        <v>20</v>
      </c>
      <c r="E1033" t="s">
        <v>122</v>
      </c>
      <c r="F1033" t="s">
        <v>123</v>
      </c>
      <c r="G1033" t="s">
        <v>45</v>
      </c>
      <c r="H1033" t="s">
        <v>39</v>
      </c>
      <c r="I1033" t="s">
        <v>51</v>
      </c>
      <c r="J1033">
        <v>3</v>
      </c>
      <c r="K1033">
        <v>2999</v>
      </c>
      <c r="L1033">
        <f>Table1[[#This Row],[Quantity]] * Table1[[#This Row],[UnitPrice]]</f>
        <v>8997</v>
      </c>
      <c r="M1033" s="25">
        <v>10</v>
      </c>
      <c r="N1033">
        <f>Table1[[#This Row],[Revenue]]*Table1[[#This Row],[Discount%]]/100</f>
        <v>899.7</v>
      </c>
      <c r="O1033" s="6">
        <f>Table1[[#This Row],[Revenue]]-Table1[[#This Row],[Disc_amount]]</f>
        <v>8097.3</v>
      </c>
      <c r="P1033" t="s">
        <v>33</v>
      </c>
      <c r="Q1033" t="s">
        <v>27</v>
      </c>
    </row>
    <row r="1034" spans="1:17">
      <c r="A1034" t="s">
        <v>1767</v>
      </c>
      <c r="B1034" s="1" t="s">
        <v>1765</v>
      </c>
      <c r="C1034" s="1" t="s">
        <v>1693</v>
      </c>
      <c r="D1034" s="1" t="s">
        <v>20</v>
      </c>
      <c r="E1034" t="s">
        <v>1093</v>
      </c>
      <c r="F1034" t="s">
        <v>1094</v>
      </c>
      <c r="G1034" t="s">
        <v>38</v>
      </c>
      <c r="H1034" t="s">
        <v>46</v>
      </c>
      <c r="I1034" t="s">
        <v>47</v>
      </c>
      <c r="J1034">
        <v>2</v>
      </c>
      <c r="K1034">
        <v>249</v>
      </c>
      <c r="L1034">
        <f>Table1[[#This Row],[Quantity]] * Table1[[#This Row],[UnitPrice]]</f>
        <v>498</v>
      </c>
      <c r="M1034" s="25">
        <v>30</v>
      </c>
      <c r="N1034">
        <f>Table1[[#This Row],[Revenue]]*Table1[[#This Row],[Discount%]]/100</f>
        <v>149.4</v>
      </c>
      <c r="O1034" s="6">
        <f>Table1[[#This Row],[Revenue]]-Table1[[#This Row],[Disc_amount]]</f>
        <v>348.6</v>
      </c>
      <c r="P1034" t="s">
        <v>26</v>
      </c>
      <c r="Q1034" t="s">
        <v>27</v>
      </c>
    </row>
    <row r="1035" spans="1:17">
      <c r="A1035" t="s">
        <v>1768</v>
      </c>
      <c r="B1035" s="1" t="s">
        <v>1765</v>
      </c>
      <c r="C1035" s="1" t="s">
        <v>1693</v>
      </c>
      <c r="D1035" s="1" t="s">
        <v>20</v>
      </c>
      <c r="E1035" t="s">
        <v>96</v>
      </c>
      <c r="F1035" t="s">
        <v>97</v>
      </c>
      <c r="G1035" t="s">
        <v>23</v>
      </c>
      <c r="H1035" t="s">
        <v>57</v>
      </c>
      <c r="I1035" t="s">
        <v>62</v>
      </c>
      <c r="J1035">
        <v>1</v>
      </c>
      <c r="K1035">
        <v>799</v>
      </c>
      <c r="L1035">
        <f>Table1[[#This Row],[Quantity]] * Table1[[#This Row],[UnitPrice]]</f>
        <v>799</v>
      </c>
      <c r="M1035" s="25">
        <v>10</v>
      </c>
      <c r="N1035">
        <f>Table1[[#This Row],[Revenue]]*Table1[[#This Row],[Discount%]]/100</f>
        <v>79.900000000000006</v>
      </c>
      <c r="O1035" s="6">
        <f>Table1[[#This Row],[Revenue]]-Table1[[#This Row],[Disc_amount]]</f>
        <v>719.1</v>
      </c>
      <c r="P1035" t="s">
        <v>86</v>
      </c>
      <c r="Q1035" t="s">
        <v>27</v>
      </c>
    </row>
    <row r="1036" spans="1:17">
      <c r="A1036" t="s">
        <v>1769</v>
      </c>
      <c r="B1036" s="1" t="s">
        <v>1765</v>
      </c>
      <c r="C1036" s="1" t="s">
        <v>1693</v>
      </c>
      <c r="D1036" s="1" t="s">
        <v>20</v>
      </c>
      <c r="E1036" t="s">
        <v>583</v>
      </c>
      <c r="F1036" t="s">
        <v>584</v>
      </c>
      <c r="G1036" t="s">
        <v>31</v>
      </c>
      <c r="H1036" t="s">
        <v>46</v>
      </c>
      <c r="I1036" t="s">
        <v>154</v>
      </c>
      <c r="J1036">
        <v>3</v>
      </c>
      <c r="K1036">
        <v>299</v>
      </c>
      <c r="L1036">
        <f>Table1[[#This Row],[Quantity]] * Table1[[#This Row],[UnitPrice]]</f>
        <v>897</v>
      </c>
      <c r="M1036" s="25">
        <v>15</v>
      </c>
      <c r="N1036">
        <f>Table1[[#This Row],[Revenue]]*Table1[[#This Row],[Discount%]]/100</f>
        <v>134.55000000000001</v>
      </c>
      <c r="O1036" s="6">
        <f>Table1[[#This Row],[Revenue]]-Table1[[#This Row],[Disc_amount]]</f>
        <v>762.45</v>
      </c>
      <c r="P1036" t="s">
        <v>52</v>
      </c>
      <c r="Q1036" t="s">
        <v>34</v>
      </c>
    </row>
    <row r="1037" spans="1:17">
      <c r="A1037" t="s">
        <v>1770</v>
      </c>
      <c r="B1037" s="1" t="s">
        <v>1765</v>
      </c>
      <c r="C1037" s="1" t="s">
        <v>1693</v>
      </c>
      <c r="D1037" s="1" t="s">
        <v>20</v>
      </c>
      <c r="E1037" t="s">
        <v>1279</v>
      </c>
      <c r="F1037" t="s">
        <v>355</v>
      </c>
      <c r="G1037" t="s">
        <v>45</v>
      </c>
      <c r="H1037" t="s">
        <v>39</v>
      </c>
      <c r="I1037" t="s">
        <v>40</v>
      </c>
      <c r="J1037">
        <v>5</v>
      </c>
      <c r="K1037">
        <v>599</v>
      </c>
      <c r="L1037">
        <f>Table1[[#This Row],[Quantity]] * Table1[[#This Row],[UnitPrice]]</f>
        <v>2995</v>
      </c>
      <c r="M1037" s="25">
        <v>15</v>
      </c>
      <c r="N1037">
        <f>Table1[[#This Row],[Revenue]]*Table1[[#This Row],[Discount%]]/100</f>
        <v>449.25</v>
      </c>
      <c r="O1037" s="6">
        <f>Table1[[#This Row],[Revenue]]-Table1[[#This Row],[Disc_amount]]</f>
        <v>2545.75</v>
      </c>
      <c r="P1037" t="s">
        <v>33</v>
      </c>
      <c r="Q1037" t="s">
        <v>27</v>
      </c>
    </row>
    <row r="1038" spans="1:17">
      <c r="A1038" t="s">
        <v>1771</v>
      </c>
      <c r="B1038" s="1" t="s">
        <v>1765</v>
      </c>
      <c r="C1038" s="1" t="s">
        <v>1693</v>
      </c>
      <c r="D1038" s="1" t="s">
        <v>20</v>
      </c>
      <c r="E1038" t="s">
        <v>1772</v>
      </c>
      <c r="F1038" t="s">
        <v>1292</v>
      </c>
      <c r="G1038" t="s">
        <v>56</v>
      </c>
      <c r="H1038" t="s">
        <v>39</v>
      </c>
      <c r="I1038" t="s">
        <v>140</v>
      </c>
      <c r="J1038">
        <v>4</v>
      </c>
      <c r="K1038">
        <v>1799</v>
      </c>
      <c r="L1038">
        <f>Table1[[#This Row],[Quantity]] * Table1[[#This Row],[UnitPrice]]</f>
        <v>7196</v>
      </c>
      <c r="M1038" s="25">
        <v>20</v>
      </c>
      <c r="N1038">
        <f>Table1[[#This Row],[Revenue]]*Table1[[#This Row],[Discount%]]/100</f>
        <v>1439.2</v>
      </c>
      <c r="O1038" s="6">
        <f>Table1[[#This Row],[Revenue]]-Table1[[#This Row],[Disc_amount]]</f>
        <v>5756.8</v>
      </c>
      <c r="P1038" t="s">
        <v>41</v>
      </c>
      <c r="Q1038" t="s">
        <v>27</v>
      </c>
    </row>
    <row r="1039" spans="1:17">
      <c r="A1039" t="s">
        <v>1773</v>
      </c>
      <c r="B1039" s="1" t="s">
        <v>1765</v>
      </c>
      <c r="C1039" s="1" t="s">
        <v>1693</v>
      </c>
      <c r="D1039" s="1" t="s">
        <v>20</v>
      </c>
      <c r="E1039" t="s">
        <v>536</v>
      </c>
      <c r="F1039" t="s">
        <v>295</v>
      </c>
      <c r="G1039" t="s">
        <v>38</v>
      </c>
      <c r="H1039" t="s">
        <v>108</v>
      </c>
      <c r="I1039" t="s">
        <v>109</v>
      </c>
      <c r="J1039">
        <v>3</v>
      </c>
      <c r="K1039">
        <v>1499</v>
      </c>
      <c r="L1039">
        <f>Table1[[#This Row],[Quantity]] * Table1[[#This Row],[UnitPrice]]</f>
        <v>4497</v>
      </c>
      <c r="M1039" s="25">
        <v>10</v>
      </c>
      <c r="N1039">
        <f>Table1[[#This Row],[Revenue]]*Table1[[#This Row],[Discount%]]/100</f>
        <v>449.7</v>
      </c>
      <c r="O1039" s="6">
        <f>Table1[[#This Row],[Revenue]]-Table1[[#This Row],[Disc_amount]]</f>
        <v>4047.3</v>
      </c>
      <c r="P1039" t="s">
        <v>26</v>
      </c>
      <c r="Q1039" t="s">
        <v>27</v>
      </c>
    </row>
    <row r="1040" spans="1:17">
      <c r="A1040" t="s">
        <v>1774</v>
      </c>
      <c r="B1040" s="1" t="s">
        <v>1765</v>
      </c>
      <c r="C1040" s="1" t="s">
        <v>1693</v>
      </c>
      <c r="D1040" s="1" t="s">
        <v>20</v>
      </c>
      <c r="E1040" t="s">
        <v>244</v>
      </c>
      <c r="F1040" t="s">
        <v>245</v>
      </c>
      <c r="G1040" t="s">
        <v>31</v>
      </c>
      <c r="H1040" t="s">
        <v>108</v>
      </c>
      <c r="I1040" t="s">
        <v>109</v>
      </c>
      <c r="J1040">
        <v>1</v>
      </c>
      <c r="K1040">
        <v>1499</v>
      </c>
      <c r="L1040">
        <f>Table1[[#This Row],[Quantity]] * Table1[[#This Row],[UnitPrice]]</f>
        <v>1499</v>
      </c>
      <c r="M1040" s="25">
        <v>20</v>
      </c>
      <c r="N1040">
        <f>Table1[[#This Row],[Revenue]]*Table1[[#This Row],[Discount%]]/100</f>
        <v>299.8</v>
      </c>
      <c r="O1040" s="6">
        <f>Table1[[#This Row],[Revenue]]-Table1[[#This Row],[Disc_amount]]</f>
        <v>1199.2</v>
      </c>
      <c r="P1040" t="s">
        <v>33</v>
      </c>
      <c r="Q1040" t="s">
        <v>34</v>
      </c>
    </row>
    <row r="1041" spans="1:17">
      <c r="A1041" t="s">
        <v>1775</v>
      </c>
      <c r="B1041" s="1" t="s">
        <v>1765</v>
      </c>
      <c r="C1041" s="1" t="s">
        <v>1693</v>
      </c>
      <c r="D1041" s="1" t="s">
        <v>20</v>
      </c>
      <c r="E1041" t="s">
        <v>758</v>
      </c>
      <c r="F1041" t="s">
        <v>759</v>
      </c>
      <c r="G1041" t="s">
        <v>31</v>
      </c>
      <c r="H1041" t="s">
        <v>65</v>
      </c>
      <c r="I1041" t="s">
        <v>94</v>
      </c>
      <c r="J1041">
        <v>3</v>
      </c>
      <c r="K1041">
        <v>899</v>
      </c>
      <c r="L1041">
        <f>Table1[[#This Row],[Quantity]] * Table1[[#This Row],[UnitPrice]]</f>
        <v>2697</v>
      </c>
      <c r="M1041" s="25">
        <v>10</v>
      </c>
      <c r="N1041">
        <f>Table1[[#This Row],[Revenue]]*Table1[[#This Row],[Discount%]]/100</f>
        <v>269.7</v>
      </c>
      <c r="O1041" s="6">
        <f>Table1[[#This Row],[Revenue]]-Table1[[#This Row],[Disc_amount]]</f>
        <v>2427.3000000000002</v>
      </c>
      <c r="P1041" t="s">
        <v>86</v>
      </c>
      <c r="Q1041" t="s">
        <v>34</v>
      </c>
    </row>
    <row r="1042" spans="1:17">
      <c r="A1042" t="s">
        <v>1776</v>
      </c>
      <c r="B1042" s="1" t="s">
        <v>1765</v>
      </c>
      <c r="C1042" s="1" t="s">
        <v>1693</v>
      </c>
      <c r="D1042" s="1" t="s">
        <v>20</v>
      </c>
      <c r="E1042" t="s">
        <v>638</v>
      </c>
      <c r="F1042" t="s">
        <v>335</v>
      </c>
      <c r="G1042" t="s">
        <v>38</v>
      </c>
      <c r="H1042" t="s">
        <v>46</v>
      </c>
      <c r="I1042" t="s">
        <v>154</v>
      </c>
      <c r="J1042">
        <v>1</v>
      </c>
      <c r="K1042">
        <v>299</v>
      </c>
      <c r="L1042">
        <f>Table1[[#This Row],[Quantity]] * Table1[[#This Row],[UnitPrice]]</f>
        <v>299</v>
      </c>
      <c r="M1042" s="25">
        <v>5</v>
      </c>
      <c r="N1042">
        <f>Table1[[#This Row],[Revenue]]*Table1[[#This Row],[Discount%]]/100</f>
        <v>14.95</v>
      </c>
      <c r="O1042" s="6">
        <f>Table1[[#This Row],[Revenue]]-Table1[[#This Row],[Disc_amount]]</f>
        <v>284.05</v>
      </c>
      <c r="P1042" t="s">
        <v>52</v>
      </c>
      <c r="Q1042" t="s">
        <v>27</v>
      </c>
    </row>
    <row r="1043" spans="1:17">
      <c r="A1043" t="s">
        <v>1777</v>
      </c>
      <c r="B1043" s="1" t="s">
        <v>1765</v>
      </c>
      <c r="C1043" s="1" t="s">
        <v>1693</v>
      </c>
      <c r="D1043" s="1" t="s">
        <v>20</v>
      </c>
      <c r="E1043" t="s">
        <v>510</v>
      </c>
      <c r="F1043" t="s">
        <v>425</v>
      </c>
      <c r="G1043" t="s">
        <v>23</v>
      </c>
      <c r="H1043" t="s">
        <v>70</v>
      </c>
      <c r="I1043" t="s">
        <v>91</v>
      </c>
      <c r="J1043">
        <v>1</v>
      </c>
      <c r="K1043">
        <v>549</v>
      </c>
      <c r="L1043">
        <f>Table1[[#This Row],[Quantity]] * Table1[[#This Row],[UnitPrice]]</f>
        <v>549</v>
      </c>
      <c r="M1043" s="25">
        <v>30</v>
      </c>
      <c r="N1043">
        <f>Table1[[#This Row],[Revenue]]*Table1[[#This Row],[Discount%]]/100</f>
        <v>164.7</v>
      </c>
      <c r="O1043" s="6">
        <f>Table1[[#This Row],[Revenue]]-Table1[[#This Row],[Disc_amount]]</f>
        <v>384.3</v>
      </c>
      <c r="P1043" t="s">
        <v>41</v>
      </c>
      <c r="Q1043" t="s">
        <v>34</v>
      </c>
    </row>
    <row r="1044" spans="1:17">
      <c r="A1044" t="s">
        <v>1778</v>
      </c>
      <c r="B1044" s="1" t="s">
        <v>1779</v>
      </c>
      <c r="C1044" s="1" t="s">
        <v>1693</v>
      </c>
      <c r="D1044" s="1" t="s">
        <v>20</v>
      </c>
      <c r="E1044" t="s">
        <v>599</v>
      </c>
      <c r="F1044" t="s">
        <v>600</v>
      </c>
      <c r="G1044" t="s">
        <v>23</v>
      </c>
      <c r="H1044" t="s">
        <v>24</v>
      </c>
      <c r="I1044" t="s">
        <v>25</v>
      </c>
      <c r="J1044">
        <v>4</v>
      </c>
      <c r="K1044">
        <v>99</v>
      </c>
      <c r="L1044">
        <f>Table1[[#This Row],[Quantity]] * Table1[[#This Row],[UnitPrice]]</f>
        <v>396</v>
      </c>
      <c r="M1044" s="25">
        <v>5</v>
      </c>
      <c r="N1044">
        <f>Table1[[#This Row],[Revenue]]*Table1[[#This Row],[Discount%]]/100</f>
        <v>19.8</v>
      </c>
      <c r="O1044" s="6">
        <f>Table1[[#This Row],[Revenue]]-Table1[[#This Row],[Disc_amount]]</f>
        <v>376.2</v>
      </c>
      <c r="P1044" t="s">
        <v>41</v>
      </c>
      <c r="Q1044" t="s">
        <v>27</v>
      </c>
    </row>
    <row r="1045" spans="1:17">
      <c r="A1045" t="s">
        <v>1780</v>
      </c>
      <c r="B1045" s="1" t="s">
        <v>1779</v>
      </c>
      <c r="C1045" s="1" t="s">
        <v>1693</v>
      </c>
      <c r="D1045" s="1" t="s">
        <v>20</v>
      </c>
      <c r="E1045" t="s">
        <v>539</v>
      </c>
      <c r="F1045" t="s">
        <v>298</v>
      </c>
      <c r="G1045" t="s">
        <v>31</v>
      </c>
      <c r="H1045" t="s">
        <v>57</v>
      </c>
      <c r="I1045" t="s">
        <v>58</v>
      </c>
      <c r="J1045">
        <v>2</v>
      </c>
      <c r="K1045">
        <v>1299</v>
      </c>
      <c r="L1045">
        <f>Table1[[#This Row],[Quantity]] * Table1[[#This Row],[UnitPrice]]</f>
        <v>2598</v>
      </c>
      <c r="M1045" s="25">
        <v>10</v>
      </c>
      <c r="N1045">
        <f>Table1[[#This Row],[Revenue]]*Table1[[#This Row],[Discount%]]/100</f>
        <v>259.8</v>
      </c>
      <c r="O1045" s="6">
        <f>Table1[[#This Row],[Revenue]]-Table1[[#This Row],[Disc_amount]]</f>
        <v>2338.1999999999998</v>
      </c>
      <c r="P1045" t="s">
        <v>33</v>
      </c>
      <c r="Q1045" t="s">
        <v>27</v>
      </c>
    </row>
    <row r="1046" spans="1:17">
      <c r="A1046" t="s">
        <v>1781</v>
      </c>
      <c r="B1046" s="1" t="s">
        <v>1779</v>
      </c>
      <c r="C1046" s="1" t="s">
        <v>1693</v>
      </c>
      <c r="D1046" s="1" t="s">
        <v>20</v>
      </c>
      <c r="E1046" t="s">
        <v>29</v>
      </c>
      <c r="F1046" t="s">
        <v>30</v>
      </c>
      <c r="G1046" t="s">
        <v>31</v>
      </c>
      <c r="H1046" t="s">
        <v>39</v>
      </c>
      <c r="I1046" t="s">
        <v>51</v>
      </c>
      <c r="J1046">
        <v>2</v>
      </c>
      <c r="K1046">
        <v>2999</v>
      </c>
      <c r="L1046">
        <f>Table1[[#This Row],[Quantity]] * Table1[[#This Row],[UnitPrice]]</f>
        <v>5998</v>
      </c>
      <c r="M1046" s="25">
        <v>0</v>
      </c>
      <c r="N1046">
        <f>Table1[[#This Row],[Revenue]]*Table1[[#This Row],[Discount%]]/100</f>
        <v>0</v>
      </c>
      <c r="O1046" s="6">
        <f>Table1[[#This Row],[Revenue]]-Table1[[#This Row],[Disc_amount]]</f>
        <v>5998</v>
      </c>
      <c r="P1046" t="s">
        <v>33</v>
      </c>
      <c r="Q1046" t="s">
        <v>27</v>
      </c>
    </row>
    <row r="1047" spans="1:17">
      <c r="A1047" t="s">
        <v>1782</v>
      </c>
      <c r="B1047" s="1" t="s">
        <v>1779</v>
      </c>
      <c r="C1047" s="1" t="s">
        <v>1693</v>
      </c>
      <c r="D1047" s="1" t="s">
        <v>20</v>
      </c>
      <c r="E1047" t="s">
        <v>1783</v>
      </c>
      <c r="F1047" t="s">
        <v>623</v>
      </c>
      <c r="G1047" t="s">
        <v>38</v>
      </c>
      <c r="H1047" t="s">
        <v>24</v>
      </c>
      <c r="I1047" t="s">
        <v>32</v>
      </c>
      <c r="J1047">
        <v>1</v>
      </c>
      <c r="K1047">
        <v>199</v>
      </c>
      <c r="L1047">
        <f>Table1[[#This Row],[Quantity]] * Table1[[#This Row],[UnitPrice]]</f>
        <v>199</v>
      </c>
      <c r="M1047" s="25">
        <v>5</v>
      </c>
      <c r="N1047">
        <f>Table1[[#This Row],[Revenue]]*Table1[[#This Row],[Discount%]]/100</f>
        <v>9.9499999999999993</v>
      </c>
      <c r="O1047" s="6">
        <f>Table1[[#This Row],[Revenue]]-Table1[[#This Row],[Disc_amount]]</f>
        <v>189.05</v>
      </c>
      <c r="P1047" t="s">
        <v>26</v>
      </c>
      <c r="Q1047" t="s">
        <v>27</v>
      </c>
    </row>
    <row r="1048" spans="1:17">
      <c r="A1048" t="s">
        <v>1784</v>
      </c>
      <c r="B1048" s="1" t="s">
        <v>1779</v>
      </c>
      <c r="C1048" s="1" t="s">
        <v>1693</v>
      </c>
      <c r="D1048" s="1" t="s">
        <v>20</v>
      </c>
      <c r="E1048" t="s">
        <v>867</v>
      </c>
      <c r="F1048" t="s">
        <v>617</v>
      </c>
      <c r="G1048" t="s">
        <v>56</v>
      </c>
      <c r="H1048" t="s">
        <v>46</v>
      </c>
      <c r="I1048" t="s">
        <v>154</v>
      </c>
      <c r="J1048">
        <v>2</v>
      </c>
      <c r="K1048">
        <v>299</v>
      </c>
      <c r="L1048">
        <f>Table1[[#This Row],[Quantity]] * Table1[[#This Row],[UnitPrice]]</f>
        <v>598</v>
      </c>
      <c r="M1048" s="25">
        <v>5</v>
      </c>
      <c r="N1048">
        <f>Table1[[#This Row],[Revenue]]*Table1[[#This Row],[Discount%]]/100</f>
        <v>29.9</v>
      </c>
      <c r="O1048" s="6">
        <f>Table1[[#This Row],[Revenue]]-Table1[[#This Row],[Disc_amount]]</f>
        <v>568.1</v>
      </c>
      <c r="P1048" t="s">
        <v>52</v>
      </c>
      <c r="Q1048" t="s">
        <v>34</v>
      </c>
    </row>
    <row r="1049" spans="1:17">
      <c r="A1049" t="s">
        <v>1785</v>
      </c>
      <c r="B1049" s="1" t="s">
        <v>1779</v>
      </c>
      <c r="C1049" s="1" t="s">
        <v>1693</v>
      </c>
      <c r="D1049" s="1" t="s">
        <v>20</v>
      </c>
      <c r="E1049" t="s">
        <v>1291</v>
      </c>
      <c r="F1049" t="s">
        <v>1292</v>
      </c>
      <c r="G1049" t="s">
        <v>31</v>
      </c>
      <c r="H1049" t="s">
        <v>39</v>
      </c>
      <c r="I1049" t="s">
        <v>51</v>
      </c>
      <c r="J1049">
        <v>2</v>
      </c>
      <c r="K1049">
        <v>2999</v>
      </c>
      <c r="L1049">
        <f>Table1[[#This Row],[Quantity]] * Table1[[#This Row],[UnitPrice]]</f>
        <v>5998</v>
      </c>
      <c r="M1049" s="25">
        <v>20</v>
      </c>
      <c r="N1049">
        <f>Table1[[#This Row],[Revenue]]*Table1[[#This Row],[Discount%]]/100</f>
        <v>1199.5999999999999</v>
      </c>
      <c r="O1049" s="6">
        <f>Table1[[#This Row],[Revenue]]-Table1[[#This Row],[Disc_amount]]</f>
        <v>4798.3999999999996</v>
      </c>
      <c r="P1049" t="s">
        <v>41</v>
      </c>
      <c r="Q1049" t="s">
        <v>34</v>
      </c>
    </row>
    <row r="1050" spans="1:17">
      <c r="A1050" t="s">
        <v>1786</v>
      </c>
      <c r="B1050" s="1" t="s">
        <v>1779</v>
      </c>
      <c r="C1050" s="1" t="s">
        <v>1693</v>
      </c>
      <c r="D1050" s="1" t="s">
        <v>20</v>
      </c>
      <c r="E1050" t="s">
        <v>1165</v>
      </c>
      <c r="F1050" t="s">
        <v>272</v>
      </c>
      <c r="G1050" t="s">
        <v>56</v>
      </c>
      <c r="H1050" t="s">
        <v>39</v>
      </c>
      <c r="I1050" t="s">
        <v>51</v>
      </c>
      <c r="J1050">
        <v>2</v>
      </c>
      <c r="K1050">
        <v>2999</v>
      </c>
      <c r="L1050">
        <f>Table1[[#This Row],[Quantity]] * Table1[[#This Row],[UnitPrice]]</f>
        <v>5998</v>
      </c>
      <c r="M1050" s="25">
        <v>30</v>
      </c>
      <c r="N1050">
        <f>Table1[[#This Row],[Revenue]]*Table1[[#This Row],[Discount%]]/100</f>
        <v>1799.4</v>
      </c>
      <c r="O1050" s="6">
        <f>Table1[[#This Row],[Revenue]]-Table1[[#This Row],[Disc_amount]]</f>
        <v>4198.6000000000004</v>
      </c>
      <c r="P1050" t="s">
        <v>41</v>
      </c>
      <c r="Q1050" t="s">
        <v>34</v>
      </c>
    </row>
    <row r="1051" spans="1:17">
      <c r="A1051" t="s">
        <v>1787</v>
      </c>
      <c r="B1051" s="1" t="s">
        <v>1779</v>
      </c>
      <c r="C1051" s="1" t="s">
        <v>1693</v>
      </c>
      <c r="D1051" s="1" t="s">
        <v>20</v>
      </c>
      <c r="E1051" t="s">
        <v>190</v>
      </c>
      <c r="F1051" t="s">
        <v>191</v>
      </c>
      <c r="G1051" t="s">
        <v>38</v>
      </c>
      <c r="H1051" t="s">
        <v>65</v>
      </c>
      <c r="I1051" t="s">
        <v>98</v>
      </c>
      <c r="J1051">
        <v>2</v>
      </c>
      <c r="K1051">
        <v>499</v>
      </c>
      <c r="L1051">
        <f>Table1[[#This Row],[Quantity]] * Table1[[#This Row],[UnitPrice]]</f>
        <v>998</v>
      </c>
      <c r="M1051" s="25">
        <v>20</v>
      </c>
      <c r="N1051">
        <f>Table1[[#This Row],[Revenue]]*Table1[[#This Row],[Discount%]]/100</f>
        <v>199.6</v>
      </c>
      <c r="O1051" s="6">
        <f>Table1[[#This Row],[Revenue]]-Table1[[#This Row],[Disc_amount]]</f>
        <v>798.4</v>
      </c>
      <c r="P1051" t="s">
        <v>41</v>
      </c>
      <c r="Q1051" t="s">
        <v>34</v>
      </c>
    </row>
    <row r="1052" spans="1:17">
      <c r="A1052" t="s">
        <v>1788</v>
      </c>
      <c r="B1052" s="1" t="s">
        <v>1789</v>
      </c>
      <c r="C1052" s="1" t="s">
        <v>1693</v>
      </c>
      <c r="D1052" s="1" t="s">
        <v>20</v>
      </c>
      <c r="E1052" t="s">
        <v>247</v>
      </c>
      <c r="F1052" t="s">
        <v>248</v>
      </c>
      <c r="G1052" t="s">
        <v>31</v>
      </c>
      <c r="H1052" t="s">
        <v>46</v>
      </c>
      <c r="I1052" t="s">
        <v>154</v>
      </c>
      <c r="J1052">
        <v>1</v>
      </c>
      <c r="K1052">
        <v>299</v>
      </c>
      <c r="L1052">
        <f>Table1[[#This Row],[Quantity]] * Table1[[#This Row],[UnitPrice]]</f>
        <v>299</v>
      </c>
      <c r="M1052" s="25">
        <v>25</v>
      </c>
      <c r="N1052">
        <f>Table1[[#This Row],[Revenue]]*Table1[[#This Row],[Discount%]]/100</f>
        <v>74.75</v>
      </c>
      <c r="O1052" s="6">
        <f>Table1[[#This Row],[Revenue]]-Table1[[#This Row],[Disc_amount]]</f>
        <v>224.25</v>
      </c>
      <c r="P1052" t="s">
        <v>26</v>
      </c>
      <c r="Q1052" t="s">
        <v>27</v>
      </c>
    </row>
    <row r="1053" spans="1:17">
      <c r="A1053" t="s">
        <v>1790</v>
      </c>
      <c r="B1053" s="1" t="s">
        <v>1789</v>
      </c>
      <c r="C1053" s="1" t="s">
        <v>1693</v>
      </c>
      <c r="D1053" s="1" t="s">
        <v>20</v>
      </c>
      <c r="E1053" t="s">
        <v>847</v>
      </c>
      <c r="F1053" t="s">
        <v>675</v>
      </c>
      <c r="G1053" t="s">
        <v>56</v>
      </c>
      <c r="H1053" t="s">
        <v>108</v>
      </c>
      <c r="I1053" t="s">
        <v>130</v>
      </c>
      <c r="J1053">
        <v>1</v>
      </c>
      <c r="K1053">
        <v>699</v>
      </c>
      <c r="L1053">
        <f>Table1[[#This Row],[Quantity]] * Table1[[#This Row],[UnitPrice]]</f>
        <v>699</v>
      </c>
      <c r="M1053" s="25">
        <v>25</v>
      </c>
      <c r="N1053">
        <f>Table1[[#This Row],[Revenue]]*Table1[[#This Row],[Discount%]]/100</f>
        <v>174.75</v>
      </c>
      <c r="O1053" s="6">
        <f>Table1[[#This Row],[Revenue]]-Table1[[#This Row],[Disc_amount]]</f>
        <v>524.25</v>
      </c>
      <c r="P1053" t="s">
        <v>41</v>
      </c>
      <c r="Q1053" t="s">
        <v>27</v>
      </c>
    </row>
    <row r="1054" spans="1:17">
      <c r="A1054" t="s">
        <v>1791</v>
      </c>
      <c r="B1054" s="1" t="s">
        <v>1789</v>
      </c>
      <c r="C1054" s="1" t="s">
        <v>1693</v>
      </c>
      <c r="D1054" s="1" t="s">
        <v>20</v>
      </c>
      <c r="E1054" t="s">
        <v>238</v>
      </c>
      <c r="F1054" t="s">
        <v>239</v>
      </c>
      <c r="G1054" t="s">
        <v>56</v>
      </c>
      <c r="H1054" t="s">
        <v>70</v>
      </c>
      <c r="I1054" t="s">
        <v>71</v>
      </c>
      <c r="J1054">
        <v>2</v>
      </c>
      <c r="K1054">
        <v>349</v>
      </c>
      <c r="L1054">
        <f>Table1[[#This Row],[Quantity]] * Table1[[#This Row],[UnitPrice]]</f>
        <v>698</v>
      </c>
      <c r="M1054" s="25">
        <v>0</v>
      </c>
      <c r="N1054">
        <f>Table1[[#This Row],[Revenue]]*Table1[[#This Row],[Discount%]]/100</f>
        <v>0</v>
      </c>
      <c r="O1054" s="6">
        <f>Table1[[#This Row],[Revenue]]-Table1[[#This Row],[Disc_amount]]</f>
        <v>698</v>
      </c>
      <c r="P1054" t="s">
        <v>41</v>
      </c>
      <c r="Q1054" t="s">
        <v>27</v>
      </c>
    </row>
    <row r="1055" spans="1:17">
      <c r="A1055" t="s">
        <v>1792</v>
      </c>
      <c r="B1055" s="1" t="s">
        <v>1789</v>
      </c>
      <c r="C1055" s="1" t="s">
        <v>1693</v>
      </c>
      <c r="D1055" s="1" t="s">
        <v>20</v>
      </c>
      <c r="E1055" t="s">
        <v>401</v>
      </c>
      <c r="F1055" t="s">
        <v>355</v>
      </c>
      <c r="G1055" t="s">
        <v>56</v>
      </c>
      <c r="H1055" t="s">
        <v>108</v>
      </c>
      <c r="I1055" t="s">
        <v>109</v>
      </c>
      <c r="J1055">
        <v>1</v>
      </c>
      <c r="K1055">
        <v>1499</v>
      </c>
      <c r="L1055">
        <f>Table1[[#This Row],[Quantity]] * Table1[[#This Row],[UnitPrice]]</f>
        <v>1499</v>
      </c>
      <c r="M1055" s="25">
        <v>20</v>
      </c>
      <c r="N1055">
        <f>Table1[[#This Row],[Revenue]]*Table1[[#This Row],[Discount%]]/100</f>
        <v>299.8</v>
      </c>
      <c r="O1055" s="6">
        <f>Table1[[#This Row],[Revenue]]-Table1[[#This Row],[Disc_amount]]</f>
        <v>1199.2</v>
      </c>
      <c r="P1055" t="s">
        <v>86</v>
      </c>
      <c r="Q1055" t="s">
        <v>27</v>
      </c>
    </row>
    <row r="1056" spans="1:17">
      <c r="A1056" t="s">
        <v>1793</v>
      </c>
      <c r="B1056" s="1" t="s">
        <v>1789</v>
      </c>
      <c r="C1056" s="1" t="s">
        <v>1693</v>
      </c>
      <c r="D1056" s="1" t="s">
        <v>20</v>
      </c>
      <c r="E1056" t="s">
        <v>1549</v>
      </c>
      <c r="F1056" t="s">
        <v>562</v>
      </c>
      <c r="G1056" t="s">
        <v>38</v>
      </c>
      <c r="H1056" t="s">
        <v>65</v>
      </c>
      <c r="I1056" t="s">
        <v>66</v>
      </c>
      <c r="J1056">
        <v>1</v>
      </c>
      <c r="K1056">
        <v>1999</v>
      </c>
      <c r="L1056">
        <f>Table1[[#This Row],[Quantity]] * Table1[[#This Row],[UnitPrice]]</f>
        <v>1999</v>
      </c>
      <c r="M1056" s="25">
        <v>10</v>
      </c>
      <c r="N1056">
        <f>Table1[[#This Row],[Revenue]]*Table1[[#This Row],[Discount%]]/100</f>
        <v>199.9</v>
      </c>
      <c r="O1056" s="6">
        <f>Table1[[#This Row],[Revenue]]-Table1[[#This Row],[Disc_amount]]</f>
        <v>1799.1</v>
      </c>
      <c r="P1056" t="s">
        <v>41</v>
      </c>
      <c r="Q1056" t="s">
        <v>34</v>
      </c>
    </row>
    <row r="1057" spans="1:17">
      <c r="A1057" t="s">
        <v>1794</v>
      </c>
      <c r="B1057" s="1" t="s">
        <v>1789</v>
      </c>
      <c r="C1057" s="1" t="s">
        <v>1693</v>
      </c>
      <c r="D1057" s="1" t="s">
        <v>20</v>
      </c>
      <c r="E1057" t="s">
        <v>477</v>
      </c>
      <c r="F1057" t="s">
        <v>478</v>
      </c>
      <c r="G1057" t="s">
        <v>56</v>
      </c>
      <c r="H1057" t="s">
        <v>57</v>
      </c>
      <c r="I1057" t="s">
        <v>62</v>
      </c>
      <c r="J1057">
        <v>2</v>
      </c>
      <c r="K1057">
        <v>799</v>
      </c>
      <c r="L1057">
        <f>Table1[[#This Row],[Quantity]] * Table1[[#This Row],[UnitPrice]]</f>
        <v>1598</v>
      </c>
      <c r="M1057" s="25">
        <v>20</v>
      </c>
      <c r="N1057">
        <f>Table1[[#This Row],[Revenue]]*Table1[[#This Row],[Discount%]]/100</f>
        <v>319.60000000000002</v>
      </c>
      <c r="O1057" s="6">
        <f>Table1[[#This Row],[Revenue]]-Table1[[#This Row],[Disc_amount]]</f>
        <v>1278.4000000000001</v>
      </c>
      <c r="P1057" t="s">
        <v>86</v>
      </c>
      <c r="Q1057" t="s">
        <v>34</v>
      </c>
    </row>
    <row r="1058" spans="1:17">
      <c r="A1058" t="s">
        <v>1795</v>
      </c>
      <c r="B1058" s="1" t="s">
        <v>1789</v>
      </c>
      <c r="C1058" s="1" t="s">
        <v>1693</v>
      </c>
      <c r="D1058" s="1" t="s">
        <v>20</v>
      </c>
      <c r="E1058" t="s">
        <v>222</v>
      </c>
      <c r="F1058" t="s">
        <v>166</v>
      </c>
      <c r="G1058" t="s">
        <v>31</v>
      </c>
      <c r="H1058" t="s">
        <v>57</v>
      </c>
      <c r="I1058" t="s">
        <v>62</v>
      </c>
      <c r="J1058">
        <v>3</v>
      </c>
      <c r="K1058">
        <v>799</v>
      </c>
      <c r="L1058">
        <f>Table1[[#This Row],[Quantity]] * Table1[[#This Row],[UnitPrice]]</f>
        <v>2397</v>
      </c>
      <c r="M1058" s="25">
        <v>20</v>
      </c>
      <c r="N1058">
        <f>Table1[[#This Row],[Revenue]]*Table1[[#This Row],[Discount%]]/100</f>
        <v>479.4</v>
      </c>
      <c r="O1058" s="6">
        <f>Table1[[#This Row],[Revenue]]-Table1[[#This Row],[Disc_amount]]</f>
        <v>1917.6</v>
      </c>
      <c r="P1058" t="s">
        <v>26</v>
      </c>
      <c r="Q1058" t="s">
        <v>27</v>
      </c>
    </row>
    <row r="1059" spans="1:17">
      <c r="A1059" t="s">
        <v>1796</v>
      </c>
      <c r="B1059" s="1" t="s">
        <v>1789</v>
      </c>
      <c r="C1059" s="1" t="s">
        <v>1693</v>
      </c>
      <c r="D1059" s="1" t="s">
        <v>20</v>
      </c>
      <c r="E1059" t="s">
        <v>545</v>
      </c>
      <c r="F1059" t="s">
        <v>546</v>
      </c>
      <c r="G1059" t="s">
        <v>45</v>
      </c>
      <c r="H1059" t="s">
        <v>65</v>
      </c>
      <c r="I1059" t="s">
        <v>98</v>
      </c>
      <c r="J1059">
        <v>3</v>
      </c>
      <c r="K1059">
        <v>499</v>
      </c>
      <c r="L1059">
        <f>Table1[[#This Row],[Quantity]] * Table1[[#This Row],[UnitPrice]]</f>
        <v>1497</v>
      </c>
      <c r="M1059" s="25">
        <v>30</v>
      </c>
      <c r="N1059">
        <f>Table1[[#This Row],[Revenue]]*Table1[[#This Row],[Discount%]]/100</f>
        <v>449.1</v>
      </c>
      <c r="O1059" s="6">
        <f>Table1[[#This Row],[Revenue]]-Table1[[#This Row],[Disc_amount]]</f>
        <v>1047.9000000000001</v>
      </c>
      <c r="P1059" t="s">
        <v>52</v>
      </c>
      <c r="Q1059" t="s">
        <v>27</v>
      </c>
    </row>
    <row r="1060" spans="1:17">
      <c r="A1060" t="s">
        <v>1797</v>
      </c>
      <c r="B1060" s="1" t="s">
        <v>1798</v>
      </c>
      <c r="C1060" s="1" t="s">
        <v>1693</v>
      </c>
      <c r="D1060" s="1" t="s">
        <v>20</v>
      </c>
      <c r="E1060" t="s">
        <v>899</v>
      </c>
      <c r="F1060" t="s">
        <v>900</v>
      </c>
      <c r="G1060" t="s">
        <v>31</v>
      </c>
      <c r="H1060" t="s">
        <v>24</v>
      </c>
      <c r="I1060" t="s">
        <v>25</v>
      </c>
      <c r="J1060">
        <v>3</v>
      </c>
      <c r="K1060">
        <v>99</v>
      </c>
      <c r="L1060">
        <f>Table1[[#This Row],[Quantity]] * Table1[[#This Row],[UnitPrice]]</f>
        <v>297</v>
      </c>
      <c r="M1060" s="25">
        <v>10</v>
      </c>
      <c r="N1060">
        <f>Table1[[#This Row],[Revenue]]*Table1[[#This Row],[Discount%]]/100</f>
        <v>29.7</v>
      </c>
      <c r="O1060" s="6">
        <f>Table1[[#This Row],[Revenue]]-Table1[[#This Row],[Disc_amount]]</f>
        <v>267.3</v>
      </c>
      <c r="P1060" t="s">
        <v>26</v>
      </c>
      <c r="Q1060" t="s">
        <v>34</v>
      </c>
    </row>
    <row r="1061" spans="1:17">
      <c r="A1061" t="s">
        <v>1799</v>
      </c>
      <c r="B1061" s="1" t="s">
        <v>1798</v>
      </c>
      <c r="C1061" s="1" t="s">
        <v>1693</v>
      </c>
      <c r="D1061" s="1" t="s">
        <v>20</v>
      </c>
      <c r="E1061" t="s">
        <v>555</v>
      </c>
      <c r="F1061" t="s">
        <v>384</v>
      </c>
      <c r="G1061" t="s">
        <v>31</v>
      </c>
      <c r="H1061" t="s">
        <v>24</v>
      </c>
      <c r="I1061" t="s">
        <v>25</v>
      </c>
      <c r="J1061">
        <v>1</v>
      </c>
      <c r="K1061">
        <v>99</v>
      </c>
      <c r="L1061">
        <f>Table1[[#This Row],[Quantity]] * Table1[[#This Row],[UnitPrice]]</f>
        <v>99</v>
      </c>
      <c r="M1061" s="25">
        <v>0</v>
      </c>
      <c r="N1061">
        <f>Table1[[#This Row],[Revenue]]*Table1[[#This Row],[Discount%]]/100</f>
        <v>0</v>
      </c>
      <c r="O1061" s="6">
        <f>Table1[[#This Row],[Revenue]]-Table1[[#This Row],[Disc_amount]]</f>
        <v>99</v>
      </c>
      <c r="P1061" t="s">
        <v>33</v>
      </c>
      <c r="Q1061" t="s">
        <v>27</v>
      </c>
    </row>
    <row r="1062" spans="1:17">
      <c r="A1062" t="s">
        <v>1800</v>
      </c>
      <c r="B1062" s="1" t="s">
        <v>1798</v>
      </c>
      <c r="C1062" s="1" t="s">
        <v>1693</v>
      </c>
      <c r="D1062" s="1" t="s">
        <v>20</v>
      </c>
      <c r="E1062" t="s">
        <v>1201</v>
      </c>
      <c r="F1062" t="s">
        <v>323</v>
      </c>
      <c r="G1062" t="s">
        <v>56</v>
      </c>
      <c r="H1062" t="s">
        <v>70</v>
      </c>
      <c r="I1062" t="s">
        <v>71</v>
      </c>
      <c r="J1062">
        <v>2</v>
      </c>
      <c r="K1062">
        <v>349</v>
      </c>
      <c r="L1062">
        <f>Table1[[#This Row],[Quantity]] * Table1[[#This Row],[UnitPrice]]</f>
        <v>698</v>
      </c>
      <c r="M1062" s="25">
        <v>25</v>
      </c>
      <c r="N1062">
        <f>Table1[[#This Row],[Revenue]]*Table1[[#This Row],[Discount%]]/100</f>
        <v>174.5</v>
      </c>
      <c r="O1062" s="6">
        <f>Table1[[#This Row],[Revenue]]-Table1[[#This Row],[Disc_amount]]</f>
        <v>523.5</v>
      </c>
      <c r="P1062" t="s">
        <v>26</v>
      </c>
      <c r="Q1062" t="s">
        <v>34</v>
      </c>
    </row>
    <row r="1063" spans="1:17">
      <c r="A1063" t="s">
        <v>1801</v>
      </c>
      <c r="B1063" s="1" t="s">
        <v>1798</v>
      </c>
      <c r="C1063" s="1" t="s">
        <v>1693</v>
      </c>
      <c r="D1063" s="1" t="s">
        <v>20</v>
      </c>
      <c r="E1063" t="s">
        <v>175</v>
      </c>
      <c r="F1063" t="s">
        <v>176</v>
      </c>
      <c r="G1063" t="s">
        <v>31</v>
      </c>
      <c r="H1063" t="s">
        <v>70</v>
      </c>
      <c r="I1063" t="s">
        <v>71</v>
      </c>
      <c r="J1063">
        <v>1</v>
      </c>
      <c r="K1063">
        <v>349</v>
      </c>
      <c r="L1063">
        <f>Table1[[#This Row],[Quantity]] * Table1[[#This Row],[UnitPrice]]</f>
        <v>349</v>
      </c>
      <c r="M1063" s="25">
        <v>20</v>
      </c>
      <c r="N1063">
        <f>Table1[[#This Row],[Revenue]]*Table1[[#This Row],[Discount%]]/100</f>
        <v>69.8</v>
      </c>
      <c r="O1063" s="6">
        <f>Table1[[#This Row],[Revenue]]-Table1[[#This Row],[Disc_amount]]</f>
        <v>279.2</v>
      </c>
      <c r="P1063" t="s">
        <v>41</v>
      </c>
      <c r="Q1063" t="s">
        <v>27</v>
      </c>
    </row>
    <row r="1064" spans="1:17">
      <c r="A1064" t="s">
        <v>1802</v>
      </c>
      <c r="B1064" s="1" t="s">
        <v>1798</v>
      </c>
      <c r="C1064" s="1" t="s">
        <v>1693</v>
      </c>
      <c r="D1064" s="1" t="s">
        <v>20</v>
      </c>
      <c r="E1064" t="s">
        <v>1803</v>
      </c>
      <c r="F1064" t="s">
        <v>1463</v>
      </c>
      <c r="G1064" t="s">
        <v>23</v>
      </c>
      <c r="H1064" t="s">
        <v>24</v>
      </c>
      <c r="I1064" t="s">
        <v>25</v>
      </c>
      <c r="J1064">
        <v>5</v>
      </c>
      <c r="K1064">
        <v>99</v>
      </c>
      <c r="L1064">
        <f>Table1[[#This Row],[Quantity]] * Table1[[#This Row],[UnitPrice]]</f>
        <v>495</v>
      </c>
      <c r="M1064" s="25">
        <v>20</v>
      </c>
      <c r="N1064">
        <f>Table1[[#This Row],[Revenue]]*Table1[[#This Row],[Discount%]]/100</f>
        <v>99</v>
      </c>
      <c r="O1064" s="6">
        <f>Table1[[#This Row],[Revenue]]-Table1[[#This Row],[Disc_amount]]</f>
        <v>396</v>
      </c>
      <c r="P1064" t="s">
        <v>26</v>
      </c>
      <c r="Q1064" t="s">
        <v>34</v>
      </c>
    </row>
    <row r="1065" spans="1:17">
      <c r="A1065" t="s">
        <v>1804</v>
      </c>
      <c r="B1065" s="1" t="s">
        <v>1798</v>
      </c>
      <c r="C1065" s="1" t="s">
        <v>1693</v>
      </c>
      <c r="D1065" s="1" t="s">
        <v>20</v>
      </c>
      <c r="E1065" t="s">
        <v>319</v>
      </c>
      <c r="F1065" t="s">
        <v>213</v>
      </c>
      <c r="G1065" t="s">
        <v>45</v>
      </c>
      <c r="H1065" t="s">
        <v>65</v>
      </c>
      <c r="I1065" t="s">
        <v>66</v>
      </c>
      <c r="J1065">
        <v>1</v>
      </c>
      <c r="K1065">
        <v>1999</v>
      </c>
      <c r="L1065">
        <f>Table1[[#This Row],[Quantity]] * Table1[[#This Row],[UnitPrice]]</f>
        <v>1999</v>
      </c>
      <c r="M1065" s="25">
        <v>15</v>
      </c>
      <c r="N1065">
        <f>Table1[[#This Row],[Revenue]]*Table1[[#This Row],[Discount%]]/100</f>
        <v>299.85000000000002</v>
      </c>
      <c r="O1065" s="6">
        <f>Table1[[#This Row],[Revenue]]-Table1[[#This Row],[Disc_amount]]</f>
        <v>1699.15</v>
      </c>
      <c r="P1065" t="s">
        <v>41</v>
      </c>
      <c r="Q1065" t="s">
        <v>34</v>
      </c>
    </row>
    <row r="1066" spans="1:17">
      <c r="A1066" t="s">
        <v>1805</v>
      </c>
      <c r="B1066" s="1" t="s">
        <v>1798</v>
      </c>
      <c r="C1066" s="1" t="s">
        <v>1693</v>
      </c>
      <c r="D1066" s="1" t="s">
        <v>20</v>
      </c>
      <c r="E1066" t="s">
        <v>310</v>
      </c>
      <c r="F1066" t="s">
        <v>311</v>
      </c>
      <c r="G1066" t="s">
        <v>45</v>
      </c>
      <c r="H1066" t="s">
        <v>39</v>
      </c>
      <c r="I1066" t="s">
        <v>51</v>
      </c>
      <c r="J1066">
        <v>1</v>
      </c>
      <c r="K1066">
        <v>2999</v>
      </c>
      <c r="L1066">
        <f>Table1[[#This Row],[Quantity]] * Table1[[#This Row],[UnitPrice]]</f>
        <v>2999</v>
      </c>
      <c r="M1066" s="25">
        <v>5</v>
      </c>
      <c r="N1066">
        <f>Table1[[#This Row],[Revenue]]*Table1[[#This Row],[Discount%]]/100</f>
        <v>149.94999999999999</v>
      </c>
      <c r="O1066" s="6">
        <f>Table1[[#This Row],[Revenue]]-Table1[[#This Row],[Disc_amount]]</f>
        <v>2849.05</v>
      </c>
      <c r="P1066" t="s">
        <v>86</v>
      </c>
      <c r="Q1066" t="s">
        <v>34</v>
      </c>
    </row>
    <row r="1067" spans="1:17">
      <c r="A1067" t="s">
        <v>1806</v>
      </c>
      <c r="B1067" s="1" t="s">
        <v>1798</v>
      </c>
      <c r="C1067" s="1" t="s">
        <v>1693</v>
      </c>
      <c r="D1067" s="1" t="s">
        <v>20</v>
      </c>
      <c r="E1067" t="s">
        <v>1201</v>
      </c>
      <c r="F1067" t="s">
        <v>323</v>
      </c>
      <c r="G1067" t="s">
        <v>31</v>
      </c>
      <c r="H1067" t="s">
        <v>39</v>
      </c>
      <c r="I1067" t="s">
        <v>51</v>
      </c>
      <c r="J1067">
        <v>1</v>
      </c>
      <c r="K1067">
        <v>2999</v>
      </c>
      <c r="L1067">
        <f>Table1[[#This Row],[Quantity]] * Table1[[#This Row],[UnitPrice]]</f>
        <v>2999</v>
      </c>
      <c r="M1067" s="25">
        <v>15</v>
      </c>
      <c r="N1067">
        <f>Table1[[#This Row],[Revenue]]*Table1[[#This Row],[Discount%]]/100</f>
        <v>449.85</v>
      </c>
      <c r="O1067" s="6">
        <f>Table1[[#This Row],[Revenue]]-Table1[[#This Row],[Disc_amount]]</f>
        <v>2549.15</v>
      </c>
      <c r="P1067" t="s">
        <v>41</v>
      </c>
      <c r="Q1067" t="s">
        <v>34</v>
      </c>
    </row>
    <row r="1068" spans="1:17">
      <c r="A1068" t="s">
        <v>1807</v>
      </c>
      <c r="B1068" s="1" t="s">
        <v>1798</v>
      </c>
      <c r="C1068" s="1" t="s">
        <v>1693</v>
      </c>
      <c r="D1068" s="1" t="s">
        <v>20</v>
      </c>
      <c r="E1068" t="s">
        <v>515</v>
      </c>
      <c r="F1068" t="s">
        <v>516</v>
      </c>
      <c r="G1068" t="s">
        <v>56</v>
      </c>
      <c r="H1068" t="s">
        <v>39</v>
      </c>
      <c r="I1068" t="s">
        <v>40</v>
      </c>
      <c r="J1068">
        <v>1</v>
      </c>
      <c r="K1068">
        <v>599</v>
      </c>
      <c r="L1068">
        <f>Table1[[#This Row],[Quantity]] * Table1[[#This Row],[UnitPrice]]</f>
        <v>599</v>
      </c>
      <c r="M1068" s="25">
        <v>10</v>
      </c>
      <c r="N1068">
        <f>Table1[[#This Row],[Revenue]]*Table1[[#This Row],[Discount%]]/100</f>
        <v>59.9</v>
      </c>
      <c r="O1068" s="6">
        <f>Table1[[#This Row],[Revenue]]-Table1[[#This Row],[Disc_amount]]</f>
        <v>539.1</v>
      </c>
      <c r="P1068" t="s">
        <v>33</v>
      </c>
      <c r="Q1068" t="s">
        <v>34</v>
      </c>
    </row>
    <row r="1069" spans="1:17">
      <c r="A1069" t="s">
        <v>1808</v>
      </c>
      <c r="B1069" s="1" t="s">
        <v>1798</v>
      </c>
      <c r="C1069" s="1" t="s">
        <v>1693</v>
      </c>
      <c r="D1069" s="1" t="s">
        <v>20</v>
      </c>
      <c r="E1069" t="s">
        <v>561</v>
      </c>
      <c r="F1069" t="s">
        <v>562</v>
      </c>
      <c r="G1069" t="s">
        <v>45</v>
      </c>
      <c r="H1069" t="s">
        <v>70</v>
      </c>
      <c r="I1069" t="s">
        <v>71</v>
      </c>
      <c r="J1069">
        <v>1</v>
      </c>
      <c r="K1069">
        <v>349</v>
      </c>
      <c r="L1069">
        <f>Table1[[#This Row],[Quantity]] * Table1[[#This Row],[UnitPrice]]</f>
        <v>349</v>
      </c>
      <c r="M1069" s="25">
        <v>5</v>
      </c>
      <c r="N1069">
        <f>Table1[[#This Row],[Revenue]]*Table1[[#This Row],[Discount%]]/100</f>
        <v>17.45</v>
      </c>
      <c r="O1069" s="6">
        <f>Table1[[#This Row],[Revenue]]-Table1[[#This Row],[Disc_amount]]</f>
        <v>331.55</v>
      </c>
      <c r="P1069" t="s">
        <v>33</v>
      </c>
      <c r="Q1069" t="s">
        <v>27</v>
      </c>
    </row>
    <row r="1070" spans="1:17">
      <c r="A1070" t="s">
        <v>1809</v>
      </c>
      <c r="B1070" s="1" t="s">
        <v>1798</v>
      </c>
      <c r="C1070" s="1" t="s">
        <v>1693</v>
      </c>
      <c r="D1070" s="1" t="s">
        <v>20</v>
      </c>
      <c r="E1070" t="s">
        <v>43</v>
      </c>
      <c r="F1070" t="s">
        <v>44</v>
      </c>
      <c r="G1070" t="s">
        <v>56</v>
      </c>
      <c r="H1070" t="s">
        <v>108</v>
      </c>
      <c r="I1070" t="s">
        <v>130</v>
      </c>
      <c r="J1070">
        <v>3</v>
      </c>
      <c r="K1070">
        <v>699</v>
      </c>
      <c r="L1070">
        <f>Table1[[#This Row],[Quantity]] * Table1[[#This Row],[UnitPrice]]</f>
        <v>2097</v>
      </c>
      <c r="M1070" s="25">
        <v>5</v>
      </c>
      <c r="N1070">
        <f>Table1[[#This Row],[Revenue]]*Table1[[#This Row],[Discount%]]/100</f>
        <v>104.85</v>
      </c>
      <c r="O1070" s="6">
        <f>Table1[[#This Row],[Revenue]]-Table1[[#This Row],[Disc_amount]]</f>
        <v>1992.15</v>
      </c>
      <c r="P1070" t="s">
        <v>86</v>
      </c>
      <c r="Q1070" t="s">
        <v>27</v>
      </c>
    </row>
    <row r="1071" spans="1:17">
      <c r="A1071" t="s">
        <v>1810</v>
      </c>
      <c r="B1071" s="1" t="s">
        <v>1798</v>
      </c>
      <c r="C1071" s="1" t="s">
        <v>1693</v>
      </c>
      <c r="D1071" s="1" t="s">
        <v>20</v>
      </c>
      <c r="E1071" t="s">
        <v>512</v>
      </c>
      <c r="F1071" t="s">
        <v>513</v>
      </c>
      <c r="G1071" t="s">
        <v>38</v>
      </c>
      <c r="H1071" t="s">
        <v>39</v>
      </c>
      <c r="I1071" t="s">
        <v>40</v>
      </c>
      <c r="J1071">
        <v>1</v>
      </c>
      <c r="K1071">
        <v>599</v>
      </c>
      <c r="L1071">
        <f>Table1[[#This Row],[Quantity]] * Table1[[#This Row],[UnitPrice]]</f>
        <v>599</v>
      </c>
      <c r="M1071" s="25">
        <v>10</v>
      </c>
      <c r="N1071">
        <f>Table1[[#This Row],[Revenue]]*Table1[[#This Row],[Discount%]]/100</f>
        <v>59.9</v>
      </c>
      <c r="O1071" s="6">
        <f>Table1[[#This Row],[Revenue]]-Table1[[#This Row],[Disc_amount]]</f>
        <v>539.1</v>
      </c>
      <c r="P1071" t="s">
        <v>26</v>
      </c>
      <c r="Q1071" t="s">
        <v>34</v>
      </c>
    </row>
    <row r="1072" spans="1:17">
      <c r="A1072" t="s">
        <v>1811</v>
      </c>
      <c r="B1072" s="1" t="s">
        <v>1798</v>
      </c>
      <c r="C1072" s="1" t="s">
        <v>1693</v>
      </c>
      <c r="D1072" s="1" t="s">
        <v>20</v>
      </c>
      <c r="E1072" t="s">
        <v>247</v>
      </c>
      <c r="F1072" t="s">
        <v>248</v>
      </c>
      <c r="G1072" t="s">
        <v>38</v>
      </c>
      <c r="H1072" t="s">
        <v>46</v>
      </c>
      <c r="I1072" t="s">
        <v>47</v>
      </c>
      <c r="J1072">
        <v>2</v>
      </c>
      <c r="K1072">
        <v>249</v>
      </c>
      <c r="L1072">
        <f>Table1[[#This Row],[Quantity]] * Table1[[#This Row],[UnitPrice]]</f>
        <v>498</v>
      </c>
      <c r="M1072" s="25">
        <v>25</v>
      </c>
      <c r="N1072">
        <f>Table1[[#This Row],[Revenue]]*Table1[[#This Row],[Discount%]]/100</f>
        <v>124.5</v>
      </c>
      <c r="O1072" s="6">
        <f>Table1[[#This Row],[Revenue]]-Table1[[#This Row],[Disc_amount]]</f>
        <v>373.5</v>
      </c>
      <c r="P1072" t="s">
        <v>26</v>
      </c>
      <c r="Q1072" t="s">
        <v>27</v>
      </c>
    </row>
    <row r="1073" spans="1:17">
      <c r="A1073" t="s">
        <v>1812</v>
      </c>
      <c r="B1073" s="1" t="s">
        <v>1813</v>
      </c>
      <c r="C1073" s="1" t="s">
        <v>1693</v>
      </c>
      <c r="D1073" s="1" t="s">
        <v>20</v>
      </c>
      <c r="E1073" t="s">
        <v>60</v>
      </c>
      <c r="F1073" t="s">
        <v>61</v>
      </c>
      <c r="G1073" t="s">
        <v>31</v>
      </c>
      <c r="H1073" t="s">
        <v>65</v>
      </c>
      <c r="I1073" t="s">
        <v>98</v>
      </c>
      <c r="J1073">
        <v>1</v>
      </c>
      <c r="K1073">
        <v>499</v>
      </c>
      <c r="L1073">
        <f>Table1[[#This Row],[Quantity]] * Table1[[#This Row],[UnitPrice]]</f>
        <v>499</v>
      </c>
      <c r="M1073" s="25">
        <v>25</v>
      </c>
      <c r="N1073">
        <f>Table1[[#This Row],[Revenue]]*Table1[[#This Row],[Discount%]]/100</f>
        <v>124.75</v>
      </c>
      <c r="O1073" s="6">
        <f>Table1[[#This Row],[Revenue]]-Table1[[#This Row],[Disc_amount]]</f>
        <v>374.25</v>
      </c>
      <c r="P1073" t="s">
        <v>33</v>
      </c>
      <c r="Q1073" t="s">
        <v>27</v>
      </c>
    </row>
    <row r="1074" spans="1:17">
      <c r="A1074" t="s">
        <v>1814</v>
      </c>
      <c r="B1074" s="1" t="s">
        <v>1813</v>
      </c>
      <c r="C1074" s="1" t="s">
        <v>1693</v>
      </c>
      <c r="D1074" s="1" t="s">
        <v>20</v>
      </c>
      <c r="E1074" t="s">
        <v>241</v>
      </c>
      <c r="F1074" t="s">
        <v>242</v>
      </c>
      <c r="G1074" t="s">
        <v>56</v>
      </c>
      <c r="H1074" t="s">
        <v>65</v>
      </c>
      <c r="I1074" t="s">
        <v>66</v>
      </c>
      <c r="J1074">
        <v>3</v>
      </c>
      <c r="K1074">
        <v>1999</v>
      </c>
      <c r="L1074">
        <f>Table1[[#This Row],[Quantity]] * Table1[[#This Row],[UnitPrice]]</f>
        <v>5997</v>
      </c>
      <c r="M1074" s="25">
        <v>15</v>
      </c>
      <c r="N1074">
        <f>Table1[[#This Row],[Revenue]]*Table1[[#This Row],[Discount%]]/100</f>
        <v>899.55</v>
      </c>
      <c r="O1074" s="6">
        <f>Table1[[#This Row],[Revenue]]-Table1[[#This Row],[Disc_amount]]</f>
        <v>5097.45</v>
      </c>
      <c r="P1074" t="s">
        <v>86</v>
      </c>
      <c r="Q1074" t="s">
        <v>27</v>
      </c>
    </row>
    <row r="1075" spans="1:17">
      <c r="A1075" t="s">
        <v>1815</v>
      </c>
      <c r="B1075" s="1" t="s">
        <v>1813</v>
      </c>
      <c r="C1075" s="1" t="s">
        <v>1693</v>
      </c>
      <c r="D1075" s="1" t="s">
        <v>20</v>
      </c>
      <c r="E1075" t="s">
        <v>103</v>
      </c>
      <c r="F1075" t="s">
        <v>104</v>
      </c>
      <c r="G1075" t="s">
        <v>56</v>
      </c>
      <c r="H1075" t="s">
        <v>108</v>
      </c>
      <c r="I1075" t="s">
        <v>109</v>
      </c>
      <c r="J1075">
        <v>2</v>
      </c>
      <c r="K1075">
        <v>1499</v>
      </c>
      <c r="L1075">
        <f>Table1[[#This Row],[Quantity]] * Table1[[#This Row],[UnitPrice]]</f>
        <v>2998</v>
      </c>
      <c r="M1075" s="25">
        <v>30</v>
      </c>
      <c r="N1075">
        <f>Table1[[#This Row],[Revenue]]*Table1[[#This Row],[Discount%]]/100</f>
        <v>899.4</v>
      </c>
      <c r="O1075" s="6">
        <f>Table1[[#This Row],[Revenue]]-Table1[[#This Row],[Disc_amount]]</f>
        <v>2098.6</v>
      </c>
      <c r="P1075" t="s">
        <v>26</v>
      </c>
      <c r="Q1075" t="s">
        <v>27</v>
      </c>
    </row>
    <row r="1076" spans="1:17">
      <c r="A1076" t="s">
        <v>1816</v>
      </c>
      <c r="B1076" s="1" t="s">
        <v>1813</v>
      </c>
      <c r="C1076" s="1" t="s">
        <v>1693</v>
      </c>
      <c r="D1076" s="1" t="s">
        <v>20</v>
      </c>
      <c r="E1076" t="s">
        <v>628</v>
      </c>
      <c r="F1076" t="s">
        <v>245</v>
      </c>
      <c r="G1076" t="s">
        <v>38</v>
      </c>
      <c r="H1076" t="s">
        <v>46</v>
      </c>
      <c r="I1076" t="s">
        <v>154</v>
      </c>
      <c r="J1076">
        <v>1</v>
      </c>
      <c r="K1076">
        <v>299</v>
      </c>
      <c r="L1076">
        <f>Table1[[#This Row],[Quantity]] * Table1[[#This Row],[UnitPrice]]</f>
        <v>299</v>
      </c>
      <c r="M1076" s="25">
        <v>10</v>
      </c>
      <c r="N1076">
        <f>Table1[[#This Row],[Revenue]]*Table1[[#This Row],[Discount%]]/100</f>
        <v>29.9</v>
      </c>
      <c r="O1076" s="6">
        <f>Table1[[#This Row],[Revenue]]-Table1[[#This Row],[Disc_amount]]</f>
        <v>269.10000000000002</v>
      </c>
      <c r="P1076" t="s">
        <v>41</v>
      </c>
      <c r="Q1076" t="s">
        <v>27</v>
      </c>
    </row>
    <row r="1077" spans="1:17">
      <c r="A1077" t="s">
        <v>1817</v>
      </c>
      <c r="B1077" s="1" t="s">
        <v>1813</v>
      </c>
      <c r="C1077" s="1" t="s">
        <v>1693</v>
      </c>
      <c r="D1077" s="1" t="s">
        <v>20</v>
      </c>
      <c r="E1077" t="s">
        <v>313</v>
      </c>
      <c r="F1077" t="s">
        <v>314</v>
      </c>
      <c r="G1077" t="s">
        <v>38</v>
      </c>
      <c r="H1077" t="s">
        <v>70</v>
      </c>
      <c r="I1077" t="s">
        <v>91</v>
      </c>
      <c r="J1077">
        <v>3</v>
      </c>
      <c r="K1077">
        <v>549</v>
      </c>
      <c r="L1077">
        <f>Table1[[#This Row],[Quantity]] * Table1[[#This Row],[UnitPrice]]</f>
        <v>1647</v>
      </c>
      <c r="M1077" s="25">
        <v>10</v>
      </c>
      <c r="N1077">
        <f>Table1[[#This Row],[Revenue]]*Table1[[#This Row],[Discount%]]/100</f>
        <v>164.7</v>
      </c>
      <c r="O1077" s="6">
        <f>Table1[[#This Row],[Revenue]]-Table1[[#This Row],[Disc_amount]]</f>
        <v>1482.3</v>
      </c>
      <c r="P1077" t="s">
        <v>33</v>
      </c>
      <c r="Q1077" t="s">
        <v>27</v>
      </c>
    </row>
    <row r="1078" spans="1:17">
      <c r="A1078" t="s">
        <v>1818</v>
      </c>
      <c r="B1078" s="1" t="s">
        <v>1813</v>
      </c>
      <c r="C1078" s="1" t="s">
        <v>1693</v>
      </c>
      <c r="D1078" s="1" t="s">
        <v>20</v>
      </c>
      <c r="E1078" t="s">
        <v>437</v>
      </c>
      <c r="F1078" t="s">
        <v>438</v>
      </c>
      <c r="G1078" t="s">
        <v>38</v>
      </c>
      <c r="H1078" t="s">
        <v>108</v>
      </c>
      <c r="I1078" t="s">
        <v>130</v>
      </c>
      <c r="J1078">
        <v>1</v>
      </c>
      <c r="K1078">
        <v>699</v>
      </c>
      <c r="L1078">
        <f>Table1[[#This Row],[Quantity]] * Table1[[#This Row],[UnitPrice]]</f>
        <v>699</v>
      </c>
      <c r="M1078" s="25">
        <v>15</v>
      </c>
      <c r="N1078">
        <f>Table1[[#This Row],[Revenue]]*Table1[[#This Row],[Discount%]]/100</f>
        <v>104.85</v>
      </c>
      <c r="O1078" s="6">
        <f>Table1[[#This Row],[Revenue]]-Table1[[#This Row],[Disc_amount]]</f>
        <v>594.15</v>
      </c>
      <c r="P1078" t="s">
        <v>41</v>
      </c>
      <c r="Q1078" t="s">
        <v>34</v>
      </c>
    </row>
    <row r="1079" spans="1:17">
      <c r="A1079" t="s">
        <v>1819</v>
      </c>
      <c r="B1079" s="1" t="s">
        <v>1813</v>
      </c>
      <c r="C1079" s="1" t="s">
        <v>1693</v>
      </c>
      <c r="D1079" s="1" t="s">
        <v>20</v>
      </c>
      <c r="E1079" t="s">
        <v>1163</v>
      </c>
      <c r="F1079" t="s">
        <v>390</v>
      </c>
      <c r="G1079" t="s">
        <v>23</v>
      </c>
      <c r="H1079" t="s">
        <v>70</v>
      </c>
      <c r="I1079" t="s">
        <v>91</v>
      </c>
      <c r="J1079">
        <v>3</v>
      </c>
      <c r="K1079">
        <v>549</v>
      </c>
      <c r="L1079">
        <f>Table1[[#This Row],[Quantity]] * Table1[[#This Row],[UnitPrice]]</f>
        <v>1647</v>
      </c>
      <c r="M1079" s="25">
        <v>15</v>
      </c>
      <c r="N1079">
        <f>Table1[[#This Row],[Revenue]]*Table1[[#This Row],[Discount%]]/100</f>
        <v>247.05</v>
      </c>
      <c r="O1079" s="6">
        <f>Table1[[#This Row],[Revenue]]-Table1[[#This Row],[Disc_amount]]</f>
        <v>1399.95</v>
      </c>
      <c r="P1079" t="s">
        <v>86</v>
      </c>
      <c r="Q1079" t="s">
        <v>27</v>
      </c>
    </row>
    <row r="1080" spans="1:17">
      <c r="A1080" t="s">
        <v>1820</v>
      </c>
      <c r="B1080" s="1" t="s">
        <v>1813</v>
      </c>
      <c r="C1080" s="1" t="s">
        <v>1693</v>
      </c>
      <c r="D1080" s="1" t="s">
        <v>20</v>
      </c>
      <c r="E1080" t="s">
        <v>964</v>
      </c>
      <c r="F1080" t="s">
        <v>265</v>
      </c>
      <c r="G1080" t="s">
        <v>31</v>
      </c>
      <c r="H1080" t="s">
        <v>65</v>
      </c>
      <c r="I1080" t="s">
        <v>98</v>
      </c>
      <c r="J1080">
        <v>1</v>
      </c>
      <c r="K1080">
        <v>499</v>
      </c>
      <c r="L1080">
        <f>Table1[[#This Row],[Quantity]] * Table1[[#This Row],[UnitPrice]]</f>
        <v>499</v>
      </c>
      <c r="M1080" s="25">
        <v>20</v>
      </c>
      <c r="N1080">
        <f>Table1[[#This Row],[Revenue]]*Table1[[#This Row],[Discount%]]/100</f>
        <v>99.8</v>
      </c>
      <c r="O1080" s="6">
        <f>Table1[[#This Row],[Revenue]]-Table1[[#This Row],[Disc_amount]]</f>
        <v>399.2</v>
      </c>
      <c r="P1080" t="s">
        <v>33</v>
      </c>
      <c r="Q1080" t="s">
        <v>27</v>
      </c>
    </row>
    <row r="1081" spans="1:17">
      <c r="A1081" t="s">
        <v>1821</v>
      </c>
      <c r="B1081" s="1" t="s">
        <v>1813</v>
      </c>
      <c r="C1081" s="1" t="s">
        <v>1693</v>
      </c>
      <c r="D1081" s="1" t="s">
        <v>20</v>
      </c>
      <c r="E1081" t="s">
        <v>606</v>
      </c>
      <c r="F1081" t="s">
        <v>607</v>
      </c>
      <c r="G1081" t="s">
        <v>56</v>
      </c>
      <c r="H1081" t="s">
        <v>70</v>
      </c>
      <c r="I1081" t="s">
        <v>91</v>
      </c>
      <c r="J1081">
        <v>2</v>
      </c>
      <c r="K1081">
        <v>549</v>
      </c>
      <c r="L1081">
        <f>Table1[[#This Row],[Quantity]] * Table1[[#This Row],[UnitPrice]]</f>
        <v>1098</v>
      </c>
      <c r="M1081" s="25">
        <v>20</v>
      </c>
      <c r="N1081">
        <f>Table1[[#This Row],[Revenue]]*Table1[[#This Row],[Discount%]]/100</f>
        <v>219.6</v>
      </c>
      <c r="O1081" s="6">
        <f>Table1[[#This Row],[Revenue]]-Table1[[#This Row],[Disc_amount]]</f>
        <v>878.4</v>
      </c>
      <c r="P1081" t="s">
        <v>52</v>
      </c>
      <c r="Q1081" t="s">
        <v>34</v>
      </c>
    </row>
    <row r="1082" spans="1:17">
      <c r="A1082" t="s">
        <v>1822</v>
      </c>
      <c r="B1082" s="1" t="s">
        <v>1813</v>
      </c>
      <c r="C1082" s="1" t="s">
        <v>1693</v>
      </c>
      <c r="D1082" s="1" t="s">
        <v>20</v>
      </c>
      <c r="E1082" t="s">
        <v>89</v>
      </c>
      <c r="F1082" t="s">
        <v>90</v>
      </c>
      <c r="G1082" t="s">
        <v>38</v>
      </c>
      <c r="H1082" t="s">
        <v>39</v>
      </c>
      <c r="I1082" t="s">
        <v>40</v>
      </c>
      <c r="J1082">
        <v>1</v>
      </c>
      <c r="K1082">
        <v>599</v>
      </c>
      <c r="L1082">
        <f>Table1[[#This Row],[Quantity]] * Table1[[#This Row],[UnitPrice]]</f>
        <v>599</v>
      </c>
      <c r="M1082" s="25">
        <v>0</v>
      </c>
      <c r="N1082">
        <f>Table1[[#This Row],[Revenue]]*Table1[[#This Row],[Discount%]]/100</f>
        <v>0</v>
      </c>
      <c r="O1082" s="6">
        <f>Table1[[#This Row],[Revenue]]-Table1[[#This Row],[Disc_amount]]</f>
        <v>599</v>
      </c>
      <c r="P1082" t="s">
        <v>33</v>
      </c>
      <c r="Q1082" t="s">
        <v>27</v>
      </c>
    </row>
    <row r="1083" spans="1:17">
      <c r="A1083" t="s">
        <v>1823</v>
      </c>
      <c r="B1083" s="1" t="s">
        <v>1824</v>
      </c>
      <c r="C1083" s="1" t="s">
        <v>1693</v>
      </c>
      <c r="D1083" s="1" t="s">
        <v>20</v>
      </c>
      <c r="E1083" t="s">
        <v>122</v>
      </c>
      <c r="F1083" t="s">
        <v>123</v>
      </c>
      <c r="G1083" t="s">
        <v>56</v>
      </c>
      <c r="H1083" t="s">
        <v>24</v>
      </c>
      <c r="I1083" t="s">
        <v>25</v>
      </c>
      <c r="J1083">
        <v>1</v>
      </c>
      <c r="K1083">
        <v>99</v>
      </c>
      <c r="L1083">
        <f>Table1[[#This Row],[Quantity]] * Table1[[#This Row],[UnitPrice]]</f>
        <v>99</v>
      </c>
      <c r="M1083" s="25">
        <v>25</v>
      </c>
      <c r="N1083">
        <f>Table1[[#This Row],[Revenue]]*Table1[[#This Row],[Discount%]]/100</f>
        <v>24.75</v>
      </c>
      <c r="O1083" s="6">
        <f>Table1[[#This Row],[Revenue]]-Table1[[#This Row],[Disc_amount]]</f>
        <v>74.25</v>
      </c>
      <c r="P1083" t="s">
        <v>26</v>
      </c>
      <c r="Q1083" t="s">
        <v>27</v>
      </c>
    </row>
    <row r="1084" spans="1:17">
      <c r="A1084" t="s">
        <v>1825</v>
      </c>
      <c r="B1084" s="1" t="s">
        <v>1824</v>
      </c>
      <c r="C1084" s="1" t="s">
        <v>1693</v>
      </c>
      <c r="D1084" s="1" t="s">
        <v>20</v>
      </c>
      <c r="E1084" t="s">
        <v>515</v>
      </c>
      <c r="F1084" t="s">
        <v>516</v>
      </c>
      <c r="G1084" t="s">
        <v>31</v>
      </c>
      <c r="H1084" t="s">
        <v>57</v>
      </c>
      <c r="I1084" t="s">
        <v>62</v>
      </c>
      <c r="J1084">
        <v>1</v>
      </c>
      <c r="K1084">
        <v>799</v>
      </c>
      <c r="L1084">
        <f>Table1[[#This Row],[Quantity]] * Table1[[#This Row],[UnitPrice]]</f>
        <v>799</v>
      </c>
      <c r="M1084" s="25">
        <v>20</v>
      </c>
      <c r="N1084">
        <f>Table1[[#This Row],[Revenue]]*Table1[[#This Row],[Discount%]]/100</f>
        <v>159.80000000000001</v>
      </c>
      <c r="O1084" s="6">
        <f>Table1[[#This Row],[Revenue]]-Table1[[#This Row],[Disc_amount]]</f>
        <v>639.20000000000005</v>
      </c>
      <c r="P1084" t="s">
        <v>33</v>
      </c>
      <c r="Q1084" t="s">
        <v>34</v>
      </c>
    </row>
    <row r="1085" spans="1:17">
      <c r="A1085" t="s">
        <v>1826</v>
      </c>
      <c r="B1085" s="1" t="s">
        <v>1824</v>
      </c>
      <c r="C1085" s="1" t="s">
        <v>1693</v>
      </c>
      <c r="D1085" s="1" t="s">
        <v>20</v>
      </c>
      <c r="E1085" t="s">
        <v>228</v>
      </c>
      <c r="F1085" t="s">
        <v>229</v>
      </c>
      <c r="G1085" t="s">
        <v>56</v>
      </c>
      <c r="H1085" t="s">
        <v>57</v>
      </c>
      <c r="I1085" t="s">
        <v>58</v>
      </c>
      <c r="J1085">
        <v>2</v>
      </c>
      <c r="K1085">
        <v>1299</v>
      </c>
      <c r="L1085">
        <f>Table1[[#This Row],[Quantity]] * Table1[[#This Row],[UnitPrice]]</f>
        <v>2598</v>
      </c>
      <c r="M1085" s="25">
        <v>25</v>
      </c>
      <c r="N1085">
        <f>Table1[[#This Row],[Revenue]]*Table1[[#This Row],[Discount%]]/100</f>
        <v>649.5</v>
      </c>
      <c r="O1085" s="6">
        <f>Table1[[#This Row],[Revenue]]-Table1[[#This Row],[Disc_amount]]</f>
        <v>1948.5</v>
      </c>
      <c r="P1085" t="s">
        <v>26</v>
      </c>
      <c r="Q1085" t="s">
        <v>27</v>
      </c>
    </row>
    <row r="1086" spans="1:17">
      <c r="A1086" t="s">
        <v>1827</v>
      </c>
      <c r="B1086" s="1" t="s">
        <v>1824</v>
      </c>
      <c r="C1086" s="1" t="s">
        <v>1693</v>
      </c>
      <c r="D1086" s="1" t="s">
        <v>20</v>
      </c>
      <c r="E1086" t="s">
        <v>1521</v>
      </c>
      <c r="F1086" t="s">
        <v>960</v>
      </c>
      <c r="G1086" t="s">
        <v>56</v>
      </c>
      <c r="H1086" t="s">
        <v>57</v>
      </c>
      <c r="I1086" t="s">
        <v>58</v>
      </c>
      <c r="J1086">
        <v>1</v>
      </c>
      <c r="K1086">
        <v>1299</v>
      </c>
      <c r="L1086">
        <f>Table1[[#This Row],[Quantity]] * Table1[[#This Row],[UnitPrice]]</f>
        <v>1299</v>
      </c>
      <c r="M1086" s="25">
        <v>0</v>
      </c>
      <c r="N1086">
        <f>Table1[[#This Row],[Revenue]]*Table1[[#This Row],[Discount%]]/100</f>
        <v>0</v>
      </c>
      <c r="O1086" s="6">
        <f>Table1[[#This Row],[Revenue]]-Table1[[#This Row],[Disc_amount]]</f>
        <v>1299</v>
      </c>
      <c r="P1086" t="s">
        <v>26</v>
      </c>
      <c r="Q1086" t="s">
        <v>27</v>
      </c>
    </row>
    <row r="1087" spans="1:17">
      <c r="A1087" t="s">
        <v>1828</v>
      </c>
      <c r="B1087" s="1" t="s">
        <v>1824</v>
      </c>
      <c r="C1087" s="1" t="s">
        <v>1693</v>
      </c>
      <c r="D1087" s="1" t="s">
        <v>20</v>
      </c>
      <c r="E1087" t="s">
        <v>1637</v>
      </c>
      <c r="F1087" t="s">
        <v>209</v>
      </c>
      <c r="G1087" t="s">
        <v>56</v>
      </c>
      <c r="H1087" t="s">
        <v>108</v>
      </c>
      <c r="I1087" t="s">
        <v>130</v>
      </c>
      <c r="J1087">
        <v>4</v>
      </c>
      <c r="K1087">
        <v>699</v>
      </c>
      <c r="L1087">
        <f>Table1[[#This Row],[Quantity]] * Table1[[#This Row],[UnitPrice]]</f>
        <v>2796</v>
      </c>
      <c r="M1087" s="25">
        <v>20</v>
      </c>
      <c r="N1087">
        <f>Table1[[#This Row],[Revenue]]*Table1[[#This Row],[Discount%]]/100</f>
        <v>559.20000000000005</v>
      </c>
      <c r="O1087" s="6">
        <f>Table1[[#This Row],[Revenue]]-Table1[[#This Row],[Disc_amount]]</f>
        <v>2236.8000000000002</v>
      </c>
      <c r="P1087" t="s">
        <v>86</v>
      </c>
      <c r="Q1087" t="s">
        <v>27</v>
      </c>
    </row>
    <row r="1088" spans="1:17">
      <c r="A1088" t="s">
        <v>1829</v>
      </c>
      <c r="B1088" s="1" t="s">
        <v>1824</v>
      </c>
      <c r="C1088" s="1" t="s">
        <v>1693</v>
      </c>
      <c r="D1088" s="1" t="s">
        <v>20</v>
      </c>
      <c r="E1088" t="s">
        <v>949</v>
      </c>
      <c r="F1088" t="s">
        <v>77</v>
      </c>
      <c r="G1088" t="s">
        <v>31</v>
      </c>
      <c r="H1088" t="s">
        <v>57</v>
      </c>
      <c r="I1088" t="s">
        <v>62</v>
      </c>
      <c r="J1088">
        <v>4</v>
      </c>
      <c r="K1088">
        <v>799</v>
      </c>
      <c r="L1088">
        <f>Table1[[#This Row],[Quantity]] * Table1[[#This Row],[UnitPrice]]</f>
        <v>3196</v>
      </c>
      <c r="M1088" s="25">
        <v>0</v>
      </c>
      <c r="N1088">
        <f>Table1[[#This Row],[Revenue]]*Table1[[#This Row],[Discount%]]/100</f>
        <v>0</v>
      </c>
      <c r="O1088" s="6">
        <f>Table1[[#This Row],[Revenue]]-Table1[[#This Row],[Disc_amount]]</f>
        <v>3196</v>
      </c>
      <c r="P1088" t="s">
        <v>86</v>
      </c>
      <c r="Q1088" t="s">
        <v>27</v>
      </c>
    </row>
    <row r="1089" spans="1:17">
      <c r="A1089" t="s">
        <v>1830</v>
      </c>
      <c r="B1089" s="1" t="s">
        <v>1824</v>
      </c>
      <c r="C1089" s="1" t="s">
        <v>1693</v>
      </c>
      <c r="D1089" s="1" t="s">
        <v>20</v>
      </c>
      <c r="E1089" t="s">
        <v>341</v>
      </c>
      <c r="F1089" t="s">
        <v>342</v>
      </c>
      <c r="G1089" t="s">
        <v>56</v>
      </c>
      <c r="H1089" t="s">
        <v>39</v>
      </c>
      <c r="I1089" t="s">
        <v>40</v>
      </c>
      <c r="J1089">
        <v>1</v>
      </c>
      <c r="K1089">
        <v>599</v>
      </c>
      <c r="L1089">
        <f>Table1[[#This Row],[Quantity]] * Table1[[#This Row],[UnitPrice]]</f>
        <v>599</v>
      </c>
      <c r="M1089" s="25">
        <v>20</v>
      </c>
      <c r="N1089">
        <f>Table1[[#This Row],[Revenue]]*Table1[[#This Row],[Discount%]]/100</f>
        <v>119.8</v>
      </c>
      <c r="O1089" s="6">
        <f>Table1[[#This Row],[Revenue]]-Table1[[#This Row],[Disc_amount]]</f>
        <v>479.2</v>
      </c>
      <c r="P1089" t="s">
        <v>52</v>
      </c>
      <c r="Q1089" t="s">
        <v>27</v>
      </c>
    </row>
    <row r="1090" spans="1:17">
      <c r="A1090" t="s">
        <v>1831</v>
      </c>
      <c r="B1090" s="1" t="s">
        <v>1832</v>
      </c>
      <c r="C1090" s="1" t="s">
        <v>1693</v>
      </c>
      <c r="D1090" s="1" t="s">
        <v>20</v>
      </c>
      <c r="E1090" t="s">
        <v>780</v>
      </c>
      <c r="F1090" t="s">
        <v>504</v>
      </c>
      <c r="G1090" t="s">
        <v>38</v>
      </c>
      <c r="H1090" t="s">
        <v>57</v>
      </c>
      <c r="I1090" t="s">
        <v>58</v>
      </c>
      <c r="J1090">
        <v>2</v>
      </c>
      <c r="K1090">
        <v>1299</v>
      </c>
      <c r="L1090">
        <f>Table1[[#This Row],[Quantity]] * Table1[[#This Row],[UnitPrice]]</f>
        <v>2598</v>
      </c>
      <c r="M1090" s="25">
        <v>20</v>
      </c>
      <c r="N1090">
        <f>Table1[[#This Row],[Revenue]]*Table1[[#This Row],[Discount%]]/100</f>
        <v>519.6</v>
      </c>
      <c r="O1090" s="6">
        <f>Table1[[#This Row],[Revenue]]-Table1[[#This Row],[Disc_amount]]</f>
        <v>2078.4</v>
      </c>
      <c r="P1090" t="s">
        <v>33</v>
      </c>
      <c r="Q1090" t="s">
        <v>34</v>
      </c>
    </row>
    <row r="1091" spans="1:17">
      <c r="A1091" t="s">
        <v>1833</v>
      </c>
      <c r="B1091" s="1" t="s">
        <v>1832</v>
      </c>
      <c r="C1091" s="1" t="s">
        <v>1693</v>
      </c>
      <c r="D1091" s="1" t="s">
        <v>20</v>
      </c>
      <c r="E1091" t="s">
        <v>111</v>
      </c>
      <c r="F1091" t="s">
        <v>107</v>
      </c>
      <c r="G1091" t="s">
        <v>45</v>
      </c>
      <c r="H1091" t="s">
        <v>65</v>
      </c>
      <c r="I1091" t="s">
        <v>94</v>
      </c>
      <c r="J1091">
        <v>1</v>
      </c>
      <c r="K1091">
        <v>899</v>
      </c>
      <c r="L1091">
        <f>Table1[[#This Row],[Quantity]] * Table1[[#This Row],[UnitPrice]]</f>
        <v>899</v>
      </c>
      <c r="M1091" s="25">
        <v>0</v>
      </c>
      <c r="N1091">
        <f>Table1[[#This Row],[Revenue]]*Table1[[#This Row],[Discount%]]/100</f>
        <v>0</v>
      </c>
      <c r="O1091" s="6">
        <f>Table1[[#This Row],[Revenue]]-Table1[[#This Row],[Disc_amount]]</f>
        <v>899</v>
      </c>
      <c r="P1091" t="s">
        <v>33</v>
      </c>
      <c r="Q1091" t="s">
        <v>27</v>
      </c>
    </row>
    <row r="1092" spans="1:17">
      <c r="A1092" t="s">
        <v>1834</v>
      </c>
      <c r="B1092" s="1" t="s">
        <v>1832</v>
      </c>
      <c r="C1092" s="1" t="s">
        <v>1693</v>
      </c>
      <c r="D1092" s="1" t="s">
        <v>20</v>
      </c>
      <c r="E1092" t="s">
        <v>850</v>
      </c>
      <c r="F1092" t="s">
        <v>759</v>
      </c>
      <c r="G1092" t="s">
        <v>56</v>
      </c>
      <c r="H1092" t="s">
        <v>39</v>
      </c>
      <c r="I1092" t="s">
        <v>40</v>
      </c>
      <c r="J1092">
        <v>1</v>
      </c>
      <c r="K1092">
        <v>599</v>
      </c>
      <c r="L1092">
        <f>Table1[[#This Row],[Quantity]] * Table1[[#This Row],[UnitPrice]]</f>
        <v>599</v>
      </c>
      <c r="M1092" s="25">
        <v>5</v>
      </c>
      <c r="N1092">
        <f>Table1[[#This Row],[Revenue]]*Table1[[#This Row],[Discount%]]/100</f>
        <v>29.95</v>
      </c>
      <c r="O1092" s="6">
        <f>Table1[[#This Row],[Revenue]]-Table1[[#This Row],[Disc_amount]]</f>
        <v>569.04999999999995</v>
      </c>
      <c r="P1092" t="s">
        <v>86</v>
      </c>
      <c r="Q1092" t="s">
        <v>34</v>
      </c>
    </row>
    <row r="1093" spans="1:17">
      <c r="A1093" t="s">
        <v>1835</v>
      </c>
      <c r="B1093" s="1" t="s">
        <v>1832</v>
      </c>
      <c r="C1093" s="1" t="s">
        <v>1693</v>
      </c>
      <c r="D1093" s="1" t="s">
        <v>20</v>
      </c>
      <c r="E1093" t="s">
        <v>401</v>
      </c>
      <c r="F1093" t="s">
        <v>355</v>
      </c>
      <c r="G1093" t="s">
        <v>23</v>
      </c>
      <c r="H1093" t="s">
        <v>46</v>
      </c>
      <c r="I1093" t="s">
        <v>47</v>
      </c>
      <c r="J1093">
        <v>2</v>
      </c>
      <c r="K1093">
        <v>249</v>
      </c>
      <c r="L1093">
        <f>Table1[[#This Row],[Quantity]] * Table1[[#This Row],[UnitPrice]]</f>
        <v>498</v>
      </c>
      <c r="M1093" s="25">
        <v>30</v>
      </c>
      <c r="N1093">
        <f>Table1[[#This Row],[Revenue]]*Table1[[#This Row],[Discount%]]/100</f>
        <v>149.4</v>
      </c>
      <c r="O1093" s="6">
        <f>Table1[[#This Row],[Revenue]]-Table1[[#This Row],[Disc_amount]]</f>
        <v>348.6</v>
      </c>
      <c r="P1093" t="s">
        <v>26</v>
      </c>
      <c r="Q1093" t="s">
        <v>34</v>
      </c>
    </row>
    <row r="1094" spans="1:17">
      <c r="A1094" t="s">
        <v>1836</v>
      </c>
      <c r="B1094" s="1" t="s">
        <v>1832</v>
      </c>
      <c r="C1094" s="1" t="s">
        <v>1693</v>
      </c>
      <c r="D1094" s="1" t="s">
        <v>20</v>
      </c>
      <c r="E1094" t="s">
        <v>1392</v>
      </c>
      <c r="F1094" t="s">
        <v>97</v>
      </c>
      <c r="G1094" t="s">
        <v>23</v>
      </c>
      <c r="H1094" t="s">
        <v>46</v>
      </c>
      <c r="I1094" t="s">
        <v>154</v>
      </c>
      <c r="J1094">
        <v>2</v>
      </c>
      <c r="K1094">
        <v>299</v>
      </c>
      <c r="L1094">
        <f>Table1[[#This Row],[Quantity]] * Table1[[#This Row],[UnitPrice]]</f>
        <v>598</v>
      </c>
      <c r="M1094" s="25">
        <v>15</v>
      </c>
      <c r="N1094">
        <f>Table1[[#This Row],[Revenue]]*Table1[[#This Row],[Discount%]]/100</f>
        <v>89.7</v>
      </c>
      <c r="O1094" s="6">
        <f>Table1[[#This Row],[Revenue]]-Table1[[#This Row],[Disc_amount]]</f>
        <v>508.3</v>
      </c>
      <c r="P1094" t="s">
        <v>33</v>
      </c>
      <c r="Q1094" t="s">
        <v>34</v>
      </c>
    </row>
    <row r="1095" spans="1:17">
      <c r="A1095" t="s">
        <v>1837</v>
      </c>
      <c r="B1095" s="1" t="s">
        <v>1832</v>
      </c>
      <c r="C1095" s="1" t="s">
        <v>1693</v>
      </c>
      <c r="D1095" s="1" t="s">
        <v>20</v>
      </c>
      <c r="E1095" t="s">
        <v>769</v>
      </c>
      <c r="F1095" t="s">
        <v>101</v>
      </c>
      <c r="G1095" t="s">
        <v>45</v>
      </c>
      <c r="H1095" t="s">
        <v>70</v>
      </c>
      <c r="I1095" t="s">
        <v>91</v>
      </c>
      <c r="J1095">
        <v>4</v>
      </c>
      <c r="K1095">
        <v>549</v>
      </c>
      <c r="L1095">
        <f>Table1[[#This Row],[Quantity]] * Table1[[#This Row],[UnitPrice]]</f>
        <v>2196</v>
      </c>
      <c r="M1095" s="25">
        <v>30</v>
      </c>
      <c r="N1095">
        <f>Table1[[#This Row],[Revenue]]*Table1[[#This Row],[Discount%]]/100</f>
        <v>658.8</v>
      </c>
      <c r="O1095" s="6">
        <f>Table1[[#This Row],[Revenue]]-Table1[[#This Row],[Disc_amount]]</f>
        <v>1537.2</v>
      </c>
      <c r="P1095" t="s">
        <v>86</v>
      </c>
      <c r="Q1095" t="s">
        <v>27</v>
      </c>
    </row>
    <row r="1096" spans="1:17">
      <c r="A1096" t="s">
        <v>1838</v>
      </c>
      <c r="B1096" s="1" t="s">
        <v>1832</v>
      </c>
      <c r="C1096" s="1" t="s">
        <v>1693</v>
      </c>
      <c r="D1096" s="1" t="s">
        <v>20</v>
      </c>
      <c r="E1096" t="s">
        <v>1015</v>
      </c>
      <c r="F1096" t="s">
        <v>123</v>
      </c>
      <c r="G1096" t="s">
        <v>56</v>
      </c>
      <c r="H1096" t="s">
        <v>70</v>
      </c>
      <c r="I1096" t="s">
        <v>71</v>
      </c>
      <c r="J1096">
        <v>1</v>
      </c>
      <c r="K1096">
        <v>349</v>
      </c>
      <c r="L1096">
        <f>Table1[[#This Row],[Quantity]] * Table1[[#This Row],[UnitPrice]]</f>
        <v>349</v>
      </c>
      <c r="M1096" s="25">
        <v>10</v>
      </c>
      <c r="N1096">
        <f>Table1[[#This Row],[Revenue]]*Table1[[#This Row],[Discount%]]/100</f>
        <v>34.9</v>
      </c>
      <c r="O1096" s="6">
        <f>Table1[[#This Row],[Revenue]]-Table1[[#This Row],[Disc_amount]]</f>
        <v>314.10000000000002</v>
      </c>
      <c r="P1096" t="s">
        <v>33</v>
      </c>
      <c r="Q1096" t="s">
        <v>34</v>
      </c>
    </row>
    <row r="1097" spans="1:17">
      <c r="A1097" t="s">
        <v>1839</v>
      </c>
      <c r="B1097" s="1" t="s">
        <v>1832</v>
      </c>
      <c r="C1097" s="1" t="s">
        <v>1693</v>
      </c>
      <c r="D1097" s="1" t="s">
        <v>20</v>
      </c>
      <c r="E1097" t="s">
        <v>464</v>
      </c>
      <c r="F1097" t="s">
        <v>465</v>
      </c>
      <c r="G1097" t="s">
        <v>56</v>
      </c>
      <c r="H1097" t="s">
        <v>70</v>
      </c>
      <c r="I1097" t="s">
        <v>71</v>
      </c>
      <c r="J1097">
        <v>2</v>
      </c>
      <c r="K1097">
        <v>349</v>
      </c>
      <c r="L1097">
        <f>Table1[[#This Row],[Quantity]] * Table1[[#This Row],[UnitPrice]]</f>
        <v>698</v>
      </c>
      <c r="M1097" s="25">
        <v>20</v>
      </c>
      <c r="N1097">
        <f>Table1[[#This Row],[Revenue]]*Table1[[#This Row],[Discount%]]/100</f>
        <v>139.6</v>
      </c>
      <c r="O1097" s="6">
        <f>Table1[[#This Row],[Revenue]]-Table1[[#This Row],[Disc_amount]]</f>
        <v>558.4</v>
      </c>
      <c r="P1097" t="s">
        <v>33</v>
      </c>
      <c r="Q1097" t="s">
        <v>34</v>
      </c>
    </row>
    <row r="1098" spans="1:17">
      <c r="A1098" t="s">
        <v>1840</v>
      </c>
      <c r="B1098" s="1" t="s">
        <v>1832</v>
      </c>
      <c r="C1098" s="1" t="s">
        <v>1693</v>
      </c>
      <c r="D1098" s="1" t="s">
        <v>20</v>
      </c>
      <c r="E1098" t="s">
        <v>159</v>
      </c>
      <c r="F1098" t="s">
        <v>160</v>
      </c>
      <c r="G1098" t="s">
        <v>38</v>
      </c>
      <c r="H1098" t="s">
        <v>65</v>
      </c>
      <c r="I1098" t="s">
        <v>66</v>
      </c>
      <c r="J1098">
        <v>3</v>
      </c>
      <c r="K1098">
        <v>1999</v>
      </c>
      <c r="L1098">
        <f>Table1[[#This Row],[Quantity]] * Table1[[#This Row],[UnitPrice]]</f>
        <v>5997</v>
      </c>
      <c r="M1098" s="25">
        <v>20</v>
      </c>
      <c r="N1098">
        <f>Table1[[#This Row],[Revenue]]*Table1[[#This Row],[Discount%]]/100</f>
        <v>1199.4000000000001</v>
      </c>
      <c r="O1098" s="6">
        <f>Table1[[#This Row],[Revenue]]-Table1[[#This Row],[Disc_amount]]</f>
        <v>4797.6000000000004</v>
      </c>
      <c r="P1098" t="s">
        <v>26</v>
      </c>
      <c r="Q1098" t="s">
        <v>34</v>
      </c>
    </row>
    <row r="1099" spans="1:17">
      <c r="A1099" t="s">
        <v>1841</v>
      </c>
      <c r="B1099" s="1" t="s">
        <v>1832</v>
      </c>
      <c r="C1099" s="1" t="s">
        <v>1693</v>
      </c>
      <c r="D1099" s="1" t="s">
        <v>20</v>
      </c>
      <c r="E1099" t="s">
        <v>208</v>
      </c>
      <c r="F1099" t="s">
        <v>209</v>
      </c>
      <c r="G1099" t="s">
        <v>45</v>
      </c>
      <c r="H1099" t="s">
        <v>57</v>
      </c>
      <c r="I1099" t="s">
        <v>58</v>
      </c>
      <c r="J1099">
        <v>2</v>
      </c>
      <c r="K1099">
        <v>1299</v>
      </c>
      <c r="L1099">
        <f>Table1[[#This Row],[Quantity]] * Table1[[#This Row],[UnitPrice]]</f>
        <v>2598</v>
      </c>
      <c r="M1099" s="25">
        <v>5</v>
      </c>
      <c r="N1099">
        <f>Table1[[#This Row],[Revenue]]*Table1[[#This Row],[Discount%]]/100</f>
        <v>129.9</v>
      </c>
      <c r="O1099" s="6">
        <f>Table1[[#This Row],[Revenue]]-Table1[[#This Row],[Disc_amount]]</f>
        <v>2468.1</v>
      </c>
      <c r="P1099" t="s">
        <v>41</v>
      </c>
      <c r="Q1099" t="s">
        <v>27</v>
      </c>
    </row>
    <row r="1100" spans="1:17">
      <c r="A1100" t="s">
        <v>1842</v>
      </c>
      <c r="B1100" s="1" t="s">
        <v>1832</v>
      </c>
      <c r="C1100" s="1" t="s">
        <v>1693</v>
      </c>
      <c r="D1100" s="1" t="s">
        <v>20</v>
      </c>
      <c r="E1100" t="s">
        <v>337</v>
      </c>
      <c r="F1100" t="s">
        <v>338</v>
      </c>
      <c r="G1100" t="s">
        <v>31</v>
      </c>
      <c r="H1100" t="s">
        <v>57</v>
      </c>
      <c r="I1100" t="s">
        <v>58</v>
      </c>
      <c r="J1100">
        <v>1</v>
      </c>
      <c r="K1100">
        <v>1299</v>
      </c>
      <c r="L1100">
        <f>Table1[[#This Row],[Quantity]] * Table1[[#This Row],[UnitPrice]]</f>
        <v>1299</v>
      </c>
      <c r="M1100" s="25">
        <v>15</v>
      </c>
      <c r="N1100">
        <f>Table1[[#This Row],[Revenue]]*Table1[[#This Row],[Discount%]]/100</f>
        <v>194.85</v>
      </c>
      <c r="O1100" s="6">
        <f>Table1[[#This Row],[Revenue]]-Table1[[#This Row],[Disc_amount]]</f>
        <v>1104.1500000000001</v>
      </c>
      <c r="P1100" t="s">
        <v>41</v>
      </c>
      <c r="Q1100" t="s">
        <v>27</v>
      </c>
    </row>
    <row r="1101" spans="1:17">
      <c r="A1101" t="s">
        <v>1843</v>
      </c>
      <c r="B1101" s="1" t="s">
        <v>1832</v>
      </c>
      <c r="C1101" s="1" t="s">
        <v>1693</v>
      </c>
      <c r="D1101" s="1" t="s">
        <v>20</v>
      </c>
      <c r="E1101" t="s">
        <v>303</v>
      </c>
      <c r="F1101" t="s">
        <v>304</v>
      </c>
      <c r="G1101" t="s">
        <v>38</v>
      </c>
      <c r="H1101" t="s">
        <v>65</v>
      </c>
      <c r="I1101" t="s">
        <v>66</v>
      </c>
      <c r="J1101">
        <v>2</v>
      </c>
      <c r="K1101">
        <v>1999</v>
      </c>
      <c r="L1101">
        <f>Table1[[#This Row],[Quantity]] * Table1[[#This Row],[UnitPrice]]</f>
        <v>3998</v>
      </c>
      <c r="M1101" s="25">
        <v>25</v>
      </c>
      <c r="N1101">
        <f>Table1[[#This Row],[Revenue]]*Table1[[#This Row],[Discount%]]/100</f>
        <v>999.5</v>
      </c>
      <c r="O1101" s="6">
        <f>Table1[[#This Row],[Revenue]]-Table1[[#This Row],[Disc_amount]]</f>
        <v>2998.5</v>
      </c>
      <c r="P1101" t="s">
        <v>52</v>
      </c>
      <c r="Q1101" t="s">
        <v>34</v>
      </c>
    </row>
    <row r="1102" spans="1:17">
      <c r="A1102" t="s">
        <v>1844</v>
      </c>
      <c r="B1102" s="1" t="s">
        <v>1832</v>
      </c>
      <c r="C1102" s="1" t="s">
        <v>1693</v>
      </c>
      <c r="D1102" s="1" t="s">
        <v>20</v>
      </c>
      <c r="E1102" t="s">
        <v>761</v>
      </c>
      <c r="F1102" t="s">
        <v>44</v>
      </c>
      <c r="G1102" t="s">
        <v>23</v>
      </c>
      <c r="H1102" t="s">
        <v>70</v>
      </c>
      <c r="I1102" t="s">
        <v>71</v>
      </c>
      <c r="J1102">
        <v>3</v>
      </c>
      <c r="K1102">
        <v>349</v>
      </c>
      <c r="L1102">
        <f>Table1[[#This Row],[Quantity]] * Table1[[#This Row],[UnitPrice]]</f>
        <v>1047</v>
      </c>
      <c r="M1102" s="25">
        <v>30</v>
      </c>
      <c r="N1102">
        <f>Table1[[#This Row],[Revenue]]*Table1[[#This Row],[Discount%]]/100</f>
        <v>314.10000000000002</v>
      </c>
      <c r="O1102" s="6">
        <f>Table1[[#This Row],[Revenue]]-Table1[[#This Row],[Disc_amount]]</f>
        <v>732.9</v>
      </c>
      <c r="P1102" t="s">
        <v>26</v>
      </c>
      <c r="Q1102" t="s">
        <v>34</v>
      </c>
    </row>
    <row r="1103" spans="1:17">
      <c r="A1103" t="s">
        <v>1845</v>
      </c>
      <c r="B1103" s="1" t="s">
        <v>1846</v>
      </c>
      <c r="C1103" s="1" t="s">
        <v>1693</v>
      </c>
      <c r="D1103" s="1" t="s">
        <v>20</v>
      </c>
      <c r="E1103" t="s">
        <v>1178</v>
      </c>
      <c r="F1103" t="s">
        <v>358</v>
      </c>
      <c r="G1103" t="s">
        <v>23</v>
      </c>
      <c r="H1103" t="s">
        <v>39</v>
      </c>
      <c r="I1103" t="s">
        <v>40</v>
      </c>
      <c r="J1103">
        <v>2</v>
      </c>
      <c r="K1103">
        <v>599</v>
      </c>
      <c r="L1103">
        <f>Table1[[#This Row],[Quantity]] * Table1[[#This Row],[UnitPrice]]</f>
        <v>1198</v>
      </c>
      <c r="M1103" s="25">
        <v>20</v>
      </c>
      <c r="N1103">
        <f>Table1[[#This Row],[Revenue]]*Table1[[#This Row],[Discount%]]/100</f>
        <v>239.6</v>
      </c>
      <c r="O1103" s="6">
        <f>Table1[[#This Row],[Revenue]]-Table1[[#This Row],[Disc_amount]]</f>
        <v>958.4</v>
      </c>
      <c r="P1103" t="s">
        <v>33</v>
      </c>
      <c r="Q1103" t="s">
        <v>27</v>
      </c>
    </row>
    <row r="1104" spans="1:17">
      <c r="A1104" t="s">
        <v>1847</v>
      </c>
      <c r="B1104" s="1" t="s">
        <v>1846</v>
      </c>
      <c r="C1104" s="1" t="s">
        <v>1693</v>
      </c>
      <c r="D1104" s="1" t="s">
        <v>20</v>
      </c>
      <c r="E1104" t="s">
        <v>583</v>
      </c>
      <c r="F1104" t="s">
        <v>584</v>
      </c>
      <c r="G1104" t="s">
        <v>45</v>
      </c>
      <c r="H1104" t="s">
        <v>108</v>
      </c>
      <c r="I1104" t="s">
        <v>109</v>
      </c>
      <c r="J1104">
        <v>3</v>
      </c>
      <c r="K1104">
        <v>1499</v>
      </c>
      <c r="L1104">
        <f>Table1[[#This Row],[Quantity]] * Table1[[#This Row],[UnitPrice]]</f>
        <v>4497</v>
      </c>
      <c r="M1104" s="25">
        <v>5</v>
      </c>
      <c r="N1104">
        <f>Table1[[#This Row],[Revenue]]*Table1[[#This Row],[Discount%]]/100</f>
        <v>224.85</v>
      </c>
      <c r="O1104" s="6">
        <f>Table1[[#This Row],[Revenue]]-Table1[[#This Row],[Disc_amount]]</f>
        <v>4272.1499999999996</v>
      </c>
      <c r="P1104" t="s">
        <v>86</v>
      </c>
      <c r="Q1104" t="s">
        <v>27</v>
      </c>
    </row>
    <row r="1105" spans="1:17">
      <c r="A1105" t="s">
        <v>1848</v>
      </c>
      <c r="B1105" s="1" t="s">
        <v>1846</v>
      </c>
      <c r="C1105" s="1" t="s">
        <v>1693</v>
      </c>
      <c r="D1105" s="1" t="s">
        <v>20</v>
      </c>
      <c r="E1105" t="s">
        <v>282</v>
      </c>
      <c r="F1105" t="s">
        <v>283</v>
      </c>
      <c r="G1105" t="s">
        <v>38</v>
      </c>
      <c r="H1105" t="s">
        <v>24</v>
      </c>
      <c r="I1105" t="s">
        <v>32</v>
      </c>
      <c r="J1105">
        <v>1</v>
      </c>
      <c r="K1105">
        <v>199</v>
      </c>
      <c r="L1105">
        <f>Table1[[#This Row],[Quantity]] * Table1[[#This Row],[UnitPrice]]</f>
        <v>199</v>
      </c>
      <c r="M1105" s="25">
        <v>20</v>
      </c>
      <c r="N1105">
        <f>Table1[[#This Row],[Revenue]]*Table1[[#This Row],[Discount%]]/100</f>
        <v>39.799999999999997</v>
      </c>
      <c r="O1105" s="6">
        <f>Table1[[#This Row],[Revenue]]-Table1[[#This Row],[Disc_amount]]</f>
        <v>159.19999999999999</v>
      </c>
      <c r="P1105" t="s">
        <v>86</v>
      </c>
      <c r="Q1105" t="s">
        <v>34</v>
      </c>
    </row>
    <row r="1106" spans="1:17">
      <c r="A1106" t="s">
        <v>1849</v>
      </c>
      <c r="B1106" s="1" t="s">
        <v>1846</v>
      </c>
      <c r="C1106" s="1" t="s">
        <v>1693</v>
      </c>
      <c r="D1106" s="1" t="s">
        <v>20</v>
      </c>
      <c r="E1106" t="s">
        <v>1473</v>
      </c>
      <c r="F1106" t="s">
        <v>617</v>
      </c>
      <c r="G1106" t="s">
        <v>23</v>
      </c>
      <c r="H1106" t="s">
        <v>65</v>
      </c>
      <c r="I1106" t="s">
        <v>98</v>
      </c>
      <c r="J1106">
        <v>1</v>
      </c>
      <c r="K1106">
        <v>499</v>
      </c>
      <c r="L1106">
        <f>Table1[[#This Row],[Quantity]] * Table1[[#This Row],[UnitPrice]]</f>
        <v>499</v>
      </c>
      <c r="M1106" s="25">
        <v>20</v>
      </c>
      <c r="N1106">
        <f>Table1[[#This Row],[Revenue]]*Table1[[#This Row],[Discount%]]/100</f>
        <v>99.8</v>
      </c>
      <c r="O1106" s="6">
        <f>Table1[[#This Row],[Revenue]]-Table1[[#This Row],[Disc_amount]]</f>
        <v>399.2</v>
      </c>
      <c r="P1106" t="s">
        <v>86</v>
      </c>
      <c r="Q1106" t="s">
        <v>27</v>
      </c>
    </row>
    <row r="1107" spans="1:17">
      <c r="A1107" t="s">
        <v>1850</v>
      </c>
      <c r="B1107" s="1" t="s">
        <v>1846</v>
      </c>
      <c r="C1107" s="1" t="s">
        <v>1693</v>
      </c>
      <c r="D1107" s="1" t="s">
        <v>20</v>
      </c>
      <c r="E1107" t="s">
        <v>964</v>
      </c>
      <c r="F1107" t="s">
        <v>265</v>
      </c>
      <c r="G1107" t="s">
        <v>38</v>
      </c>
      <c r="H1107" t="s">
        <v>24</v>
      </c>
      <c r="I1107" t="s">
        <v>25</v>
      </c>
      <c r="J1107">
        <v>1</v>
      </c>
      <c r="K1107">
        <v>99</v>
      </c>
      <c r="L1107">
        <f>Table1[[#This Row],[Quantity]] * Table1[[#This Row],[UnitPrice]]</f>
        <v>99</v>
      </c>
      <c r="M1107" s="25">
        <v>5</v>
      </c>
      <c r="N1107">
        <f>Table1[[#This Row],[Revenue]]*Table1[[#This Row],[Discount%]]/100</f>
        <v>4.95</v>
      </c>
      <c r="O1107" s="6">
        <f>Table1[[#This Row],[Revenue]]-Table1[[#This Row],[Disc_amount]]</f>
        <v>94.05</v>
      </c>
      <c r="P1107" t="s">
        <v>33</v>
      </c>
      <c r="Q1107" t="s">
        <v>27</v>
      </c>
    </row>
    <row r="1108" spans="1:17">
      <c r="A1108" t="s">
        <v>1851</v>
      </c>
      <c r="B1108" s="1" t="s">
        <v>1846</v>
      </c>
      <c r="C1108" s="1" t="s">
        <v>1693</v>
      </c>
      <c r="D1108" s="1" t="s">
        <v>20</v>
      </c>
      <c r="E1108" t="s">
        <v>733</v>
      </c>
      <c r="F1108" t="s">
        <v>734</v>
      </c>
      <c r="G1108" t="s">
        <v>45</v>
      </c>
      <c r="H1108" t="s">
        <v>108</v>
      </c>
      <c r="I1108" t="s">
        <v>130</v>
      </c>
      <c r="J1108">
        <v>1</v>
      </c>
      <c r="K1108">
        <v>699</v>
      </c>
      <c r="L1108">
        <f>Table1[[#This Row],[Quantity]] * Table1[[#This Row],[UnitPrice]]</f>
        <v>699</v>
      </c>
      <c r="M1108" s="25">
        <v>25</v>
      </c>
      <c r="N1108">
        <f>Table1[[#This Row],[Revenue]]*Table1[[#This Row],[Discount%]]/100</f>
        <v>174.75</v>
      </c>
      <c r="O1108" s="6">
        <f>Table1[[#This Row],[Revenue]]-Table1[[#This Row],[Disc_amount]]</f>
        <v>524.25</v>
      </c>
      <c r="P1108" t="s">
        <v>26</v>
      </c>
      <c r="Q1108" t="s">
        <v>27</v>
      </c>
    </row>
    <row r="1109" spans="1:17">
      <c r="A1109" t="s">
        <v>1852</v>
      </c>
      <c r="B1109" s="1" t="s">
        <v>1846</v>
      </c>
      <c r="C1109" s="1" t="s">
        <v>1693</v>
      </c>
      <c r="D1109" s="1" t="s">
        <v>20</v>
      </c>
      <c r="E1109" t="s">
        <v>755</v>
      </c>
      <c r="F1109" t="s">
        <v>756</v>
      </c>
      <c r="G1109" t="s">
        <v>38</v>
      </c>
      <c r="H1109" t="s">
        <v>108</v>
      </c>
      <c r="I1109" t="s">
        <v>130</v>
      </c>
      <c r="J1109">
        <v>3</v>
      </c>
      <c r="K1109">
        <v>699</v>
      </c>
      <c r="L1109">
        <f>Table1[[#This Row],[Quantity]] * Table1[[#This Row],[UnitPrice]]</f>
        <v>2097</v>
      </c>
      <c r="M1109" s="25">
        <v>20</v>
      </c>
      <c r="N1109">
        <f>Table1[[#This Row],[Revenue]]*Table1[[#This Row],[Discount%]]/100</f>
        <v>419.4</v>
      </c>
      <c r="O1109" s="6">
        <f>Table1[[#This Row],[Revenue]]-Table1[[#This Row],[Disc_amount]]</f>
        <v>1677.6</v>
      </c>
      <c r="P1109" t="s">
        <v>41</v>
      </c>
      <c r="Q1109" t="s">
        <v>34</v>
      </c>
    </row>
    <row r="1110" spans="1:17">
      <c r="A1110" t="s">
        <v>1853</v>
      </c>
      <c r="B1110" s="1" t="s">
        <v>1846</v>
      </c>
      <c r="C1110" s="1" t="s">
        <v>1693</v>
      </c>
      <c r="D1110" s="1" t="s">
        <v>20</v>
      </c>
      <c r="E1110" t="s">
        <v>821</v>
      </c>
      <c r="F1110" t="s">
        <v>714</v>
      </c>
      <c r="G1110" t="s">
        <v>38</v>
      </c>
      <c r="H1110" t="s">
        <v>57</v>
      </c>
      <c r="I1110" t="s">
        <v>62</v>
      </c>
      <c r="J1110">
        <v>4</v>
      </c>
      <c r="K1110">
        <v>799</v>
      </c>
      <c r="L1110">
        <f>Table1[[#This Row],[Quantity]] * Table1[[#This Row],[UnitPrice]]</f>
        <v>3196</v>
      </c>
      <c r="M1110" s="25">
        <v>15</v>
      </c>
      <c r="N1110">
        <f>Table1[[#This Row],[Revenue]]*Table1[[#This Row],[Discount%]]/100</f>
        <v>479.4</v>
      </c>
      <c r="O1110" s="6">
        <f>Table1[[#This Row],[Revenue]]-Table1[[#This Row],[Disc_amount]]</f>
        <v>2716.6</v>
      </c>
      <c r="P1110" t="s">
        <v>33</v>
      </c>
      <c r="Q1110" t="s">
        <v>34</v>
      </c>
    </row>
    <row r="1111" spans="1:17">
      <c r="A1111" t="s">
        <v>1854</v>
      </c>
      <c r="B1111" s="1" t="s">
        <v>1855</v>
      </c>
      <c r="C1111" s="1" t="s">
        <v>1693</v>
      </c>
      <c r="D1111" s="1" t="s">
        <v>20</v>
      </c>
      <c r="E1111" t="s">
        <v>795</v>
      </c>
      <c r="F1111" t="s">
        <v>796</v>
      </c>
      <c r="G1111" t="s">
        <v>31</v>
      </c>
      <c r="H1111" t="s">
        <v>24</v>
      </c>
      <c r="I1111" t="s">
        <v>32</v>
      </c>
      <c r="J1111">
        <v>1</v>
      </c>
      <c r="K1111">
        <v>199</v>
      </c>
      <c r="L1111">
        <f>Table1[[#This Row],[Quantity]] * Table1[[#This Row],[UnitPrice]]</f>
        <v>199</v>
      </c>
      <c r="M1111" s="25">
        <v>5</v>
      </c>
      <c r="N1111">
        <f>Table1[[#This Row],[Revenue]]*Table1[[#This Row],[Discount%]]/100</f>
        <v>9.9499999999999993</v>
      </c>
      <c r="O1111" s="6">
        <f>Table1[[#This Row],[Revenue]]-Table1[[#This Row],[Disc_amount]]</f>
        <v>189.05</v>
      </c>
      <c r="P1111" t="s">
        <v>26</v>
      </c>
      <c r="Q1111" t="s">
        <v>27</v>
      </c>
    </row>
    <row r="1112" spans="1:17">
      <c r="A1112" t="s">
        <v>1856</v>
      </c>
      <c r="B1112" s="1" t="s">
        <v>1855</v>
      </c>
      <c r="C1112" s="1" t="s">
        <v>1693</v>
      </c>
      <c r="D1112" s="1" t="s">
        <v>20</v>
      </c>
      <c r="E1112" t="s">
        <v>1428</v>
      </c>
      <c r="F1112" t="s">
        <v>607</v>
      </c>
      <c r="G1112" t="s">
        <v>38</v>
      </c>
      <c r="H1112" t="s">
        <v>108</v>
      </c>
      <c r="I1112" t="s">
        <v>109</v>
      </c>
      <c r="J1112">
        <v>2</v>
      </c>
      <c r="K1112">
        <v>1499</v>
      </c>
      <c r="L1112">
        <f>Table1[[#This Row],[Quantity]] * Table1[[#This Row],[UnitPrice]]</f>
        <v>2998</v>
      </c>
      <c r="M1112" s="25">
        <v>10</v>
      </c>
      <c r="N1112">
        <f>Table1[[#This Row],[Revenue]]*Table1[[#This Row],[Discount%]]/100</f>
        <v>299.8</v>
      </c>
      <c r="O1112" s="6">
        <f>Table1[[#This Row],[Revenue]]-Table1[[#This Row],[Disc_amount]]</f>
        <v>2698.2</v>
      </c>
      <c r="P1112" t="s">
        <v>26</v>
      </c>
      <c r="Q1112" t="s">
        <v>34</v>
      </c>
    </row>
    <row r="1113" spans="1:17">
      <c r="A1113" t="s">
        <v>1857</v>
      </c>
      <c r="B1113" s="1" t="s">
        <v>1858</v>
      </c>
      <c r="C1113" s="1" t="s">
        <v>1693</v>
      </c>
      <c r="D1113" s="1" t="s">
        <v>20</v>
      </c>
      <c r="E1113" t="s">
        <v>149</v>
      </c>
      <c r="F1113" t="s">
        <v>150</v>
      </c>
      <c r="G1113" t="s">
        <v>45</v>
      </c>
      <c r="H1113" t="s">
        <v>39</v>
      </c>
      <c r="I1113" t="s">
        <v>40</v>
      </c>
      <c r="J1113">
        <v>2</v>
      </c>
      <c r="K1113">
        <v>599</v>
      </c>
      <c r="L1113">
        <f>Table1[[#This Row],[Quantity]] * Table1[[#This Row],[UnitPrice]]</f>
        <v>1198</v>
      </c>
      <c r="M1113" s="25">
        <v>5</v>
      </c>
      <c r="N1113">
        <f>Table1[[#This Row],[Revenue]]*Table1[[#This Row],[Discount%]]/100</f>
        <v>59.9</v>
      </c>
      <c r="O1113" s="6">
        <f>Table1[[#This Row],[Revenue]]-Table1[[#This Row],[Disc_amount]]</f>
        <v>1138.0999999999999</v>
      </c>
      <c r="P1113" t="s">
        <v>41</v>
      </c>
      <c r="Q1113" t="s">
        <v>34</v>
      </c>
    </row>
    <row r="1114" spans="1:17">
      <c r="A1114" t="s">
        <v>1859</v>
      </c>
      <c r="B1114" s="1" t="s">
        <v>1858</v>
      </c>
      <c r="C1114" s="1" t="s">
        <v>1693</v>
      </c>
      <c r="D1114" s="1" t="s">
        <v>20</v>
      </c>
      <c r="E1114" t="s">
        <v>316</v>
      </c>
      <c r="F1114" t="s">
        <v>317</v>
      </c>
      <c r="G1114" t="s">
        <v>31</v>
      </c>
      <c r="H1114" t="s">
        <v>24</v>
      </c>
      <c r="I1114" t="s">
        <v>25</v>
      </c>
      <c r="J1114">
        <v>4</v>
      </c>
      <c r="K1114">
        <v>99</v>
      </c>
      <c r="L1114">
        <f>Table1[[#This Row],[Quantity]] * Table1[[#This Row],[UnitPrice]]</f>
        <v>396</v>
      </c>
      <c r="M1114" s="25">
        <v>5</v>
      </c>
      <c r="N1114">
        <f>Table1[[#This Row],[Revenue]]*Table1[[#This Row],[Discount%]]/100</f>
        <v>19.8</v>
      </c>
      <c r="O1114" s="6">
        <f>Table1[[#This Row],[Revenue]]-Table1[[#This Row],[Disc_amount]]</f>
        <v>376.2</v>
      </c>
      <c r="P1114" t="s">
        <v>41</v>
      </c>
      <c r="Q1114" t="s">
        <v>27</v>
      </c>
    </row>
    <row r="1115" spans="1:17">
      <c r="A1115" t="s">
        <v>1860</v>
      </c>
      <c r="B1115" s="1" t="s">
        <v>1858</v>
      </c>
      <c r="C1115" s="1" t="s">
        <v>1693</v>
      </c>
      <c r="D1115" s="1" t="s">
        <v>20</v>
      </c>
      <c r="E1115" t="s">
        <v>1861</v>
      </c>
      <c r="F1115" t="s">
        <v>1862</v>
      </c>
      <c r="G1115" t="s">
        <v>38</v>
      </c>
      <c r="H1115" t="s">
        <v>65</v>
      </c>
      <c r="I1115" t="s">
        <v>98</v>
      </c>
      <c r="J1115">
        <v>2</v>
      </c>
      <c r="K1115">
        <v>499</v>
      </c>
      <c r="L1115">
        <f>Table1[[#This Row],[Quantity]] * Table1[[#This Row],[UnitPrice]]</f>
        <v>998</v>
      </c>
      <c r="M1115" s="25">
        <v>15</v>
      </c>
      <c r="N1115">
        <f>Table1[[#This Row],[Revenue]]*Table1[[#This Row],[Discount%]]/100</f>
        <v>149.69999999999999</v>
      </c>
      <c r="O1115" s="6">
        <f>Table1[[#This Row],[Revenue]]-Table1[[#This Row],[Disc_amount]]</f>
        <v>848.3</v>
      </c>
      <c r="P1115" t="s">
        <v>26</v>
      </c>
      <c r="Q1115" t="s">
        <v>34</v>
      </c>
    </row>
    <row r="1116" spans="1:17">
      <c r="A1116" t="s">
        <v>1863</v>
      </c>
      <c r="B1116" s="1" t="s">
        <v>1858</v>
      </c>
      <c r="C1116" s="1" t="s">
        <v>1693</v>
      </c>
      <c r="D1116" s="1" t="s">
        <v>20</v>
      </c>
      <c r="E1116" t="s">
        <v>322</v>
      </c>
      <c r="F1116" t="s">
        <v>323</v>
      </c>
      <c r="G1116" t="s">
        <v>45</v>
      </c>
      <c r="H1116" t="s">
        <v>108</v>
      </c>
      <c r="I1116" t="s">
        <v>109</v>
      </c>
      <c r="J1116">
        <v>3</v>
      </c>
      <c r="K1116">
        <v>1499</v>
      </c>
      <c r="L1116">
        <f>Table1[[#This Row],[Quantity]] * Table1[[#This Row],[UnitPrice]]</f>
        <v>4497</v>
      </c>
      <c r="M1116" s="25">
        <v>15</v>
      </c>
      <c r="N1116">
        <f>Table1[[#This Row],[Revenue]]*Table1[[#This Row],[Discount%]]/100</f>
        <v>674.55</v>
      </c>
      <c r="O1116" s="6">
        <f>Table1[[#This Row],[Revenue]]-Table1[[#This Row],[Disc_amount]]</f>
        <v>3822.45</v>
      </c>
      <c r="P1116" t="s">
        <v>41</v>
      </c>
      <c r="Q1116" t="s">
        <v>27</v>
      </c>
    </row>
    <row r="1117" spans="1:17">
      <c r="A1117" t="s">
        <v>1864</v>
      </c>
      <c r="B1117" s="1" t="s">
        <v>1858</v>
      </c>
      <c r="C1117" s="1" t="s">
        <v>1693</v>
      </c>
      <c r="D1117" s="1" t="s">
        <v>20</v>
      </c>
      <c r="E1117" t="s">
        <v>495</v>
      </c>
      <c r="F1117" t="s">
        <v>187</v>
      </c>
      <c r="G1117" t="s">
        <v>38</v>
      </c>
      <c r="H1117" t="s">
        <v>46</v>
      </c>
      <c r="I1117" t="s">
        <v>47</v>
      </c>
      <c r="J1117">
        <v>2</v>
      </c>
      <c r="K1117">
        <v>249</v>
      </c>
      <c r="L1117">
        <f>Table1[[#This Row],[Quantity]] * Table1[[#This Row],[UnitPrice]]</f>
        <v>498</v>
      </c>
      <c r="M1117" s="25">
        <v>25</v>
      </c>
      <c r="N1117">
        <f>Table1[[#This Row],[Revenue]]*Table1[[#This Row],[Discount%]]/100</f>
        <v>124.5</v>
      </c>
      <c r="O1117" s="6">
        <f>Table1[[#This Row],[Revenue]]-Table1[[#This Row],[Disc_amount]]</f>
        <v>373.5</v>
      </c>
      <c r="P1117" t="s">
        <v>41</v>
      </c>
      <c r="Q1117" t="s">
        <v>34</v>
      </c>
    </row>
    <row r="1118" spans="1:17">
      <c r="A1118" t="s">
        <v>1865</v>
      </c>
      <c r="B1118" s="1" t="s">
        <v>1858</v>
      </c>
      <c r="C1118" s="1" t="s">
        <v>1693</v>
      </c>
      <c r="D1118" s="1" t="s">
        <v>20</v>
      </c>
      <c r="E1118" t="s">
        <v>418</v>
      </c>
      <c r="F1118" t="s">
        <v>147</v>
      </c>
      <c r="G1118" t="s">
        <v>45</v>
      </c>
      <c r="H1118" t="s">
        <v>57</v>
      </c>
      <c r="I1118" t="s">
        <v>58</v>
      </c>
      <c r="J1118">
        <v>1</v>
      </c>
      <c r="K1118">
        <v>1299</v>
      </c>
      <c r="L1118">
        <f>Table1[[#This Row],[Quantity]] * Table1[[#This Row],[UnitPrice]]</f>
        <v>1299</v>
      </c>
      <c r="M1118" s="25">
        <v>30</v>
      </c>
      <c r="N1118">
        <f>Table1[[#This Row],[Revenue]]*Table1[[#This Row],[Discount%]]/100</f>
        <v>389.7</v>
      </c>
      <c r="O1118" s="6">
        <f>Table1[[#This Row],[Revenue]]-Table1[[#This Row],[Disc_amount]]</f>
        <v>909.3</v>
      </c>
      <c r="P1118" t="s">
        <v>33</v>
      </c>
      <c r="Q1118" t="s">
        <v>27</v>
      </c>
    </row>
    <row r="1119" spans="1:17">
      <c r="A1119" t="s">
        <v>1866</v>
      </c>
      <c r="B1119" s="1" t="s">
        <v>1858</v>
      </c>
      <c r="C1119" s="1" t="s">
        <v>1693</v>
      </c>
      <c r="D1119" s="1" t="s">
        <v>20</v>
      </c>
      <c r="E1119" t="s">
        <v>1237</v>
      </c>
      <c r="F1119" t="s">
        <v>173</v>
      </c>
      <c r="G1119" t="s">
        <v>23</v>
      </c>
      <c r="H1119" t="s">
        <v>24</v>
      </c>
      <c r="I1119" t="s">
        <v>32</v>
      </c>
      <c r="J1119">
        <v>3</v>
      </c>
      <c r="K1119">
        <v>199</v>
      </c>
      <c r="L1119">
        <f>Table1[[#This Row],[Quantity]] * Table1[[#This Row],[UnitPrice]]</f>
        <v>597</v>
      </c>
      <c r="M1119" s="25">
        <v>5</v>
      </c>
      <c r="N1119">
        <f>Table1[[#This Row],[Revenue]]*Table1[[#This Row],[Discount%]]/100</f>
        <v>29.85</v>
      </c>
      <c r="O1119" s="6">
        <f>Table1[[#This Row],[Revenue]]-Table1[[#This Row],[Disc_amount]]</f>
        <v>567.15</v>
      </c>
      <c r="P1119" t="s">
        <v>26</v>
      </c>
      <c r="Q1119" t="s">
        <v>34</v>
      </c>
    </row>
    <row r="1120" spans="1:17">
      <c r="A1120" t="s">
        <v>1867</v>
      </c>
      <c r="B1120" s="1" t="s">
        <v>1858</v>
      </c>
      <c r="C1120" s="1" t="s">
        <v>1693</v>
      </c>
      <c r="D1120" s="1" t="s">
        <v>20</v>
      </c>
      <c r="E1120" t="s">
        <v>1640</v>
      </c>
      <c r="F1120" t="s">
        <v>37</v>
      </c>
      <c r="G1120" t="s">
        <v>31</v>
      </c>
      <c r="H1120" t="s">
        <v>46</v>
      </c>
      <c r="I1120" t="s">
        <v>47</v>
      </c>
      <c r="J1120">
        <v>1</v>
      </c>
      <c r="K1120">
        <v>249</v>
      </c>
      <c r="L1120">
        <f>Table1[[#This Row],[Quantity]] * Table1[[#This Row],[UnitPrice]]</f>
        <v>249</v>
      </c>
      <c r="M1120" s="25">
        <v>20</v>
      </c>
      <c r="N1120">
        <f>Table1[[#This Row],[Revenue]]*Table1[[#This Row],[Discount%]]/100</f>
        <v>49.8</v>
      </c>
      <c r="O1120" s="6">
        <f>Table1[[#This Row],[Revenue]]-Table1[[#This Row],[Disc_amount]]</f>
        <v>199.2</v>
      </c>
      <c r="P1120" t="s">
        <v>86</v>
      </c>
      <c r="Q1120" t="s">
        <v>34</v>
      </c>
    </row>
    <row r="1121" spans="1:17">
      <c r="A1121" t="s">
        <v>1868</v>
      </c>
      <c r="B1121" s="1" t="s">
        <v>1858</v>
      </c>
      <c r="C1121" s="1" t="s">
        <v>1693</v>
      </c>
      <c r="D1121" s="1" t="s">
        <v>20</v>
      </c>
      <c r="E1121" t="s">
        <v>224</v>
      </c>
      <c r="F1121" t="s">
        <v>225</v>
      </c>
      <c r="G1121" t="s">
        <v>56</v>
      </c>
      <c r="H1121" t="s">
        <v>57</v>
      </c>
      <c r="I1121" t="s">
        <v>58</v>
      </c>
      <c r="J1121">
        <v>1</v>
      </c>
      <c r="K1121">
        <v>1299</v>
      </c>
      <c r="L1121">
        <f>Table1[[#This Row],[Quantity]] * Table1[[#This Row],[UnitPrice]]</f>
        <v>1299</v>
      </c>
      <c r="M1121" s="25">
        <v>25</v>
      </c>
      <c r="N1121">
        <f>Table1[[#This Row],[Revenue]]*Table1[[#This Row],[Discount%]]/100</f>
        <v>324.75</v>
      </c>
      <c r="O1121" s="6">
        <f>Table1[[#This Row],[Revenue]]-Table1[[#This Row],[Disc_amount]]</f>
        <v>974.25</v>
      </c>
      <c r="P1121" t="s">
        <v>26</v>
      </c>
      <c r="Q1121" t="s">
        <v>27</v>
      </c>
    </row>
    <row r="1122" spans="1:17">
      <c r="A1122" t="s">
        <v>1869</v>
      </c>
      <c r="B1122" s="1" t="s">
        <v>1870</v>
      </c>
      <c r="C1122" s="1" t="s">
        <v>1693</v>
      </c>
      <c r="D1122" s="1" t="s">
        <v>20</v>
      </c>
      <c r="E1122" t="s">
        <v>769</v>
      </c>
      <c r="F1122" t="s">
        <v>101</v>
      </c>
      <c r="G1122" t="s">
        <v>56</v>
      </c>
      <c r="H1122" t="s">
        <v>57</v>
      </c>
      <c r="I1122" t="s">
        <v>62</v>
      </c>
      <c r="J1122">
        <v>3</v>
      </c>
      <c r="K1122">
        <v>799</v>
      </c>
      <c r="L1122">
        <f>Table1[[#This Row],[Quantity]] * Table1[[#This Row],[UnitPrice]]</f>
        <v>2397</v>
      </c>
      <c r="M1122" s="25">
        <v>20</v>
      </c>
      <c r="N1122">
        <f>Table1[[#This Row],[Revenue]]*Table1[[#This Row],[Discount%]]/100</f>
        <v>479.4</v>
      </c>
      <c r="O1122" s="6">
        <f>Table1[[#This Row],[Revenue]]-Table1[[#This Row],[Disc_amount]]</f>
        <v>1917.6</v>
      </c>
      <c r="P1122" t="s">
        <v>41</v>
      </c>
      <c r="Q1122" t="s">
        <v>27</v>
      </c>
    </row>
    <row r="1123" spans="1:17">
      <c r="A1123" t="s">
        <v>1871</v>
      </c>
      <c r="B1123" s="1" t="s">
        <v>1870</v>
      </c>
      <c r="C1123" s="1" t="s">
        <v>1693</v>
      </c>
      <c r="D1123" s="1" t="s">
        <v>20</v>
      </c>
      <c r="E1123" t="s">
        <v>1165</v>
      </c>
      <c r="F1123" t="s">
        <v>272</v>
      </c>
      <c r="G1123" t="s">
        <v>31</v>
      </c>
      <c r="H1123" t="s">
        <v>39</v>
      </c>
      <c r="I1123" t="s">
        <v>140</v>
      </c>
      <c r="J1123">
        <v>5</v>
      </c>
      <c r="K1123">
        <v>1799</v>
      </c>
      <c r="L1123">
        <f>Table1[[#This Row],[Quantity]] * Table1[[#This Row],[UnitPrice]]</f>
        <v>8995</v>
      </c>
      <c r="M1123" s="25">
        <v>0</v>
      </c>
      <c r="N1123">
        <f>Table1[[#This Row],[Revenue]]*Table1[[#This Row],[Discount%]]/100</f>
        <v>0</v>
      </c>
      <c r="O1123" s="6">
        <f>Table1[[#This Row],[Revenue]]-Table1[[#This Row],[Disc_amount]]</f>
        <v>8995</v>
      </c>
      <c r="P1123" t="s">
        <v>86</v>
      </c>
      <c r="Q1123" t="s">
        <v>34</v>
      </c>
    </row>
    <row r="1124" spans="1:17">
      <c r="A1124" t="s">
        <v>1872</v>
      </c>
      <c r="B1124" s="1" t="s">
        <v>1870</v>
      </c>
      <c r="C1124" s="1" t="s">
        <v>1693</v>
      </c>
      <c r="D1124" s="1" t="s">
        <v>20</v>
      </c>
      <c r="E1124" t="s">
        <v>1873</v>
      </c>
      <c r="F1124" t="s">
        <v>501</v>
      </c>
      <c r="G1124" t="s">
        <v>23</v>
      </c>
      <c r="H1124" t="s">
        <v>24</v>
      </c>
      <c r="I1124" t="s">
        <v>25</v>
      </c>
      <c r="J1124">
        <v>4</v>
      </c>
      <c r="K1124">
        <v>99</v>
      </c>
      <c r="L1124">
        <f>Table1[[#This Row],[Quantity]] * Table1[[#This Row],[UnitPrice]]</f>
        <v>396</v>
      </c>
      <c r="M1124" s="25">
        <v>25</v>
      </c>
      <c r="N1124">
        <f>Table1[[#This Row],[Revenue]]*Table1[[#This Row],[Discount%]]/100</f>
        <v>99</v>
      </c>
      <c r="O1124" s="6">
        <f>Table1[[#This Row],[Revenue]]-Table1[[#This Row],[Disc_amount]]</f>
        <v>297</v>
      </c>
      <c r="P1124" t="s">
        <v>26</v>
      </c>
      <c r="Q1124" t="s">
        <v>27</v>
      </c>
    </row>
    <row r="1125" spans="1:17">
      <c r="A1125" t="s">
        <v>1874</v>
      </c>
      <c r="B1125" s="1" t="s">
        <v>1870</v>
      </c>
      <c r="C1125" s="1" t="s">
        <v>1693</v>
      </c>
      <c r="D1125" s="1" t="s">
        <v>20</v>
      </c>
      <c r="E1125" t="s">
        <v>555</v>
      </c>
      <c r="F1125" t="s">
        <v>384</v>
      </c>
      <c r="G1125" t="s">
        <v>45</v>
      </c>
      <c r="H1125" t="s">
        <v>24</v>
      </c>
      <c r="I1125" t="s">
        <v>32</v>
      </c>
      <c r="J1125">
        <v>1</v>
      </c>
      <c r="K1125">
        <v>199</v>
      </c>
      <c r="L1125">
        <f>Table1[[#This Row],[Quantity]] * Table1[[#This Row],[UnitPrice]]</f>
        <v>199</v>
      </c>
      <c r="M1125" s="25">
        <v>10</v>
      </c>
      <c r="N1125">
        <f>Table1[[#This Row],[Revenue]]*Table1[[#This Row],[Discount%]]/100</f>
        <v>19.899999999999999</v>
      </c>
      <c r="O1125" s="6">
        <f>Table1[[#This Row],[Revenue]]-Table1[[#This Row],[Disc_amount]]</f>
        <v>179.1</v>
      </c>
      <c r="P1125" t="s">
        <v>41</v>
      </c>
      <c r="Q1125" t="s">
        <v>27</v>
      </c>
    </row>
    <row r="1126" spans="1:17">
      <c r="A1126" t="s">
        <v>1875</v>
      </c>
      <c r="B1126" s="1" t="s">
        <v>1870</v>
      </c>
      <c r="C1126" s="1" t="s">
        <v>1693</v>
      </c>
      <c r="D1126" s="1" t="s">
        <v>20</v>
      </c>
      <c r="E1126" t="s">
        <v>1873</v>
      </c>
      <c r="F1126" t="s">
        <v>501</v>
      </c>
      <c r="G1126" t="s">
        <v>38</v>
      </c>
      <c r="H1126" t="s">
        <v>65</v>
      </c>
      <c r="I1126" t="s">
        <v>66</v>
      </c>
      <c r="J1126">
        <v>2</v>
      </c>
      <c r="K1126">
        <v>1999</v>
      </c>
      <c r="L1126">
        <f>Table1[[#This Row],[Quantity]] * Table1[[#This Row],[UnitPrice]]</f>
        <v>3998</v>
      </c>
      <c r="M1126" s="25">
        <v>30</v>
      </c>
      <c r="N1126">
        <f>Table1[[#This Row],[Revenue]]*Table1[[#This Row],[Discount%]]/100</f>
        <v>1199.4000000000001</v>
      </c>
      <c r="O1126" s="6">
        <f>Table1[[#This Row],[Revenue]]-Table1[[#This Row],[Disc_amount]]</f>
        <v>2798.6</v>
      </c>
      <c r="P1126" t="s">
        <v>41</v>
      </c>
      <c r="Q1126" t="s">
        <v>27</v>
      </c>
    </row>
    <row r="1127" spans="1:17">
      <c r="A1127" t="s">
        <v>1876</v>
      </c>
      <c r="B1127" s="1" t="s">
        <v>1870</v>
      </c>
      <c r="C1127" s="1" t="s">
        <v>1693</v>
      </c>
      <c r="D1127" s="1" t="s">
        <v>20</v>
      </c>
      <c r="E1127" t="s">
        <v>946</v>
      </c>
      <c r="F1127" t="s">
        <v>947</v>
      </c>
      <c r="G1127" t="s">
        <v>56</v>
      </c>
      <c r="H1127" t="s">
        <v>57</v>
      </c>
      <c r="I1127" t="s">
        <v>62</v>
      </c>
      <c r="J1127">
        <v>2</v>
      </c>
      <c r="K1127">
        <v>799</v>
      </c>
      <c r="L1127">
        <f>Table1[[#This Row],[Quantity]] * Table1[[#This Row],[UnitPrice]]</f>
        <v>1598</v>
      </c>
      <c r="M1127" s="25">
        <v>25</v>
      </c>
      <c r="N1127">
        <f>Table1[[#This Row],[Revenue]]*Table1[[#This Row],[Discount%]]/100</f>
        <v>399.5</v>
      </c>
      <c r="O1127" s="6">
        <f>Table1[[#This Row],[Revenue]]-Table1[[#This Row],[Disc_amount]]</f>
        <v>1198.5</v>
      </c>
      <c r="P1127" t="s">
        <v>33</v>
      </c>
      <c r="Q1127" t="s">
        <v>27</v>
      </c>
    </row>
    <row r="1128" spans="1:17">
      <c r="A1128" t="s">
        <v>1877</v>
      </c>
      <c r="B1128" s="1" t="s">
        <v>1870</v>
      </c>
      <c r="C1128" s="1" t="s">
        <v>1693</v>
      </c>
      <c r="D1128" s="1" t="s">
        <v>20</v>
      </c>
      <c r="E1128" t="s">
        <v>1019</v>
      </c>
      <c r="F1128" t="s">
        <v>1020</v>
      </c>
      <c r="G1128" t="s">
        <v>23</v>
      </c>
      <c r="H1128" t="s">
        <v>65</v>
      </c>
      <c r="I1128" t="s">
        <v>98</v>
      </c>
      <c r="J1128">
        <v>1</v>
      </c>
      <c r="K1128">
        <v>499</v>
      </c>
      <c r="L1128">
        <f>Table1[[#This Row],[Quantity]] * Table1[[#This Row],[UnitPrice]]</f>
        <v>499</v>
      </c>
      <c r="M1128" s="25">
        <v>15</v>
      </c>
      <c r="N1128">
        <f>Table1[[#This Row],[Revenue]]*Table1[[#This Row],[Discount%]]/100</f>
        <v>74.849999999999994</v>
      </c>
      <c r="O1128" s="6">
        <f>Table1[[#This Row],[Revenue]]-Table1[[#This Row],[Disc_amount]]</f>
        <v>424.15</v>
      </c>
      <c r="P1128" t="s">
        <v>33</v>
      </c>
      <c r="Q1128" t="s">
        <v>34</v>
      </c>
    </row>
    <row r="1129" spans="1:17">
      <c r="A1129" t="s">
        <v>1878</v>
      </c>
      <c r="B1129" s="1" t="s">
        <v>1870</v>
      </c>
      <c r="C1129" s="1" t="s">
        <v>1693</v>
      </c>
      <c r="D1129" s="1" t="s">
        <v>20</v>
      </c>
      <c r="E1129" t="s">
        <v>640</v>
      </c>
      <c r="F1129" t="s">
        <v>225</v>
      </c>
      <c r="G1129" t="s">
        <v>38</v>
      </c>
      <c r="H1129" t="s">
        <v>46</v>
      </c>
      <c r="I1129" t="s">
        <v>154</v>
      </c>
      <c r="J1129">
        <v>3</v>
      </c>
      <c r="K1129">
        <v>299</v>
      </c>
      <c r="L1129">
        <f>Table1[[#This Row],[Quantity]] * Table1[[#This Row],[UnitPrice]]</f>
        <v>897</v>
      </c>
      <c r="M1129" s="25">
        <v>30</v>
      </c>
      <c r="N1129">
        <f>Table1[[#This Row],[Revenue]]*Table1[[#This Row],[Discount%]]/100</f>
        <v>269.10000000000002</v>
      </c>
      <c r="O1129" s="6">
        <f>Table1[[#This Row],[Revenue]]-Table1[[#This Row],[Disc_amount]]</f>
        <v>627.9</v>
      </c>
      <c r="P1129" t="s">
        <v>52</v>
      </c>
      <c r="Q1129" t="s">
        <v>27</v>
      </c>
    </row>
    <row r="1130" spans="1:17">
      <c r="A1130" t="s">
        <v>1879</v>
      </c>
      <c r="B1130" s="1" t="s">
        <v>1870</v>
      </c>
      <c r="C1130" s="1" t="s">
        <v>1693</v>
      </c>
      <c r="D1130" s="1" t="s">
        <v>20</v>
      </c>
      <c r="E1130" t="s">
        <v>612</v>
      </c>
      <c r="F1130" t="s">
        <v>613</v>
      </c>
      <c r="G1130" t="s">
        <v>23</v>
      </c>
      <c r="H1130" t="s">
        <v>24</v>
      </c>
      <c r="I1130" t="s">
        <v>25</v>
      </c>
      <c r="J1130">
        <v>1</v>
      </c>
      <c r="K1130">
        <v>99</v>
      </c>
      <c r="L1130">
        <f>Table1[[#This Row],[Quantity]] * Table1[[#This Row],[UnitPrice]]</f>
        <v>99</v>
      </c>
      <c r="M1130" s="25">
        <v>0</v>
      </c>
      <c r="N1130">
        <f>Table1[[#This Row],[Revenue]]*Table1[[#This Row],[Discount%]]/100</f>
        <v>0</v>
      </c>
      <c r="O1130" s="6">
        <f>Table1[[#This Row],[Revenue]]-Table1[[#This Row],[Disc_amount]]</f>
        <v>99</v>
      </c>
      <c r="P1130" t="s">
        <v>26</v>
      </c>
      <c r="Q1130" t="s">
        <v>27</v>
      </c>
    </row>
    <row r="1131" spans="1:17">
      <c r="A1131" t="s">
        <v>1880</v>
      </c>
      <c r="B1131" s="1" t="s">
        <v>1870</v>
      </c>
      <c r="C1131" s="1" t="s">
        <v>1693</v>
      </c>
      <c r="D1131" s="1" t="s">
        <v>20</v>
      </c>
      <c r="E1131" t="s">
        <v>182</v>
      </c>
      <c r="F1131" t="s">
        <v>183</v>
      </c>
      <c r="G1131" t="s">
        <v>31</v>
      </c>
      <c r="H1131" t="s">
        <v>46</v>
      </c>
      <c r="I1131" t="s">
        <v>47</v>
      </c>
      <c r="J1131">
        <v>5</v>
      </c>
      <c r="K1131">
        <v>249</v>
      </c>
      <c r="L1131">
        <f>Table1[[#This Row],[Quantity]] * Table1[[#This Row],[UnitPrice]]</f>
        <v>1245</v>
      </c>
      <c r="M1131" s="25">
        <v>30</v>
      </c>
      <c r="N1131">
        <f>Table1[[#This Row],[Revenue]]*Table1[[#This Row],[Discount%]]/100</f>
        <v>373.5</v>
      </c>
      <c r="O1131" s="6">
        <f>Table1[[#This Row],[Revenue]]-Table1[[#This Row],[Disc_amount]]</f>
        <v>871.5</v>
      </c>
      <c r="P1131" t="s">
        <v>33</v>
      </c>
      <c r="Q1131" t="s">
        <v>34</v>
      </c>
    </row>
    <row r="1132" spans="1:17">
      <c r="A1132" t="s">
        <v>1881</v>
      </c>
      <c r="B1132" s="1" t="s">
        <v>1882</v>
      </c>
      <c r="C1132" s="1" t="s">
        <v>1693</v>
      </c>
      <c r="D1132" s="1" t="s">
        <v>20</v>
      </c>
      <c r="E1132" t="s">
        <v>262</v>
      </c>
      <c r="F1132" t="s">
        <v>77</v>
      </c>
      <c r="G1132" t="s">
        <v>45</v>
      </c>
      <c r="H1132" t="s">
        <v>46</v>
      </c>
      <c r="I1132" t="s">
        <v>47</v>
      </c>
      <c r="J1132">
        <v>3</v>
      </c>
      <c r="K1132">
        <v>249</v>
      </c>
      <c r="L1132">
        <f>Table1[[#This Row],[Quantity]] * Table1[[#This Row],[UnitPrice]]</f>
        <v>747</v>
      </c>
      <c r="M1132" s="25">
        <v>0</v>
      </c>
      <c r="N1132">
        <f>Table1[[#This Row],[Revenue]]*Table1[[#This Row],[Discount%]]/100</f>
        <v>0</v>
      </c>
      <c r="O1132" s="6">
        <f>Table1[[#This Row],[Revenue]]-Table1[[#This Row],[Disc_amount]]</f>
        <v>747</v>
      </c>
      <c r="P1132" t="s">
        <v>33</v>
      </c>
      <c r="Q1132" t="s">
        <v>34</v>
      </c>
    </row>
    <row r="1133" spans="1:17">
      <c r="A1133" t="s">
        <v>1883</v>
      </c>
      <c r="B1133" s="1" t="s">
        <v>1882</v>
      </c>
      <c r="C1133" s="1" t="s">
        <v>1693</v>
      </c>
      <c r="D1133" s="1" t="s">
        <v>20</v>
      </c>
      <c r="E1133" t="s">
        <v>1658</v>
      </c>
      <c r="F1133" t="s">
        <v>61</v>
      </c>
      <c r="G1133" t="s">
        <v>23</v>
      </c>
      <c r="H1133" t="s">
        <v>39</v>
      </c>
      <c r="I1133" t="s">
        <v>51</v>
      </c>
      <c r="J1133">
        <v>3</v>
      </c>
      <c r="K1133">
        <v>2999</v>
      </c>
      <c r="L1133">
        <f>Table1[[#This Row],[Quantity]] * Table1[[#This Row],[UnitPrice]]</f>
        <v>8997</v>
      </c>
      <c r="M1133" s="25">
        <v>5</v>
      </c>
      <c r="N1133">
        <f>Table1[[#This Row],[Revenue]]*Table1[[#This Row],[Discount%]]/100</f>
        <v>449.85</v>
      </c>
      <c r="O1133" s="6">
        <f>Table1[[#This Row],[Revenue]]-Table1[[#This Row],[Disc_amount]]</f>
        <v>8547.15</v>
      </c>
      <c r="P1133" t="s">
        <v>41</v>
      </c>
      <c r="Q1133" t="s">
        <v>27</v>
      </c>
    </row>
    <row r="1134" spans="1:17">
      <c r="A1134" t="s">
        <v>1884</v>
      </c>
      <c r="B1134" s="1" t="s">
        <v>1882</v>
      </c>
      <c r="C1134" s="1" t="s">
        <v>1693</v>
      </c>
      <c r="D1134" s="1" t="s">
        <v>20</v>
      </c>
      <c r="E1134" t="s">
        <v>292</v>
      </c>
      <c r="F1134" t="s">
        <v>129</v>
      </c>
      <c r="G1134" t="s">
        <v>31</v>
      </c>
      <c r="H1134" t="s">
        <v>108</v>
      </c>
      <c r="I1134" t="s">
        <v>109</v>
      </c>
      <c r="J1134">
        <v>4</v>
      </c>
      <c r="K1134">
        <v>1499</v>
      </c>
      <c r="L1134">
        <f>Table1[[#This Row],[Quantity]] * Table1[[#This Row],[UnitPrice]]</f>
        <v>5996</v>
      </c>
      <c r="M1134" s="25">
        <v>15</v>
      </c>
      <c r="N1134">
        <f>Table1[[#This Row],[Revenue]]*Table1[[#This Row],[Discount%]]/100</f>
        <v>899.4</v>
      </c>
      <c r="O1134" s="6">
        <f>Table1[[#This Row],[Revenue]]-Table1[[#This Row],[Disc_amount]]</f>
        <v>5096.6000000000004</v>
      </c>
      <c r="P1134" t="s">
        <v>33</v>
      </c>
      <c r="Q1134" t="s">
        <v>27</v>
      </c>
    </row>
    <row r="1135" spans="1:17">
      <c r="A1135" t="s">
        <v>1885</v>
      </c>
      <c r="B1135" s="1" t="s">
        <v>1882</v>
      </c>
      <c r="C1135" s="1" t="s">
        <v>1693</v>
      </c>
      <c r="D1135" s="1" t="s">
        <v>20</v>
      </c>
      <c r="E1135" t="s">
        <v>979</v>
      </c>
      <c r="F1135" t="s">
        <v>604</v>
      </c>
      <c r="G1135" t="s">
        <v>45</v>
      </c>
      <c r="H1135" t="s">
        <v>39</v>
      </c>
      <c r="I1135" t="s">
        <v>140</v>
      </c>
      <c r="J1135">
        <v>3</v>
      </c>
      <c r="K1135">
        <v>1799</v>
      </c>
      <c r="L1135">
        <f>Table1[[#This Row],[Quantity]] * Table1[[#This Row],[UnitPrice]]</f>
        <v>5397</v>
      </c>
      <c r="M1135" s="25">
        <v>25</v>
      </c>
      <c r="N1135">
        <f>Table1[[#This Row],[Revenue]]*Table1[[#This Row],[Discount%]]/100</f>
        <v>1349.25</v>
      </c>
      <c r="O1135" s="6">
        <f>Table1[[#This Row],[Revenue]]-Table1[[#This Row],[Disc_amount]]</f>
        <v>4047.75</v>
      </c>
      <c r="P1135" t="s">
        <v>26</v>
      </c>
      <c r="Q1135" t="s">
        <v>27</v>
      </c>
    </row>
    <row r="1136" spans="1:17">
      <c r="A1136" t="s">
        <v>1886</v>
      </c>
      <c r="B1136" s="1" t="s">
        <v>1882</v>
      </c>
      <c r="C1136" s="1" t="s">
        <v>1693</v>
      </c>
      <c r="D1136" s="1" t="s">
        <v>20</v>
      </c>
      <c r="E1136" t="s">
        <v>1364</v>
      </c>
      <c r="F1136" t="s">
        <v>326</v>
      </c>
      <c r="G1136" t="s">
        <v>31</v>
      </c>
      <c r="H1136" t="s">
        <v>65</v>
      </c>
      <c r="I1136" t="s">
        <v>66</v>
      </c>
      <c r="J1136">
        <v>1</v>
      </c>
      <c r="K1136">
        <v>1999</v>
      </c>
      <c r="L1136">
        <f>Table1[[#This Row],[Quantity]] * Table1[[#This Row],[UnitPrice]]</f>
        <v>1999</v>
      </c>
      <c r="M1136" s="25">
        <v>15</v>
      </c>
      <c r="N1136">
        <f>Table1[[#This Row],[Revenue]]*Table1[[#This Row],[Discount%]]/100</f>
        <v>299.85000000000002</v>
      </c>
      <c r="O1136" s="6">
        <f>Table1[[#This Row],[Revenue]]-Table1[[#This Row],[Disc_amount]]</f>
        <v>1699.15</v>
      </c>
      <c r="P1136" t="s">
        <v>86</v>
      </c>
      <c r="Q1136" t="s">
        <v>34</v>
      </c>
    </row>
    <row r="1137" spans="1:17">
      <c r="A1137" t="s">
        <v>1887</v>
      </c>
      <c r="B1137" s="1" t="s">
        <v>1882</v>
      </c>
      <c r="C1137" s="1" t="s">
        <v>1693</v>
      </c>
      <c r="D1137" s="1" t="s">
        <v>20</v>
      </c>
      <c r="E1137" t="s">
        <v>665</v>
      </c>
      <c r="F1137" t="s">
        <v>666</v>
      </c>
      <c r="G1137" t="s">
        <v>45</v>
      </c>
      <c r="H1137" t="s">
        <v>39</v>
      </c>
      <c r="I1137" t="s">
        <v>140</v>
      </c>
      <c r="J1137">
        <v>1</v>
      </c>
      <c r="K1137">
        <v>1799</v>
      </c>
      <c r="L1137">
        <f>Table1[[#This Row],[Quantity]] * Table1[[#This Row],[UnitPrice]]</f>
        <v>1799</v>
      </c>
      <c r="M1137" s="25">
        <v>20</v>
      </c>
      <c r="N1137">
        <f>Table1[[#This Row],[Revenue]]*Table1[[#This Row],[Discount%]]/100</f>
        <v>359.8</v>
      </c>
      <c r="O1137" s="6">
        <f>Table1[[#This Row],[Revenue]]-Table1[[#This Row],[Disc_amount]]</f>
        <v>1439.2</v>
      </c>
      <c r="P1137" t="s">
        <v>52</v>
      </c>
      <c r="Q1137" t="s">
        <v>27</v>
      </c>
    </row>
    <row r="1138" spans="1:17">
      <c r="A1138" t="s">
        <v>1888</v>
      </c>
      <c r="B1138" s="1" t="s">
        <v>1882</v>
      </c>
      <c r="C1138" s="1" t="s">
        <v>1693</v>
      </c>
      <c r="D1138" s="1" t="s">
        <v>20</v>
      </c>
      <c r="E1138" t="s">
        <v>1803</v>
      </c>
      <c r="F1138" t="s">
        <v>1463</v>
      </c>
      <c r="G1138" t="s">
        <v>56</v>
      </c>
      <c r="H1138" t="s">
        <v>108</v>
      </c>
      <c r="I1138" t="s">
        <v>109</v>
      </c>
      <c r="J1138">
        <v>1</v>
      </c>
      <c r="K1138">
        <v>1499</v>
      </c>
      <c r="L1138">
        <f>Table1[[#This Row],[Quantity]] * Table1[[#This Row],[UnitPrice]]</f>
        <v>1499</v>
      </c>
      <c r="M1138" s="25">
        <v>30</v>
      </c>
      <c r="N1138">
        <f>Table1[[#This Row],[Revenue]]*Table1[[#This Row],[Discount%]]/100</f>
        <v>449.7</v>
      </c>
      <c r="O1138" s="6">
        <f>Table1[[#This Row],[Revenue]]-Table1[[#This Row],[Disc_amount]]</f>
        <v>1049.3</v>
      </c>
      <c r="P1138" t="s">
        <v>33</v>
      </c>
      <c r="Q1138" t="s">
        <v>34</v>
      </c>
    </row>
    <row r="1139" spans="1:17">
      <c r="A1139" t="s">
        <v>1889</v>
      </c>
      <c r="B1139" s="1" t="s">
        <v>1890</v>
      </c>
      <c r="C1139" s="1" t="s">
        <v>1693</v>
      </c>
      <c r="D1139" s="1" t="s">
        <v>20</v>
      </c>
      <c r="E1139" t="s">
        <v>959</v>
      </c>
      <c r="F1139" t="s">
        <v>960</v>
      </c>
      <c r="G1139" t="s">
        <v>38</v>
      </c>
      <c r="H1139" t="s">
        <v>70</v>
      </c>
      <c r="I1139" t="s">
        <v>71</v>
      </c>
      <c r="J1139">
        <v>2</v>
      </c>
      <c r="K1139">
        <v>349</v>
      </c>
      <c r="L1139">
        <f>Table1[[#This Row],[Quantity]] * Table1[[#This Row],[UnitPrice]]</f>
        <v>698</v>
      </c>
      <c r="M1139" s="25">
        <v>25</v>
      </c>
      <c r="N1139">
        <f>Table1[[#This Row],[Revenue]]*Table1[[#This Row],[Discount%]]/100</f>
        <v>174.5</v>
      </c>
      <c r="O1139" s="6">
        <f>Table1[[#This Row],[Revenue]]-Table1[[#This Row],[Disc_amount]]</f>
        <v>523.5</v>
      </c>
      <c r="P1139" t="s">
        <v>33</v>
      </c>
      <c r="Q1139" t="s">
        <v>27</v>
      </c>
    </row>
    <row r="1140" spans="1:17">
      <c r="A1140" t="s">
        <v>1891</v>
      </c>
      <c r="B1140" s="1" t="s">
        <v>1890</v>
      </c>
      <c r="C1140" s="1" t="s">
        <v>1693</v>
      </c>
      <c r="D1140" s="1" t="s">
        <v>20</v>
      </c>
      <c r="E1140" t="s">
        <v>303</v>
      </c>
      <c r="F1140" t="s">
        <v>304</v>
      </c>
      <c r="G1140" t="s">
        <v>56</v>
      </c>
      <c r="H1140" t="s">
        <v>57</v>
      </c>
      <c r="I1140" t="s">
        <v>62</v>
      </c>
      <c r="J1140">
        <v>1</v>
      </c>
      <c r="K1140">
        <v>799</v>
      </c>
      <c r="L1140">
        <f>Table1[[#This Row],[Quantity]] * Table1[[#This Row],[UnitPrice]]</f>
        <v>799</v>
      </c>
      <c r="M1140" s="25">
        <v>20</v>
      </c>
      <c r="N1140">
        <f>Table1[[#This Row],[Revenue]]*Table1[[#This Row],[Discount%]]/100</f>
        <v>159.80000000000001</v>
      </c>
      <c r="O1140" s="6">
        <f>Table1[[#This Row],[Revenue]]-Table1[[#This Row],[Disc_amount]]</f>
        <v>639.20000000000005</v>
      </c>
      <c r="P1140" t="s">
        <v>86</v>
      </c>
      <c r="Q1140" t="s">
        <v>27</v>
      </c>
    </row>
    <row r="1141" spans="1:17">
      <c r="A1141" t="s">
        <v>1892</v>
      </c>
      <c r="B1141" s="1" t="s">
        <v>1890</v>
      </c>
      <c r="C1141" s="1" t="s">
        <v>1693</v>
      </c>
      <c r="D1141" s="1" t="s">
        <v>20</v>
      </c>
      <c r="E1141" t="s">
        <v>599</v>
      </c>
      <c r="F1141" t="s">
        <v>600</v>
      </c>
      <c r="G1141" t="s">
        <v>45</v>
      </c>
      <c r="H1141" t="s">
        <v>57</v>
      </c>
      <c r="I1141" t="s">
        <v>62</v>
      </c>
      <c r="J1141">
        <v>1</v>
      </c>
      <c r="K1141">
        <v>799</v>
      </c>
      <c r="L1141">
        <f>Table1[[#This Row],[Quantity]] * Table1[[#This Row],[UnitPrice]]</f>
        <v>799</v>
      </c>
      <c r="M1141" s="25">
        <v>15</v>
      </c>
      <c r="N1141">
        <f>Table1[[#This Row],[Revenue]]*Table1[[#This Row],[Discount%]]/100</f>
        <v>119.85</v>
      </c>
      <c r="O1141" s="6">
        <f>Table1[[#This Row],[Revenue]]-Table1[[#This Row],[Disc_amount]]</f>
        <v>679.15</v>
      </c>
      <c r="P1141" t="s">
        <v>26</v>
      </c>
      <c r="Q1141" t="s">
        <v>27</v>
      </c>
    </row>
    <row r="1142" spans="1:17">
      <c r="A1142" t="s">
        <v>1893</v>
      </c>
      <c r="B1142" s="1" t="s">
        <v>1890</v>
      </c>
      <c r="C1142" s="1" t="s">
        <v>1693</v>
      </c>
      <c r="D1142" s="1" t="s">
        <v>20</v>
      </c>
      <c r="E1142" t="s">
        <v>503</v>
      </c>
      <c r="F1142" t="s">
        <v>504</v>
      </c>
      <c r="G1142" t="s">
        <v>23</v>
      </c>
      <c r="H1142" t="s">
        <v>70</v>
      </c>
      <c r="I1142" t="s">
        <v>71</v>
      </c>
      <c r="J1142">
        <v>1</v>
      </c>
      <c r="K1142">
        <v>349</v>
      </c>
      <c r="L1142">
        <f>Table1[[#This Row],[Quantity]] * Table1[[#This Row],[UnitPrice]]</f>
        <v>349</v>
      </c>
      <c r="M1142" s="25">
        <v>0</v>
      </c>
      <c r="N1142">
        <f>Table1[[#This Row],[Revenue]]*Table1[[#This Row],[Discount%]]/100</f>
        <v>0</v>
      </c>
      <c r="O1142" s="6">
        <f>Table1[[#This Row],[Revenue]]-Table1[[#This Row],[Disc_amount]]</f>
        <v>349</v>
      </c>
      <c r="P1142" t="s">
        <v>33</v>
      </c>
      <c r="Q1142" t="s">
        <v>34</v>
      </c>
    </row>
    <row r="1143" spans="1:17">
      <c r="A1143" t="s">
        <v>1894</v>
      </c>
      <c r="B1143" s="1" t="s">
        <v>1890</v>
      </c>
      <c r="C1143" s="1" t="s">
        <v>1693</v>
      </c>
      <c r="D1143" s="1" t="s">
        <v>20</v>
      </c>
      <c r="E1143" t="s">
        <v>928</v>
      </c>
      <c r="F1143" t="s">
        <v>147</v>
      </c>
      <c r="G1143" t="s">
        <v>31</v>
      </c>
      <c r="H1143" t="s">
        <v>39</v>
      </c>
      <c r="I1143" t="s">
        <v>140</v>
      </c>
      <c r="J1143">
        <v>3</v>
      </c>
      <c r="K1143">
        <v>1799</v>
      </c>
      <c r="L1143">
        <f>Table1[[#This Row],[Quantity]] * Table1[[#This Row],[UnitPrice]]</f>
        <v>5397</v>
      </c>
      <c r="M1143" s="25">
        <v>10</v>
      </c>
      <c r="N1143">
        <f>Table1[[#This Row],[Revenue]]*Table1[[#This Row],[Discount%]]/100</f>
        <v>539.70000000000005</v>
      </c>
      <c r="O1143" s="6">
        <f>Table1[[#This Row],[Revenue]]-Table1[[#This Row],[Disc_amount]]</f>
        <v>4857.3</v>
      </c>
      <c r="P1143" t="s">
        <v>86</v>
      </c>
      <c r="Q1143" t="s">
        <v>27</v>
      </c>
    </row>
    <row r="1144" spans="1:17">
      <c r="A1144" t="s">
        <v>1895</v>
      </c>
      <c r="B1144" s="1" t="s">
        <v>1896</v>
      </c>
      <c r="C1144" s="1" t="s">
        <v>1693</v>
      </c>
      <c r="D1144" s="1" t="s">
        <v>20</v>
      </c>
      <c r="E1144" t="s">
        <v>149</v>
      </c>
      <c r="F1144" t="s">
        <v>150</v>
      </c>
      <c r="G1144" t="s">
        <v>56</v>
      </c>
      <c r="H1144" t="s">
        <v>65</v>
      </c>
      <c r="I1144" t="s">
        <v>66</v>
      </c>
      <c r="J1144">
        <v>2</v>
      </c>
      <c r="K1144">
        <v>1999</v>
      </c>
      <c r="L1144">
        <f>Table1[[#This Row],[Quantity]] * Table1[[#This Row],[UnitPrice]]</f>
        <v>3998</v>
      </c>
      <c r="M1144" s="25">
        <v>25</v>
      </c>
      <c r="N1144">
        <f>Table1[[#This Row],[Revenue]]*Table1[[#This Row],[Discount%]]/100</f>
        <v>999.5</v>
      </c>
      <c r="O1144" s="6">
        <f>Table1[[#This Row],[Revenue]]-Table1[[#This Row],[Disc_amount]]</f>
        <v>2998.5</v>
      </c>
      <c r="P1144" t="s">
        <v>26</v>
      </c>
      <c r="Q1144" t="s">
        <v>34</v>
      </c>
    </row>
    <row r="1145" spans="1:17">
      <c r="A1145" t="s">
        <v>1897</v>
      </c>
      <c r="B1145" s="1" t="s">
        <v>1896</v>
      </c>
      <c r="C1145" s="1" t="s">
        <v>1693</v>
      </c>
      <c r="D1145" s="1" t="s">
        <v>20</v>
      </c>
      <c r="E1145" t="s">
        <v>73</v>
      </c>
      <c r="F1145" t="s">
        <v>74</v>
      </c>
      <c r="G1145" t="s">
        <v>45</v>
      </c>
      <c r="H1145" t="s">
        <v>65</v>
      </c>
      <c r="I1145" t="s">
        <v>66</v>
      </c>
      <c r="J1145">
        <v>3</v>
      </c>
      <c r="K1145">
        <v>1999</v>
      </c>
      <c r="L1145">
        <f>Table1[[#This Row],[Quantity]] * Table1[[#This Row],[UnitPrice]]</f>
        <v>5997</v>
      </c>
      <c r="M1145" s="25">
        <v>10</v>
      </c>
      <c r="N1145">
        <f>Table1[[#This Row],[Revenue]]*Table1[[#This Row],[Discount%]]/100</f>
        <v>599.70000000000005</v>
      </c>
      <c r="O1145" s="6">
        <f>Table1[[#This Row],[Revenue]]-Table1[[#This Row],[Disc_amount]]</f>
        <v>5397.3</v>
      </c>
      <c r="P1145" t="s">
        <v>33</v>
      </c>
      <c r="Q1145" t="s">
        <v>34</v>
      </c>
    </row>
    <row r="1146" spans="1:17">
      <c r="A1146" t="s">
        <v>1898</v>
      </c>
      <c r="B1146" s="1" t="s">
        <v>1896</v>
      </c>
      <c r="C1146" s="1" t="s">
        <v>1693</v>
      </c>
      <c r="D1146" s="1" t="s">
        <v>20</v>
      </c>
      <c r="E1146" t="s">
        <v>964</v>
      </c>
      <c r="F1146" t="s">
        <v>265</v>
      </c>
      <c r="G1146" t="s">
        <v>45</v>
      </c>
      <c r="H1146" t="s">
        <v>108</v>
      </c>
      <c r="I1146" t="s">
        <v>130</v>
      </c>
      <c r="J1146">
        <v>2</v>
      </c>
      <c r="K1146">
        <v>699</v>
      </c>
      <c r="L1146">
        <f>Table1[[#This Row],[Quantity]] * Table1[[#This Row],[UnitPrice]]</f>
        <v>1398</v>
      </c>
      <c r="M1146" s="25">
        <v>0</v>
      </c>
      <c r="N1146">
        <f>Table1[[#This Row],[Revenue]]*Table1[[#This Row],[Discount%]]/100</f>
        <v>0</v>
      </c>
      <c r="O1146" s="6">
        <f>Table1[[#This Row],[Revenue]]-Table1[[#This Row],[Disc_amount]]</f>
        <v>1398</v>
      </c>
      <c r="P1146" t="s">
        <v>52</v>
      </c>
      <c r="Q1146" t="s">
        <v>27</v>
      </c>
    </row>
    <row r="1147" spans="1:17">
      <c r="A1147" t="s">
        <v>1899</v>
      </c>
      <c r="B1147" s="1" t="s">
        <v>1896</v>
      </c>
      <c r="C1147" s="1" t="s">
        <v>1693</v>
      </c>
      <c r="D1147" s="1" t="s">
        <v>20</v>
      </c>
      <c r="E1147" t="s">
        <v>677</v>
      </c>
      <c r="F1147" t="s">
        <v>597</v>
      </c>
      <c r="G1147" t="s">
        <v>45</v>
      </c>
      <c r="H1147" t="s">
        <v>39</v>
      </c>
      <c r="I1147" t="s">
        <v>140</v>
      </c>
      <c r="J1147">
        <v>1</v>
      </c>
      <c r="K1147">
        <v>1799</v>
      </c>
      <c r="L1147">
        <f>Table1[[#This Row],[Quantity]] * Table1[[#This Row],[UnitPrice]]</f>
        <v>1799</v>
      </c>
      <c r="M1147" s="25">
        <v>30</v>
      </c>
      <c r="N1147">
        <f>Table1[[#This Row],[Revenue]]*Table1[[#This Row],[Discount%]]/100</f>
        <v>539.70000000000005</v>
      </c>
      <c r="O1147" s="6">
        <f>Table1[[#This Row],[Revenue]]-Table1[[#This Row],[Disc_amount]]</f>
        <v>1259.3</v>
      </c>
      <c r="P1147" t="s">
        <v>41</v>
      </c>
      <c r="Q1147" t="s">
        <v>27</v>
      </c>
    </row>
    <row r="1148" spans="1:17">
      <c r="A1148" t="s">
        <v>1900</v>
      </c>
      <c r="B1148" s="1" t="s">
        <v>1896</v>
      </c>
      <c r="C1148" s="1" t="s">
        <v>1693</v>
      </c>
      <c r="D1148" s="1" t="s">
        <v>20</v>
      </c>
      <c r="E1148" t="s">
        <v>1064</v>
      </c>
      <c r="F1148" t="s">
        <v>183</v>
      </c>
      <c r="G1148" t="s">
        <v>23</v>
      </c>
      <c r="H1148" t="s">
        <v>46</v>
      </c>
      <c r="I1148" t="s">
        <v>47</v>
      </c>
      <c r="J1148">
        <v>2</v>
      </c>
      <c r="K1148">
        <v>249</v>
      </c>
      <c r="L1148">
        <f>Table1[[#This Row],[Quantity]] * Table1[[#This Row],[UnitPrice]]</f>
        <v>498</v>
      </c>
      <c r="M1148" s="25">
        <v>0</v>
      </c>
      <c r="N1148">
        <f>Table1[[#This Row],[Revenue]]*Table1[[#This Row],[Discount%]]/100</f>
        <v>0</v>
      </c>
      <c r="O1148" s="6">
        <f>Table1[[#This Row],[Revenue]]-Table1[[#This Row],[Disc_amount]]</f>
        <v>498</v>
      </c>
      <c r="P1148" t="s">
        <v>86</v>
      </c>
      <c r="Q1148" t="s">
        <v>34</v>
      </c>
    </row>
    <row r="1149" spans="1:17">
      <c r="A1149" t="s">
        <v>1901</v>
      </c>
      <c r="B1149" s="1" t="s">
        <v>1896</v>
      </c>
      <c r="C1149" s="1" t="s">
        <v>1693</v>
      </c>
      <c r="D1149" s="1" t="s">
        <v>20</v>
      </c>
      <c r="E1149" t="s">
        <v>622</v>
      </c>
      <c r="F1149" t="s">
        <v>623</v>
      </c>
      <c r="G1149" t="s">
        <v>38</v>
      </c>
      <c r="H1149" t="s">
        <v>39</v>
      </c>
      <c r="I1149" t="s">
        <v>140</v>
      </c>
      <c r="J1149">
        <v>2</v>
      </c>
      <c r="K1149">
        <v>1799</v>
      </c>
      <c r="L1149">
        <f>Table1[[#This Row],[Quantity]] * Table1[[#This Row],[UnitPrice]]</f>
        <v>3598</v>
      </c>
      <c r="M1149" s="25">
        <v>5</v>
      </c>
      <c r="N1149">
        <f>Table1[[#This Row],[Revenue]]*Table1[[#This Row],[Discount%]]/100</f>
        <v>179.9</v>
      </c>
      <c r="O1149" s="6">
        <f>Table1[[#This Row],[Revenue]]-Table1[[#This Row],[Disc_amount]]</f>
        <v>3418.1</v>
      </c>
      <c r="P1149" t="s">
        <v>41</v>
      </c>
      <c r="Q1149" t="s">
        <v>34</v>
      </c>
    </row>
    <row r="1150" spans="1:17">
      <c r="A1150" t="s">
        <v>1902</v>
      </c>
      <c r="B1150" s="1" t="s">
        <v>1896</v>
      </c>
      <c r="C1150" s="1" t="s">
        <v>1693</v>
      </c>
      <c r="D1150" s="1" t="s">
        <v>20</v>
      </c>
      <c r="E1150" t="s">
        <v>1578</v>
      </c>
      <c r="F1150" t="s">
        <v>44</v>
      </c>
      <c r="G1150" t="s">
        <v>56</v>
      </c>
      <c r="H1150" t="s">
        <v>65</v>
      </c>
      <c r="I1150" t="s">
        <v>98</v>
      </c>
      <c r="J1150">
        <v>1</v>
      </c>
      <c r="K1150">
        <v>499</v>
      </c>
      <c r="L1150">
        <f>Table1[[#This Row],[Quantity]] * Table1[[#This Row],[UnitPrice]]</f>
        <v>499</v>
      </c>
      <c r="M1150" s="25">
        <v>30</v>
      </c>
      <c r="N1150">
        <f>Table1[[#This Row],[Revenue]]*Table1[[#This Row],[Discount%]]/100</f>
        <v>149.69999999999999</v>
      </c>
      <c r="O1150" s="6">
        <f>Table1[[#This Row],[Revenue]]-Table1[[#This Row],[Disc_amount]]</f>
        <v>349.3</v>
      </c>
      <c r="P1150" t="s">
        <v>41</v>
      </c>
      <c r="Q1150" t="s">
        <v>34</v>
      </c>
    </row>
    <row r="1151" spans="1:17">
      <c r="A1151" t="s">
        <v>1903</v>
      </c>
      <c r="B1151" s="1" t="s">
        <v>1896</v>
      </c>
      <c r="C1151" s="1" t="s">
        <v>1693</v>
      </c>
      <c r="D1151" s="1" t="s">
        <v>20</v>
      </c>
      <c r="E1151" t="s">
        <v>300</v>
      </c>
      <c r="F1151" t="s">
        <v>301</v>
      </c>
      <c r="G1151" t="s">
        <v>45</v>
      </c>
      <c r="H1151" t="s">
        <v>24</v>
      </c>
      <c r="I1151" t="s">
        <v>25</v>
      </c>
      <c r="J1151">
        <v>1</v>
      </c>
      <c r="K1151">
        <v>99</v>
      </c>
      <c r="L1151">
        <f>Table1[[#This Row],[Quantity]] * Table1[[#This Row],[UnitPrice]]</f>
        <v>99</v>
      </c>
      <c r="M1151" s="25">
        <v>10</v>
      </c>
      <c r="N1151">
        <f>Table1[[#This Row],[Revenue]]*Table1[[#This Row],[Discount%]]/100</f>
        <v>9.9</v>
      </c>
      <c r="O1151" s="6">
        <f>Table1[[#This Row],[Revenue]]-Table1[[#This Row],[Disc_amount]]</f>
        <v>89.1</v>
      </c>
      <c r="P1151" t="s">
        <v>26</v>
      </c>
      <c r="Q1151" t="s">
        <v>27</v>
      </c>
    </row>
    <row r="1152" spans="1:17">
      <c r="A1152" t="s">
        <v>1904</v>
      </c>
      <c r="B1152" s="1" t="s">
        <v>1896</v>
      </c>
      <c r="C1152" s="1" t="s">
        <v>1693</v>
      </c>
      <c r="D1152" s="1" t="s">
        <v>20</v>
      </c>
      <c r="E1152" t="s">
        <v>401</v>
      </c>
      <c r="F1152" t="s">
        <v>355</v>
      </c>
      <c r="G1152" t="s">
        <v>31</v>
      </c>
      <c r="H1152" t="s">
        <v>108</v>
      </c>
      <c r="I1152" t="s">
        <v>109</v>
      </c>
      <c r="J1152">
        <v>1</v>
      </c>
      <c r="K1152">
        <v>1499</v>
      </c>
      <c r="L1152">
        <f>Table1[[#This Row],[Quantity]] * Table1[[#This Row],[UnitPrice]]</f>
        <v>1499</v>
      </c>
      <c r="M1152" s="25">
        <v>30</v>
      </c>
      <c r="N1152">
        <f>Table1[[#This Row],[Revenue]]*Table1[[#This Row],[Discount%]]/100</f>
        <v>449.7</v>
      </c>
      <c r="O1152" s="6">
        <f>Table1[[#This Row],[Revenue]]-Table1[[#This Row],[Disc_amount]]</f>
        <v>1049.3</v>
      </c>
      <c r="P1152" t="s">
        <v>86</v>
      </c>
      <c r="Q1152" t="s">
        <v>27</v>
      </c>
    </row>
    <row r="1153" spans="1:17">
      <c r="A1153" t="s">
        <v>1905</v>
      </c>
      <c r="B1153" s="1" t="s">
        <v>1896</v>
      </c>
      <c r="C1153" s="1" t="s">
        <v>1693</v>
      </c>
      <c r="D1153" s="1" t="s">
        <v>20</v>
      </c>
      <c r="E1153" t="s">
        <v>224</v>
      </c>
      <c r="F1153" t="s">
        <v>225</v>
      </c>
      <c r="G1153" t="s">
        <v>23</v>
      </c>
      <c r="H1153" t="s">
        <v>39</v>
      </c>
      <c r="I1153" t="s">
        <v>51</v>
      </c>
      <c r="J1153">
        <v>1</v>
      </c>
      <c r="K1153">
        <v>2999</v>
      </c>
      <c r="L1153">
        <f>Table1[[#This Row],[Quantity]] * Table1[[#This Row],[UnitPrice]]</f>
        <v>2999</v>
      </c>
      <c r="M1153" s="25">
        <v>15</v>
      </c>
      <c r="N1153">
        <f>Table1[[#This Row],[Revenue]]*Table1[[#This Row],[Discount%]]/100</f>
        <v>449.85</v>
      </c>
      <c r="O1153" s="6">
        <f>Table1[[#This Row],[Revenue]]-Table1[[#This Row],[Disc_amount]]</f>
        <v>2549.15</v>
      </c>
      <c r="P1153" t="s">
        <v>33</v>
      </c>
      <c r="Q1153" t="s">
        <v>27</v>
      </c>
    </row>
    <row r="1154" spans="1:17">
      <c r="A1154" t="s">
        <v>1906</v>
      </c>
      <c r="B1154" s="1" t="s">
        <v>1896</v>
      </c>
      <c r="C1154" s="1" t="s">
        <v>1693</v>
      </c>
      <c r="D1154" s="1" t="s">
        <v>20</v>
      </c>
      <c r="E1154" t="s">
        <v>461</v>
      </c>
      <c r="F1154" t="s">
        <v>462</v>
      </c>
      <c r="G1154" t="s">
        <v>23</v>
      </c>
      <c r="H1154" t="s">
        <v>46</v>
      </c>
      <c r="I1154" t="s">
        <v>47</v>
      </c>
      <c r="J1154">
        <v>1</v>
      </c>
      <c r="K1154">
        <v>249</v>
      </c>
      <c r="L1154">
        <f>Table1[[#This Row],[Quantity]] * Table1[[#This Row],[UnitPrice]]</f>
        <v>249</v>
      </c>
      <c r="M1154" s="25">
        <v>10</v>
      </c>
      <c r="N1154">
        <f>Table1[[#This Row],[Revenue]]*Table1[[#This Row],[Discount%]]/100</f>
        <v>24.9</v>
      </c>
      <c r="O1154" s="6">
        <f>Table1[[#This Row],[Revenue]]-Table1[[#This Row],[Disc_amount]]</f>
        <v>224.1</v>
      </c>
      <c r="P1154" t="s">
        <v>26</v>
      </c>
      <c r="Q1154" t="s">
        <v>34</v>
      </c>
    </row>
    <row r="1155" spans="1:17">
      <c r="A1155" t="s">
        <v>1907</v>
      </c>
      <c r="B1155" s="1" t="s">
        <v>1908</v>
      </c>
      <c r="C1155" s="1" t="s">
        <v>1693</v>
      </c>
      <c r="D1155" s="1" t="s">
        <v>20</v>
      </c>
      <c r="E1155" t="s">
        <v>875</v>
      </c>
      <c r="F1155" t="s">
        <v>876</v>
      </c>
      <c r="G1155" t="s">
        <v>56</v>
      </c>
      <c r="H1155" t="s">
        <v>46</v>
      </c>
      <c r="I1155" t="s">
        <v>154</v>
      </c>
      <c r="J1155">
        <v>1</v>
      </c>
      <c r="K1155">
        <v>299</v>
      </c>
      <c r="L1155">
        <f>Table1[[#This Row],[Quantity]] * Table1[[#This Row],[UnitPrice]]</f>
        <v>299</v>
      </c>
      <c r="M1155" s="25">
        <v>30</v>
      </c>
      <c r="N1155">
        <f>Table1[[#This Row],[Revenue]]*Table1[[#This Row],[Discount%]]/100</f>
        <v>89.7</v>
      </c>
      <c r="O1155" s="6">
        <f>Table1[[#This Row],[Revenue]]-Table1[[#This Row],[Disc_amount]]</f>
        <v>209.3</v>
      </c>
      <c r="P1155" t="s">
        <v>26</v>
      </c>
      <c r="Q1155" t="s">
        <v>34</v>
      </c>
    </row>
    <row r="1156" spans="1:17">
      <c r="A1156" t="s">
        <v>1909</v>
      </c>
      <c r="B1156" s="1" t="s">
        <v>1908</v>
      </c>
      <c r="C1156" s="1" t="s">
        <v>1693</v>
      </c>
      <c r="D1156" s="1" t="s">
        <v>20</v>
      </c>
      <c r="E1156" t="s">
        <v>1205</v>
      </c>
      <c r="F1156" t="s">
        <v>734</v>
      </c>
      <c r="G1156" t="s">
        <v>45</v>
      </c>
      <c r="H1156" t="s">
        <v>39</v>
      </c>
      <c r="I1156" t="s">
        <v>140</v>
      </c>
      <c r="J1156">
        <v>2</v>
      </c>
      <c r="K1156">
        <v>1799</v>
      </c>
      <c r="L1156">
        <f>Table1[[#This Row],[Quantity]] * Table1[[#This Row],[UnitPrice]]</f>
        <v>3598</v>
      </c>
      <c r="M1156" s="25">
        <v>5</v>
      </c>
      <c r="N1156">
        <f>Table1[[#This Row],[Revenue]]*Table1[[#This Row],[Discount%]]/100</f>
        <v>179.9</v>
      </c>
      <c r="O1156" s="6">
        <f>Table1[[#This Row],[Revenue]]-Table1[[#This Row],[Disc_amount]]</f>
        <v>3418.1</v>
      </c>
      <c r="P1156" t="s">
        <v>52</v>
      </c>
      <c r="Q1156" t="s">
        <v>27</v>
      </c>
    </row>
    <row r="1157" spans="1:17">
      <c r="A1157" t="s">
        <v>1910</v>
      </c>
      <c r="B1157" s="1" t="s">
        <v>1908</v>
      </c>
      <c r="C1157" s="1" t="s">
        <v>1693</v>
      </c>
      <c r="D1157" s="1" t="s">
        <v>20</v>
      </c>
      <c r="E1157" t="s">
        <v>1015</v>
      </c>
      <c r="F1157" t="s">
        <v>123</v>
      </c>
      <c r="G1157" t="s">
        <v>23</v>
      </c>
      <c r="H1157" t="s">
        <v>39</v>
      </c>
      <c r="I1157" t="s">
        <v>51</v>
      </c>
      <c r="J1157">
        <v>2</v>
      </c>
      <c r="K1157">
        <v>2999</v>
      </c>
      <c r="L1157">
        <f>Table1[[#This Row],[Quantity]] * Table1[[#This Row],[UnitPrice]]</f>
        <v>5998</v>
      </c>
      <c r="M1157" s="25">
        <v>20</v>
      </c>
      <c r="N1157">
        <f>Table1[[#This Row],[Revenue]]*Table1[[#This Row],[Discount%]]/100</f>
        <v>1199.5999999999999</v>
      </c>
      <c r="O1157" s="6">
        <f>Table1[[#This Row],[Revenue]]-Table1[[#This Row],[Disc_amount]]</f>
        <v>4798.3999999999996</v>
      </c>
      <c r="P1157" t="s">
        <v>41</v>
      </c>
      <c r="Q1157" t="s">
        <v>34</v>
      </c>
    </row>
    <row r="1158" spans="1:17">
      <c r="A1158" t="s">
        <v>1911</v>
      </c>
      <c r="B1158" s="1" t="s">
        <v>1908</v>
      </c>
      <c r="C1158" s="1" t="s">
        <v>1693</v>
      </c>
      <c r="D1158" s="1" t="s">
        <v>20</v>
      </c>
      <c r="E1158" t="s">
        <v>197</v>
      </c>
      <c r="F1158" t="s">
        <v>198</v>
      </c>
      <c r="G1158" t="s">
        <v>56</v>
      </c>
      <c r="H1158" t="s">
        <v>57</v>
      </c>
      <c r="I1158" t="s">
        <v>58</v>
      </c>
      <c r="J1158">
        <v>1</v>
      </c>
      <c r="K1158">
        <v>1299</v>
      </c>
      <c r="L1158">
        <f>Table1[[#This Row],[Quantity]] * Table1[[#This Row],[UnitPrice]]</f>
        <v>1299</v>
      </c>
      <c r="M1158" s="25">
        <v>20</v>
      </c>
      <c r="N1158">
        <f>Table1[[#This Row],[Revenue]]*Table1[[#This Row],[Discount%]]/100</f>
        <v>259.8</v>
      </c>
      <c r="O1158" s="6">
        <f>Table1[[#This Row],[Revenue]]-Table1[[#This Row],[Disc_amount]]</f>
        <v>1039.2</v>
      </c>
      <c r="P1158" t="s">
        <v>26</v>
      </c>
      <c r="Q1158" t="s">
        <v>27</v>
      </c>
    </row>
    <row r="1159" spans="1:17">
      <c r="A1159" t="s">
        <v>1912</v>
      </c>
      <c r="B1159" s="1" t="s">
        <v>1908</v>
      </c>
      <c r="C1159" s="1" t="s">
        <v>1693</v>
      </c>
      <c r="D1159" s="1" t="s">
        <v>20</v>
      </c>
      <c r="E1159" t="s">
        <v>1913</v>
      </c>
      <c r="F1159" t="s">
        <v>462</v>
      </c>
      <c r="G1159" t="s">
        <v>31</v>
      </c>
      <c r="H1159" t="s">
        <v>39</v>
      </c>
      <c r="I1159" t="s">
        <v>140</v>
      </c>
      <c r="J1159">
        <v>2</v>
      </c>
      <c r="K1159">
        <v>1799</v>
      </c>
      <c r="L1159">
        <f>Table1[[#This Row],[Quantity]] * Table1[[#This Row],[UnitPrice]]</f>
        <v>3598</v>
      </c>
      <c r="M1159" s="25">
        <v>5</v>
      </c>
      <c r="N1159">
        <f>Table1[[#This Row],[Revenue]]*Table1[[#This Row],[Discount%]]/100</f>
        <v>179.9</v>
      </c>
      <c r="O1159" s="6">
        <f>Table1[[#This Row],[Revenue]]-Table1[[#This Row],[Disc_amount]]</f>
        <v>3418.1</v>
      </c>
      <c r="P1159" t="s">
        <v>33</v>
      </c>
      <c r="Q1159" t="s">
        <v>27</v>
      </c>
    </row>
    <row r="1160" spans="1:17">
      <c r="A1160" t="s">
        <v>1914</v>
      </c>
      <c r="B1160" s="1" t="s">
        <v>1908</v>
      </c>
      <c r="C1160" s="1" t="s">
        <v>1693</v>
      </c>
      <c r="D1160" s="1" t="s">
        <v>20</v>
      </c>
      <c r="E1160" t="s">
        <v>228</v>
      </c>
      <c r="F1160" t="s">
        <v>229</v>
      </c>
      <c r="G1160" t="s">
        <v>56</v>
      </c>
      <c r="H1160" t="s">
        <v>39</v>
      </c>
      <c r="I1160" t="s">
        <v>140</v>
      </c>
      <c r="J1160">
        <v>1</v>
      </c>
      <c r="K1160">
        <v>1799</v>
      </c>
      <c r="L1160">
        <f>Table1[[#This Row],[Quantity]] * Table1[[#This Row],[UnitPrice]]</f>
        <v>1799</v>
      </c>
      <c r="M1160" s="25">
        <v>5</v>
      </c>
      <c r="N1160">
        <f>Table1[[#This Row],[Revenue]]*Table1[[#This Row],[Discount%]]/100</f>
        <v>89.95</v>
      </c>
      <c r="O1160" s="6">
        <f>Table1[[#This Row],[Revenue]]-Table1[[#This Row],[Disc_amount]]</f>
        <v>1709.05</v>
      </c>
      <c r="P1160" t="s">
        <v>86</v>
      </c>
      <c r="Q1160" t="s">
        <v>34</v>
      </c>
    </row>
    <row r="1161" spans="1:17">
      <c r="A1161" t="s">
        <v>1915</v>
      </c>
      <c r="B1161" s="1" t="s">
        <v>1908</v>
      </c>
      <c r="C1161" s="1" t="s">
        <v>1693</v>
      </c>
      <c r="D1161" s="1" t="s">
        <v>20</v>
      </c>
      <c r="E1161" t="s">
        <v>1099</v>
      </c>
      <c r="F1161" t="s">
        <v>465</v>
      </c>
      <c r="G1161" t="s">
        <v>31</v>
      </c>
      <c r="H1161" t="s">
        <v>39</v>
      </c>
      <c r="I1161" t="s">
        <v>51</v>
      </c>
      <c r="J1161">
        <v>1</v>
      </c>
      <c r="K1161">
        <v>2999</v>
      </c>
      <c r="L1161">
        <f>Table1[[#This Row],[Quantity]] * Table1[[#This Row],[UnitPrice]]</f>
        <v>2999</v>
      </c>
      <c r="M1161" s="25">
        <v>20</v>
      </c>
      <c r="N1161">
        <f>Table1[[#This Row],[Revenue]]*Table1[[#This Row],[Discount%]]/100</f>
        <v>599.79999999999995</v>
      </c>
      <c r="O1161" s="6">
        <f>Table1[[#This Row],[Revenue]]-Table1[[#This Row],[Disc_amount]]</f>
        <v>2399.1999999999998</v>
      </c>
      <c r="P1161" t="s">
        <v>86</v>
      </c>
      <c r="Q1161" t="s">
        <v>34</v>
      </c>
    </row>
    <row r="1162" spans="1:17">
      <c r="A1162" t="s">
        <v>1916</v>
      </c>
      <c r="B1162" s="1" t="s">
        <v>1908</v>
      </c>
      <c r="C1162" s="1" t="s">
        <v>1693</v>
      </c>
      <c r="D1162" s="1" t="s">
        <v>20</v>
      </c>
      <c r="E1162" t="s">
        <v>1567</v>
      </c>
      <c r="F1162" t="s">
        <v>143</v>
      </c>
      <c r="G1162" t="s">
        <v>38</v>
      </c>
      <c r="H1162" t="s">
        <v>108</v>
      </c>
      <c r="I1162" t="s">
        <v>109</v>
      </c>
      <c r="J1162">
        <v>2</v>
      </c>
      <c r="K1162">
        <v>1499</v>
      </c>
      <c r="L1162">
        <f>Table1[[#This Row],[Quantity]] * Table1[[#This Row],[UnitPrice]]</f>
        <v>2998</v>
      </c>
      <c r="M1162" s="25">
        <v>25</v>
      </c>
      <c r="N1162">
        <f>Table1[[#This Row],[Revenue]]*Table1[[#This Row],[Discount%]]/100</f>
        <v>749.5</v>
      </c>
      <c r="O1162" s="6">
        <f>Table1[[#This Row],[Revenue]]-Table1[[#This Row],[Disc_amount]]</f>
        <v>2248.5</v>
      </c>
      <c r="P1162" t="s">
        <v>41</v>
      </c>
      <c r="Q1162" t="s">
        <v>34</v>
      </c>
    </row>
    <row r="1163" spans="1:17">
      <c r="A1163" t="s">
        <v>1917</v>
      </c>
      <c r="B1163" s="1" t="s">
        <v>1908</v>
      </c>
      <c r="C1163" s="1" t="s">
        <v>1693</v>
      </c>
      <c r="D1163" s="1" t="s">
        <v>20</v>
      </c>
      <c r="E1163" t="s">
        <v>100</v>
      </c>
      <c r="F1163" t="s">
        <v>101</v>
      </c>
      <c r="G1163" t="s">
        <v>56</v>
      </c>
      <c r="H1163" t="s">
        <v>46</v>
      </c>
      <c r="I1163" t="s">
        <v>154</v>
      </c>
      <c r="J1163">
        <v>1</v>
      </c>
      <c r="K1163">
        <v>299</v>
      </c>
      <c r="L1163">
        <f>Table1[[#This Row],[Quantity]] * Table1[[#This Row],[UnitPrice]]</f>
        <v>299</v>
      </c>
      <c r="M1163" s="25">
        <v>30</v>
      </c>
      <c r="N1163">
        <f>Table1[[#This Row],[Revenue]]*Table1[[#This Row],[Discount%]]/100</f>
        <v>89.7</v>
      </c>
      <c r="O1163" s="6">
        <f>Table1[[#This Row],[Revenue]]-Table1[[#This Row],[Disc_amount]]</f>
        <v>209.3</v>
      </c>
      <c r="P1163" t="s">
        <v>41</v>
      </c>
      <c r="Q1163" t="s">
        <v>27</v>
      </c>
    </row>
    <row r="1164" spans="1:17">
      <c r="A1164" t="s">
        <v>1918</v>
      </c>
      <c r="B1164" s="1" t="s">
        <v>1908</v>
      </c>
      <c r="C1164" s="1" t="s">
        <v>1693</v>
      </c>
      <c r="D1164" s="1" t="s">
        <v>20</v>
      </c>
      <c r="E1164" t="s">
        <v>977</v>
      </c>
      <c r="F1164" t="s">
        <v>209</v>
      </c>
      <c r="G1164" t="s">
        <v>23</v>
      </c>
      <c r="H1164" t="s">
        <v>57</v>
      </c>
      <c r="I1164" t="s">
        <v>62</v>
      </c>
      <c r="J1164">
        <v>1</v>
      </c>
      <c r="K1164">
        <v>799</v>
      </c>
      <c r="L1164">
        <f>Table1[[#This Row],[Quantity]] * Table1[[#This Row],[UnitPrice]]</f>
        <v>799</v>
      </c>
      <c r="M1164" s="25">
        <v>5</v>
      </c>
      <c r="N1164">
        <f>Table1[[#This Row],[Revenue]]*Table1[[#This Row],[Discount%]]/100</f>
        <v>39.950000000000003</v>
      </c>
      <c r="O1164" s="6">
        <f>Table1[[#This Row],[Revenue]]-Table1[[#This Row],[Disc_amount]]</f>
        <v>759.05</v>
      </c>
      <c r="P1164" t="s">
        <v>52</v>
      </c>
      <c r="Q1164" t="s">
        <v>34</v>
      </c>
    </row>
    <row r="1165" spans="1:17">
      <c r="A1165" t="s">
        <v>1919</v>
      </c>
      <c r="B1165" s="1" t="s">
        <v>1908</v>
      </c>
      <c r="C1165" s="1" t="s">
        <v>1693</v>
      </c>
      <c r="D1165" s="1" t="s">
        <v>20</v>
      </c>
      <c r="E1165" t="s">
        <v>224</v>
      </c>
      <c r="F1165" t="s">
        <v>225</v>
      </c>
      <c r="G1165" t="s">
        <v>38</v>
      </c>
      <c r="H1165" t="s">
        <v>65</v>
      </c>
      <c r="I1165" t="s">
        <v>94</v>
      </c>
      <c r="J1165">
        <v>1</v>
      </c>
      <c r="K1165">
        <v>899</v>
      </c>
      <c r="L1165">
        <f>Table1[[#This Row],[Quantity]] * Table1[[#This Row],[UnitPrice]]</f>
        <v>899</v>
      </c>
      <c r="M1165" s="25">
        <v>15</v>
      </c>
      <c r="N1165">
        <f>Table1[[#This Row],[Revenue]]*Table1[[#This Row],[Discount%]]/100</f>
        <v>134.85</v>
      </c>
      <c r="O1165" s="6">
        <f>Table1[[#This Row],[Revenue]]-Table1[[#This Row],[Disc_amount]]</f>
        <v>764.15</v>
      </c>
      <c r="P1165" t="s">
        <v>41</v>
      </c>
      <c r="Q1165" t="s">
        <v>27</v>
      </c>
    </row>
    <row r="1166" spans="1:17">
      <c r="A1166" t="s">
        <v>1920</v>
      </c>
      <c r="B1166" s="1" t="s">
        <v>1921</v>
      </c>
      <c r="C1166" s="1" t="s">
        <v>1693</v>
      </c>
      <c r="D1166" s="1" t="s">
        <v>20</v>
      </c>
      <c r="E1166" t="s">
        <v>258</v>
      </c>
      <c r="F1166" t="s">
        <v>259</v>
      </c>
      <c r="G1166" t="s">
        <v>45</v>
      </c>
      <c r="H1166" t="s">
        <v>39</v>
      </c>
      <c r="I1166" t="s">
        <v>140</v>
      </c>
      <c r="J1166">
        <v>3</v>
      </c>
      <c r="K1166">
        <v>1799</v>
      </c>
      <c r="L1166">
        <f>Table1[[#This Row],[Quantity]] * Table1[[#This Row],[UnitPrice]]</f>
        <v>5397</v>
      </c>
      <c r="M1166" s="25">
        <v>30</v>
      </c>
      <c r="N1166">
        <f>Table1[[#This Row],[Revenue]]*Table1[[#This Row],[Discount%]]/100</f>
        <v>1619.1</v>
      </c>
      <c r="O1166" s="6">
        <f>Table1[[#This Row],[Revenue]]-Table1[[#This Row],[Disc_amount]]</f>
        <v>3777.9</v>
      </c>
      <c r="P1166" t="s">
        <v>52</v>
      </c>
      <c r="Q1166" t="s">
        <v>34</v>
      </c>
    </row>
    <row r="1167" spans="1:17">
      <c r="A1167" t="s">
        <v>1922</v>
      </c>
      <c r="B1167" s="1" t="s">
        <v>1921</v>
      </c>
      <c r="C1167" s="1" t="s">
        <v>1693</v>
      </c>
      <c r="D1167" s="1" t="s">
        <v>20</v>
      </c>
      <c r="E1167" t="s">
        <v>1093</v>
      </c>
      <c r="F1167" t="s">
        <v>1094</v>
      </c>
      <c r="G1167" t="s">
        <v>31</v>
      </c>
      <c r="H1167" t="s">
        <v>108</v>
      </c>
      <c r="I1167" t="s">
        <v>109</v>
      </c>
      <c r="J1167">
        <v>2</v>
      </c>
      <c r="K1167">
        <v>1499</v>
      </c>
      <c r="L1167">
        <f>Table1[[#This Row],[Quantity]] * Table1[[#This Row],[UnitPrice]]</f>
        <v>2998</v>
      </c>
      <c r="M1167" s="25">
        <v>0</v>
      </c>
      <c r="N1167">
        <f>Table1[[#This Row],[Revenue]]*Table1[[#This Row],[Discount%]]/100</f>
        <v>0</v>
      </c>
      <c r="O1167" s="6">
        <f>Table1[[#This Row],[Revenue]]-Table1[[#This Row],[Disc_amount]]</f>
        <v>2998</v>
      </c>
      <c r="P1167" t="s">
        <v>41</v>
      </c>
      <c r="Q1167" t="s">
        <v>34</v>
      </c>
    </row>
    <row r="1168" spans="1:17">
      <c r="A1168" t="s">
        <v>1923</v>
      </c>
      <c r="B1168" s="1" t="s">
        <v>1921</v>
      </c>
      <c r="C1168" s="1" t="s">
        <v>1693</v>
      </c>
      <c r="D1168" s="1" t="s">
        <v>20</v>
      </c>
      <c r="E1168" t="s">
        <v>126</v>
      </c>
      <c r="F1168" t="s">
        <v>77</v>
      </c>
      <c r="G1168" t="s">
        <v>45</v>
      </c>
      <c r="H1168" t="s">
        <v>65</v>
      </c>
      <c r="I1168" t="s">
        <v>98</v>
      </c>
      <c r="J1168">
        <v>1</v>
      </c>
      <c r="K1168">
        <v>499</v>
      </c>
      <c r="L1168">
        <f>Table1[[#This Row],[Quantity]] * Table1[[#This Row],[UnitPrice]]</f>
        <v>499</v>
      </c>
      <c r="M1168" s="25">
        <v>20</v>
      </c>
      <c r="N1168">
        <f>Table1[[#This Row],[Revenue]]*Table1[[#This Row],[Discount%]]/100</f>
        <v>99.8</v>
      </c>
      <c r="O1168" s="6">
        <f>Table1[[#This Row],[Revenue]]-Table1[[#This Row],[Disc_amount]]</f>
        <v>399.2</v>
      </c>
      <c r="P1168" t="s">
        <v>33</v>
      </c>
      <c r="Q1168" t="s">
        <v>34</v>
      </c>
    </row>
    <row r="1169" spans="1:17">
      <c r="A1169" t="s">
        <v>1924</v>
      </c>
      <c r="B1169" s="1" t="s">
        <v>1921</v>
      </c>
      <c r="C1169" s="1" t="s">
        <v>1693</v>
      </c>
      <c r="D1169" s="1" t="s">
        <v>20</v>
      </c>
      <c r="E1169" t="s">
        <v>705</v>
      </c>
      <c r="F1169" t="s">
        <v>501</v>
      </c>
      <c r="G1169" t="s">
        <v>56</v>
      </c>
      <c r="H1169" t="s">
        <v>39</v>
      </c>
      <c r="I1169" t="s">
        <v>51</v>
      </c>
      <c r="J1169">
        <v>1</v>
      </c>
      <c r="K1169">
        <v>2999</v>
      </c>
      <c r="L1169">
        <f>Table1[[#This Row],[Quantity]] * Table1[[#This Row],[UnitPrice]]</f>
        <v>2999</v>
      </c>
      <c r="M1169" s="25">
        <v>5</v>
      </c>
      <c r="N1169">
        <f>Table1[[#This Row],[Revenue]]*Table1[[#This Row],[Discount%]]/100</f>
        <v>149.94999999999999</v>
      </c>
      <c r="O1169" s="6">
        <f>Table1[[#This Row],[Revenue]]-Table1[[#This Row],[Disc_amount]]</f>
        <v>2849.05</v>
      </c>
      <c r="P1169" t="s">
        <v>26</v>
      </c>
      <c r="Q1169" t="s">
        <v>27</v>
      </c>
    </row>
    <row r="1170" spans="1:17">
      <c r="A1170" t="s">
        <v>1925</v>
      </c>
      <c r="B1170" s="1" t="s">
        <v>1921</v>
      </c>
      <c r="C1170" s="1" t="s">
        <v>1693</v>
      </c>
      <c r="D1170" s="1" t="s">
        <v>20</v>
      </c>
      <c r="E1170" t="s">
        <v>981</v>
      </c>
      <c r="F1170" t="s">
        <v>694</v>
      </c>
      <c r="G1170" t="s">
        <v>56</v>
      </c>
      <c r="H1170" t="s">
        <v>39</v>
      </c>
      <c r="I1170" t="s">
        <v>40</v>
      </c>
      <c r="J1170">
        <v>1</v>
      </c>
      <c r="K1170">
        <v>599</v>
      </c>
      <c r="L1170">
        <f>Table1[[#This Row],[Quantity]] * Table1[[#This Row],[UnitPrice]]</f>
        <v>599</v>
      </c>
      <c r="M1170" s="25">
        <v>15</v>
      </c>
      <c r="N1170">
        <f>Table1[[#This Row],[Revenue]]*Table1[[#This Row],[Discount%]]/100</f>
        <v>89.85</v>
      </c>
      <c r="O1170" s="6">
        <f>Table1[[#This Row],[Revenue]]-Table1[[#This Row],[Disc_amount]]</f>
        <v>509.15</v>
      </c>
      <c r="P1170" t="s">
        <v>33</v>
      </c>
      <c r="Q1170" t="s">
        <v>27</v>
      </c>
    </row>
    <row r="1171" spans="1:17">
      <c r="A1171" t="s">
        <v>1926</v>
      </c>
      <c r="B1171" s="1" t="s">
        <v>1921</v>
      </c>
      <c r="C1171" s="1" t="s">
        <v>1693</v>
      </c>
      <c r="D1171" s="1" t="s">
        <v>20</v>
      </c>
      <c r="E1171" t="s">
        <v>332</v>
      </c>
      <c r="F1171" t="s">
        <v>107</v>
      </c>
      <c r="G1171" t="s">
        <v>31</v>
      </c>
      <c r="H1171" t="s">
        <v>70</v>
      </c>
      <c r="I1171" t="s">
        <v>91</v>
      </c>
      <c r="J1171">
        <v>2</v>
      </c>
      <c r="K1171">
        <v>549</v>
      </c>
      <c r="L1171">
        <f>Table1[[#This Row],[Quantity]] * Table1[[#This Row],[UnitPrice]]</f>
        <v>1098</v>
      </c>
      <c r="M1171" s="25">
        <v>0</v>
      </c>
      <c r="N1171">
        <f>Table1[[#This Row],[Revenue]]*Table1[[#This Row],[Discount%]]/100</f>
        <v>0</v>
      </c>
      <c r="O1171" s="6">
        <f>Table1[[#This Row],[Revenue]]-Table1[[#This Row],[Disc_amount]]</f>
        <v>1098</v>
      </c>
      <c r="P1171" t="s">
        <v>33</v>
      </c>
      <c r="Q1171" t="s">
        <v>27</v>
      </c>
    </row>
    <row r="1172" spans="1:17">
      <c r="A1172" t="s">
        <v>1927</v>
      </c>
      <c r="B1172" s="1" t="s">
        <v>1921</v>
      </c>
      <c r="C1172" s="1" t="s">
        <v>1693</v>
      </c>
      <c r="D1172" s="1" t="s">
        <v>20</v>
      </c>
      <c r="E1172" t="s">
        <v>991</v>
      </c>
      <c r="F1172" t="s">
        <v>304</v>
      </c>
      <c r="G1172" t="s">
        <v>38</v>
      </c>
      <c r="H1172" t="s">
        <v>39</v>
      </c>
      <c r="I1172" t="s">
        <v>51</v>
      </c>
      <c r="J1172">
        <v>3</v>
      </c>
      <c r="K1172">
        <v>2999</v>
      </c>
      <c r="L1172">
        <f>Table1[[#This Row],[Quantity]] * Table1[[#This Row],[UnitPrice]]</f>
        <v>8997</v>
      </c>
      <c r="M1172" s="25">
        <v>20</v>
      </c>
      <c r="N1172">
        <f>Table1[[#This Row],[Revenue]]*Table1[[#This Row],[Discount%]]/100</f>
        <v>1799.4</v>
      </c>
      <c r="O1172" s="6">
        <f>Table1[[#This Row],[Revenue]]-Table1[[#This Row],[Disc_amount]]</f>
        <v>7197.6</v>
      </c>
      <c r="P1172" t="s">
        <v>33</v>
      </c>
      <c r="Q1172" t="s">
        <v>27</v>
      </c>
    </row>
    <row r="1173" spans="1:17">
      <c r="A1173" t="s">
        <v>1928</v>
      </c>
      <c r="B1173" s="1" t="s">
        <v>1921</v>
      </c>
      <c r="C1173" s="1" t="s">
        <v>1693</v>
      </c>
      <c r="D1173" s="1" t="s">
        <v>20</v>
      </c>
      <c r="E1173" t="s">
        <v>657</v>
      </c>
      <c r="F1173" t="s">
        <v>147</v>
      </c>
      <c r="G1173" t="s">
        <v>31</v>
      </c>
      <c r="H1173" t="s">
        <v>24</v>
      </c>
      <c r="I1173" t="s">
        <v>25</v>
      </c>
      <c r="J1173">
        <v>3</v>
      </c>
      <c r="K1173">
        <v>99</v>
      </c>
      <c r="L1173">
        <f>Table1[[#This Row],[Quantity]] * Table1[[#This Row],[UnitPrice]]</f>
        <v>297</v>
      </c>
      <c r="M1173" s="25">
        <v>25</v>
      </c>
      <c r="N1173">
        <f>Table1[[#This Row],[Revenue]]*Table1[[#This Row],[Discount%]]/100</f>
        <v>74.25</v>
      </c>
      <c r="O1173" s="6">
        <f>Table1[[#This Row],[Revenue]]-Table1[[#This Row],[Disc_amount]]</f>
        <v>222.75</v>
      </c>
      <c r="P1173" t="s">
        <v>41</v>
      </c>
      <c r="Q1173" t="s">
        <v>27</v>
      </c>
    </row>
    <row r="1174" spans="1:17">
      <c r="A1174" t="s">
        <v>1929</v>
      </c>
      <c r="B1174" s="1" t="s">
        <v>1921</v>
      </c>
      <c r="C1174" s="1" t="s">
        <v>1693</v>
      </c>
      <c r="D1174" s="1" t="s">
        <v>20</v>
      </c>
      <c r="E1174" t="s">
        <v>1567</v>
      </c>
      <c r="F1174" t="s">
        <v>143</v>
      </c>
      <c r="G1174" t="s">
        <v>23</v>
      </c>
      <c r="H1174" t="s">
        <v>65</v>
      </c>
      <c r="I1174" t="s">
        <v>66</v>
      </c>
      <c r="J1174">
        <v>1</v>
      </c>
      <c r="K1174">
        <v>1999</v>
      </c>
      <c r="L1174">
        <f>Table1[[#This Row],[Quantity]] * Table1[[#This Row],[UnitPrice]]</f>
        <v>1999</v>
      </c>
      <c r="M1174" s="25">
        <v>10</v>
      </c>
      <c r="N1174">
        <f>Table1[[#This Row],[Revenue]]*Table1[[#This Row],[Discount%]]/100</f>
        <v>199.9</v>
      </c>
      <c r="O1174" s="6">
        <f>Table1[[#This Row],[Revenue]]-Table1[[#This Row],[Disc_amount]]</f>
        <v>1799.1</v>
      </c>
      <c r="P1174" t="s">
        <v>41</v>
      </c>
      <c r="Q1174" t="s">
        <v>27</v>
      </c>
    </row>
    <row r="1175" spans="1:17">
      <c r="A1175" t="s">
        <v>1930</v>
      </c>
      <c r="B1175" s="1" t="s">
        <v>1921</v>
      </c>
      <c r="C1175" s="1" t="s">
        <v>1693</v>
      </c>
      <c r="D1175" s="1" t="s">
        <v>20</v>
      </c>
      <c r="E1175" t="s">
        <v>1088</v>
      </c>
      <c r="F1175" t="s">
        <v>160</v>
      </c>
      <c r="G1175" t="s">
        <v>31</v>
      </c>
      <c r="H1175" t="s">
        <v>46</v>
      </c>
      <c r="I1175" t="s">
        <v>47</v>
      </c>
      <c r="J1175">
        <v>2</v>
      </c>
      <c r="K1175">
        <v>249</v>
      </c>
      <c r="L1175">
        <f>Table1[[#This Row],[Quantity]] * Table1[[#This Row],[UnitPrice]]</f>
        <v>498</v>
      </c>
      <c r="M1175" s="25">
        <v>30</v>
      </c>
      <c r="N1175">
        <f>Table1[[#This Row],[Revenue]]*Table1[[#This Row],[Discount%]]/100</f>
        <v>149.4</v>
      </c>
      <c r="O1175" s="6">
        <f>Table1[[#This Row],[Revenue]]-Table1[[#This Row],[Disc_amount]]</f>
        <v>348.6</v>
      </c>
      <c r="P1175" t="s">
        <v>41</v>
      </c>
      <c r="Q1175" t="s">
        <v>27</v>
      </c>
    </row>
    <row r="1176" spans="1:17">
      <c r="A1176" t="s">
        <v>1931</v>
      </c>
      <c r="B1176" s="1" t="s">
        <v>1921</v>
      </c>
      <c r="C1176" s="1" t="s">
        <v>1693</v>
      </c>
      <c r="D1176" s="1" t="s">
        <v>20</v>
      </c>
      <c r="E1176" t="s">
        <v>469</v>
      </c>
      <c r="F1176" t="s">
        <v>470</v>
      </c>
      <c r="G1176" t="s">
        <v>56</v>
      </c>
      <c r="H1176" t="s">
        <v>24</v>
      </c>
      <c r="I1176" t="s">
        <v>32</v>
      </c>
      <c r="J1176">
        <v>1</v>
      </c>
      <c r="K1176">
        <v>199</v>
      </c>
      <c r="L1176">
        <f>Table1[[#This Row],[Quantity]] * Table1[[#This Row],[UnitPrice]]</f>
        <v>199</v>
      </c>
      <c r="M1176" s="25">
        <v>15</v>
      </c>
      <c r="N1176">
        <f>Table1[[#This Row],[Revenue]]*Table1[[#This Row],[Discount%]]/100</f>
        <v>29.85</v>
      </c>
      <c r="O1176" s="6">
        <f>Table1[[#This Row],[Revenue]]-Table1[[#This Row],[Disc_amount]]</f>
        <v>169.15</v>
      </c>
      <c r="P1176" t="s">
        <v>26</v>
      </c>
      <c r="Q1176" t="s">
        <v>27</v>
      </c>
    </row>
    <row r="1177" spans="1:17">
      <c r="A1177" t="s">
        <v>1932</v>
      </c>
      <c r="B1177" s="1" t="s">
        <v>1921</v>
      </c>
      <c r="C1177" s="1" t="s">
        <v>1693</v>
      </c>
      <c r="D1177" s="1" t="s">
        <v>20</v>
      </c>
      <c r="E1177" t="s">
        <v>447</v>
      </c>
      <c r="F1177" t="s">
        <v>229</v>
      </c>
      <c r="G1177" t="s">
        <v>23</v>
      </c>
      <c r="H1177" t="s">
        <v>39</v>
      </c>
      <c r="I1177" t="s">
        <v>51</v>
      </c>
      <c r="J1177">
        <v>1</v>
      </c>
      <c r="K1177">
        <v>2999</v>
      </c>
      <c r="L1177">
        <f>Table1[[#This Row],[Quantity]] * Table1[[#This Row],[UnitPrice]]</f>
        <v>2999</v>
      </c>
      <c r="M1177" s="25">
        <v>20</v>
      </c>
      <c r="N1177">
        <f>Table1[[#This Row],[Revenue]]*Table1[[#This Row],[Discount%]]/100</f>
        <v>599.79999999999995</v>
      </c>
      <c r="O1177" s="6">
        <f>Table1[[#This Row],[Revenue]]-Table1[[#This Row],[Disc_amount]]</f>
        <v>2399.1999999999998</v>
      </c>
      <c r="P1177" t="s">
        <v>86</v>
      </c>
      <c r="Q1177" t="s">
        <v>27</v>
      </c>
    </row>
    <row r="1178" spans="1:17">
      <c r="A1178" t="s">
        <v>1933</v>
      </c>
      <c r="B1178" s="1" t="s">
        <v>1921</v>
      </c>
      <c r="C1178" s="1" t="s">
        <v>1693</v>
      </c>
      <c r="D1178" s="1" t="s">
        <v>20</v>
      </c>
      <c r="E1178" t="s">
        <v>197</v>
      </c>
      <c r="F1178" t="s">
        <v>198</v>
      </c>
      <c r="G1178" t="s">
        <v>23</v>
      </c>
      <c r="H1178" t="s">
        <v>57</v>
      </c>
      <c r="I1178" t="s">
        <v>62</v>
      </c>
      <c r="J1178">
        <v>2</v>
      </c>
      <c r="K1178">
        <v>799</v>
      </c>
      <c r="L1178">
        <f>Table1[[#This Row],[Quantity]] * Table1[[#This Row],[UnitPrice]]</f>
        <v>1598</v>
      </c>
      <c r="M1178" s="25">
        <v>30</v>
      </c>
      <c r="N1178">
        <f>Table1[[#This Row],[Revenue]]*Table1[[#This Row],[Discount%]]/100</f>
        <v>479.4</v>
      </c>
      <c r="O1178" s="6">
        <f>Table1[[#This Row],[Revenue]]-Table1[[#This Row],[Disc_amount]]</f>
        <v>1118.5999999999999</v>
      </c>
      <c r="P1178" t="s">
        <v>86</v>
      </c>
      <c r="Q1178" t="s">
        <v>34</v>
      </c>
    </row>
    <row r="1179" spans="1:17">
      <c r="A1179" t="s">
        <v>1934</v>
      </c>
      <c r="B1179" s="1" t="s">
        <v>1935</v>
      </c>
      <c r="C1179" s="1" t="s">
        <v>1693</v>
      </c>
      <c r="D1179" s="1" t="s">
        <v>20</v>
      </c>
      <c r="E1179" t="s">
        <v>906</v>
      </c>
      <c r="F1179" t="s">
        <v>907</v>
      </c>
      <c r="G1179" t="s">
        <v>31</v>
      </c>
      <c r="H1179" t="s">
        <v>70</v>
      </c>
      <c r="I1179" t="s">
        <v>91</v>
      </c>
      <c r="J1179">
        <v>3</v>
      </c>
      <c r="K1179">
        <v>549</v>
      </c>
      <c r="L1179">
        <f>Table1[[#This Row],[Quantity]] * Table1[[#This Row],[UnitPrice]]</f>
        <v>1647</v>
      </c>
      <c r="M1179" s="25">
        <v>0</v>
      </c>
      <c r="N1179">
        <f>Table1[[#This Row],[Revenue]]*Table1[[#This Row],[Discount%]]/100</f>
        <v>0</v>
      </c>
      <c r="O1179" s="6">
        <f>Table1[[#This Row],[Revenue]]-Table1[[#This Row],[Disc_amount]]</f>
        <v>1647</v>
      </c>
      <c r="P1179" t="s">
        <v>33</v>
      </c>
      <c r="Q1179" t="s">
        <v>34</v>
      </c>
    </row>
    <row r="1180" spans="1:17">
      <c r="A1180" t="s">
        <v>1936</v>
      </c>
      <c r="B1180" s="1" t="s">
        <v>1935</v>
      </c>
      <c r="C1180" s="1" t="s">
        <v>1693</v>
      </c>
      <c r="D1180" s="1" t="s">
        <v>20</v>
      </c>
      <c r="E1180" t="s">
        <v>740</v>
      </c>
      <c r="F1180" t="s">
        <v>376</v>
      </c>
      <c r="G1180" t="s">
        <v>45</v>
      </c>
      <c r="H1180" t="s">
        <v>65</v>
      </c>
      <c r="I1180" t="s">
        <v>98</v>
      </c>
      <c r="J1180">
        <v>3</v>
      </c>
      <c r="K1180">
        <v>499</v>
      </c>
      <c r="L1180">
        <f>Table1[[#This Row],[Quantity]] * Table1[[#This Row],[UnitPrice]]</f>
        <v>1497</v>
      </c>
      <c r="M1180" s="25">
        <v>20</v>
      </c>
      <c r="N1180">
        <f>Table1[[#This Row],[Revenue]]*Table1[[#This Row],[Discount%]]/100</f>
        <v>299.39999999999998</v>
      </c>
      <c r="O1180" s="6">
        <f>Table1[[#This Row],[Revenue]]-Table1[[#This Row],[Disc_amount]]</f>
        <v>1197.5999999999999</v>
      </c>
      <c r="P1180" t="s">
        <v>86</v>
      </c>
      <c r="Q1180" t="s">
        <v>27</v>
      </c>
    </row>
    <row r="1181" spans="1:17">
      <c r="A1181" t="s">
        <v>1937</v>
      </c>
      <c r="B1181" s="1" t="s">
        <v>1935</v>
      </c>
      <c r="C1181" s="1" t="s">
        <v>1693</v>
      </c>
      <c r="D1181" s="1" t="s">
        <v>20</v>
      </c>
      <c r="E1181" t="s">
        <v>409</v>
      </c>
      <c r="F1181" t="s">
        <v>410</v>
      </c>
      <c r="G1181" t="s">
        <v>31</v>
      </c>
      <c r="H1181" t="s">
        <v>108</v>
      </c>
      <c r="I1181" t="s">
        <v>109</v>
      </c>
      <c r="J1181">
        <v>2</v>
      </c>
      <c r="K1181">
        <v>1499</v>
      </c>
      <c r="L1181">
        <f>Table1[[#This Row],[Quantity]] * Table1[[#This Row],[UnitPrice]]</f>
        <v>2998</v>
      </c>
      <c r="M1181" s="25">
        <v>15</v>
      </c>
      <c r="N1181">
        <f>Table1[[#This Row],[Revenue]]*Table1[[#This Row],[Discount%]]/100</f>
        <v>449.7</v>
      </c>
      <c r="O1181" s="6">
        <f>Table1[[#This Row],[Revenue]]-Table1[[#This Row],[Disc_amount]]</f>
        <v>2548.3000000000002</v>
      </c>
      <c r="P1181" t="s">
        <v>33</v>
      </c>
      <c r="Q1181" t="s">
        <v>27</v>
      </c>
    </row>
    <row r="1182" spans="1:17">
      <c r="A1182" t="s">
        <v>1938</v>
      </c>
      <c r="B1182" s="1" t="s">
        <v>1935</v>
      </c>
      <c r="C1182" s="1" t="s">
        <v>1693</v>
      </c>
      <c r="D1182" s="1" t="s">
        <v>20</v>
      </c>
      <c r="E1182" t="s">
        <v>938</v>
      </c>
      <c r="F1182" t="s">
        <v>187</v>
      </c>
      <c r="G1182" t="s">
        <v>31</v>
      </c>
      <c r="H1182" t="s">
        <v>24</v>
      </c>
      <c r="I1182" t="s">
        <v>32</v>
      </c>
      <c r="J1182">
        <v>1</v>
      </c>
      <c r="K1182">
        <v>199</v>
      </c>
      <c r="L1182">
        <f>Table1[[#This Row],[Quantity]] * Table1[[#This Row],[UnitPrice]]</f>
        <v>199</v>
      </c>
      <c r="M1182" s="25">
        <v>15</v>
      </c>
      <c r="N1182">
        <f>Table1[[#This Row],[Revenue]]*Table1[[#This Row],[Discount%]]/100</f>
        <v>29.85</v>
      </c>
      <c r="O1182" s="6">
        <f>Table1[[#This Row],[Revenue]]-Table1[[#This Row],[Disc_amount]]</f>
        <v>169.15</v>
      </c>
      <c r="P1182" t="s">
        <v>33</v>
      </c>
      <c r="Q1182" t="s">
        <v>27</v>
      </c>
    </row>
    <row r="1183" spans="1:17">
      <c r="A1183" t="s">
        <v>1939</v>
      </c>
      <c r="B1183" s="1" t="s">
        <v>1935</v>
      </c>
      <c r="C1183" s="1" t="s">
        <v>1693</v>
      </c>
      <c r="D1183" s="1" t="s">
        <v>20</v>
      </c>
      <c r="E1183" t="s">
        <v>1156</v>
      </c>
      <c r="F1183" t="s">
        <v>345</v>
      </c>
      <c r="G1183" t="s">
        <v>23</v>
      </c>
      <c r="H1183" t="s">
        <v>46</v>
      </c>
      <c r="I1183" t="s">
        <v>47</v>
      </c>
      <c r="J1183">
        <v>1</v>
      </c>
      <c r="K1183">
        <v>249</v>
      </c>
      <c r="L1183">
        <f>Table1[[#This Row],[Quantity]] * Table1[[#This Row],[UnitPrice]]</f>
        <v>249</v>
      </c>
      <c r="M1183" s="25">
        <v>30</v>
      </c>
      <c r="N1183">
        <f>Table1[[#This Row],[Revenue]]*Table1[[#This Row],[Discount%]]/100</f>
        <v>74.7</v>
      </c>
      <c r="O1183" s="6">
        <f>Table1[[#This Row],[Revenue]]-Table1[[#This Row],[Disc_amount]]</f>
        <v>174.3</v>
      </c>
      <c r="P1183" t="s">
        <v>33</v>
      </c>
      <c r="Q1183" t="s">
        <v>27</v>
      </c>
    </row>
    <row r="1184" spans="1:17">
      <c r="A1184" t="s">
        <v>1940</v>
      </c>
      <c r="B1184" s="1" t="s">
        <v>1935</v>
      </c>
      <c r="C1184" s="1" t="s">
        <v>1693</v>
      </c>
      <c r="D1184" s="1" t="s">
        <v>20</v>
      </c>
      <c r="E1184" t="s">
        <v>1152</v>
      </c>
      <c r="F1184" t="s">
        <v>209</v>
      </c>
      <c r="G1184" t="s">
        <v>31</v>
      </c>
      <c r="H1184" t="s">
        <v>57</v>
      </c>
      <c r="I1184" t="s">
        <v>62</v>
      </c>
      <c r="J1184">
        <v>2</v>
      </c>
      <c r="K1184">
        <v>799</v>
      </c>
      <c r="L1184">
        <f>Table1[[#This Row],[Quantity]] * Table1[[#This Row],[UnitPrice]]</f>
        <v>1598</v>
      </c>
      <c r="M1184" s="25">
        <v>30</v>
      </c>
      <c r="N1184">
        <f>Table1[[#This Row],[Revenue]]*Table1[[#This Row],[Discount%]]/100</f>
        <v>479.4</v>
      </c>
      <c r="O1184" s="6">
        <f>Table1[[#This Row],[Revenue]]-Table1[[#This Row],[Disc_amount]]</f>
        <v>1118.5999999999999</v>
      </c>
      <c r="P1184" t="s">
        <v>33</v>
      </c>
      <c r="Q1184" t="s">
        <v>27</v>
      </c>
    </row>
    <row r="1185" spans="1:17">
      <c r="A1185" t="s">
        <v>1941</v>
      </c>
      <c r="B1185" s="1" t="s">
        <v>1935</v>
      </c>
      <c r="C1185" s="1" t="s">
        <v>1693</v>
      </c>
      <c r="D1185" s="1" t="s">
        <v>20</v>
      </c>
      <c r="E1185" t="s">
        <v>373</v>
      </c>
      <c r="F1185" t="s">
        <v>183</v>
      </c>
      <c r="G1185" t="s">
        <v>38</v>
      </c>
      <c r="H1185" t="s">
        <v>39</v>
      </c>
      <c r="I1185" t="s">
        <v>40</v>
      </c>
      <c r="J1185">
        <v>3</v>
      </c>
      <c r="K1185">
        <v>599</v>
      </c>
      <c r="L1185">
        <f>Table1[[#This Row],[Quantity]] * Table1[[#This Row],[UnitPrice]]</f>
        <v>1797</v>
      </c>
      <c r="M1185" s="25">
        <v>25</v>
      </c>
      <c r="N1185">
        <f>Table1[[#This Row],[Revenue]]*Table1[[#This Row],[Discount%]]/100</f>
        <v>449.25</v>
      </c>
      <c r="O1185" s="6">
        <f>Table1[[#This Row],[Revenue]]-Table1[[#This Row],[Disc_amount]]</f>
        <v>1347.75</v>
      </c>
      <c r="P1185" t="s">
        <v>86</v>
      </c>
      <c r="Q1185" t="s">
        <v>27</v>
      </c>
    </row>
    <row r="1186" spans="1:17">
      <c r="A1186" t="s">
        <v>1942</v>
      </c>
      <c r="B1186" s="1" t="s">
        <v>1935</v>
      </c>
      <c r="C1186" s="1" t="s">
        <v>1693</v>
      </c>
      <c r="D1186" s="1" t="s">
        <v>20</v>
      </c>
      <c r="E1186" t="s">
        <v>421</v>
      </c>
      <c r="F1186" t="s">
        <v>422</v>
      </c>
      <c r="G1186" t="s">
        <v>31</v>
      </c>
      <c r="H1186" t="s">
        <v>65</v>
      </c>
      <c r="I1186" t="s">
        <v>94</v>
      </c>
      <c r="J1186">
        <v>1</v>
      </c>
      <c r="K1186">
        <v>899</v>
      </c>
      <c r="L1186">
        <f>Table1[[#This Row],[Quantity]] * Table1[[#This Row],[UnitPrice]]</f>
        <v>899</v>
      </c>
      <c r="M1186" s="25">
        <v>15</v>
      </c>
      <c r="N1186">
        <f>Table1[[#This Row],[Revenue]]*Table1[[#This Row],[Discount%]]/100</f>
        <v>134.85</v>
      </c>
      <c r="O1186" s="6">
        <f>Table1[[#This Row],[Revenue]]-Table1[[#This Row],[Disc_amount]]</f>
        <v>764.15</v>
      </c>
      <c r="P1186" t="s">
        <v>26</v>
      </c>
      <c r="Q1186" t="s">
        <v>27</v>
      </c>
    </row>
    <row r="1187" spans="1:17">
      <c r="A1187" t="s">
        <v>1943</v>
      </c>
      <c r="B1187" s="1" t="s">
        <v>1935</v>
      </c>
      <c r="C1187" s="1" t="s">
        <v>1693</v>
      </c>
      <c r="D1187" s="1" t="s">
        <v>20</v>
      </c>
      <c r="E1187" t="s">
        <v>165</v>
      </c>
      <c r="F1187" t="s">
        <v>166</v>
      </c>
      <c r="G1187" t="s">
        <v>56</v>
      </c>
      <c r="H1187" t="s">
        <v>108</v>
      </c>
      <c r="I1187" t="s">
        <v>130</v>
      </c>
      <c r="J1187">
        <v>1</v>
      </c>
      <c r="K1187">
        <v>699</v>
      </c>
      <c r="L1187">
        <f>Table1[[#This Row],[Quantity]] * Table1[[#This Row],[UnitPrice]]</f>
        <v>699</v>
      </c>
      <c r="M1187" s="25">
        <v>5</v>
      </c>
      <c r="N1187">
        <f>Table1[[#This Row],[Revenue]]*Table1[[#This Row],[Discount%]]/100</f>
        <v>34.950000000000003</v>
      </c>
      <c r="O1187" s="6">
        <f>Table1[[#This Row],[Revenue]]-Table1[[#This Row],[Disc_amount]]</f>
        <v>664.05</v>
      </c>
      <c r="P1187" t="s">
        <v>33</v>
      </c>
      <c r="Q1187" t="s">
        <v>27</v>
      </c>
    </row>
    <row r="1188" spans="1:17">
      <c r="A1188" t="s">
        <v>1944</v>
      </c>
      <c r="B1188" s="1" t="s">
        <v>1935</v>
      </c>
      <c r="C1188" s="1" t="s">
        <v>1693</v>
      </c>
      <c r="D1188" s="1" t="s">
        <v>20</v>
      </c>
      <c r="E1188" t="s">
        <v>811</v>
      </c>
      <c r="F1188" t="s">
        <v>166</v>
      </c>
      <c r="G1188" t="s">
        <v>45</v>
      </c>
      <c r="H1188" t="s">
        <v>70</v>
      </c>
      <c r="I1188" t="s">
        <v>91</v>
      </c>
      <c r="J1188">
        <v>1</v>
      </c>
      <c r="K1188">
        <v>549</v>
      </c>
      <c r="L1188">
        <f>Table1[[#This Row],[Quantity]] * Table1[[#This Row],[UnitPrice]]</f>
        <v>549</v>
      </c>
      <c r="M1188" s="25">
        <v>0</v>
      </c>
      <c r="N1188">
        <f>Table1[[#This Row],[Revenue]]*Table1[[#This Row],[Discount%]]/100</f>
        <v>0</v>
      </c>
      <c r="O1188" s="6">
        <f>Table1[[#This Row],[Revenue]]-Table1[[#This Row],[Disc_amount]]</f>
        <v>549</v>
      </c>
      <c r="P1188" t="s">
        <v>26</v>
      </c>
      <c r="Q1188" t="s">
        <v>27</v>
      </c>
    </row>
    <row r="1189" spans="1:17">
      <c r="A1189" t="s">
        <v>1945</v>
      </c>
      <c r="B1189" s="1" t="s">
        <v>1935</v>
      </c>
      <c r="C1189" s="1" t="s">
        <v>1693</v>
      </c>
      <c r="D1189" s="1" t="s">
        <v>20</v>
      </c>
      <c r="E1189" t="s">
        <v>1946</v>
      </c>
      <c r="F1189" t="s">
        <v>74</v>
      </c>
      <c r="G1189" t="s">
        <v>45</v>
      </c>
      <c r="H1189" t="s">
        <v>46</v>
      </c>
      <c r="I1189" t="s">
        <v>154</v>
      </c>
      <c r="J1189">
        <v>2</v>
      </c>
      <c r="K1189">
        <v>299</v>
      </c>
      <c r="L1189">
        <f>Table1[[#This Row],[Quantity]] * Table1[[#This Row],[UnitPrice]]</f>
        <v>598</v>
      </c>
      <c r="M1189" s="25">
        <v>0</v>
      </c>
      <c r="N1189">
        <f>Table1[[#This Row],[Revenue]]*Table1[[#This Row],[Discount%]]/100</f>
        <v>0</v>
      </c>
      <c r="O1189" s="6">
        <f>Table1[[#This Row],[Revenue]]-Table1[[#This Row],[Disc_amount]]</f>
        <v>598</v>
      </c>
      <c r="P1189" t="s">
        <v>33</v>
      </c>
      <c r="Q1189" t="s">
        <v>34</v>
      </c>
    </row>
    <row r="1190" spans="1:17">
      <c r="A1190" t="s">
        <v>1947</v>
      </c>
      <c r="B1190" s="1" t="s">
        <v>1935</v>
      </c>
      <c r="C1190" s="1" t="s">
        <v>1693</v>
      </c>
      <c r="D1190" s="1" t="s">
        <v>20</v>
      </c>
      <c r="E1190" t="s">
        <v>1481</v>
      </c>
      <c r="F1190" t="s">
        <v>853</v>
      </c>
      <c r="G1190" t="s">
        <v>56</v>
      </c>
      <c r="H1190" t="s">
        <v>57</v>
      </c>
      <c r="I1190" t="s">
        <v>62</v>
      </c>
      <c r="J1190">
        <v>5</v>
      </c>
      <c r="K1190">
        <v>799</v>
      </c>
      <c r="L1190">
        <f>Table1[[#This Row],[Quantity]] * Table1[[#This Row],[UnitPrice]]</f>
        <v>3995</v>
      </c>
      <c r="M1190" s="25">
        <v>20</v>
      </c>
      <c r="N1190">
        <f>Table1[[#This Row],[Revenue]]*Table1[[#This Row],[Discount%]]/100</f>
        <v>799</v>
      </c>
      <c r="O1190" s="6">
        <f>Table1[[#This Row],[Revenue]]-Table1[[#This Row],[Disc_amount]]</f>
        <v>3196</v>
      </c>
      <c r="P1190" t="s">
        <v>33</v>
      </c>
      <c r="Q1190" t="s">
        <v>27</v>
      </c>
    </row>
    <row r="1191" spans="1:17">
      <c r="A1191" t="s">
        <v>1948</v>
      </c>
      <c r="B1191" s="1" t="s">
        <v>1935</v>
      </c>
      <c r="C1191" s="1" t="s">
        <v>1693</v>
      </c>
      <c r="D1191" s="1" t="s">
        <v>20</v>
      </c>
      <c r="E1191" t="s">
        <v>986</v>
      </c>
      <c r="F1191" t="s">
        <v>209</v>
      </c>
      <c r="G1191" t="s">
        <v>38</v>
      </c>
      <c r="H1191" t="s">
        <v>65</v>
      </c>
      <c r="I1191" t="s">
        <v>98</v>
      </c>
      <c r="J1191">
        <v>2</v>
      </c>
      <c r="K1191">
        <v>499</v>
      </c>
      <c r="L1191">
        <f>Table1[[#This Row],[Quantity]] * Table1[[#This Row],[UnitPrice]]</f>
        <v>998</v>
      </c>
      <c r="M1191" s="25">
        <v>25</v>
      </c>
      <c r="N1191">
        <f>Table1[[#This Row],[Revenue]]*Table1[[#This Row],[Discount%]]/100</f>
        <v>249.5</v>
      </c>
      <c r="O1191" s="6">
        <f>Table1[[#This Row],[Revenue]]-Table1[[#This Row],[Disc_amount]]</f>
        <v>748.5</v>
      </c>
      <c r="P1191" t="s">
        <v>52</v>
      </c>
      <c r="Q1191" t="s">
        <v>27</v>
      </c>
    </row>
    <row r="1192" spans="1:17">
      <c r="A1192" t="s">
        <v>1949</v>
      </c>
      <c r="B1192" s="1" t="s">
        <v>1950</v>
      </c>
      <c r="C1192" s="1" t="s">
        <v>1693</v>
      </c>
      <c r="D1192" s="1" t="s">
        <v>20</v>
      </c>
      <c r="E1192" t="s">
        <v>354</v>
      </c>
      <c r="F1192" t="s">
        <v>355</v>
      </c>
      <c r="G1192" t="s">
        <v>38</v>
      </c>
      <c r="H1192" t="s">
        <v>24</v>
      </c>
      <c r="I1192" t="s">
        <v>25</v>
      </c>
      <c r="J1192">
        <v>5</v>
      </c>
      <c r="K1192">
        <v>99</v>
      </c>
      <c r="L1192">
        <f>Table1[[#This Row],[Quantity]] * Table1[[#This Row],[UnitPrice]]</f>
        <v>495</v>
      </c>
      <c r="M1192" s="25">
        <v>0</v>
      </c>
      <c r="N1192">
        <f>Table1[[#This Row],[Revenue]]*Table1[[#This Row],[Discount%]]/100</f>
        <v>0</v>
      </c>
      <c r="O1192" s="6">
        <f>Table1[[#This Row],[Revenue]]-Table1[[#This Row],[Disc_amount]]</f>
        <v>495</v>
      </c>
      <c r="P1192" t="s">
        <v>33</v>
      </c>
      <c r="Q1192" t="s">
        <v>34</v>
      </c>
    </row>
    <row r="1193" spans="1:17">
      <c r="A1193" t="s">
        <v>1951</v>
      </c>
      <c r="B1193" s="1" t="s">
        <v>1950</v>
      </c>
      <c r="C1193" s="1" t="s">
        <v>1693</v>
      </c>
      <c r="D1193" s="1" t="s">
        <v>20</v>
      </c>
      <c r="E1193" t="s">
        <v>1428</v>
      </c>
      <c r="F1193" t="s">
        <v>607</v>
      </c>
      <c r="G1193" t="s">
        <v>31</v>
      </c>
      <c r="H1193" t="s">
        <v>65</v>
      </c>
      <c r="I1193" t="s">
        <v>66</v>
      </c>
      <c r="J1193">
        <v>1</v>
      </c>
      <c r="K1193">
        <v>1999</v>
      </c>
      <c r="L1193">
        <f>Table1[[#This Row],[Quantity]] * Table1[[#This Row],[UnitPrice]]</f>
        <v>1999</v>
      </c>
      <c r="M1193" s="25">
        <v>25</v>
      </c>
      <c r="N1193">
        <f>Table1[[#This Row],[Revenue]]*Table1[[#This Row],[Discount%]]/100</f>
        <v>499.75</v>
      </c>
      <c r="O1193" s="6">
        <f>Table1[[#This Row],[Revenue]]-Table1[[#This Row],[Disc_amount]]</f>
        <v>1499.25</v>
      </c>
      <c r="P1193" t="s">
        <v>41</v>
      </c>
      <c r="Q1193" t="s">
        <v>27</v>
      </c>
    </row>
    <row r="1194" spans="1:17">
      <c r="A1194" t="s">
        <v>1952</v>
      </c>
      <c r="B1194" s="1" t="s">
        <v>1950</v>
      </c>
      <c r="C1194" s="1" t="s">
        <v>1693</v>
      </c>
      <c r="D1194" s="1" t="s">
        <v>20</v>
      </c>
      <c r="E1194" t="s">
        <v>1276</v>
      </c>
      <c r="F1194" t="s">
        <v>115</v>
      </c>
      <c r="G1194" t="s">
        <v>38</v>
      </c>
      <c r="H1194" t="s">
        <v>46</v>
      </c>
      <c r="I1194" t="s">
        <v>154</v>
      </c>
      <c r="J1194">
        <v>1</v>
      </c>
      <c r="K1194">
        <v>299</v>
      </c>
      <c r="L1194">
        <f>Table1[[#This Row],[Quantity]] * Table1[[#This Row],[UnitPrice]]</f>
        <v>299</v>
      </c>
      <c r="M1194" s="25">
        <v>5</v>
      </c>
      <c r="N1194">
        <f>Table1[[#This Row],[Revenue]]*Table1[[#This Row],[Discount%]]/100</f>
        <v>14.95</v>
      </c>
      <c r="O1194" s="6">
        <f>Table1[[#This Row],[Revenue]]-Table1[[#This Row],[Disc_amount]]</f>
        <v>284.05</v>
      </c>
      <c r="P1194" t="s">
        <v>26</v>
      </c>
      <c r="Q1194" t="s">
        <v>27</v>
      </c>
    </row>
    <row r="1195" spans="1:17">
      <c r="A1195" t="s">
        <v>1953</v>
      </c>
      <c r="B1195" s="1" t="s">
        <v>1950</v>
      </c>
      <c r="C1195" s="1" t="s">
        <v>1693</v>
      </c>
      <c r="D1195" s="1" t="s">
        <v>20</v>
      </c>
      <c r="E1195" t="s">
        <v>480</v>
      </c>
      <c r="F1195" t="s">
        <v>253</v>
      </c>
      <c r="G1195" t="s">
        <v>23</v>
      </c>
      <c r="H1195" t="s">
        <v>108</v>
      </c>
      <c r="I1195" t="s">
        <v>130</v>
      </c>
      <c r="J1195">
        <v>1</v>
      </c>
      <c r="K1195">
        <v>699</v>
      </c>
      <c r="L1195">
        <f>Table1[[#This Row],[Quantity]] * Table1[[#This Row],[UnitPrice]]</f>
        <v>699</v>
      </c>
      <c r="M1195" s="25">
        <v>10</v>
      </c>
      <c r="N1195">
        <f>Table1[[#This Row],[Revenue]]*Table1[[#This Row],[Discount%]]/100</f>
        <v>69.900000000000006</v>
      </c>
      <c r="O1195" s="6">
        <f>Table1[[#This Row],[Revenue]]-Table1[[#This Row],[Disc_amount]]</f>
        <v>629.1</v>
      </c>
      <c r="P1195" t="s">
        <v>33</v>
      </c>
      <c r="Q1195" t="s">
        <v>34</v>
      </c>
    </row>
    <row r="1196" spans="1:17">
      <c r="A1196" t="s">
        <v>1954</v>
      </c>
      <c r="B1196" s="1" t="s">
        <v>1950</v>
      </c>
      <c r="C1196" s="1" t="s">
        <v>1693</v>
      </c>
      <c r="D1196" s="1" t="s">
        <v>20</v>
      </c>
      <c r="E1196" t="s">
        <v>648</v>
      </c>
      <c r="F1196" t="s">
        <v>213</v>
      </c>
      <c r="G1196" t="s">
        <v>45</v>
      </c>
      <c r="H1196" t="s">
        <v>46</v>
      </c>
      <c r="I1196" t="s">
        <v>154</v>
      </c>
      <c r="J1196">
        <v>2</v>
      </c>
      <c r="K1196">
        <v>299</v>
      </c>
      <c r="L1196">
        <f>Table1[[#This Row],[Quantity]] * Table1[[#This Row],[UnitPrice]]</f>
        <v>598</v>
      </c>
      <c r="M1196" s="25">
        <v>25</v>
      </c>
      <c r="N1196">
        <f>Table1[[#This Row],[Revenue]]*Table1[[#This Row],[Discount%]]/100</f>
        <v>149.5</v>
      </c>
      <c r="O1196" s="6">
        <f>Table1[[#This Row],[Revenue]]-Table1[[#This Row],[Disc_amount]]</f>
        <v>448.5</v>
      </c>
      <c r="P1196" t="s">
        <v>52</v>
      </c>
      <c r="Q1196" t="s">
        <v>27</v>
      </c>
    </row>
    <row r="1197" spans="1:17">
      <c r="A1197" t="s">
        <v>1955</v>
      </c>
      <c r="B1197" s="1" t="s">
        <v>1950</v>
      </c>
      <c r="C1197" s="1" t="s">
        <v>1693</v>
      </c>
      <c r="D1197" s="1" t="s">
        <v>20</v>
      </c>
      <c r="E1197" t="s">
        <v>1913</v>
      </c>
      <c r="F1197" t="s">
        <v>462</v>
      </c>
      <c r="G1197" t="s">
        <v>23</v>
      </c>
      <c r="H1197" t="s">
        <v>65</v>
      </c>
      <c r="I1197" t="s">
        <v>66</v>
      </c>
      <c r="J1197">
        <v>1</v>
      </c>
      <c r="K1197">
        <v>1999</v>
      </c>
      <c r="L1197">
        <f>Table1[[#This Row],[Quantity]] * Table1[[#This Row],[UnitPrice]]</f>
        <v>1999</v>
      </c>
      <c r="M1197" s="25">
        <v>30</v>
      </c>
      <c r="N1197">
        <f>Table1[[#This Row],[Revenue]]*Table1[[#This Row],[Discount%]]/100</f>
        <v>599.70000000000005</v>
      </c>
      <c r="O1197" s="6">
        <f>Table1[[#This Row],[Revenue]]-Table1[[#This Row],[Disc_amount]]</f>
        <v>1399.3</v>
      </c>
      <c r="P1197" t="s">
        <v>26</v>
      </c>
      <c r="Q1197" t="s">
        <v>34</v>
      </c>
    </row>
    <row r="1198" spans="1:17">
      <c r="A1198" t="s">
        <v>1956</v>
      </c>
      <c r="B1198" s="1" t="s">
        <v>1950</v>
      </c>
      <c r="C1198" s="1" t="s">
        <v>1693</v>
      </c>
      <c r="D1198" s="1" t="s">
        <v>20</v>
      </c>
      <c r="E1198" t="s">
        <v>1165</v>
      </c>
      <c r="F1198" t="s">
        <v>272</v>
      </c>
      <c r="G1198" t="s">
        <v>23</v>
      </c>
      <c r="H1198" t="s">
        <v>57</v>
      </c>
      <c r="I1198" t="s">
        <v>58</v>
      </c>
      <c r="J1198">
        <v>3</v>
      </c>
      <c r="K1198">
        <v>1299</v>
      </c>
      <c r="L1198">
        <f>Table1[[#This Row],[Quantity]] * Table1[[#This Row],[UnitPrice]]</f>
        <v>3897</v>
      </c>
      <c r="M1198" s="25">
        <v>15</v>
      </c>
      <c r="N1198">
        <f>Table1[[#This Row],[Revenue]]*Table1[[#This Row],[Discount%]]/100</f>
        <v>584.54999999999995</v>
      </c>
      <c r="O1198" s="6">
        <f>Table1[[#This Row],[Revenue]]-Table1[[#This Row],[Disc_amount]]</f>
        <v>3312.45</v>
      </c>
      <c r="P1198" t="s">
        <v>33</v>
      </c>
      <c r="Q1198" t="s">
        <v>27</v>
      </c>
    </row>
    <row r="1199" spans="1:17">
      <c r="A1199" t="s">
        <v>1957</v>
      </c>
      <c r="B1199" s="1" t="s">
        <v>1950</v>
      </c>
      <c r="C1199" s="1" t="s">
        <v>1693</v>
      </c>
      <c r="D1199" s="1" t="s">
        <v>20</v>
      </c>
      <c r="E1199" t="s">
        <v>1163</v>
      </c>
      <c r="F1199" t="s">
        <v>390</v>
      </c>
      <c r="G1199" t="s">
        <v>56</v>
      </c>
      <c r="H1199" t="s">
        <v>65</v>
      </c>
      <c r="I1199" t="s">
        <v>94</v>
      </c>
      <c r="J1199">
        <v>2</v>
      </c>
      <c r="K1199">
        <v>899</v>
      </c>
      <c r="L1199">
        <f>Table1[[#This Row],[Quantity]] * Table1[[#This Row],[UnitPrice]]</f>
        <v>1798</v>
      </c>
      <c r="M1199" s="25">
        <v>25</v>
      </c>
      <c r="N1199">
        <f>Table1[[#This Row],[Revenue]]*Table1[[#This Row],[Discount%]]/100</f>
        <v>449.5</v>
      </c>
      <c r="O1199" s="6">
        <f>Table1[[#This Row],[Revenue]]-Table1[[#This Row],[Disc_amount]]</f>
        <v>1348.5</v>
      </c>
      <c r="P1199" t="s">
        <v>26</v>
      </c>
      <c r="Q1199" t="s">
        <v>34</v>
      </c>
    </row>
    <row r="1200" spans="1:17">
      <c r="A1200" t="s">
        <v>1958</v>
      </c>
      <c r="B1200" s="1" t="s">
        <v>1959</v>
      </c>
      <c r="C1200" s="1" t="s">
        <v>1693</v>
      </c>
      <c r="D1200" s="1" t="s">
        <v>20</v>
      </c>
      <c r="E1200" t="s">
        <v>747</v>
      </c>
      <c r="F1200" t="s">
        <v>748</v>
      </c>
      <c r="G1200" t="s">
        <v>56</v>
      </c>
      <c r="H1200" t="s">
        <v>39</v>
      </c>
      <c r="I1200" t="s">
        <v>51</v>
      </c>
      <c r="J1200">
        <v>4</v>
      </c>
      <c r="K1200">
        <v>2999</v>
      </c>
      <c r="L1200">
        <f>Table1[[#This Row],[Quantity]] * Table1[[#This Row],[UnitPrice]]</f>
        <v>11996</v>
      </c>
      <c r="M1200" s="25">
        <v>0</v>
      </c>
      <c r="N1200">
        <f>Table1[[#This Row],[Revenue]]*Table1[[#This Row],[Discount%]]/100</f>
        <v>0</v>
      </c>
      <c r="O1200" s="6">
        <f>Table1[[#This Row],[Revenue]]-Table1[[#This Row],[Disc_amount]]</f>
        <v>11996</v>
      </c>
      <c r="P1200" t="s">
        <v>52</v>
      </c>
      <c r="Q1200" t="s">
        <v>34</v>
      </c>
    </row>
    <row r="1201" spans="1:17">
      <c r="A1201" t="s">
        <v>1960</v>
      </c>
      <c r="B1201" s="1" t="s">
        <v>1959</v>
      </c>
      <c r="C1201" s="1" t="s">
        <v>1693</v>
      </c>
      <c r="D1201" s="1" t="s">
        <v>20</v>
      </c>
      <c r="E1201" t="s">
        <v>691</v>
      </c>
      <c r="F1201" t="s">
        <v>338</v>
      </c>
      <c r="G1201" t="s">
        <v>56</v>
      </c>
      <c r="H1201" t="s">
        <v>57</v>
      </c>
      <c r="I1201" t="s">
        <v>62</v>
      </c>
      <c r="J1201">
        <v>1</v>
      </c>
      <c r="K1201">
        <v>799</v>
      </c>
      <c r="L1201">
        <f>Table1[[#This Row],[Quantity]] * Table1[[#This Row],[UnitPrice]]</f>
        <v>799</v>
      </c>
      <c r="M1201" s="25">
        <v>0</v>
      </c>
      <c r="N1201">
        <f>Table1[[#This Row],[Revenue]]*Table1[[#This Row],[Discount%]]/100</f>
        <v>0</v>
      </c>
      <c r="O1201" s="6">
        <f>Table1[[#This Row],[Revenue]]-Table1[[#This Row],[Disc_amount]]</f>
        <v>799</v>
      </c>
      <c r="P1201" t="s">
        <v>41</v>
      </c>
      <c r="Q1201" t="s">
        <v>34</v>
      </c>
    </row>
    <row r="1202" spans="1:17">
      <c r="A1202" t="s">
        <v>1961</v>
      </c>
      <c r="B1202" s="1" t="s">
        <v>1959</v>
      </c>
      <c r="C1202" s="1" t="s">
        <v>1693</v>
      </c>
      <c r="D1202" s="1" t="s">
        <v>20</v>
      </c>
      <c r="E1202" t="s">
        <v>182</v>
      </c>
      <c r="F1202" t="s">
        <v>183</v>
      </c>
      <c r="G1202" t="s">
        <v>56</v>
      </c>
      <c r="H1202" t="s">
        <v>65</v>
      </c>
      <c r="I1202" t="s">
        <v>66</v>
      </c>
      <c r="J1202">
        <v>1</v>
      </c>
      <c r="K1202">
        <v>1999</v>
      </c>
      <c r="L1202">
        <f>Table1[[#This Row],[Quantity]] * Table1[[#This Row],[UnitPrice]]</f>
        <v>1999</v>
      </c>
      <c r="M1202" s="25">
        <v>30</v>
      </c>
      <c r="N1202">
        <f>Table1[[#This Row],[Revenue]]*Table1[[#This Row],[Discount%]]/100</f>
        <v>599.70000000000005</v>
      </c>
      <c r="O1202" s="6">
        <f>Table1[[#This Row],[Revenue]]-Table1[[#This Row],[Disc_amount]]</f>
        <v>1399.3</v>
      </c>
      <c r="P1202" t="s">
        <v>41</v>
      </c>
      <c r="Q1202" t="s">
        <v>34</v>
      </c>
    </row>
    <row r="1203" spans="1:17">
      <c r="A1203" t="s">
        <v>1962</v>
      </c>
      <c r="B1203" s="1" t="s">
        <v>1959</v>
      </c>
      <c r="C1203" s="1" t="s">
        <v>1693</v>
      </c>
      <c r="D1203" s="1" t="s">
        <v>20</v>
      </c>
      <c r="E1203" t="s">
        <v>1963</v>
      </c>
      <c r="F1203" t="s">
        <v>1292</v>
      </c>
      <c r="G1203" t="s">
        <v>45</v>
      </c>
      <c r="H1203" t="s">
        <v>39</v>
      </c>
      <c r="I1203" t="s">
        <v>40</v>
      </c>
      <c r="J1203">
        <v>1</v>
      </c>
      <c r="K1203">
        <v>599</v>
      </c>
      <c r="L1203">
        <f>Table1[[#This Row],[Quantity]] * Table1[[#This Row],[UnitPrice]]</f>
        <v>599</v>
      </c>
      <c r="M1203" s="25">
        <v>5</v>
      </c>
      <c r="N1203">
        <f>Table1[[#This Row],[Revenue]]*Table1[[#This Row],[Discount%]]/100</f>
        <v>29.95</v>
      </c>
      <c r="O1203" s="6">
        <f>Table1[[#This Row],[Revenue]]-Table1[[#This Row],[Disc_amount]]</f>
        <v>569.04999999999995</v>
      </c>
      <c r="P1203" t="s">
        <v>33</v>
      </c>
      <c r="Q1203" t="s">
        <v>27</v>
      </c>
    </row>
    <row r="1204" spans="1:17">
      <c r="A1204" t="s">
        <v>1964</v>
      </c>
      <c r="B1204" s="1" t="s">
        <v>1959</v>
      </c>
      <c r="C1204" s="1" t="s">
        <v>1693</v>
      </c>
      <c r="D1204" s="1" t="s">
        <v>20</v>
      </c>
      <c r="E1204" t="s">
        <v>433</v>
      </c>
      <c r="F1204" t="s">
        <v>434</v>
      </c>
      <c r="G1204" t="s">
        <v>31</v>
      </c>
      <c r="H1204" t="s">
        <v>65</v>
      </c>
      <c r="I1204" t="s">
        <v>94</v>
      </c>
      <c r="J1204">
        <v>2</v>
      </c>
      <c r="K1204">
        <v>899</v>
      </c>
      <c r="L1204">
        <f>Table1[[#This Row],[Quantity]] * Table1[[#This Row],[UnitPrice]]</f>
        <v>1798</v>
      </c>
      <c r="M1204" s="25">
        <v>20</v>
      </c>
      <c r="N1204">
        <f>Table1[[#This Row],[Revenue]]*Table1[[#This Row],[Discount%]]/100</f>
        <v>359.6</v>
      </c>
      <c r="O1204" s="6">
        <f>Table1[[#This Row],[Revenue]]-Table1[[#This Row],[Disc_amount]]</f>
        <v>1438.4</v>
      </c>
      <c r="P1204" t="s">
        <v>33</v>
      </c>
      <c r="Q1204" t="s">
        <v>27</v>
      </c>
    </row>
    <row r="1205" spans="1:17">
      <c r="A1205" t="s">
        <v>1965</v>
      </c>
      <c r="B1205" s="1" t="s">
        <v>1959</v>
      </c>
      <c r="C1205" s="1" t="s">
        <v>1693</v>
      </c>
      <c r="D1205" s="1" t="s">
        <v>20</v>
      </c>
      <c r="E1205" t="s">
        <v>407</v>
      </c>
      <c r="F1205" t="s">
        <v>329</v>
      </c>
      <c r="G1205" t="s">
        <v>31</v>
      </c>
      <c r="H1205" t="s">
        <v>24</v>
      </c>
      <c r="I1205" t="s">
        <v>25</v>
      </c>
      <c r="J1205">
        <v>1</v>
      </c>
      <c r="K1205">
        <v>99</v>
      </c>
      <c r="L1205">
        <f>Table1[[#This Row],[Quantity]] * Table1[[#This Row],[UnitPrice]]</f>
        <v>99</v>
      </c>
      <c r="M1205" s="25">
        <v>0</v>
      </c>
      <c r="N1205">
        <f>Table1[[#This Row],[Revenue]]*Table1[[#This Row],[Discount%]]/100</f>
        <v>0</v>
      </c>
      <c r="O1205" s="6">
        <f>Table1[[#This Row],[Revenue]]-Table1[[#This Row],[Disc_amount]]</f>
        <v>99</v>
      </c>
      <c r="P1205" t="s">
        <v>52</v>
      </c>
      <c r="Q1205" t="s">
        <v>34</v>
      </c>
    </row>
    <row r="1206" spans="1:17">
      <c r="A1206" t="s">
        <v>1966</v>
      </c>
      <c r="B1206" s="1" t="s">
        <v>1967</v>
      </c>
      <c r="C1206" s="1" t="s">
        <v>1693</v>
      </c>
      <c r="D1206" s="1" t="s">
        <v>20</v>
      </c>
      <c r="E1206" t="s">
        <v>798</v>
      </c>
      <c r="F1206" t="s">
        <v>157</v>
      </c>
      <c r="G1206" t="s">
        <v>23</v>
      </c>
      <c r="H1206" t="s">
        <v>39</v>
      </c>
      <c r="I1206" t="s">
        <v>51</v>
      </c>
      <c r="J1206">
        <v>3</v>
      </c>
      <c r="K1206">
        <v>2999</v>
      </c>
      <c r="L1206">
        <f>Table1[[#This Row],[Quantity]] * Table1[[#This Row],[UnitPrice]]</f>
        <v>8997</v>
      </c>
      <c r="M1206" s="25">
        <v>30</v>
      </c>
      <c r="N1206">
        <f>Table1[[#This Row],[Revenue]]*Table1[[#This Row],[Discount%]]/100</f>
        <v>2699.1</v>
      </c>
      <c r="O1206" s="6">
        <f>Table1[[#This Row],[Revenue]]-Table1[[#This Row],[Disc_amount]]</f>
        <v>6297.9</v>
      </c>
      <c r="P1206" t="s">
        <v>52</v>
      </c>
      <c r="Q1206" t="s">
        <v>34</v>
      </c>
    </row>
    <row r="1207" spans="1:17">
      <c r="A1207" t="s">
        <v>1968</v>
      </c>
      <c r="B1207" s="1" t="s">
        <v>1967</v>
      </c>
      <c r="C1207" s="1" t="s">
        <v>1693</v>
      </c>
      <c r="D1207" s="1" t="s">
        <v>20</v>
      </c>
      <c r="E1207" t="s">
        <v>966</v>
      </c>
      <c r="F1207" t="s">
        <v>345</v>
      </c>
      <c r="G1207" t="s">
        <v>38</v>
      </c>
      <c r="H1207" t="s">
        <v>65</v>
      </c>
      <c r="I1207" t="s">
        <v>98</v>
      </c>
      <c r="J1207">
        <v>1</v>
      </c>
      <c r="K1207">
        <v>499</v>
      </c>
      <c r="L1207">
        <f>Table1[[#This Row],[Quantity]] * Table1[[#This Row],[UnitPrice]]</f>
        <v>499</v>
      </c>
      <c r="M1207" s="25">
        <v>20</v>
      </c>
      <c r="N1207">
        <f>Table1[[#This Row],[Revenue]]*Table1[[#This Row],[Discount%]]/100</f>
        <v>99.8</v>
      </c>
      <c r="O1207" s="6">
        <f>Table1[[#This Row],[Revenue]]-Table1[[#This Row],[Disc_amount]]</f>
        <v>399.2</v>
      </c>
      <c r="P1207" t="s">
        <v>33</v>
      </c>
      <c r="Q1207" t="s">
        <v>34</v>
      </c>
    </row>
    <row r="1208" spans="1:17">
      <c r="A1208" t="s">
        <v>1969</v>
      </c>
      <c r="B1208" s="1" t="s">
        <v>1967</v>
      </c>
      <c r="C1208" s="1" t="s">
        <v>1693</v>
      </c>
      <c r="D1208" s="1" t="s">
        <v>20</v>
      </c>
      <c r="E1208" t="s">
        <v>986</v>
      </c>
      <c r="F1208" t="s">
        <v>209</v>
      </c>
      <c r="G1208" t="s">
        <v>23</v>
      </c>
      <c r="H1208" t="s">
        <v>70</v>
      </c>
      <c r="I1208" t="s">
        <v>91</v>
      </c>
      <c r="J1208">
        <v>3</v>
      </c>
      <c r="K1208">
        <v>549</v>
      </c>
      <c r="L1208">
        <f>Table1[[#This Row],[Quantity]] * Table1[[#This Row],[UnitPrice]]</f>
        <v>1647</v>
      </c>
      <c r="M1208" s="25">
        <v>25</v>
      </c>
      <c r="N1208">
        <f>Table1[[#This Row],[Revenue]]*Table1[[#This Row],[Discount%]]/100</f>
        <v>411.75</v>
      </c>
      <c r="O1208" s="6">
        <f>Table1[[#This Row],[Revenue]]-Table1[[#This Row],[Disc_amount]]</f>
        <v>1235.25</v>
      </c>
      <c r="P1208" t="s">
        <v>41</v>
      </c>
      <c r="Q1208" t="s">
        <v>27</v>
      </c>
    </row>
    <row r="1209" spans="1:17">
      <c r="A1209" t="s">
        <v>1970</v>
      </c>
      <c r="B1209" s="1" t="s">
        <v>1967</v>
      </c>
      <c r="C1209" s="1" t="s">
        <v>1693</v>
      </c>
      <c r="D1209" s="1" t="s">
        <v>20</v>
      </c>
      <c r="E1209" t="s">
        <v>352</v>
      </c>
      <c r="F1209" t="s">
        <v>134</v>
      </c>
      <c r="G1209" t="s">
        <v>38</v>
      </c>
      <c r="H1209" t="s">
        <v>24</v>
      </c>
      <c r="I1209" t="s">
        <v>32</v>
      </c>
      <c r="J1209">
        <v>2</v>
      </c>
      <c r="K1209">
        <v>199</v>
      </c>
      <c r="L1209">
        <f>Table1[[#This Row],[Quantity]] * Table1[[#This Row],[UnitPrice]]</f>
        <v>398</v>
      </c>
      <c r="M1209" s="25">
        <v>15</v>
      </c>
      <c r="N1209">
        <f>Table1[[#This Row],[Revenue]]*Table1[[#This Row],[Discount%]]/100</f>
        <v>59.7</v>
      </c>
      <c r="O1209" s="6">
        <f>Table1[[#This Row],[Revenue]]-Table1[[#This Row],[Disc_amount]]</f>
        <v>338.3</v>
      </c>
      <c r="P1209" t="s">
        <v>41</v>
      </c>
      <c r="Q1209" t="s">
        <v>27</v>
      </c>
    </row>
    <row r="1210" spans="1:17">
      <c r="A1210" t="s">
        <v>1971</v>
      </c>
      <c r="B1210" s="1" t="s">
        <v>1967</v>
      </c>
      <c r="C1210" s="1" t="s">
        <v>1693</v>
      </c>
      <c r="D1210" s="1" t="s">
        <v>20</v>
      </c>
      <c r="E1210" t="s">
        <v>895</v>
      </c>
      <c r="F1210" t="s">
        <v>759</v>
      </c>
      <c r="G1210" t="s">
        <v>38</v>
      </c>
      <c r="H1210" t="s">
        <v>24</v>
      </c>
      <c r="I1210" t="s">
        <v>32</v>
      </c>
      <c r="J1210">
        <v>1</v>
      </c>
      <c r="K1210">
        <v>199</v>
      </c>
      <c r="L1210">
        <f>Table1[[#This Row],[Quantity]] * Table1[[#This Row],[UnitPrice]]</f>
        <v>199</v>
      </c>
      <c r="M1210" s="25">
        <v>15</v>
      </c>
      <c r="N1210">
        <f>Table1[[#This Row],[Revenue]]*Table1[[#This Row],[Discount%]]/100</f>
        <v>29.85</v>
      </c>
      <c r="O1210" s="6">
        <f>Table1[[#This Row],[Revenue]]-Table1[[#This Row],[Disc_amount]]</f>
        <v>169.15</v>
      </c>
      <c r="P1210" t="s">
        <v>33</v>
      </c>
      <c r="Q1210" t="s">
        <v>27</v>
      </c>
    </row>
    <row r="1211" spans="1:17">
      <c r="A1211" t="s">
        <v>1972</v>
      </c>
      <c r="B1211" s="1" t="s">
        <v>1967</v>
      </c>
      <c r="C1211" s="1" t="s">
        <v>1693</v>
      </c>
      <c r="D1211" s="1" t="s">
        <v>20</v>
      </c>
      <c r="E1211" t="s">
        <v>360</v>
      </c>
      <c r="F1211" t="s">
        <v>123</v>
      </c>
      <c r="G1211" t="s">
        <v>45</v>
      </c>
      <c r="H1211" t="s">
        <v>108</v>
      </c>
      <c r="I1211" t="s">
        <v>109</v>
      </c>
      <c r="J1211">
        <v>1</v>
      </c>
      <c r="K1211">
        <v>1499</v>
      </c>
      <c r="L1211">
        <f>Table1[[#This Row],[Quantity]] * Table1[[#This Row],[UnitPrice]]</f>
        <v>1499</v>
      </c>
      <c r="M1211" s="25">
        <v>15</v>
      </c>
      <c r="N1211">
        <f>Table1[[#This Row],[Revenue]]*Table1[[#This Row],[Discount%]]/100</f>
        <v>224.85</v>
      </c>
      <c r="O1211" s="6">
        <f>Table1[[#This Row],[Revenue]]-Table1[[#This Row],[Disc_amount]]</f>
        <v>1274.1500000000001</v>
      </c>
      <c r="P1211" t="s">
        <v>33</v>
      </c>
      <c r="Q1211" t="s">
        <v>27</v>
      </c>
    </row>
    <row r="1212" spans="1:17">
      <c r="A1212" t="s">
        <v>1973</v>
      </c>
      <c r="B1212" s="1" t="s">
        <v>1967</v>
      </c>
      <c r="C1212" s="1" t="s">
        <v>1693</v>
      </c>
      <c r="D1212" s="1" t="s">
        <v>20</v>
      </c>
      <c r="E1212" t="s">
        <v>337</v>
      </c>
      <c r="F1212" t="s">
        <v>338</v>
      </c>
      <c r="G1212" t="s">
        <v>56</v>
      </c>
      <c r="H1212" t="s">
        <v>46</v>
      </c>
      <c r="I1212" t="s">
        <v>154</v>
      </c>
      <c r="J1212">
        <v>1</v>
      </c>
      <c r="K1212">
        <v>299</v>
      </c>
      <c r="L1212">
        <f>Table1[[#This Row],[Quantity]] * Table1[[#This Row],[UnitPrice]]</f>
        <v>299</v>
      </c>
      <c r="M1212" s="25">
        <v>30</v>
      </c>
      <c r="N1212">
        <f>Table1[[#This Row],[Revenue]]*Table1[[#This Row],[Discount%]]/100</f>
        <v>89.7</v>
      </c>
      <c r="O1212" s="6">
        <f>Table1[[#This Row],[Revenue]]-Table1[[#This Row],[Disc_amount]]</f>
        <v>209.3</v>
      </c>
      <c r="P1212" t="s">
        <v>52</v>
      </c>
      <c r="Q1212" t="s">
        <v>27</v>
      </c>
    </row>
    <row r="1213" spans="1:17">
      <c r="A1213" t="s">
        <v>1974</v>
      </c>
      <c r="B1213" s="1" t="s">
        <v>1967</v>
      </c>
      <c r="C1213" s="1" t="s">
        <v>1693</v>
      </c>
      <c r="D1213" s="1" t="s">
        <v>20</v>
      </c>
      <c r="E1213" t="s">
        <v>49</v>
      </c>
      <c r="F1213" t="s">
        <v>50</v>
      </c>
      <c r="G1213" t="s">
        <v>56</v>
      </c>
      <c r="H1213" t="s">
        <v>57</v>
      </c>
      <c r="I1213" t="s">
        <v>58</v>
      </c>
      <c r="J1213">
        <v>1</v>
      </c>
      <c r="K1213">
        <v>1299</v>
      </c>
      <c r="L1213">
        <f>Table1[[#This Row],[Quantity]] * Table1[[#This Row],[UnitPrice]]</f>
        <v>1299</v>
      </c>
      <c r="M1213" s="25">
        <v>30</v>
      </c>
      <c r="N1213">
        <f>Table1[[#This Row],[Revenue]]*Table1[[#This Row],[Discount%]]/100</f>
        <v>389.7</v>
      </c>
      <c r="O1213" s="6">
        <f>Table1[[#This Row],[Revenue]]-Table1[[#This Row],[Disc_amount]]</f>
        <v>909.3</v>
      </c>
      <c r="P1213" t="s">
        <v>52</v>
      </c>
      <c r="Q1213" t="s">
        <v>27</v>
      </c>
    </row>
    <row r="1214" spans="1:17">
      <c r="A1214" t="s">
        <v>1975</v>
      </c>
      <c r="B1214" s="1" t="s">
        <v>1976</v>
      </c>
      <c r="C1214" s="1" t="s">
        <v>1693</v>
      </c>
      <c r="D1214" s="1" t="s">
        <v>20</v>
      </c>
      <c r="E1214" t="s">
        <v>622</v>
      </c>
      <c r="F1214" t="s">
        <v>623</v>
      </c>
      <c r="G1214" t="s">
        <v>56</v>
      </c>
      <c r="H1214" t="s">
        <v>65</v>
      </c>
      <c r="I1214" t="s">
        <v>66</v>
      </c>
      <c r="J1214">
        <v>1</v>
      </c>
      <c r="K1214">
        <v>1999</v>
      </c>
      <c r="L1214">
        <f>Table1[[#This Row],[Quantity]] * Table1[[#This Row],[UnitPrice]]</f>
        <v>1999</v>
      </c>
      <c r="M1214" s="25">
        <v>15</v>
      </c>
      <c r="N1214">
        <f>Table1[[#This Row],[Revenue]]*Table1[[#This Row],[Discount%]]/100</f>
        <v>299.85000000000002</v>
      </c>
      <c r="O1214" s="6">
        <f>Table1[[#This Row],[Revenue]]-Table1[[#This Row],[Disc_amount]]</f>
        <v>1699.15</v>
      </c>
      <c r="P1214" t="s">
        <v>26</v>
      </c>
      <c r="Q1214" t="s">
        <v>27</v>
      </c>
    </row>
    <row r="1215" spans="1:17">
      <c r="A1215" t="s">
        <v>1977</v>
      </c>
      <c r="B1215" s="1" t="s">
        <v>1976</v>
      </c>
      <c r="C1215" s="1" t="s">
        <v>1693</v>
      </c>
      <c r="D1215" s="1" t="s">
        <v>20</v>
      </c>
      <c r="E1215" t="s">
        <v>138</v>
      </c>
      <c r="F1215" t="s">
        <v>139</v>
      </c>
      <c r="G1215" t="s">
        <v>31</v>
      </c>
      <c r="H1215" t="s">
        <v>46</v>
      </c>
      <c r="I1215" t="s">
        <v>47</v>
      </c>
      <c r="J1215">
        <v>2</v>
      </c>
      <c r="K1215">
        <v>249</v>
      </c>
      <c r="L1215">
        <f>Table1[[#This Row],[Quantity]] * Table1[[#This Row],[UnitPrice]]</f>
        <v>498</v>
      </c>
      <c r="M1215" s="25">
        <v>15</v>
      </c>
      <c r="N1215">
        <f>Table1[[#This Row],[Revenue]]*Table1[[#This Row],[Discount%]]/100</f>
        <v>74.7</v>
      </c>
      <c r="O1215" s="6">
        <f>Table1[[#This Row],[Revenue]]-Table1[[#This Row],[Disc_amount]]</f>
        <v>423.3</v>
      </c>
      <c r="P1215" t="s">
        <v>86</v>
      </c>
      <c r="Q1215" t="s">
        <v>27</v>
      </c>
    </row>
    <row r="1216" spans="1:17">
      <c r="A1216" t="s">
        <v>1978</v>
      </c>
      <c r="B1216" s="1" t="s">
        <v>1976</v>
      </c>
      <c r="C1216" s="1" t="s">
        <v>1693</v>
      </c>
      <c r="D1216" s="1" t="s">
        <v>20</v>
      </c>
      <c r="E1216" t="s">
        <v>995</v>
      </c>
      <c r="F1216" t="s">
        <v>900</v>
      </c>
      <c r="G1216" t="s">
        <v>31</v>
      </c>
      <c r="H1216" t="s">
        <v>39</v>
      </c>
      <c r="I1216" t="s">
        <v>51</v>
      </c>
      <c r="J1216">
        <v>2</v>
      </c>
      <c r="K1216">
        <v>2999</v>
      </c>
      <c r="L1216">
        <f>Table1[[#This Row],[Quantity]] * Table1[[#This Row],[UnitPrice]]</f>
        <v>5998</v>
      </c>
      <c r="M1216" s="25">
        <v>10</v>
      </c>
      <c r="N1216">
        <f>Table1[[#This Row],[Revenue]]*Table1[[#This Row],[Discount%]]/100</f>
        <v>599.79999999999995</v>
      </c>
      <c r="O1216" s="6">
        <f>Table1[[#This Row],[Revenue]]-Table1[[#This Row],[Disc_amount]]</f>
        <v>5398.2</v>
      </c>
      <c r="P1216" t="s">
        <v>52</v>
      </c>
      <c r="Q1216" t="s">
        <v>27</v>
      </c>
    </row>
    <row r="1217" spans="1:17">
      <c r="A1217" t="s">
        <v>1979</v>
      </c>
      <c r="B1217" s="1" t="s">
        <v>1976</v>
      </c>
      <c r="C1217" s="1" t="s">
        <v>1693</v>
      </c>
      <c r="D1217" s="1" t="s">
        <v>20</v>
      </c>
      <c r="E1217" t="s">
        <v>1344</v>
      </c>
      <c r="F1217" t="s">
        <v>694</v>
      </c>
      <c r="G1217" t="s">
        <v>23</v>
      </c>
      <c r="H1217" t="s">
        <v>70</v>
      </c>
      <c r="I1217" t="s">
        <v>91</v>
      </c>
      <c r="J1217">
        <v>1</v>
      </c>
      <c r="K1217">
        <v>549</v>
      </c>
      <c r="L1217">
        <f>Table1[[#This Row],[Quantity]] * Table1[[#This Row],[UnitPrice]]</f>
        <v>549</v>
      </c>
      <c r="M1217" s="25">
        <v>0</v>
      </c>
      <c r="N1217">
        <f>Table1[[#This Row],[Revenue]]*Table1[[#This Row],[Discount%]]/100</f>
        <v>0</v>
      </c>
      <c r="O1217" s="6">
        <f>Table1[[#This Row],[Revenue]]-Table1[[#This Row],[Disc_amount]]</f>
        <v>549</v>
      </c>
      <c r="P1217" t="s">
        <v>33</v>
      </c>
      <c r="Q1217" t="s">
        <v>34</v>
      </c>
    </row>
    <row r="1218" spans="1:17">
      <c r="A1218" t="s">
        <v>1980</v>
      </c>
      <c r="B1218" s="1" t="s">
        <v>1976</v>
      </c>
      <c r="C1218" s="1" t="s">
        <v>1693</v>
      </c>
      <c r="D1218" s="1" t="s">
        <v>20</v>
      </c>
      <c r="E1218" t="s">
        <v>747</v>
      </c>
      <c r="F1218" t="s">
        <v>748</v>
      </c>
      <c r="G1218" t="s">
        <v>38</v>
      </c>
      <c r="H1218" t="s">
        <v>70</v>
      </c>
      <c r="I1218" t="s">
        <v>71</v>
      </c>
      <c r="J1218">
        <v>4</v>
      </c>
      <c r="K1218">
        <v>349</v>
      </c>
      <c r="L1218">
        <f>Table1[[#This Row],[Quantity]] * Table1[[#This Row],[UnitPrice]]</f>
        <v>1396</v>
      </c>
      <c r="M1218" s="25">
        <v>30</v>
      </c>
      <c r="N1218">
        <f>Table1[[#This Row],[Revenue]]*Table1[[#This Row],[Discount%]]/100</f>
        <v>418.8</v>
      </c>
      <c r="O1218" s="6">
        <f>Table1[[#This Row],[Revenue]]-Table1[[#This Row],[Disc_amount]]</f>
        <v>977.2</v>
      </c>
      <c r="P1218" t="s">
        <v>26</v>
      </c>
      <c r="Q1218" t="s">
        <v>27</v>
      </c>
    </row>
    <row r="1219" spans="1:17">
      <c r="A1219" t="s">
        <v>1981</v>
      </c>
      <c r="B1219" s="1" t="s">
        <v>1976</v>
      </c>
      <c r="C1219" s="1" t="s">
        <v>1693</v>
      </c>
      <c r="D1219" s="1" t="s">
        <v>20</v>
      </c>
      <c r="E1219" t="s">
        <v>1585</v>
      </c>
      <c r="F1219" t="s">
        <v>298</v>
      </c>
      <c r="G1219" t="s">
        <v>31</v>
      </c>
      <c r="H1219" t="s">
        <v>65</v>
      </c>
      <c r="I1219" t="s">
        <v>94</v>
      </c>
      <c r="J1219">
        <v>1</v>
      </c>
      <c r="K1219">
        <v>899</v>
      </c>
      <c r="L1219">
        <f>Table1[[#This Row],[Quantity]] * Table1[[#This Row],[UnitPrice]]</f>
        <v>899</v>
      </c>
      <c r="M1219" s="25">
        <v>25</v>
      </c>
      <c r="N1219">
        <f>Table1[[#This Row],[Revenue]]*Table1[[#This Row],[Discount%]]/100</f>
        <v>224.75</v>
      </c>
      <c r="O1219" s="6">
        <f>Table1[[#This Row],[Revenue]]-Table1[[#This Row],[Disc_amount]]</f>
        <v>674.25</v>
      </c>
      <c r="P1219" t="s">
        <v>86</v>
      </c>
      <c r="Q1219" t="s">
        <v>27</v>
      </c>
    </row>
    <row r="1220" spans="1:17">
      <c r="A1220" t="s">
        <v>1982</v>
      </c>
      <c r="B1220" s="1" t="s">
        <v>1976</v>
      </c>
      <c r="C1220" s="1" t="s">
        <v>1693</v>
      </c>
      <c r="D1220" s="1" t="s">
        <v>20</v>
      </c>
      <c r="E1220" t="s">
        <v>241</v>
      </c>
      <c r="F1220" t="s">
        <v>242</v>
      </c>
      <c r="G1220" t="s">
        <v>56</v>
      </c>
      <c r="H1220" t="s">
        <v>70</v>
      </c>
      <c r="I1220" t="s">
        <v>71</v>
      </c>
      <c r="J1220">
        <v>2</v>
      </c>
      <c r="K1220">
        <v>349</v>
      </c>
      <c r="L1220">
        <f>Table1[[#This Row],[Quantity]] * Table1[[#This Row],[UnitPrice]]</f>
        <v>698</v>
      </c>
      <c r="M1220" s="25">
        <v>10</v>
      </c>
      <c r="N1220">
        <f>Table1[[#This Row],[Revenue]]*Table1[[#This Row],[Discount%]]/100</f>
        <v>69.8</v>
      </c>
      <c r="O1220" s="6">
        <f>Table1[[#This Row],[Revenue]]-Table1[[#This Row],[Disc_amount]]</f>
        <v>628.20000000000005</v>
      </c>
      <c r="P1220" t="s">
        <v>86</v>
      </c>
      <c r="Q1220" t="s">
        <v>34</v>
      </c>
    </row>
    <row r="1221" spans="1:17">
      <c r="A1221" t="s">
        <v>1983</v>
      </c>
      <c r="B1221" s="1" t="s">
        <v>1976</v>
      </c>
      <c r="C1221" s="1" t="s">
        <v>1693</v>
      </c>
      <c r="D1221" s="1" t="s">
        <v>20</v>
      </c>
      <c r="E1221" t="s">
        <v>313</v>
      </c>
      <c r="F1221" t="s">
        <v>314</v>
      </c>
      <c r="G1221" t="s">
        <v>23</v>
      </c>
      <c r="H1221" t="s">
        <v>46</v>
      </c>
      <c r="I1221" t="s">
        <v>154</v>
      </c>
      <c r="J1221">
        <v>1</v>
      </c>
      <c r="K1221">
        <v>299</v>
      </c>
      <c r="L1221">
        <f>Table1[[#This Row],[Quantity]] * Table1[[#This Row],[UnitPrice]]</f>
        <v>299</v>
      </c>
      <c r="M1221" s="25">
        <v>20</v>
      </c>
      <c r="N1221">
        <f>Table1[[#This Row],[Revenue]]*Table1[[#This Row],[Discount%]]/100</f>
        <v>59.8</v>
      </c>
      <c r="O1221" s="6">
        <f>Table1[[#This Row],[Revenue]]-Table1[[#This Row],[Disc_amount]]</f>
        <v>239.2</v>
      </c>
      <c r="P1221" t="s">
        <v>33</v>
      </c>
      <c r="Q1221" t="s">
        <v>27</v>
      </c>
    </row>
    <row r="1222" spans="1:17">
      <c r="A1222" t="s">
        <v>1984</v>
      </c>
      <c r="B1222" s="1" t="s">
        <v>1976</v>
      </c>
      <c r="C1222" s="1" t="s">
        <v>1693</v>
      </c>
      <c r="D1222" s="1" t="s">
        <v>20</v>
      </c>
      <c r="E1222" t="s">
        <v>322</v>
      </c>
      <c r="F1222" t="s">
        <v>323</v>
      </c>
      <c r="G1222" t="s">
        <v>38</v>
      </c>
      <c r="H1222" t="s">
        <v>108</v>
      </c>
      <c r="I1222" t="s">
        <v>109</v>
      </c>
      <c r="J1222">
        <v>3</v>
      </c>
      <c r="K1222">
        <v>1499</v>
      </c>
      <c r="L1222">
        <f>Table1[[#This Row],[Quantity]] * Table1[[#This Row],[UnitPrice]]</f>
        <v>4497</v>
      </c>
      <c r="M1222" s="25">
        <v>0</v>
      </c>
      <c r="N1222">
        <f>Table1[[#This Row],[Revenue]]*Table1[[#This Row],[Discount%]]/100</f>
        <v>0</v>
      </c>
      <c r="O1222" s="6">
        <f>Table1[[#This Row],[Revenue]]-Table1[[#This Row],[Disc_amount]]</f>
        <v>4497</v>
      </c>
      <c r="P1222" t="s">
        <v>33</v>
      </c>
      <c r="Q1222" t="s">
        <v>34</v>
      </c>
    </row>
    <row r="1223" spans="1:17">
      <c r="A1223" t="s">
        <v>1985</v>
      </c>
      <c r="B1223" s="1" t="s">
        <v>1976</v>
      </c>
      <c r="C1223" s="1" t="s">
        <v>1693</v>
      </c>
      <c r="D1223" s="1" t="s">
        <v>20</v>
      </c>
      <c r="E1223" t="s">
        <v>1364</v>
      </c>
      <c r="F1223" t="s">
        <v>326</v>
      </c>
      <c r="G1223" t="s">
        <v>31</v>
      </c>
      <c r="H1223" t="s">
        <v>70</v>
      </c>
      <c r="I1223" t="s">
        <v>71</v>
      </c>
      <c r="J1223">
        <v>2</v>
      </c>
      <c r="K1223">
        <v>349</v>
      </c>
      <c r="L1223">
        <f>Table1[[#This Row],[Quantity]] * Table1[[#This Row],[UnitPrice]]</f>
        <v>698</v>
      </c>
      <c r="M1223" s="25">
        <v>20</v>
      </c>
      <c r="N1223">
        <f>Table1[[#This Row],[Revenue]]*Table1[[#This Row],[Discount%]]/100</f>
        <v>139.6</v>
      </c>
      <c r="O1223" s="6">
        <f>Table1[[#This Row],[Revenue]]-Table1[[#This Row],[Disc_amount]]</f>
        <v>558.4</v>
      </c>
      <c r="P1223" t="s">
        <v>86</v>
      </c>
      <c r="Q1223" t="s">
        <v>27</v>
      </c>
    </row>
    <row r="1224" spans="1:17">
      <c r="A1224" t="s">
        <v>1986</v>
      </c>
      <c r="B1224" s="1" t="s">
        <v>1976</v>
      </c>
      <c r="C1224" s="1" t="s">
        <v>1693</v>
      </c>
      <c r="D1224" s="1" t="s">
        <v>20</v>
      </c>
      <c r="E1224" t="s">
        <v>128</v>
      </c>
      <c r="F1224" t="s">
        <v>129</v>
      </c>
      <c r="G1224" t="s">
        <v>31</v>
      </c>
      <c r="H1224" t="s">
        <v>46</v>
      </c>
      <c r="I1224" t="s">
        <v>47</v>
      </c>
      <c r="J1224">
        <v>1</v>
      </c>
      <c r="K1224">
        <v>249</v>
      </c>
      <c r="L1224">
        <f>Table1[[#This Row],[Quantity]] * Table1[[#This Row],[UnitPrice]]</f>
        <v>249</v>
      </c>
      <c r="M1224" s="25">
        <v>20</v>
      </c>
      <c r="N1224">
        <f>Table1[[#This Row],[Revenue]]*Table1[[#This Row],[Discount%]]/100</f>
        <v>49.8</v>
      </c>
      <c r="O1224" s="6">
        <f>Table1[[#This Row],[Revenue]]-Table1[[#This Row],[Disc_amount]]</f>
        <v>199.2</v>
      </c>
      <c r="P1224" t="s">
        <v>41</v>
      </c>
      <c r="Q1224" t="s">
        <v>34</v>
      </c>
    </row>
    <row r="1225" spans="1:17">
      <c r="A1225" t="s">
        <v>1987</v>
      </c>
      <c r="B1225" s="1" t="s">
        <v>1976</v>
      </c>
      <c r="C1225" s="1" t="s">
        <v>1693</v>
      </c>
      <c r="D1225" s="1" t="s">
        <v>20</v>
      </c>
      <c r="E1225" t="s">
        <v>1567</v>
      </c>
      <c r="F1225" t="s">
        <v>143</v>
      </c>
      <c r="G1225" t="s">
        <v>38</v>
      </c>
      <c r="H1225" t="s">
        <v>57</v>
      </c>
      <c r="I1225" t="s">
        <v>58</v>
      </c>
      <c r="J1225">
        <v>4</v>
      </c>
      <c r="K1225">
        <v>1299</v>
      </c>
      <c r="L1225">
        <f>Table1[[#This Row],[Quantity]] * Table1[[#This Row],[UnitPrice]]</f>
        <v>5196</v>
      </c>
      <c r="M1225" s="25">
        <v>5</v>
      </c>
      <c r="N1225">
        <f>Table1[[#This Row],[Revenue]]*Table1[[#This Row],[Discount%]]/100</f>
        <v>259.8</v>
      </c>
      <c r="O1225" s="6">
        <f>Table1[[#This Row],[Revenue]]-Table1[[#This Row],[Disc_amount]]</f>
        <v>4936.2</v>
      </c>
      <c r="P1225" t="s">
        <v>86</v>
      </c>
      <c r="Q1225" t="s">
        <v>27</v>
      </c>
    </row>
    <row r="1226" spans="1:17">
      <c r="A1226" t="s">
        <v>1988</v>
      </c>
      <c r="B1226" s="1" t="s">
        <v>1989</v>
      </c>
      <c r="C1226" s="1" t="s">
        <v>1693</v>
      </c>
      <c r="D1226" s="1" t="s">
        <v>20</v>
      </c>
      <c r="E1226" t="s">
        <v>821</v>
      </c>
      <c r="F1226" t="s">
        <v>714</v>
      </c>
      <c r="G1226" t="s">
        <v>31</v>
      </c>
      <c r="H1226" t="s">
        <v>39</v>
      </c>
      <c r="I1226" t="s">
        <v>40</v>
      </c>
      <c r="J1226">
        <v>2</v>
      </c>
      <c r="K1226">
        <v>599</v>
      </c>
      <c r="L1226">
        <f>Table1[[#This Row],[Quantity]] * Table1[[#This Row],[UnitPrice]]</f>
        <v>1198</v>
      </c>
      <c r="M1226" s="25">
        <v>25</v>
      </c>
      <c r="N1226">
        <f>Table1[[#This Row],[Revenue]]*Table1[[#This Row],[Discount%]]/100</f>
        <v>299.5</v>
      </c>
      <c r="O1226" s="6">
        <f>Table1[[#This Row],[Revenue]]-Table1[[#This Row],[Disc_amount]]</f>
        <v>898.5</v>
      </c>
      <c r="P1226" t="s">
        <v>41</v>
      </c>
      <c r="Q1226" t="s">
        <v>34</v>
      </c>
    </row>
    <row r="1227" spans="1:17">
      <c r="A1227" t="s">
        <v>1990</v>
      </c>
      <c r="B1227" s="1" t="s">
        <v>1989</v>
      </c>
      <c r="C1227" s="1" t="s">
        <v>1693</v>
      </c>
      <c r="D1227" s="1" t="s">
        <v>20</v>
      </c>
      <c r="E1227" t="s">
        <v>729</v>
      </c>
      <c r="F1227" t="s">
        <v>730</v>
      </c>
      <c r="G1227" t="s">
        <v>31</v>
      </c>
      <c r="H1227" t="s">
        <v>57</v>
      </c>
      <c r="I1227" t="s">
        <v>58</v>
      </c>
      <c r="J1227">
        <v>3</v>
      </c>
      <c r="K1227">
        <v>1299</v>
      </c>
      <c r="L1227">
        <f>Table1[[#This Row],[Quantity]] * Table1[[#This Row],[UnitPrice]]</f>
        <v>3897</v>
      </c>
      <c r="M1227" s="25">
        <v>0</v>
      </c>
      <c r="N1227">
        <f>Table1[[#This Row],[Revenue]]*Table1[[#This Row],[Discount%]]/100</f>
        <v>0</v>
      </c>
      <c r="O1227" s="6">
        <f>Table1[[#This Row],[Revenue]]-Table1[[#This Row],[Disc_amount]]</f>
        <v>3897</v>
      </c>
      <c r="P1227" t="s">
        <v>33</v>
      </c>
      <c r="Q1227" t="s">
        <v>27</v>
      </c>
    </row>
    <row r="1228" spans="1:17">
      <c r="A1228" t="s">
        <v>1991</v>
      </c>
      <c r="B1228" s="1" t="s">
        <v>1989</v>
      </c>
      <c r="C1228" s="1" t="s">
        <v>1693</v>
      </c>
      <c r="D1228" s="1" t="s">
        <v>20</v>
      </c>
      <c r="E1228" t="s">
        <v>217</v>
      </c>
      <c r="F1228" t="s">
        <v>218</v>
      </c>
      <c r="G1228" t="s">
        <v>56</v>
      </c>
      <c r="H1228" t="s">
        <v>24</v>
      </c>
      <c r="I1228" t="s">
        <v>25</v>
      </c>
      <c r="J1228">
        <v>3</v>
      </c>
      <c r="K1228">
        <v>99</v>
      </c>
      <c r="L1228">
        <f>Table1[[#This Row],[Quantity]] * Table1[[#This Row],[UnitPrice]]</f>
        <v>297</v>
      </c>
      <c r="M1228" s="25">
        <v>20</v>
      </c>
      <c r="N1228">
        <f>Table1[[#This Row],[Revenue]]*Table1[[#This Row],[Discount%]]/100</f>
        <v>59.4</v>
      </c>
      <c r="O1228" s="6">
        <f>Table1[[#This Row],[Revenue]]-Table1[[#This Row],[Disc_amount]]</f>
        <v>237.6</v>
      </c>
      <c r="P1228" t="s">
        <v>26</v>
      </c>
      <c r="Q1228" t="s">
        <v>34</v>
      </c>
    </row>
    <row r="1229" spans="1:17">
      <c r="A1229" t="s">
        <v>1992</v>
      </c>
      <c r="B1229" s="1" t="s">
        <v>1989</v>
      </c>
      <c r="C1229" s="1" t="s">
        <v>1693</v>
      </c>
      <c r="D1229" s="1" t="s">
        <v>20</v>
      </c>
      <c r="E1229" t="s">
        <v>906</v>
      </c>
      <c r="F1229" t="s">
        <v>907</v>
      </c>
      <c r="G1229" t="s">
        <v>23</v>
      </c>
      <c r="H1229" t="s">
        <v>39</v>
      </c>
      <c r="I1229" t="s">
        <v>40</v>
      </c>
      <c r="J1229">
        <v>4</v>
      </c>
      <c r="K1229">
        <v>599</v>
      </c>
      <c r="L1229">
        <f>Table1[[#This Row],[Quantity]] * Table1[[#This Row],[UnitPrice]]</f>
        <v>2396</v>
      </c>
      <c r="M1229" s="25">
        <v>10</v>
      </c>
      <c r="N1229">
        <f>Table1[[#This Row],[Revenue]]*Table1[[#This Row],[Discount%]]/100</f>
        <v>239.6</v>
      </c>
      <c r="O1229" s="6">
        <f>Table1[[#This Row],[Revenue]]-Table1[[#This Row],[Disc_amount]]</f>
        <v>2156.4</v>
      </c>
      <c r="P1229" t="s">
        <v>86</v>
      </c>
      <c r="Q1229" t="s">
        <v>27</v>
      </c>
    </row>
    <row r="1230" spans="1:17">
      <c r="A1230" t="s">
        <v>1993</v>
      </c>
      <c r="B1230" s="1" t="s">
        <v>1989</v>
      </c>
      <c r="C1230" s="1" t="s">
        <v>1693</v>
      </c>
      <c r="D1230" s="1" t="s">
        <v>20</v>
      </c>
      <c r="E1230" t="s">
        <v>325</v>
      </c>
      <c r="F1230" t="s">
        <v>326</v>
      </c>
      <c r="G1230" t="s">
        <v>23</v>
      </c>
      <c r="H1230" t="s">
        <v>108</v>
      </c>
      <c r="I1230" t="s">
        <v>109</v>
      </c>
      <c r="J1230">
        <v>1</v>
      </c>
      <c r="K1230">
        <v>1499</v>
      </c>
      <c r="L1230">
        <f>Table1[[#This Row],[Quantity]] * Table1[[#This Row],[UnitPrice]]</f>
        <v>1499</v>
      </c>
      <c r="M1230" s="25">
        <v>0</v>
      </c>
      <c r="N1230">
        <f>Table1[[#This Row],[Revenue]]*Table1[[#This Row],[Discount%]]/100</f>
        <v>0</v>
      </c>
      <c r="O1230" s="6">
        <f>Table1[[#This Row],[Revenue]]-Table1[[#This Row],[Disc_amount]]</f>
        <v>1499</v>
      </c>
      <c r="P1230" t="s">
        <v>52</v>
      </c>
      <c r="Q1230" t="s">
        <v>27</v>
      </c>
    </row>
    <row r="1231" spans="1:17">
      <c r="A1231" t="s">
        <v>1994</v>
      </c>
      <c r="B1231" s="1" t="s">
        <v>1989</v>
      </c>
      <c r="C1231" s="1" t="s">
        <v>1693</v>
      </c>
      <c r="D1231" s="1" t="s">
        <v>20</v>
      </c>
      <c r="E1231" t="s">
        <v>440</v>
      </c>
      <c r="F1231" t="s">
        <v>259</v>
      </c>
      <c r="G1231" t="s">
        <v>56</v>
      </c>
      <c r="H1231" t="s">
        <v>108</v>
      </c>
      <c r="I1231" t="s">
        <v>109</v>
      </c>
      <c r="J1231">
        <v>2</v>
      </c>
      <c r="K1231">
        <v>1499</v>
      </c>
      <c r="L1231">
        <f>Table1[[#This Row],[Quantity]] * Table1[[#This Row],[UnitPrice]]</f>
        <v>2998</v>
      </c>
      <c r="M1231" s="25">
        <v>15</v>
      </c>
      <c r="N1231">
        <f>Table1[[#This Row],[Revenue]]*Table1[[#This Row],[Discount%]]/100</f>
        <v>449.7</v>
      </c>
      <c r="O1231" s="6">
        <f>Table1[[#This Row],[Revenue]]-Table1[[#This Row],[Disc_amount]]</f>
        <v>2548.3000000000002</v>
      </c>
      <c r="P1231" t="s">
        <v>86</v>
      </c>
      <c r="Q1231" t="s">
        <v>27</v>
      </c>
    </row>
    <row r="1232" spans="1:17">
      <c r="A1232" t="s">
        <v>1995</v>
      </c>
      <c r="B1232" s="1" t="s">
        <v>1989</v>
      </c>
      <c r="C1232" s="1" t="s">
        <v>1693</v>
      </c>
      <c r="D1232" s="1" t="s">
        <v>20</v>
      </c>
      <c r="E1232" t="s">
        <v>921</v>
      </c>
      <c r="F1232" t="s">
        <v>104</v>
      </c>
      <c r="G1232" t="s">
        <v>56</v>
      </c>
      <c r="H1232" t="s">
        <v>57</v>
      </c>
      <c r="I1232" t="s">
        <v>58</v>
      </c>
      <c r="J1232">
        <v>2</v>
      </c>
      <c r="K1232">
        <v>1299</v>
      </c>
      <c r="L1232">
        <f>Table1[[#This Row],[Quantity]] * Table1[[#This Row],[UnitPrice]]</f>
        <v>2598</v>
      </c>
      <c r="M1232" s="25">
        <v>25</v>
      </c>
      <c r="N1232">
        <f>Table1[[#This Row],[Revenue]]*Table1[[#This Row],[Discount%]]/100</f>
        <v>649.5</v>
      </c>
      <c r="O1232" s="6">
        <f>Table1[[#This Row],[Revenue]]-Table1[[#This Row],[Disc_amount]]</f>
        <v>1948.5</v>
      </c>
      <c r="P1232" t="s">
        <v>52</v>
      </c>
      <c r="Q1232" t="s">
        <v>27</v>
      </c>
    </row>
    <row r="1233" spans="1:17">
      <c r="A1233" t="s">
        <v>1996</v>
      </c>
      <c r="B1233" s="1" t="s">
        <v>1989</v>
      </c>
      <c r="C1233" s="1" t="s">
        <v>1693</v>
      </c>
      <c r="D1233" s="1" t="s">
        <v>20</v>
      </c>
      <c r="E1233" t="s">
        <v>392</v>
      </c>
      <c r="F1233" t="s">
        <v>236</v>
      </c>
      <c r="G1233" t="s">
        <v>23</v>
      </c>
      <c r="H1233" t="s">
        <v>46</v>
      </c>
      <c r="I1233" t="s">
        <v>47</v>
      </c>
      <c r="J1233">
        <v>1</v>
      </c>
      <c r="K1233">
        <v>249</v>
      </c>
      <c r="L1233">
        <f>Table1[[#This Row],[Quantity]] * Table1[[#This Row],[UnitPrice]]</f>
        <v>249</v>
      </c>
      <c r="M1233" s="25">
        <v>5</v>
      </c>
      <c r="N1233">
        <f>Table1[[#This Row],[Revenue]]*Table1[[#This Row],[Discount%]]/100</f>
        <v>12.45</v>
      </c>
      <c r="O1233" s="6">
        <f>Table1[[#This Row],[Revenue]]-Table1[[#This Row],[Disc_amount]]</f>
        <v>236.55</v>
      </c>
      <c r="P1233" t="s">
        <v>33</v>
      </c>
      <c r="Q1233" t="s">
        <v>34</v>
      </c>
    </row>
    <row r="1234" spans="1:17">
      <c r="A1234" t="s">
        <v>1997</v>
      </c>
      <c r="B1234" s="1" t="s">
        <v>1989</v>
      </c>
      <c r="C1234" s="1" t="s">
        <v>1693</v>
      </c>
      <c r="D1234" s="1" t="s">
        <v>20</v>
      </c>
      <c r="E1234" t="s">
        <v>1071</v>
      </c>
      <c r="F1234" t="s">
        <v>118</v>
      </c>
      <c r="G1234" t="s">
        <v>45</v>
      </c>
      <c r="H1234" t="s">
        <v>57</v>
      </c>
      <c r="I1234" t="s">
        <v>62</v>
      </c>
      <c r="J1234">
        <v>2</v>
      </c>
      <c r="K1234">
        <v>799</v>
      </c>
      <c r="L1234">
        <f>Table1[[#This Row],[Quantity]] * Table1[[#This Row],[UnitPrice]]</f>
        <v>1598</v>
      </c>
      <c r="M1234" s="25">
        <v>30</v>
      </c>
      <c r="N1234">
        <f>Table1[[#This Row],[Revenue]]*Table1[[#This Row],[Discount%]]/100</f>
        <v>479.4</v>
      </c>
      <c r="O1234" s="6">
        <f>Table1[[#This Row],[Revenue]]-Table1[[#This Row],[Disc_amount]]</f>
        <v>1118.5999999999999</v>
      </c>
      <c r="P1234" t="s">
        <v>41</v>
      </c>
      <c r="Q1234" t="s">
        <v>34</v>
      </c>
    </row>
    <row r="1235" spans="1:17">
      <c r="A1235" t="s">
        <v>1998</v>
      </c>
      <c r="B1235" s="1" t="s">
        <v>1989</v>
      </c>
      <c r="C1235" s="1" t="s">
        <v>1693</v>
      </c>
      <c r="D1235" s="1" t="s">
        <v>20</v>
      </c>
      <c r="E1235" t="s">
        <v>182</v>
      </c>
      <c r="F1235" t="s">
        <v>183</v>
      </c>
      <c r="G1235" t="s">
        <v>56</v>
      </c>
      <c r="H1235" t="s">
        <v>65</v>
      </c>
      <c r="I1235" t="s">
        <v>94</v>
      </c>
      <c r="J1235">
        <v>2</v>
      </c>
      <c r="K1235">
        <v>899</v>
      </c>
      <c r="L1235">
        <f>Table1[[#This Row],[Quantity]] * Table1[[#This Row],[UnitPrice]]</f>
        <v>1798</v>
      </c>
      <c r="M1235" s="25">
        <v>5</v>
      </c>
      <c r="N1235">
        <f>Table1[[#This Row],[Revenue]]*Table1[[#This Row],[Discount%]]/100</f>
        <v>89.9</v>
      </c>
      <c r="O1235" s="6">
        <f>Table1[[#This Row],[Revenue]]-Table1[[#This Row],[Disc_amount]]</f>
        <v>1708.1</v>
      </c>
      <c r="P1235" t="s">
        <v>26</v>
      </c>
      <c r="Q1235" t="s">
        <v>34</v>
      </c>
    </row>
    <row r="1236" spans="1:17">
      <c r="A1236" t="s">
        <v>1999</v>
      </c>
      <c r="B1236" s="1" t="s">
        <v>1989</v>
      </c>
      <c r="C1236" s="1" t="s">
        <v>1693</v>
      </c>
      <c r="D1236" s="1" t="s">
        <v>20</v>
      </c>
      <c r="E1236" t="s">
        <v>1044</v>
      </c>
      <c r="F1236" t="s">
        <v>587</v>
      </c>
      <c r="G1236" t="s">
        <v>38</v>
      </c>
      <c r="H1236" t="s">
        <v>57</v>
      </c>
      <c r="I1236" t="s">
        <v>58</v>
      </c>
      <c r="J1236">
        <v>1</v>
      </c>
      <c r="K1236">
        <v>1299</v>
      </c>
      <c r="L1236">
        <f>Table1[[#This Row],[Quantity]] * Table1[[#This Row],[UnitPrice]]</f>
        <v>1299</v>
      </c>
      <c r="M1236" s="25">
        <v>5</v>
      </c>
      <c r="N1236">
        <f>Table1[[#This Row],[Revenue]]*Table1[[#This Row],[Discount%]]/100</f>
        <v>64.95</v>
      </c>
      <c r="O1236" s="6">
        <f>Table1[[#This Row],[Revenue]]-Table1[[#This Row],[Disc_amount]]</f>
        <v>1234.05</v>
      </c>
      <c r="P1236" t="s">
        <v>26</v>
      </c>
      <c r="Q1236" t="s">
        <v>27</v>
      </c>
    </row>
    <row r="1237" spans="1:17">
      <c r="A1237" t="s">
        <v>2000</v>
      </c>
      <c r="B1237" s="1" t="s">
        <v>1989</v>
      </c>
      <c r="C1237" s="1" t="s">
        <v>1693</v>
      </c>
      <c r="D1237" s="1" t="s">
        <v>20</v>
      </c>
      <c r="E1237" t="s">
        <v>1709</v>
      </c>
      <c r="F1237" t="s">
        <v>989</v>
      </c>
      <c r="G1237" t="s">
        <v>38</v>
      </c>
      <c r="H1237" t="s">
        <v>39</v>
      </c>
      <c r="I1237" t="s">
        <v>40</v>
      </c>
      <c r="J1237">
        <v>3</v>
      </c>
      <c r="K1237">
        <v>599</v>
      </c>
      <c r="L1237">
        <f>Table1[[#This Row],[Quantity]] * Table1[[#This Row],[UnitPrice]]</f>
        <v>1797</v>
      </c>
      <c r="M1237" s="25">
        <v>10</v>
      </c>
      <c r="N1237">
        <f>Table1[[#This Row],[Revenue]]*Table1[[#This Row],[Discount%]]/100</f>
        <v>179.7</v>
      </c>
      <c r="O1237" s="6">
        <f>Table1[[#This Row],[Revenue]]-Table1[[#This Row],[Disc_amount]]</f>
        <v>1617.3</v>
      </c>
      <c r="P1237" t="s">
        <v>26</v>
      </c>
      <c r="Q1237" t="s">
        <v>27</v>
      </c>
    </row>
    <row r="1238" spans="1:17">
      <c r="A1238" t="s">
        <v>2001</v>
      </c>
      <c r="B1238" s="1" t="s">
        <v>1989</v>
      </c>
      <c r="C1238" s="1" t="s">
        <v>1693</v>
      </c>
      <c r="D1238" s="1" t="s">
        <v>20</v>
      </c>
      <c r="E1238" t="s">
        <v>725</v>
      </c>
      <c r="F1238" t="s">
        <v>726</v>
      </c>
      <c r="G1238" t="s">
        <v>45</v>
      </c>
      <c r="H1238" t="s">
        <v>24</v>
      </c>
      <c r="I1238" t="s">
        <v>25</v>
      </c>
      <c r="J1238">
        <v>3</v>
      </c>
      <c r="K1238">
        <v>99</v>
      </c>
      <c r="L1238">
        <f>Table1[[#This Row],[Quantity]] * Table1[[#This Row],[UnitPrice]]</f>
        <v>297</v>
      </c>
      <c r="M1238" s="25">
        <v>10</v>
      </c>
      <c r="N1238">
        <f>Table1[[#This Row],[Revenue]]*Table1[[#This Row],[Discount%]]/100</f>
        <v>29.7</v>
      </c>
      <c r="O1238" s="6">
        <f>Table1[[#This Row],[Revenue]]-Table1[[#This Row],[Disc_amount]]</f>
        <v>267.3</v>
      </c>
      <c r="P1238" t="s">
        <v>26</v>
      </c>
      <c r="Q1238" t="s">
        <v>27</v>
      </c>
    </row>
    <row r="1239" spans="1:17">
      <c r="A1239" t="s">
        <v>2002</v>
      </c>
      <c r="B1239" s="1" t="s">
        <v>1989</v>
      </c>
      <c r="C1239" s="1" t="s">
        <v>1693</v>
      </c>
      <c r="D1239" s="1" t="s">
        <v>20</v>
      </c>
      <c r="E1239" t="s">
        <v>1194</v>
      </c>
      <c r="F1239" t="s">
        <v>376</v>
      </c>
      <c r="G1239" t="s">
        <v>23</v>
      </c>
      <c r="H1239" t="s">
        <v>46</v>
      </c>
      <c r="I1239" t="s">
        <v>47</v>
      </c>
      <c r="J1239">
        <v>1</v>
      </c>
      <c r="K1239">
        <v>249</v>
      </c>
      <c r="L1239">
        <f>Table1[[#This Row],[Quantity]] * Table1[[#This Row],[UnitPrice]]</f>
        <v>249</v>
      </c>
      <c r="M1239" s="25">
        <v>10</v>
      </c>
      <c r="N1239">
        <f>Table1[[#This Row],[Revenue]]*Table1[[#This Row],[Discount%]]/100</f>
        <v>24.9</v>
      </c>
      <c r="O1239" s="6">
        <f>Table1[[#This Row],[Revenue]]-Table1[[#This Row],[Disc_amount]]</f>
        <v>224.1</v>
      </c>
      <c r="P1239" t="s">
        <v>26</v>
      </c>
      <c r="Q1239" t="s">
        <v>27</v>
      </c>
    </row>
    <row r="1240" spans="1:17">
      <c r="A1240" t="s">
        <v>2003</v>
      </c>
      <c r="B1240" s="1" t="s">
        <v>1989</v>
      </c>
      <c r="C1240" s="1" t="s">
        <v>1693</v>
      </c>
      <c r="D1240" s="1" t="s">
        <v>20</v>
      </c>
      <c r="E1240" t="s">
        <v>1382</v>
      </c>
      <c r="F1240" t="s">
        <v>173</v>
      </c>
      <c r="G1240" t="s">
        <v>31</v>
      </c>
      <c r="H1240" t="s">
        <v>39</v>
      </c>
      <c r="I1240" t="s">
        <v>40</v>
      </c>
      <c r="J1240">
        <v>2</v>
      </c>
      <c r="K1240">
        <v>599</v>
      </c>
      <c r="L1240">
        <f>Table1[[#This Row],[Quantity]] * Table1[[#This Row],[UnitPrice]]</f>
        <v>1198</v>
      </c>
      <c r="M1240" s="25">
        <v>30</v>
      </c>
      <c r="N1240">
        <f>Table1[[#This Row],[Revenue]]*Table1[[#This Row],[Discount%]]/100</f>
        <v>359.4</v>
      </c>
      <c r="O1240" s="6">
        <f>Table1[[#This Row],[Revenue]]-Table1[[#This Row],[Disc_amount]]</f>
        <v>838.6</v>
      </c>
      <c r="P1240" t="s">
        <v>41</v>
      </c>
      <c r="Q1240" t="s">
        <v>34</v>
      </c>
    </row>
    <row r="1241" spans="1:17">
      <c r="A1241" t="s">
        <v>2004</v>
      </c>
      <c r="B1241" s="1" t="s">
        <v>1989</v>
      </c>
      <c r="C1241" s="1" t="s">
        <v>1693</v>
      </c>
      <c r="D1241" s="1" t="s">
        <v>20</v>
      </c>
      <c r="E1241" t="s">
        <v>495</v>
      </c>
      <c r="F1241" t="s">
        <v>187</v>
      </c>
      <c r="G1241" t="s">
        <v>23</v>
      </c>
      <c r="H1241" t="s">
        <v>39</v>
      </c>
      <c r="I1241" t="s">
        <v>40</v>
      </c>
      <c r="J1241">
        <v>3</v>
      </c>
      <c r="K1241">
        <v>599</v>
      </c>
      <c r="L1241">
        <f>Table1[[#This Row],[Quantity]] * Table1[[#This Row],[UnitPrice]]</f>
        <v>1797</v>
      </c>
      <c r="M1241" s="25">
        <v>15</v>
      </c>
      <c r="N1241">
        <f>Table1[[#This Row],[Revenue]]*Table1[[#This Row],[Discount%]]/100</f>
        <v>269.55</v>
      </c>
      <c r="O1241" s="6">
        <f>Table1[[#This Row],[Revenue]]-Table1[[#This Row],[Disc_amount]]</f>
        <v>1527.45</v>
      </c>
      <c r="P1241" t="s">
        <v>33</v>
      </c>
      <c r="Q1241" t="s">
        <v>27</v>
      </c>
    </row>
    <row r="1242" spans="1:17">
      <c r="A1242" t="s">
        <v>2005</v>
      </c>
      <c r="B1242" s="1" t="s">
        <v>2006</v>
      </c>
      <c r="C1242" s="1" t="s">
        <v>1693</v>
      </c>
      <c r="D1242" s="1" t="s">
        <v>20</v>
      </c>
      <c r="E1242" t="s">
        <v>241</v>
      </c>
      <c r="F1242" t="s">
        <v>242</v>
      </c>
      <c r="G1242" t="s">
        <v>38</v>
      </c>
      <c r="H1242" t="s">
        <v>65</v>
      </c>
      <c r="I1242" t="s">
        <v>98</v>
      </c>
      <c r="J1242">
        <v>1</v>
      </c>
      <c r="K1242">
        <v>499</v>
      </c>
      <c r="L1242">
        <f>Table1[[#This Row],[Quantity]] * Table1[[#This Row],[UnitPrice]]</f>
        <v>499</v>
      </c>
      <c r="M1242" s="25">
        <v>0</v>
      </c>
      <c r="N1242">
        <f>Table1[[#This Row],[Revenue]]*Table1[[#This Row],[Discount%]]/100</f>
        <v>0</v>
      </c>
      <c r="O1242" s="6">
        <f>Table1[[#This Row],[Revenue]]-Table1[[#This Row],[Disc_amount]]</f>
        <v>499</v>
      </c>
      <c r="P1242" t="s">
        <v>26</v>
      </c>
      <c r="Q1242" t="s">
        <v>27</v>
      </c>
    </row>
    <row r="1243" spans="1:17">
      <c r="A1243" t="s">
        <v>2007</v>
      </c>
      <c r="B1243" s="1" t="s">
        <v>2006</v>
      </c>
      <c r="C1243" s="1" t="s">
        <v>1693</v>
      </c>
      <c r="D1243" s="1" t="s">
        <v>20</v>
      </c>
      <c r="E1243" t="s">
        <v>1066</v>
      </c>
      <c r="F1243" t="s">
        <v>143</v>
      </c>
      <c r="G1243" t="s">
        <v>23</v>
      </c>
      <c r="H1243" t="s">
        <v>39</v>
      </c>
      <c r="I1243" t="s">
        <v>40</v>
      </c>
      <c r="J1243">
        <v>1</v>
      </c>
      <c r="K1243">
        <v>599</v>
      </c>
      <c r="L1243">
        <f>Table1[[#This Row],[Quantity]] * Table1[[#This Row],[UnitPrice]]</f>
        <v>599</v>
      </c>
      <c r="M1243" s="25">
        <v>30</v>
      </c>
      <c r="N1243">
        <f>Table1[[#This Row],[Revenue]]*Table1[[#This Row],[Discount%]]/100</f>
        <v>179.7</v>
      </c>
      <c r="O1243" s="6">
        <f>Table1[[#This Row],[Revenue]]-Table1[[#This Row],[Disc_amount]]</f>
        <v>419.3</v>
      </c>
      <c r="P1243" t="s">
        <v>41</v>
      </c>
      <c r="Q1243" t="s">
        <v>27</v>
      </c>
    </row>
    <row r="1244" spans="1:17">
      <c r="A1244" t="s">
        <v>2008</v>
      </c>
      <c r="B1244" s="1" t="s">
        <v>2006</v>
      </c>
      <c r="C1244" s="1" t="s">
        <v>1693</v>
      </c>
      <c r="D1244" s="1" t="s">
        <v>20</v>
      </c>
      <c r="E1244" t="s">
        <v>949</v>
      </c>
      <c r="F1244" t="s">
        <v>77</v>
      </c>
      <c r="G1244" t="s">
        <v>56</v>
      </c>
      <c r="H1244" t="s">
        <v>65</v>
      </c>
      <c r="I1244" t="s">
        <v>66</v>
      </c>
      <c r="J1244">
        <v>2</v>
      </c>
      <c r="K1244">
        <v>1999</v>
      </c>
      <c r="L1244">
        <f>Table1[[#This Row],[Quantity]] * Table1[[#This Row],[UnitPrice]]</f>
        <v>3998</v>
      </c>
      <c r="M1244" s="25">
        <v>5</v>
      </c>
      <c r="N1244">
        <f>Table1[[#This Row],[Revenue]]*Table1[[#This Row],[Discount%]]/100</f>
        <v>199.9</v>
      </c>
      <c r="O1244" s="6">
        <f>Table1[[#This Row],[Revenue]]-Table1[[#This Row],[Disc_amount]]</f>
        <v>3798.1</v>
      </c>
      <c r="P1244" t="s">
        <v>26</v>
      </c>
      <c r="Q1244" t="s">
        <v>27</v>
      </c>
    </row>
    <row r="1245" spans="1:17">
      <c r="A1245" t="s">
        <v>2009</v>
      </c>
      <c r="B1245" s="1" t="s">
        <v>2006</v>
      </c>
      <c r="C1245" s="1" t="s">
        <v>1693</v>
      </c>
      <c r="D1245" s="1" t="s">
        <v>20</v>
      </c>
      <c r="E1245" t="s">
        <v>959</v>
      </c>
      <c r="F1245" t="s">
        <v>960</v>
      </c>
      <c r="G1245" t="s">
        <v>45</v>
      </c>
      <c r="H1245" t="s">
        <v>39</v>
      </c>
      <c r="I1245" t="s">
        <v>40</v>
      </c>
      <c r="J1245">
        <v>3</v>
      </c>
      <c r="K1245">
        <v>599</v>
      </c>
      <c r="L1245">
        <f>Table1[[#This Row],[Quantity]] * Table1[[#This Row],[UnitPrice]]</f>
        <v>1797</v>
      </c>
      <c r="M1245" s="25">
        <v>5</v>
      </c>
      <c r="N1245">
        <f>Table1[[#This Row],[Revenue]]*Table1[[#This Row],[Discount%]]/100</f>
        <v>89.85</v>
      </c>
      <c r="O1245" s="6">
        <f>Table1[[#This Row],[Revenue]]-Table1[[#This Row],[Disc_amount]]</f>
        <v>1707.15</v>
      </c>
      <c r="P1245" t="s">
        <v>26</v>
      </c>
      <c r="Q1245" t="s">
        <v>27</v>
      </c>
    </row>
    <row r="1246" spans="1:17">
      <c r="A1246" t="s">
        <v>2010</v>
      </c>
      <c r="B1246" s="1" t="s">
        <v>2006</v>
      </c>
      <c r="C1246" s="1" t="s">
        <v>1693</v>
      </c>
      <c r="D1246" s="1" t="s">
        <v>20</v>
      </c>
      <c r="E1246" t="s">
        <v>596</v>
      </c>
      <c r="F1246" t="s">
        <v>597</v>
      </c>
      <c r="G1246" t="s">
        <v>38</v>
      </c>
      <c r="H1246" t="s">
        <v>46</v>
      </c>
      <c r="I1246" t="s">
        <v>154</v>
      </c>
      <c r="J1246">
        <v>4</v>
      </c>
      <c r="K1246">
        <v>299</v>
      </c>
      <c r="L1246">
        <f>Table1[[#This Row],[Quantity]] * Table1[[#This Row],[UnitPrice]]</f>
        <v>1196</v>
      </c>
      <c r="M1246" s="25">
        <v>15</v>
      </c>
      <c r="N1246">
        <f>Table1[[#This Row],[Revenue]]*Table1[[#This Row],[Discount%]]/100</f>
        <v>179.4</v>
      </c>
      <c r="O1246" s="6">
        <f>Table1[[#This Row],[Revenue]]-Table1[[#This Row],[Disc_amount]]</f>
        <v>1016.6</v>
      </c>
      <c r="P1246" t="s">
        <v>41</v>
      </c>
      <c r="Q1246" t="s">
        <v>27</v>
      </c>
    </row>
    <row r="1247" spans="1:17">
      <c r="A1247" t="s">
        <v>2011</v>
      </c>
      <c r="B1247" s="1" t="s">
        <v>2006</v>
      </c>
      <c r="C1247" s="1" t="s">
        <v>1693</v>
      </c>
      <c r="D1247" s="1" t="s">
        <v>20</v>
      </c>
      <c r="E1247" t="s">
        <v>691</v>
      </c>
      <c r="F1247" t="s">
        <v>338</v>
      </c>
      <c r="G1247" t="s">
        <v>45</v>
      </c>
      <c r="H1247" t="s">
        <v>65</v>
      </c>
      <c r="I1247" t="s">
        <v>94</v>
      </c>
      <c r="J1247">
        <v>3</v>
      </c>
      <c r="K1247">
        <v>899</v>
      </c>
      <c r="L1247">
        <f>Table1[[#This Row],[Quantity]] * Table1[[#This Row],[UnitPrice]]</f>
        <v>2697</v>
      </c>
      <c r="M1247" s="25">
        <v>0</v>
      </c>
      <c r="N1247">
        <f>Table1[[#This Row],[Revenue]]*Table1[[#This Row],[Discount%]]/100</f>
        <v>0</v>
      </c>
      <c r="O1247" s="6">
        <f>Table1[[#This Row],[Revenue]]-Table1[[#This Row],[Disc_amount]]</f>
        <v>2697</v>
      </c>
      <c r="P1247" t="s">
        <v>33</v>
      </c>
      <c r="Q1247" t="s">
        <v>27</v>
      </c>
    </row>
    <row r="1248" spans="1:17">
      <c r="A1248" t="s">
        <v>2012</v>
      </c>
      <c r="B1248" s="1" t="s">
        <v>2006</v>
      </c>
      <c r="C1248" s="1" t="s">
        <v>1693</v>
      </c>
      <c r="D1248" s="1" t="s">
        <v>20</v>
      </c>
      <c r="E1248" t="s">
        <v>659</v>
      </c>
      <c r="F1248" t="s">
        <v>253</v>
      </c>
      <c r="G1248" t="s">
        <v>31</v>
      </c>
      <c r="H1248" t="s">
        <v>57</v>
      </c>
      <c r="I1248" t="s">
        <v>62</v>
      </c>
      <c r="J1248">
        <v>1</v>
      </c>
      <c r="K1248">
        <v>799</v>
      </c>
      <c r="L1248">
        <f>Table1[[#This Row],[Quantity]] * Table1[[#This Row],[UnitPrice]]</f>
        <v>799</v>
      </c>
      <c r="M1248" s="25">
        <v>20</v>
      </c>
      <c r="N1248">
        <f>Table1[[#This Row],[Revenue]]*Table1[[#This Row],[Discount%]]/100</f>
        <v>159.80000000000001</v>
      </c>
      <c r="O1248" s="6">
        <f>Table1[[#This Row],[Revenue]]-Table1[[#This Row],[Disc_amount]]</f>
        <v>639.20000000000005</v>
      </c>
      <c r="P1248" t="s">
        <v>52</v>
      </c>
      <c r="Q1248" t="s">
        <v>27</v>
      </c>
    </row>
    <row r="1249" spans="1:17">
      <c r="A1249" t="s">
        <v>2013</v>
      </c>
      <c r="B1249" s="1" t="s">
        <v>2006</v>
      </c>
      <c r="C1249" s="1" t="s">
        <v>1693</v>
      </c>
      <c r="D1249" s="1" t="s">
        <v>20</v>
      </c>
      <c r="E1249" t="s">
        <v>407</v>
      </c>
      <c r="F1249" t="s">
        <v>329</v>
      </c>
      <c r="G1249" t="s">
        <v>45</v>
      </c>
      <c r="H1249" t="s">
        <v>39</v>
      </c>
      <c r="I1249" t="s">
        <v>140</v>
      </c>
      <c r="J1249">
        <v>1</v>
      </c>
      <c r="K1249">
        <v>1799</v>
      </c>
      <c r="L1249">
        <f>Table1[[#This Row],[Quantity]] * Table1[[#This Row],[UnitPrice]]</f>
        <v>1799</v>
      </c>
      <c r="M1249" s="25">
        <v>5</v>
      </c>
      <c r="N1249">
        <f>Table1[[#This Row],[Revenue]]*Table1[[#This Row],[Discount%]]/100</f>
        <v>89.95</v>
      </c>
      <c r="O1249" s="6">
        <f>Table1[[#This Row],[Revenue]]-Table1[[#This Row],[Disc_amount]]</f>
        <v>1709.05</v>
      </c>
      <c r="P1249" t="s">
        <v>52</v>
      </c>
      <c r="Q1249" t="s">
        <v>27</v>
      </c>
    </row>
    <row r="1250" spans="1:17">
      <c r="A1250" t="s">
        <v>2014</v>
      </c>
      <c r="B1250" s="1" t="s">
        <v>2006</v>
      </c>
      <c r="C1250" s="1" t="s">
        <v>1693</v>
      </c>
      <c r="D1250" s="1" t="s">
        <v>20</v>
      </c>
      <c r="E1250" t="s">
        <v>1385</v>
      </c>
      <c r="F1250" t="s">
        <v>153</v>
      </c>
      <c r="G1250" t="s">
        <v>23</v>
      </c>
      <c r="H1250" t="s">
        <v>70</v>
      </c>
      <c r="I1250" t="s">
        <v>91</v>
      </c>
      <c r="J1250">
        <v>1</v>
      </c>
      <c r="K1250">
        <v>549</v>
      </c>
      <c r="L1250">
        <f>Table1[[#This Row],[Quantity]] * Table1[[#This Row],[UnitPrice]]</f>
        <v>549</v>
      </c>
      <c r="M1250" s="25">
        <v>25</v>
      </c>
      <c r="N1250">
        <f>Table1[[#This Row],[Revenue]]*Table1[[#This Row],[Discount%]]/100</f>
        <v>137.25</v>
      </c>
      <c r="O1250" s="6">
        <f>Table1[[#This Row],[Revenue]]-Table1[[#This Row],[Disc_amount]]</f>
        <v>411.75</v>
      </c>
      <c r="P1250" t="s">
        <v>33</v>
      </c>
      <c r="Q1250" t="s">
        <v>27</v>
      </c>
    </row>
    <row r="1251" spans="1:17">
      <c r="A1251" t="s">
        <v>2015</v>
      </c>
      <c r="B1251" s="1" t="s">
        <v>2006</v>
      </c>
      <c r="C1251" s="1" t="s">
        <v>1693</v>
      </c>
      <c r="D1251" s="1" t="s">
        <v>20</v>
      </c>
      <c r="E1251" t="s">
        <v>68</v>
      </c>
      <c r="F1251" t="s">
        <v>69</v>
      </c>
      <c r="G1251" t="s">
        <v>56</v>
      </c>
      <c r="H1251" t="s">
        <v>39</v>
      </c>
      <c r="I1251" t="s">
        <v>40</v>
      </c>
      <c r="J1251">
        <v>4</v>
      </c>
      <c r="K1251">
        <v>599</v>
      </c>
      <c r="L1251">
        <f>Table1[[#This Row],[Quantity]] * Table1[[#This Row],[UnitPrice]]</f>
        <v>2396</v>
      </c>
      <c r="M1251" s="25">
        <v>10</v>
      </c>
      <c r="N1251">
        <f>Table1[[#This Row],[Revenue]]*Table1[[#This Row],[Discount%]]/100</f>
        <v>239.6</v>
      </c>
      <c r="O1251" s="6">
        <f>Table1[[#This Row],[Revenue]]-Table1[[#This Row],[Disc_amount]]</f>
        <v>2156.4</v>
      </c>
      <c r="P1251" t="s">
        <v>52</v>
      </c>
      <c r="Q1251" t="s">
        <v>34</v>
      </c>
    </row>
    <row r="1252" spans="1:17">
      <c r="A1252" t="s">
        <v>2016</v>
      </c>
      <c r="B1252" s="1" t="s">
        <v>2006</v>
      </c>
      <c r="C1252" s="1" t="s">
        <v>1693</v>
      </c>
      <c r="D1252" s="1" t="s">
        <v>20</v>
      </c>
      <c r="E1252" t="s">
        <v>202</v>
      </c>
      <c r="F1252" t="s">
        <v>203</v>
      </c>
      <c r="G1252" t="s">
        <v>38</v>
      </c>
      <c r="H1252" t="s">
        <v>57</v>
      </c>
      <c r="I1252" t="s">
        <v>62</v>
      </c>
      <c r="J1252">
        <v>2</v>
      </c>
      <c r="K1252">
        <v>799</v>
      </c>
      <c r="L1252">
        <f>Table1[[#This Row],[Quantity]] * Table1[[#This Row],[UnitPrice]]</f>
        <v>1598</v>
      </c>
      <c r="M1252" s="25">
        <v>5</v>
      </c>
      <c r="N1252">
        <f>Table1[[#This Row],[Revenue]]*Table1[[#This Row],[Discount%]]/100</f>
        <v>79.900000000000006</v>
      </c>
      <c r="O1252" s="6">
        <f>Table1[[#This Row],[Revenue]]-Table1[[#This Row],[Disc_amount]]</f>
        <v>1518.1</v>
      </c>
      <c r="P1252" t="s">
        <v>33</v>
      </c>
      <c r="Q1252" t="s">
        <v>27</v>
      </c>
    </row>
    <row r="1253" spans="1:17">
      <c r="A1253" t="s">
        <v>2017</v>
      </c>
      <c r="B1253" s="1" t="s">
        <v>1142</v>
      </c>
      <c r="C1253" s="1" t="s">
        <v>2018</v>
      </c>
      <c r="D1253" s="1" t="s">
        <v>20</v>
      </c>
      <c r="E1253" t="s">
        <v>766</v>
      </c>
      <c r="F1253" t="s">
        <v>767</v>
      </c>
      <c r="G1253" t="s">
        <v>31</v>
      </c>
      <c r="H1253" t="s">
        <v>57</v>
      </c>
      <c r="I1253" t="s">
        <v>58</v>
      </c>
      <c r="J1253">
        <v>1</v>
      </c>
      <c r="K1253">
        <v>1299</v>
      </c>
      <c r="L1253">
        <f>Table1[[#This Row],[Quantity]] * Table1[[#This Row],[UnitPrice]]</f>
        <v>1299</v>
      </c>
      <c r="M1253" s="25">
        <v>0</v>
      </c>
      <c r="N1253">
        <f>Table1[[#This Row],[Revenue]]*Table1[[#This Row],[Discount%]]/100</f>
        <v>0</v>
      </c>
      <c r="O1253" s="6">
        <f>Table1[[#This Row],[Revenue]]-Table1[[#This Row],[Disc_amount]]</f>
        <v>1299</v>
      </c>
      <c r="P1253" t="s">
        <v>52</v>
      </c>
      <c r="Q1253" t="s">
        <v>34</v>
      </c>
    </row>
    <row r="1254" spans="1:17">
      <c r="A1254" t="s">
        <v>2019</v>
      </c>
      <c r="B1254" s="1" t="s">
        <v>1142</v>
      </c>
      <c r="C1254" s="1" t="s">
        <v>2018</v>
      </c>
      <c r="D1254" s="1" t="s">
        <v>20</v>
      </c>
      <c r="E1254" t="s">
        <v>1392</v>
      </c>
      <c r="F1254" t="s">
        <v>97</v>
      </c>
      <c r="G1254" t="s">
        <v>23</v>
      </c>
      <c r="H1254" t="s">
        <v>24</v>
      </c>
      <c r="I1254" t="s">
        <v>32</v>
      </c>
      <c r="J1254">
        <v>1</v>
      </c>
      <c r="K1254">
        <v>199</v>
      </c>
      <c r="L1254">
        <f>Table1[[#This Row],[Quantity]] * Table1[[#This Row],[UnitPrice]]</f>
        <v>199</v>
      </c>
      <c r="M1254" s="25">
        <v>0</v>
      </c>
      <c r="N1254">
        <f>Table1[[#This Row],[Revenue]]*Table1[[#This Row],[Discount%]]/100</f>
        <v>0</v>
      </c>
      <c r="O1254" s="6">
        <f>Table1[[#This Row],[Revenue]]-Table1[[#This Row],[Disc_amount]]</f>
        <v>199</v>
      </c>
      <c r="P1254" t="s">
        <v>41</v>
      </c>
      <c r="Q1254" t="s">
        <v>34</v>
      </c>
    </row>
    <row r="1255" spans="1:17">
      <c r="A1255" t="s">
        <v>2020</v>
      </c>
      <c r="B1255" s="1" t="s">
        <v>1142</v>
      </c>
      <c r="C1255" s="1" t="s">
        <v>2018</v>
      </c>
      <c r="D1255" s="1" t="s">
        <v>20</v>
      </c>
      <c r="E1255" t="s">
        <v>275</v>
      </c>
      <c r="F1255" t="s">
        <v>276</v>
      </c>
      <c r="G1255" t="s">
        <v>56</v>
      </c>
      <c r="H1255" t="s">
        <v>65</v>
      </c>
      <c r="I1255" t="s">
        <v>94</v>
      </c>
      <c r="J1255">
        <v>2</v>
      </c>
      <c r="K1255">
        <v>899</v>
      </c>
      <c r="L1255">
        <f>Table1[[#This Row],[Quantity]] * Table1[[#This Row],[UnitPrice]]</f>
        <v>1798</v>
      </c>
      <c r="M1255" s="25">
        <v>5</v>
      </c>
      <c r="N1255">
        <f>Table1[[#This Row],[Revenue]]*Table1[[#This Row],[Discount%]]/100</f>
        <v>89.9</v>
      </c>
      <c r="O1255" s="6">
        <f>Table1[[#This Row],[Revenue]]-Table1[[#This Row],[Disc_amount]]</f>
        <v>1708.1</v>
      </c>
      <c r="P1255" t="s">
        <v>26</v>
      </c>
      <c r="Q1255" t="s">
        <v>27</v>
      </c>
    </row>
    <row r="1256" spans="1:17">
      <c r="A1256" t="s">
        <v>2021</v>
      </c>
      <c r="B1256" s="1" t="s">
        <v>1142</v>
      </c>
      <c r="C1256" s="1" t="s">
        <v>2018</v>
      </c>
      <c r="D1256" s="1" t="s">
        <v>20</v>
      </c>
      <c r="E1256" t="s">
        <v>477</v>
      </c>
      <c r="F1256" t="s">
        <v>478</v>
      </c>
      <c r="G1256" t="s">
        <v>45</v>
      </c>
      <c r="H1256" t="s">
        <v>57</v>
      </c>
      <c r="I1256" t="s">
        <v>58</v>
      </c>
      <c r="J1256">
        <v>2</v>
      </c>
      <c r="K1256">
        <v>1299</v>
      </c>
      <c r="L1256">
        <f>Table1[[#This Row],[Quantity]] * Table1[[#This Row],[UnitPrice]]</f>
        <v>2598</v>
      </c>
      <c r="M1256" s="25">
        <v>0</v>
      </c>
      <c r="N1256">
        <f>Table1[[#This Row],[Revenue]]*Table1[[#This Row],[Discount%]]/100</f>
        <v>0</v>
      </c>
      <c r="O1256" s="6">
        <f>Table1[[#This Row],[Revenue]]-Table1[[#This Row],[Disc_amount]]</f>
        <v>2598</v>
      </c>
      <c r="P1256" t="s">
        <v>86</v>
      </c>
      <c r="Q1256" t="s">
        <v>27</v>
      </c>
    </row>
    <row r="1257" spans="1:17">
      <c r="A1257" t="s">
        <v>2022</v>
      </c>
      <c r="B1257" s="1" t="s">
        <v>1142</v>
      </c>
      <c r="C1257" s="1" t="s">
        <v>2018</v>
      </c>
      <c r="D1257" s="1" t="s">
        <v>20</v>
      </c>
      <c r="E1257" t="s">
        <v>433</v>
      </c>
      <c r="F1257" t="s">
        <v>434</v>
      </c>
      <c r="G1257" t="s">
        <v>23</v>
      </c>
      <c r="H1257" t="s">
        <v>24</v>
      </c>
      <c r="I1257" t="s">
        <v>25</v>
      </c>
      <c r="J1257">
        <v>3</v>
      </c>
      <c r="K1257">
        <v>99</v>
      </c>
      <c r="L1257">
        <f>Table1[[#This Row],[Quantity]] * Table1[[#This Row],[UnitPrice]]</f>
        <v>297</v>
      </c>
      <c r="M1257" s="25">
        <v>0</v>
      </c>
      <c r="N1257">
        <f>Table1[[#This Row],[Revenue]]*Table1[[#This Row],[Discount%]]/100</f>
        <v>0</v>
      </c>
      <c r="O1257" s="6">
        <f>Table1[[#This Row],[Revenue]]-Table1[[#This Row],[Disc_amount]]</f>
        <v>297</v>
      </c>
      <c r="P1257" t="s">
        <v>26</v>
      </c>
      <c r="Q1257" t="s">
        <v>27</v>
      </c>
    </row>
    <row r="1258" spans="1:17">
      <c r="A1258" t="s">
        <v>2023</v>
      </c>
      <c r="B1258" s="1" t="s">
        <v>1142</v>
      </c>
      <c r="C1258" s="1" t="s">
        <v>2018</v>
      </c>
      <c r="D1258" s="1" t="s">
        <v>20</v>
      </c>
      <c r="E1258" t="s">
        <v>2024</v>
      </c>
      <c r="F1258" t="s">
        <v>2025</v>
      </c>
      <c r="G1258" t="s">
        <v>38</v>
      </c>
      <c r="H1258" t="s">
        <v>70</v>
      </c>
      <c r="I1258" t="s">
        <v>71</v>
      </c>
      <c r="J1258">
        <v>1</v>
      </c>
      <c r="K1258">
        <v>349</v>
      </c>
      <c r="L1258">
        <f>Table1[[#This Row],[Quantity]] * Table1[[#This Row],[UnitPrice]]</f>
        <v>349</v>
      </c>
      <c r="M1258" s="25">
        <v>10</v>
      </c>
      <c r="N1258">
        <f>Table1[[#This Row],[Revenue]]*Table1[[#This Row],[Discount%]]/100</f>
        <v>34.9</v>
      </c>
      <c r="O1258" s="6">
        <f>Table1[[#This Row],[Revenue]]-Table1[[#This Row],[Disc_amount]]</f>
        <v>314.10000000000002</v>
      </c>
      <c r="P1258" t="s">
        <v>26</v>
      </c>
      <c r="Q1258" t="s">
        <v>34</v>
      </c>
    </row>
    <row r="1259" spans="1:17">
      <c r="A1259" t="s">
        <v>2026</v>
      </c>
      <c r="B1259" s="1" t="s">
        <v>1142</v>
      </c>
      <c r="C1259" s="1" t="s">
        <v>2018</v>
      </c>
      <c r="D1259" s="1" t="s">
        <v>20</v>
      </c>
      <c r="E1259" t="s">
        <v>89</v>
      </c>
      <c r="F1259" t="s">
        <v>90</v>
      </c>
      <c r="G1259" t="s">
        <v>56</v>
      </c>
      <c r="H1259" t="s">
        <v>65</v>
      </c>
      <c r="I1259" t="s">
        <v>94</v>
      </c>
      <c r="J1259">
        <v>1</v>
      </c>
      <c r="K1259">
        <v>899</v>
      </c>
      <c r="L1259">
        <f>Table1[[#This Row],[Quantity]] * Table1[[#This Row],[UnitPrice]]</f>
        <v>899</v>
      </c>
      <c r="M1259" s="25">
        <v>15</v>
      </c>
      <c r="N1259">
        <f>Table1[[#This Row],[Revenue]]*Table1[[#This Row],[Discount%]]/100</f>
        <v>134.85</v>
      </c>
      <c r="O1259" s="6">
        <f>Table1[[#This Row],[Revenue]]-Table1[[#This Row],[Disc_amount]]</f>
        <v>764.15</v>
      </c>
      <c r="P1259" t="s">
        <v>41</v>
      </c>
      <c r="Q1259" t="s">
        <v>27</v>
      </c>
    </row>
    <row r="1260" spans="1:17">
      <c r="A1260" t="s">
        <v>2027</v>
      </c>
      <c r="B1260" s="1" t="s">
        <v>1142</v>
      </c>
      <c r="C1260" s="1" t="s">
        <v>2018</v>
      </c>
      <c r="D1260" s="1" t="s">
        <v>20</v>
      </c>
      <c r="E1260" t="s">
        <v>464</v>
      </c>
      <c r="F1260" t="s">
        <v>465</v>
      </c>
      <c r="G1260" t="s">
        <v>38</v>
      </c>
      <c r="H1260" t="s">
        <v>65</v>
      </c>
      <c r="I1260" t="s">
        <v>66</v>
      </c>
      <c r="J1260">
        <v>1</v>
      </c>
      <c r="K1260">
        <v>1999</v>
      </c>
      <c r="L1260">
        <f>Table1[[#This Row],[Quantity]] * Table1[[#This Row],[UnitPrice]]</f>
        <v>1999</v>
      </c>
      <c r="M1260" s="25">
        <v>0</v>
      </c>
      <c r="N1260">
        <f>Table1[[#This Row],[Revenue]]*Table1[[#This Row],[Discount%]]/100</f>
        <v>0</v>
      </c>
      <c r="O1260" s="6">
        <f>Table1[[#This Row],[Revenue]]-Table1[[#This Row],[Disc_amount]]</f>
        <v>1999</v>
      </c>
      <c r="P1260" t="s">
        <v>26</v>
      </c>
      <c r="Q1260" t="s">
        <v>34</v>
      </c>
    </row>
    <row r="1261" spans="1:17">
      <c r="A1261" t="s">
        <v>2028</v>
      </c>
      <c r="B1261" s="1" t="s">
        <v>1142</v>
      </c>
      <c r="C1261" s="1" t="s">
        <v>2018</v>
      </c>
      <c r="D1261" s="1" t="s">
        <v>20</v>
      </c>
      <c r="E1261" t="s">
        <v>1318</v>
      </c>
      <c r="F1261" t="s">
        <v>470</v>
      </c>
      <c r="G1261" t="s">
        <v>45</v>
      </c>
      <c r="H1261" t="s">
        <v>70</v>
      </c>
      <c r="I1261" t="s">
        <v>91</v>
      </c>
      <c r="J1261">
        <v>1</v>
      </c>
      <c r="K1261">
        <v>549</v>
      </c>
      <c r="L1261">
        <f>Table1[[#This Row],[Quantity]] * Table1[[#This Row],[UnitPrice]]</f>
        <v>549</v>
      </c>
      <c r="M1261" s="25">
        <v>10</v>
      </c>
      <c r="N1261">
        <f>Table1[[#This Row],[Revenue]]*Table1[[#This Row],[Discount%]]/100</f>
        <v>54.9</v>
      </c>
      <c r="O1261" s="6">
        <f>Table1[[#This Row],[Revenue]]-Table1[[#This Row],[Disc_amount]]</f>
        <v>494.1</v>
      </c>
      <c r="P1261" t="s">
        <v>26</v>
      </c>
      <c r="Q1261" t="s">
        <v>34</v>
      </c>
    </row>
    <row r="1262" spans="1:17">
      <c r="A1262" t="s">
        <v>2029</v>
      </c>
      <c r="B1262" s="1" t="s">
        <v>1150</v>
      </c>
      <c r="C1262" s="1" t="s">
        <v>2018</v>
      </c>
      <c r="D1262" s="1" t="s">
        <v>20</v>
      </c>
      <c r="E1262" t="s">
        <v>1499</v>
      </c>
      <c r="F1262" t="s">
        <v>730</v>
      </c>
      <c r="G1262" t="s">
        <v>31</v>
      </c>
      <c r="H1262" t="s">
        <v>39</v>
      </c>
      <c r="I1262" t="s">
        <v>40</v>
      </c>
      <c r="J1262">
        <v>1</v>
      </c>
      <c r="K1262">
        <v>599</v>
      </c>
      <c r="L1262">
        <f>Table1[[#This Row],[Quantity]] * Table1[[#This Row],[UnitPrice]]</f>
        <v>599</v>
      </c>
      <c r="M1262" s="25">
        <v>20</v>
      </c>
      <c r="N1262">
        <f>Table1[[#This Row],[Revenue]]*Table1[[#This Row],[Discount%]]/100</f>
        <v>119.8</v>
      </c>
      <c r="O1262" s="6">
        <f>Table1[[#This Row],[Revenue]]-Table1[[#This Row],[Disc_amount]]</f>
        <v>479.2</v>
      </c>
      <c r="P1262" t="s">
        <v>33</v>
      </c>
      <c r="Q1262" t="s">
        <v>27</v>
      </c>
    </row>
    <row r="1263" spans="1:17">
      <c r="A1263" t="s">
        <v>2030</v>
      </c>
      <c r="B1263" s="1" t="s">
        <v>1150</v>
      </c>
      <c r="C1263" s="1" t="s">
        <v>2018</v>
      </c>
      <c r="D1263" s="1" t="s">
        <v>20</v>
      </c>
      <c r="E1263" t="s">
        <v>1264</v>
      </c>
      <c r="F1263" t="s">
        <v>462</v>
      </c>
      <c r="G1263" t="s">
        <v>23</v>
      </c>
      <c r="H1263" t="s">
        <v>65</v>
      </c>
      <c r="I1263" t="s">
        <v>94</v>
      </c>
      <c r="J1263">
        <v>1</v>
      </c>
      <c r="K1263">
        <v>899</v>
      </c>
      <c r="L1263">
        <f>Table1[[#This Row],[Quantity]] * Table1[[#This Row],[UnitPrice]]</f>
        <v>899</v>
      </c>
      <c r="M1263" s="25">
        <v>0</v>
      </c>
      <c r="N1263">
        <f>Table1[[#This Row],[Revenue]]*Table1[[#This Row],[Discount%]]/100</f>
        <v>0</v>
      </c>
      <c r="O1263" s="6">
        <f>Table1[[#This Row],[Revenue]]-Table1[[#This Row],[Disc_amount]]</f>
        <v>899</v>
      </c>
      <c r="P1263" t="s">
        <v>52</v>
      </c>
      <c r="Q1263" t="s">
        <v>34</v>
      </c>
    </row>
    <row r="1264" spans="1:17">
      <c r="A1264" t="s">
        <v>2031</v>
      </c>
      <c r="B1264" s="1" t="s">
        <v>1150</v>
      </c>
      <c r="C1264" s="1" t="s">
        <v>2018</v>
      </c>
      <c r="D1264" s="1" t="s">
        <v>20</v>
      </c>
      <c r="E1264" t="s">
        <v>616</v>
      </c>
      <c r="F1264" t="s">
        <v>617</v>
      </c>
      <c r="G1264" t="s">
        <v>31</v>
      </c>
      <c r="H1264" t="s">
        <v>39</v>
      </c>
      <c r="I1264" t="s">
        <v>40</v>
      </c>
      <c r="J1264">
        <v>3</v>
      </c>
      <c r="K1264">
        <v>599</v>
      </c>
      <c r="L1264">
        <f>Table1[[#This Row],[Quantity]] * Table1[[#This Row],[UnitPrice]]</f>
        <v>1797</v>
      </c>
      <c r="M1264" s="25">
        <v>15</v>
      </c>
      <c r="N1264">
        <f>Table1[[#This Row],[Revenue]]*Table1[[#This Row],[Discount%]]/100</f>
        <v>269.55</v>
      </c>
      <c r="O1264" s="6">
        <f>Table1[[#This Row],[Revenue]]-Table1[[#This Row],[Disc_amount]]</f>
        <v>1527.45</v>
      </c>
      <c r="P1264" t="s">
        <v>26</v>
      </c>
      <c r="Q1264" t="s">
        <v>34</v>
      </c>
    </row>
    <row r="1265" spans="1:17">
      <c r="A1265" t="s">
        <v>2032</v>
      </c>
      <c r="B1265" s="1" t="s">
        <v>1150</v>
      </c>
      <c r="C1265" s="1" t="s">
        <v>2018</v>
      </c>
      <c r="D1265" s="1" t="s">
        <v>20</v>
      </c>
      <c r="E1265" t="s">
        <v>286</v>
      </c>
      <c r="F1265" t="s">
        <v>287</v>
      </c>
      <c r="G1265" t="s">
        <v>23</v>
      </c>
      <c r="H1265" t="s">
        <v>65</v>
      </c>
      <c r="I1265" t="s">
        <v>98</v>
      </c>
      <c r="J1265">
        <v>1</v>
      </c>
      <c r="K1265">
        <v>499</v>
      </c>
      <c r="L1265">
        <f>Table1[[#This Row],[Quantity]] * Table1[[#This Row],[UnitPrice]]</f>
        <v>499</v>
      </c>
      <c r="M1265" s="25">
        <v>20</v>
      </c>
      <c r="N1265">
        <f>Table1[[#This Row],[Revenue]]*Table1[[#This Row],[Discount%]]/100</f>
        <v>99.8</v>
      </c>
      <c r="O1265" s="6">
        <f>Table1[[#This Row],[Revenue]]-Table1[[#This Row],[Disc_amount]]</f>
        <v>399.2</v>
      </c>
      <c r="P1265" t="s">
        <v>26</v>
      </c>
      <c r="Q1265" t="s">
        <v>27</v>
      </c>
    </row>
    <row r="1266" spans="1:17">
      <c r="A1266" t="s">
        <v>2033</v>
      </c>
      <c r="B1266" s="1" t="s">
        <v>1150</v>
      </c>
      <c r="C1266" s="1" t="s">
        <v>2018</v>
      </c>
      <c r="D1266" s="1" t="s">
        <v>20</v>
      </c>
      <c r="E1266" t="s">
        <v>652</v>
      </c>
      <c r="F1266" t="s">
        <v>443</v>
      </c>
      <c r="G1266" t="s">
        <v>56</v>
      </c>
      <c r="H1266" t="s">
        <v>65</v>
      </c>
      <c r="I1266" t="s">
        <v>66</v>
      </c>
      <c r="J1266">
        <v>1</v>
      </c>
      <c r="K1266">
        <v>1999</v>
      </c>
      <c r="L1266">
        <f>Table1[[#This Row],[Quantity]] * Table1[[#This Row],[UnitPrice]]</f>
        <v>1999</v>
      </c>
      <c r="M1266" s="25">
        <v>20</v>
      </c>
      <c r="N1266">
        <f>Table1[[#This Row],[Revenue]]*Table1[[#This Row],[Discount%]]/100</f>
        <v>399.8</v>
      </c>
      <c r="O1266" s="6">
        <f>Table1[[#This Row],[Revenue]]-Table1[[#This Row],[Disc_amount]]</f>
        <v>1599.2</v>
      </c>
      <c r="P1266" t="s">
        <v>33</v>
      </c>
      <c r="Q1266" t="s">
        <v>34</v>
      </c>
    </row>
    <row r="1267" spans="1:17">
      <c r="A1267" t="s">
        <v>2034</v>
      </c>
      <c r="B1267" s="1" t="s">
        <v>1150</v>
      </c>
      <c r="C1267" s="1" t="s">
        <v>2018</v>
      </c>
      <c r="D1267" s="1" t="s">
        <v>20</v>
      </c>
      <c r="E1267" t="s">
        <v>21</v>
      </c>
      <c r="F1267" t="s">
        <v>22</v>
      </c>
      <c r="G1267" t="s">
        <v>45</v>
      </c>
      <c r="H1267" t="s">
        <v>39</v>
      </c>
      <c r="I1267" t="s">
        <v>140</v>
      </c>
      <c r="J1267">
        <v>1</v>
      </c>
      <c r="K1267">
        <v>1799</v>
      </c>
      <c r="L1267">
        <f>Table1[[#This Row],[Quantity]] * Table1[[#This Row],[UnitPrice]]</f>
        <v>1799</v>
      </c>
      <c r="M1267" s="25">
        <v>20</v>
      </c>
      <c r="N1267">
        <f>Table1[[#This Row],[Revenue]]*Table1[[#This Row],[Discount%]]/100</f>
        <v>359.8</v>
      </c>
      <c r="O1267" s="6">
        <f>Table1[[#This Row],[Revenue]]-Table1[[#This Row],[Disc_amount]]</f>
        <v>1439.2</v>
      </c>
      <c r="P1267" t="s">
        <v>52</v>
      </c>
      <c r="Q1267" t="s">
        <v>27</v>
      </c>
    </row>
    <row r="1268" spans="1:17">
      <c r="A1268" t="s">
        <v>2035</v>
      </c>
      <c r="B1268" s="1" t="s">
        <v>1160</v>
      </c>
      <c r="C1268" s="1" t="s">
        <v>2018</v>
      </c>
      <c r="D1268" s="1" t="s">
        <v>20</v>
      </c>
      <c r="E1268" t="s">
        <v>1640</v>
      </c>
      <c r="F1268" t="s">
        <v>37</v>
      </c>
      <c r="G1268" t="s">
        <v>38</v>
      </c>
      <c r="H1268" t="s">
        <v>70</v>
      </c>
      <c r="I1268" t="s">
        <v>91</v>
      </c>
      <c r="J1268">
        <v>5</v>
      </c>
      <c r="K1268">
        <v>549</v>
      </c>
      <c r="L1268">
        <f>Table1[[#This Row],[Quantity]] * Table1[[#This Row],[UnitPrice]]</f>
        <v>2745</v>
      </c>
      <c r="M1268" s="25">
        <v>10</v>
      </c>
      <c r="N1268">
        <f>Table1[[#This Row],[Revenue]]*Table1[[#This Row],[Discount%]]/100</f>
        <v>274.5</v>
      </c>
      <c r="O1268" s="6">
        <f>Table1[[#This Row],[Revenue]]-Table1[[#This Row],[Disc_amount]]</f>
        <v>2470.5</v>
      </c>
      <c r="P1268" t="s">
        <v>52</v>
      </c>
      <c r="Q1268" t="s">
        <v>27</v>
      </c>
    </row>
    <row r="1269" spans="1:17">
      <c r="A1269" t="s">
        <v>2036</v>
      </c>
      <c r="B1269" s="1" t="s">
        <v>1160</v>
      </c>
      <c r="C1269" s="1" t="s">
        <v>2018</v>
      </c>
      <c r="D1269" s="1" t="s">
        <v>20</v>
      </c>
      <c r="E1269" t="s">
        <v>1194</v>
      </c>
      <c r="F1269" t="s">
        <v>376</v>
      </c>
      <c r="G1269" t="s">
        <v>31</v>
      </c>
      <c r="H1269" t="s">
        <v>108</v>
      </c>
      <c r="I1269" t="s">
        <v>130</v>
      </c>
      <c r="J1269">
        <v>4</v>
      </c>
      <c r="K1269">
        <v>699</v>
      </c>
      <c r="L1269">
        <f>Table1[[#This Row],[Quantity]] * Table1[[#This Row],[UnitPrice]]</f>
        <v>2796</v>
      </c>
      <c r="M1269" s="25">
        <v>0</v>
      </c>
      <c r="N1269">
        <f>Table1[[#This Row],[Revenue]]*Table1[[#This Row],[Discount%]]/100</f>
        <v>0</v>
      </c>
      <c r="O1269" s="6">
        <f>Table1[[#This Row],[Revenue]]-Table1[[#This Row],[Disc_amount]]</f>
        <v>2796</v>
      </c>
      <c r="P1269" t="s">
        <v>41</v>
      </c>
      <c r="Q1269" t="s">
        <v>27</v>
      </c>
    </row>
    <row r="1270" spans="1:17">
      <c r="A1270" t="s">
        <v>2037</v>
      </c>
      <c r="B1270" s="1" t="s">
        <v>1160</v>
      </c>
      <c r="C1270" s="1" t="s">
        <v>2018</v>
      </c>
      <c r="D1270" s="1" t="s">
        <v>20</v>
      </c>
      <c r="E1270" t="s">
        <v>414</v>
      </c>
      <c r="F1270" t="s">
        <v>415</v>
      </c>
      <c r="G1270" t="s">
        <v>45</v>
      </c>
      <c r="H1270" t="s">
        <v>70</v>
      </c>
      <c r="I1270" t="s">
        <v>71</v>
      </c>
      <c r="J1270">
        <v>1</v>
      </c>
      <c r="K1270">
        <v>349</v>
      </c>
      <c r="L1270">
        <f>Table1[[#This Row],[Quantity]] * Table1[[#This Row],[UnitPrice]]</f>
        <v>349</v>
      </c>
      <c r="M1270" s="25">
        <v>15</v>
      </c>
      <c r="N1270">
        <f>Table1[[#This Row],[Revenue]]*Table1[[#This Row],[Discount%]]/100</f>
        <v>52.35</v>
      </c>
      <c r="O1270" s="6">
        <f>Table1[[#This Row],[Revenue]]-Table1[[#This Row],[Disc_amount]]</f>
        <v>296.64999999999998</v>
      </c>
      <c r="P1270" t="s">
        <v>33</v>
      </c>
      <c r="Q1270" t="s">
        <v>34</v>
      </c>
    </row>
    <row r="1271" spans="1:17">
      <c r="A1271" t="s">
        <v>2038</v>
      </c>
      <c r="B1271" s="1" t="s">
        <v>1160</v>
      </c>
      <c r="C1271" s="1" t="s">
        <v>2018</v>
      </c>
      <c r="D1271" s="1" t="s">
        <v>20</v>
      </c>
      <c r="E1271" t="s">
        <v>2039</v>
      </c>
      <c r="F1271" t="s">
        <v>358</v>
      </c>
      <c r="G1271" t="s">
        <v>31</v>
      </c>
      <c r="H1271" t="s">
        <v>70</v>
      </c>
      <c r="I1271" t="s">
        <v>71</v>
      </c>
      <c r="J1271">
        <v>2</v>
      </c>
      <c r="K1271">
        <v>349</v>
      </c>
      <c r="L1271">
        <f>Table1[[#This Row],[Quantity]] * Table1[[#This Row],[UnitPrice]]</f>
        <v>698</v>
      </c>
      <c r="M1271" s="25">
        <v>0</v>
      </c>
      <c r="N1271">
        <f>Table1[[#This Row],[Revenue]]*Table1[[#This Row],[Discount%]]/100</f>
        <v>0</v>
      </c>
      <c r="O1271" s="6">
        <f>Table1[[#This Row],[Revenue]]-Table1[[#This Row],[Disc_amount]]</f>
        <v>698</v>
      </c>
      <c r="P1271" t="s">
        <v>33</v>
      </c>
      <c r="Q1271" t="s">
        <v>34</v>
      </c>
    </row>
    <row r="1272" spans="1:17">
      <c r="A1272" t="s">
        <v>2040</v>
      </c>
      <c r="B1272" s="1" t="s">
        <v>1160</v>
      </c>
      <c r="C1272" s="1" t="s">
        <v>2018</v>
      </c>
      <c r="D1272" s="1" t="s">
        <v>20</v>
      </c>
      <c r="E1272" t="s">
        <v>991</v>
      </c>
      <c r="F1272" t="s">
        <v>304</v>
      </c>
      <c r="G1272" t="s">
        <v>56</v>
      </c>
      <c r="H1272" t="s">
        <v>46</v>
      </c>
      <c r="I1272" t="s">
        <v>154</v>
      </c>
      <c r="J1272">
        <v>1</v>
      </c>
      <c r="K1272">
        <v>299</v>
      </c>
      <c r="L1272">
        <f>Table1[[#This Row],[Quantity]] * Table1[[#This Row],[UnitPrice]]</f>
        <v>299</v>
      </c>
      <c r="M1272" s="25">
        <v>0</v>
      </c>
      <c r="N1272">
        <f>Table1[[#This Row],[Revenue]]*Table1[[#This Row],[Discount%]]/100</f>
        <v>0</v>
      </c>
      <c r="O1272" s="6">
        <f>Table1[[#This Row],[Revenue]]-Table1[[#This Row],[Disc_amount]]</f>
        <v>299</v>
      </c>
      <c r="P1272" t="s">
        <v>52</v>
      </c>
      <c r="Q1272" t="s">
        <v>34</v>
      </c>
    </row>
    <row r="1273" spans="1:17">
      <c r="A1273" t="s">
        <v>2041</v>
      </c>
      <c r="B1273" s="1" t="s">
        <v>1160</v>
      </c>
      <c r="C1273" s="1" t="s">
        <v>2018</v>
      </c>
      <c r="D1273" s="1" t="s">
        <v>20</v>
      </c>
      <c r="E1273" t="s">
        <v>2042</v>
      </c>
      <c r="F1273" t="s">
        <v>160</v>
      </c>
      <c r="G1273" t="s">
        <v>45</v>
      </c>
      <c r="H1273" t="s">
        <v>70</v>
      </c>
      <c r="I1273" t="s">
        <v>71</v>
      </c>
      <c r="J1273">
        <v>1</v>
      </c>
      <c r="K1273">
        <v>349</v>
      </c>
      <c r="L1273">
        <f>Table1[[#This Row],[Quantity]] * Table1[[#This Row],[UnitPrice]]</f>
        <v>349</v>
      </c>
      <c r="M1273" s="25">
        <v>10</v>
      </c>
      <c r="N1273">
        <f>Table1[[#This Row],[Revenue]]*Table1[[#This Row],[Discount%]]/100</f>
        <v>34.9</v>
      </c>
      <c r="O1273" s="6">
        <f>Table1[[#This Row],[Revenue]]-Table1[[#This Row],[Disc_amount]]</f>
        <v>314.10000000000002</v>
      </c>
      <c r="P1273" t="s">
        <v>33</v>
      </c>
      <c r="Q1273" t="s">
        <v>34</v>
      </c>
    </row>
    <row r="1274" spans="1:17">
      <c r="A1274" t="s">
        <v>2043</v>
      </c>
      <c r="B1274" s="1" t="s">
        <v>1160</v>
      </c>
      <c r="C1274" s="1" t="s">
        <v>2018</v>
      </c>
      <c r="D1274" s="1" t="s">
        <v>20</v>
      </c>
      <c r="E1274" t="s">
        <v>1176</v>
      </c>
      <c r="F1274" t="s">
        <v>173</v>
      </c>
      <c r="G1274" t="s">
        <v>38</v>
      </c>
      <c r="H1274" t="s">
        <v>24</v>
      </c>
      <c r="I1274" t="s">
        <v>25</v>
      </c>
      <c r="J1274">
        <v>2</v>
      </c>
      <c r="K1274">
        <v>99</v>
      </c>
      <c r="L1274">
        <f>Table1[[#This Row],[Quantity]] * Table1[[#This Row],[UnitPrice]]</f>
        <v>198</v>
      </c>
      <c r="M1274" s="25">
        <v>10</v>
      </c>
      <c r="N1274">
        <f>Table1[[#This Row],[Revenue]]*Table1[[#This Row],[Discount%]]/100</f>
        <v>19.8</v>
      </c>
      <c r="O1274" s="6">
        <f>Table1[[#This Row],[Revenue]]-Table1[[#This Row],[Disc_amount]]</f>
        <v>178.2</v>
      </c>
      <c r="P1274" t="s">
        <v>52</v>
      </c>
      <c r="Q1274" t="s">
        <v>34</v>
      </c>
    </row>
    <row r="1275" spans="1:17">
      <c r="A1275" t="s">
        <v>2044</v>
      </c>
      <c r="B1275" s="1" t="s">
        <v>1160</v>
      </c>
      <c r="C1275" s="1" t="s">
        <v>2018</v>
      </c>
      <c r="D1275" s="1" t="s">
        <v>20</v>
      </c>
      <c r="E1275" t="s">
        <v>244</v>
      </c>
      <c r="F1275" t="s">
        <v>245</v>
      </c>
      <c r="G1275" t="s">
        <v>56</v>
      </c>
      <c r="H1275" t="s">
        <v>46</v>
      </c>
      <c r="I1275" t="s">
        <v>47</v>
      </c>
      <c r="J1275">
        <v>1</v>
      </c>
      <c r="K1275">
        <v>249</v>
      </c>
      <c r="L1275">
        <f>Table1[[#This Row],[Quantity]] * Table1[[#This Row],[UnitPrice]]</f>
        <v>249</v>
      </c>
      <c r="M1275" s="25">
        <v>15</v>
      </c>
      <c r="N1275">
        <f>Table1[[#This Row],[Revenue]]*Table1[[#This Row],[Discount%]]/100</f>
        <v>37.35</v>
      </c>
      <c r="O1275" s="6">
        <f>Table1[[#This Row],[Revenue]]-Table1[[#This Row],[Disc_amount]]</f>
        <v>211.65</v>
      </c>
      <c r="P1275" t="s">
        <v>52</v>
      </c>
      <c r="Q1275" t="s">
        <v>27</v>
      </c>
    </row>
    <row r="1276" spans="1:17">
      <c r="A1276" t="s">
        <v>2045</v>
      </c>
      <c r="B1276" s="1" t="s">
        <v>1160</v>
      </c>
      <c r="C1276" s="1" t="s">
        <v>2018</v>
      </c>
      <c r="D1276" s="1" t="s">
        <v>20</v>
      </c>
      <c r="E1276" t="s">
        <v>872</v>
      </c>
      <c r="F1276" t="s">
        <v>873</v>
      </c>
      <c r="G1276" t="s">
        <v>23</v>
      </c>
      <c r="H1276" t="s">
        <v>39</v>
      </c>
      <c r="I1276" t="s">
        <v>51</v>
      </c>
      <c r="J1276">
        <v>1</v>
      </c>
      <c r="K1276">
        <v>2999</v>
      </c>
      <c r="L1276">
        <f>Table1[[#This Row],[Quantity]] * Table1[[#This Row],[UnitPrice]]</f>
        <v>2999</v>
      </c>
      <c r="M1276" s="25">
        <v>0</v>
      </c>
      <c r="N1276">
        <f>Table1[[#This Row],[Revenue]]*Table1[[#This Row],[Discount%]]/100</f>
        <v>0</v>
      </c>
      <c r="O1276" s="6">
        <f>Table1[[#This Row],[Revenue]]-Table1[[#This Row],[Disc_amount]]</f>
        <v>2999</v>
      </c>
      <c r="P1276" t="s">
        <v>26</v>
      </c>
      <c r="Q1276" t="s">
        <v>27</v>
      </c>
    </row>
    <row r="1277" spans="1:17">
      <c r="A1277" t="s">
        <v>2046</v>
      </c>
      <c r="B1277" s="1" t="s">
        <v>1160</v>
      </c>
      <c r="C1277" s="1" t="s">
        <v>2018</v>
      </c>
      <c r="D1277" s="1" t="s">
        <v>20</v>
      </c>
      <c r="E1277" t="s">
        <v>503</v>
      </c>
      <c r="F1277" t="s">
        <v>504</v>
      </c>
      <c r="G1277" t="s">
        <v>38</v>
      </c>
      <c r="H1277" t="s">
        <v>65</v>
      </c>
      <c r="I1277" t="s">
        <v>66</v>
      </c>
      <c r="J1277">
        <v>4</v>
      </c>
      <c r="K1277">
        <v>1999</v>
      </c>
      <c r="L1277">
        <f>Table1[[#This Row],[Quantity]] * Table1[[#This Row],[UnitPrice]]</f>
        <v>7996</v>
      </c>
      <c r="M1277" s="25">
        <v>5</v>
      </c>
      <c r="N1277">
        <f>Table1[[#This Row],[Revenue]]*Table1[[#This Row],[Discount%]]/100</f>
        <v>399.8</v>
      </c>
      <c r="O1277" s="6">
        <f>Table1[[#This Row],[Revenue]]-Table1[[#This Row],[Disc_amount]]</f>
        <v>7596.2</v>
      </c>
      <c r="P1277" t="s">
        <v>33</v>
      </c>
      <c r="Q1277" t="s">
        <v>34</v>
      </c>
    </row>
    <row r="1278" spans="1:17">
      <c r="A1278" t="s">
        <v>2047</v>
      </c>
      <c r="B1278" s="1" t="s">
        <v>1160</v>
      </c>
      <c r="C1278" s="1" t="s">
        <v>2018</v>
      </c>
      <c r="D1278" s="1" t="s">
        <v>20</v>
      </c>
      <c r="E1278" t="s">
        <v>217</v>
      </c>
      <c r="F1278" t="s">
        <v>218</v>
      </c>
      <c r="G1278" t="s">
        <v>23</v>
      </c>
      <c r="H1278" t="s">
        <v>65</v>
      </c>
      <c r="I1278" t="s">
        <v>66</v>
      </c>
      <c r="J1278">
        <v>3</v>
      </c>
      <c r="K1278">
        <v>1999</v>
      </c>
      <c r="L1278">
        <f>Table1[[#This Row],[Quantity]] * Table1[[#This Row],[UnitPrice]]</f>
        <v>5997</v>
      </c>
      <c r="M1278" s="25">
        <v>0</v>
      </c>
      <c r="N1278">
        <f>Table1[[#This Row],[Revenue]]*Table1[[#This Row],[Discount%]]/100</f>
        <v>0</v>
      </c>
      <c r="O1278" s="6">
        <f>Table1[[#This Row],[Revenue]]-Table1[[#This Row],[Disc_amount]]</f>
        <v>5997</v>
      </c>
      <c r="P1278" t="s">
        <v>26</v>
      </c>
      <c r="Q1278" t="s">
        <v>34</v>
      </c>
    </row>
    <row r="1279" spans="1:17">
      <c r="A1279" t="s">
        <v>2048</v>
      </c>
      <c r="B1279" s="1" t="s">
        <v>1175</v>
      </c>
      <c r="C1279" s="1" t="s">
        <v>2018</v>
      </c>
      <c r="D1279" s="1" t="s">
        <v>20</v>
      </c>
      <c r="E1279" t="s">
        <v>409</v>
      </c>
      <c r="F1279" t="s">
        <v>410</v>
      </c>
      <c r="G1279" t="s">
        <v>23</v>
      </c>
      <c r="H1279" t="s">
        <v>65</v>
      </c>
      <c r="I1279" t="s">
        <v>94</v>
      </c>
      <c r="J1279">
        <v>1</v>
      </c>
      <c r="K1279">
        <v>899</v>
      </c>
      <c r="L1279">
        <f>Table1[[#This Row],[Quantity]] * Table1[[#This Row],[UnitPrice]]</f>
        <v>899</v>
      </c>
      <c r="M1279" s="25">
        <v>0</v>
      </c>
      <c r="N1279">
        <f>Table1[[#This Row],[Revenue]]*Table1[[#This Row],[Discount%]]/100</f>
        <v>0</v>
      </c>
      <c r="O1279" s="6">
        <f>Table1[[#This Row],[Revenue]]-Table1[[#This Row],[Disc_amount]]</f>
        <v>899</v>
      </c>
      <c r="P1279" t="s">
        <v>26</v>
      </c>
      <c r="Q1279" t="s">
        <v>27</v>
      </c>
    </row>
    <row r="1280" spans="1:17">
      <c r="A1280" t="s">
        <v>2049</v>
      </c>
      <c r="B1280" s="1" t="s">
        <v>1175</v>
      </c>
      <c r="C1280" s="1" t="s">
        <v>2018</v>
      </c>
      <c r="D1280" s="1" t="s">
        <v>20</v>
      </c>
      <c r="E1280" t="s">
        <v>421</v>
      </c>
      <c r="F1280" t="s">
        <v>422</v>
      </c>
      <c r="G1280" t="s">
        <v>38</v>
      </c>
      <c r="H1280" t="s">
        <v>65</v>
      </c>
      <c r="I1280" t="s">
        <v>66</v>
      </c>
      <c r="J1280">
        <v>1</v>
      </c>
      <c r="K1280">
        <v>1999</v>
      </c>
      <c r="L1280">
        <f>Table1[[#This Row],[Quantity]] * Table1[[#This Row],[UnitPrice]]</f>
        <v>1999</v>
      </c>
      <c r="M1280" s="25">
        <v>20</v>
      </c>
      <c r="N1280">
        <f>Table1[[#This Row],[Revenue]]*Table1[[#This Row],[Discount%]]/100</f>
        <v>399.8</v>
      </c>
      <c r="O1280" s="6">
        <f>Table1[[#This Row],[Revenue]]-Table1[[#This Row],[Disc_amount]]</f>
        <v>1599.2</v>
      </c>
      <c r="P1280" t="s">
        <v>86</v>
      </c>
      <c r="Q1280" t="s">
        <v>34</v>
      </c>
    </row>
    <row r="1281" spans="1:17">
      <c r="A1281" t="s">
        <v>2050</v>
      </c>
      <c r="B1281" s="1" t="s">
        <v>1175</v>
      </c>
      <c r="C1281" s="1" t="s">
        <v>2018</v>
      </c>
      <c r="D1281" s="1" t="s">
        <v>20</v>
      </c>
      <c r="E1281" t="s">
        <v>662</v>
      </c>
      <c r="F1281" t="s">
        <v>450</v>
      </c>
      <c r="G1281" t="s">
        <v>38</v>
      </c>
      <c r="H1281" t="s">
        <v>65</v>
      </c>
      <c r="I1281" t="s">
        <v>66</v>
      </c>
      <c r="J1281">
        <v>1</v>
      </c>
      <c r="K1281">
        <v>1999</v>
      </c>
      <c r="L1281">
        <f>Table1[[#This Row],[Quantity]] * Table1[[#This Row],[UnitPrice]]</f>
        <v>1999</v>
      </c>
      <c r="M1281" s="25">
        <v>20</v>
      </c>
      <c r="N1281">
        <f>Table1[[#This Row],[Revenue]]*Table1[[#This Row],[Discount%]]/100</f>
        <v>399.8</v>
      </c>
      <c r="O1281" s="6">
        <f>Table1[[#This Row],[Revenue]]-Table1[[#This Row],[Disc_amount]]</f>
        <v>1599.2</v>
      </c>
      <c r="P1281" t="s">
        <v>33</v>
      </c>
      <c r="Q1281" t="s">
        <v>27</v>
      </c>
    </row>
    <row r="1282" spans="1:17">
      <c r="A1282" t="s">
        <v>2051</v>
      </c>
      <c r="B1282" s="1" t="s">
        <v>1175</v>
      </c>
      <c r="C1282" s="1" t="s">
        <v>2018</v>
      </c>
      <c r="D1282" s="1" t="s">
        <v>20</v>
      </c>
      <c r="E1282" t="s">
        <v>981</v>
      </c>
      <c r="F1282" t="s">
        <v>694</v>
      </c>
      <c r="G1282" t="s">
        <v>45</v>
      </c>
      <c r="H1282" t="s">
        <v>70</v>
      </c>
      <c r="I1282" t="s">
        <v>91</v>
      </c>
      <c r="J1282">
        <v>3</v>
      </c>
      <c r="K1282">
        <v>549</v>
      </c>
      <c r="L1282">
        <f>Table1[[#This Row],[Quantity]] * Table1[[#This Row],[UnitPrice]]</f>
        <v>1647</v>
      </c>
      <c r="M1282" s="25">
        <v>0</v>
      </c>
      <c r="N1282">
        <f>Table1[[#This Row],[Revenue]]*Table1[[#This Row],[Discount%]]/100</f>
        <v>0</v>
      </c>
      <c r="O1282" s="6">
        <f>Table1[[#This Row],[Revenue]]-Table1[[#This Row],[Disc_amount]]</f>
        <v>1647</v>
      </c>
      <c r="P1282" t="s">
        <v>52</v>
      </c>
      <c r="Q1282" t="s">
        <v>34</v>
      </c>
    </row>
    <row r="1283" spans="1:17">
      <c r="A1283" t="s">
        <v>2052</v>
      </c>
      <c r="B1283" s="1" t="s">
        <v>1175</v>
      </c>
      <c r="C1283" s="1" t="s">
        <v>2018</v>
      </c>
      <c r="D1283" s="1" t="s">
        <v>20</v>
      </c>
      <c r="E1283" t="s">
        <v>852</v>
      </c>
      <c r="F1283" t="s">
        <v>853</v>
      </c>
      <c r="G1283" t="s">
        <v>56</v>
      </c>
      <c r="H1283" t="s">
        <v>65</v>
      </c>
      <c r="I1283" t="s">
        <v>66</v>
      </c>
      <c r="J1283">
        <v>3</v>
      </c>
      <c r="K1283">
        <v>1999</v>
      </c>
      <c r="L1283">
        <f>Table1[[#This Row],[Quantity]] * Table1[[#This Row],[UnitPrice]]</f>
        <v>5997</v>
      </c>
      <c r="M1283" s="25">
        <v>0</v>
      </c>
      <c r="N1283">
        <f>Table1[[#This Row],[Revenue]]*Table1[[#This Row],[Discount%]]/100</f>
        <v>0</v>
      </c>
      <c r="O1283" s="6">
        <f>Table1[[#This Row],[Revenue]]-Table1[[#This Row],[Disc_amount]]</f>
        <v>5997</v>
      </c>
      <c r="P1283" t="s">
        <v>33</v>
      </c>
      <c r="Q1283" t="s">
        <v>34</v>
      </c>
    </row>
    <row r="1284" spans="1:17">
      <c r="A1284" t="s">
        <v>2053</v>
      </c>
      <c r="B1284" s="1" t="s">
        <v>1175</v>
      </c>
      <c r="C1284" s="1" t="s">
        <v>2018</v>
      </c>
      <c r="D1284" s="1" t="s">
        <v>20</v>
      </c>
      <c r="E1284" t="s">
        <v>430</v>
      </c>
      <c r="F1284" t="s">
        <v>101</v>
      </c>
      <c r="G1284" t="s">
        <v>23</v>
      </c>
      <c r="H1284" t="s">
        <v>24</v>
      </c>
      <c r="I1284" t="s">
        <v>32</v>
      </c>
      <c r="J1284">
        <v>5</v>
      </c>
      <c r="K1284">
        <v>199</v>
      </c>
      <c r="L1284">
        <f>Table1[[#This Row],[Quantity]] * Table1[[#This Row],[UnitPrice]]</f>
        <v>995</v>
      </c>
      <c r="M1284" s="25">
        <v>15</v>
      </c>
      <c r="N1284">
        <f>Table1[[#This Row],[Revenue]]*Table1[[#This Row],[Discount%]]/100</f>
        <v>149.25</v>
      </c>
      <c r="O1284" s="6">
        <f>Table1[[#This Row],[Revenue]]-Table1[[#This Row],[Disc_amount]]</f>
        <v>845.75</v>
      </c>
      <c r="P1284" t="s">
        <v>41</v>
      </c>
      <c r="Q1284" t="s">
        <v>34</v>
      </c>
    </row>
    <row r="1285" spans="1:17">
      <c r="A1285" t="s">
        <v>2054</v>
      </c>
      <c r="B1285" s="1" t="s">
        <v>1175</v>
      </c>
      <c r="C1285" s="1" t="s">
        <v>2018</v>
      </c>
      <c r="D1285" s="1" t="s">
        <v>20</v>
      </c>
      <c r="E1285" t="s">
        <v>512</v>
      </c>
      <c r="F1285" t="s">
        <v>513</v>
      </c>
      <c r="G1285" t="s">
        <v>45</v>
      </c>
      <c r="H1285" t="s">
        <v>108</v>
      </c>
      <c r="I1285" t="s">
        <v>109</v>
      </c>
      <c r="J1285">
        <v>1</v>
      </c>
      <c r="K1285">
        <v>1499</v>
      </c>
      <c r="L1285">
        <f>Table1[[#This Row],[Quantity]] * Table1[[#This Row],[UnitPrice]]</f>
        <v>1499</v>
      </c>
      <c r="M1285" s="25">
        <v>0</v>
      </c>
      <c r="N1285">
        <f>Table1[[#This Row],[Revenue]]*Table1[[#This Row],[Discount%]]/100</f>
        <v>0</v>
      </c>
      <c r="O1285" s="6">
        <f>Table1[[#This Row],[Revenue]]-Table1[[#This Row],[Disc_amount]]</f>
        <v>1499</v>
      </c>
      <c r="P1285" t="s">
        <v>26</v>
      </c>
      <c r="Q1285" t="s">
        <v>34</v>
      </c>
    </row>
    <row r="1286" spans="1:17">
      <c r="A1286" t="s">
        <v>2055</v>
      </c>
      <c r="B1286" s="1" t="s">
        <v>1175</v>
      </c>
      <c r="C1286" s="1" t="s">
        <v>2018</v>
      </c>
      <c r="D1286" s="1" t="s">
        <v>20</v>
      </c>
      <c r="E1286" t="s">
        <v>875</v>
      </c>
      <c r="F1286" t="s">
        <v>876</v>
      </c>
      <c r="G1286" t="s">
        <v>56</v>
      </c>
      <c r="H1286" t="s">
        <v>70</v>
      </c>
      <c r="I1286" t="s">
        <v>91</v>
      </c>
      <c r="J1286">
        <v>4</v>
      </c>
      <c r="K1286">
        <v>549</v>
      </c>
      <c r="L1286">
        <f>Table1[[#This Row],[Quantity]] * Table1[[#This Row],[UnitPrice]]</f>
        <v>2196</v>
      </c>
      <c r="M1286" s="25">
        <v>5</v>
      </c>
      <c r="N1286">
        <f>Table1[[#This Row],[Revenue]]*Table1[[#This Row],[Discount%]]/100</f>
        <v>109.8</v>
      </c>
      <c r="O1286" s="6">
        <f>Table1[[#This Row],[Revenue]]-Table1[[#This Row],[Disc_amount]]</f>
        <v>2086.1999999999998</v>
      </c>
      <c r="P1286" t="s">
        <v>26</v>
      </c>
      <c r="Q1286" t="s">
        <v>27</v>
      </c>
    </row>
    <row r="1287" spans="1:17">
      <c r="A1287" t="s">
        <v>2056</v>
      </c>
      <c r="B1287" s="1" t="s">
        <v>1175</v>
      </c>
      <c r="C1287" s="1" t="s">
        <v>2018</v>
      </c>
      <c r="D1287" s="1" t="s">
        <v>20</v>
      </c>
      <c r="E1287" t="s">
        <v>2042</v>
      </c>
      <c r="F1287" t="s">
        <v>160</v>
      </c>
      <c r="G1287" t="s">
        <v>56</v>
      </c>
      <c r="H1287" t="s">
        <v>57</v>
      </c>
      <c r="I1287" t="s">
        <v>58</v>
      </c>
      <c r="J1287">
        <v>1</v>
      </c>
      <c r="K1287">
        <v>1299</v>
      </c>
      <c r="L1287">
        <f>Table1[[#This Row],[Quantity]] * Table1[[#This Row],[UnitPrice]]</f>
        <v>1299</v>
      </c>
      <c r="M1287" s="25">
        <v>0</v>
      </c>
      <c r="N1287">
        <f>Table1[[#This Row],[Revenue]]*Table1[[#This Row],[Discount%]]/100</f>
        <v>0</v>
      </c>
      <c r="O1287" s="6">
        <f>Table1[[#This Row],[Revenue]]-Table1[[#This Row],[Disc_amount]]</f>
        <v>1299</v>
      </c>
      <c r="P1287" t="s">
        <v>33</v>
      </c>
      <c r="Q1287" t="s">
        <v>27</v>
      </c>
    </row>
    <row r="1288" spans="1:17">
      <c r="A1288" t="s">
        <v>2057</v>
      </c>
      <c r="B1288" s="1" t="s">
        <v>1175</v>
      </c>
      <c r="C1288" s="1" t="s">
        <v>2018</v>
      </c>
      <c r="D1288" s="1" t="s">
        <v>20</v>
      </c>
      <c r="E1288" t="s">
        <v>389</v>
      </c>
      <c r="F1288" t="s">
        <v>390</v>
      </c>
      <c r="G1288" t="s">
        <v>45</v>
      </c>
      <c r="H1288" t="s">
        <v>39</v>
      </c>
      <c r="I1288" t="s">
        <v>40</v>
      </c>
      <c r="J1288">
        <v>2</v>
      </c>
      <c r="K1288">
        <v>599</v>
      </c>
      <c r="L1288">
        <f>Table1[[#This Row],[Quantity]] * Table1[[#This Row],[UnitPrice]]</f>
        <v>1198</v>
      </c>
      <c r="M1288" s="25">
        <v>0</v>
      </c>
      <c r="N1288">
        <f>Table1[[#This Row],[Revenue]]*Table1[[#This Row],[Discount%]]/100</f>
        <v>0</v>
      </c>
      <c r="O1288" s="6">
        <f>Table1[[#This Row],[Revenue]]-Table1[[#This Row],[Disc_amount]]</f>
        <v>1198</v>
      </c>
      <c r="P1288" t="s">
        <v>52</v>
      </c>
      <c r="Q1288" t="s">
        <v>34</v>
      </c>
    </row>
    <row r="1289" spans="1:17">
      <c r="A1289" t="s">
        <v>2058</v>
      </c>
      <c r="B1289" s="1" t="s">
        <v>1175</v>
      </c>
      <c r="C1289" s="1" t="s">
        <v>2018</v>
      </c>
      <c r="D1289" s="1" t="s">
        <v>20</v>
      </c>
      <c r="E1289" t="s">
        <v>733</v>
      </c>
      <c r="F1289" t="s">
        <v>734</v>
      </c>
      <c r="G1289" t="s">
        <v>23</v>
      </c>
      <c r="H1289" t="s">
        <v>108</v>
      </c>
      <c r="I1289" t="s">
        <v>130</v>
      </c>
      <c r="J1289">
        <v>1</v>
      </c>
      <c r="K1289">
        <v>699</v>
      </c>
      <c r="L1289">
        <f>Table1[[#This Row],[Quantity]] * Table1[[#This Row],[UnitPrice]]</f>
        <v>699</v>
      </c>
      <c r="M1289" s="25">
        <v>15</v>
      </c>
      <c r="N1289">
        <f>Table1[[#This Row],[Revenue]]*Table1[[#This Row],[Discount%]]/100</f>
        <v>104.85</v>
      </c>
      <c r="O1289" s="6">
        <f>Table1[[#This Row],[Revenue]]-Table1[[#This Row],[Disc_amount]]</f>
        <v>594.15</v>
      </c>
      <c r="P1289" t="s">
        <v>86</v>
      </c>
      <c r="Q1289" t="s">
        <v>27</v>
      </c>
    </row>
    <row r="1290" spans="1:17">
      <c r="A1290" t="s">
        <v>2059</v>
      </c>
      <c r="B1290" s="1" t="s">
        <v>1175</v>
      </c>
      <c r="C1290" s="1" t="s">
        <v>2018</v>
      </c>
      <c r="D1290" s="1" t="s">
        <v>20</v>
      </c>
      <c r="E1290" t="s">
        <v>968</v>
      </c>
      <c r="F1290" t="s">
        <v>907</v>
      </c>
      <c r="G1290" t="s">
        <v>31</v>
      </c>
      <c r="H1290" t="s">
        <v>70</v>
      </c>
      <c r="I1290" t="s">
        <v>91</v>
      </c>
      <c r="J1290">
        <v>1</v>
      </c>
      <c r="K1290">
        <v>549</v>
      </c>
      <c r="L1290">
        <f>Table1[[#This Row],[Quantity]] * Table1[[#This Row],[UnitPrice]]</f>
        <v>549</v>
      </c>
      <c r="M1290" s="25">
        <v>5</v>
      </c>
      <c r="N1290">
        <f>Table1[[#This Row],[Revenue]]*Table1[[#This Row],[Discount%]]/100</f>
        <v>27.45</v>
      </c>
      <c r="O1290" s="6">
        <f>Table1[[#This Row],[Revenue]]-Table1[[#This Row],[Disc_amount]]</f>
        <v>521.54999999999995</v>
      </c>
      <c r="P1290" t="s">
        <v>33</v>
      </c>
      <c r="Q1290" t="s">
        <v>27</v>
      </c>
    </row>
    <row r="1291" spans="1:17">
      <c r="A1291" t="s">
        <v>2060</v>
      </c>
      <c r="B1291" s="1" t="s">
        <v>1189</v>
      </c>
      <c r="C1291" s="1" t="s">
        <v>2018</v>
      </c>
      <c r="D1291" s="1" t="s">
        <v>20</v>
      </c>
      <c r="E1291" t="s">
        <v>2061</v>
      </c>
      <c r="F1291" t="s">
        <v>2062</v>
      </c>
      <c r="G1291" t="s">
        <v>45</v>
      </c>
      <c r="H1291" t="s">
        <v>24</v>
      </c>
      <c r="I1291" t="s">
        <v>25</v>
      </c>
      <c r="J1291">
        <v>2</v>
      </c>
      <c r="K1291">
        <v>99</v>
      </c>
      <c r="L1291">
        <f>Table1[[#This Row],[Quantity]] * Table1[[#This Row],[UnitPrice]]</f>
        <v>198</v>
      </c>
      <c r="M1291" s="25">
        <v>15</v>
      </c>
      <c r="N1291">
        <f>Table1[[#This Row],[Revenue]]*Table1[[#This Row],[Discount%]]/100</f>
        <v>29.7</v>
      </c>
      <c r="O1291" s="6">
        <f>Table1[[#This Row],[Revenue]]-Table1[[#This Row],[Disc_amount]]</f>
        <v>168.3</v>
      </c>
      <c r="P1291" t="s">
        <v>52</v>
      </c>
      <c r="Q1291" t="s">
        <v>27</v>
      </c>
    </row>
    <row r="1292" spans="1:17">
      <c r="A1292" t="s">
        <v>2063</v>
      </c>
      <c r="B1292" s="1" t="s">
        <v>1189</v>
      </c>
      <c r="C1292" s="1" t="s">
        <v>2018</v>
      </c>
      <c r="D1292" s="1" t="s">
        <v>20</v>
      </c>
      <c r="E1292" t="s">
        <v>235</v>
      </c>
      <c r="F1292" t="s">
        <v>236</v>
      </c>
      <c r="G1292" t="s">
        <v>23</v>
      </c>
      <c r="H1292" t="s">
        <v>24</v>
      </c>
      <c r="I1292" t="s">
        <v>25</v>
      </c>
      <c r="J1292">
        <v>2</v>
      </c>
      <c r="K1292">
        <v>99</v>
      </c>
      <c r="L1292">
        <f>Table1[[#This Row],[Quantity]] * Table1[[#This Row],[UnitPrice]]</f>
        <v>198</v>
      </c>
      <c r="M1292" s="25">
        <v>0</v>
      </c>
      <c r="N1292">
        <f>Table1[[#This Row],[Revenue]]*Table1[[#This Row],[Discount%]]/100</f>
        <v>0</v>
      </c>
      <c r="O1292" s="6">
        <f>Table1[[#This Row],[Revenue]]-Table1[[#This Row],[Disc_amount]]</f>
        <v>198</v>
      </c>
      <c r="P1292" t="s">
        <v>33</v>
      </c>
      <c r="Q1292" t="s">
        <v>27</v>
      </c>
    </row>
    <row r="1293" spans="1:17">
      <c r="A1293" t="s">
        <v>2064</v>
      </c>
      <c r="B1293" s="1" t="s">
        <v>1189</v>
      </c>
      <c r="C1293" s="1" t="s">
        <v>2018</v>
      </c>
      <c r="D1293" s="1" t="s">
        <v>20</v>
      </c>
      <c r="E1293" t="s">
        <v>787</v>
      </c>
      <c r="F1293" t="s">
        <v>788</v>
      </c>
      <c r="G1293" t="s">
        <v>45</v>
      </c>
      <c r="H1293" t="s">
        <v>24</v>
      </c>
      <c r="I1293" t="s">
        <v>32</v>
      </c>
      <c r="J1293">
        <v>1</v>
      </c>
      <c r="K1293">
        <v>199</v>
      </c>
      <c r="L1293">
        <f>Table1[[#This Row],[Quantity]] * Table1[[#This Row],[UnitPrice]]</f>
        <v>199</v>
      </c>
      <c r="M1293" s="25">
        <v>15</v>
      </c>
      <c r="N1293">
        <f>Table1[[#This Row],[Revenue]]*Table1[[#This Row],[Discount%]]/100</f>
        <v>29.85</v>
      </c>
      <c r="O1293" s="6">
        <f>Table1[[#This Row],[Revenue]]-Table1[[#This Row],[Disc_amount]]</f>
        <v>169.15</v>
      </c>
      <c r="P1293" t="s">
        <v>26</v>
      </c>
      <c r="Q1293" t="s">
        <v>27</v>
      </c>
    </row>
    <row r="1294" spans="1:17">
      <c r="A1294" t="s">
        <v>2065</v>
      </c>
      <c r="B1294" s="1" t="s">
        <v>1189</v>
      </c>
      <c r="C1294" s="1" t="s">
        <v>2018</v>
      </c>
      <c r="D1294" s="1" t="s">
        <v>20</v>
      </c>
      <c r="E1294" t="s">
        <v>1741</v>
      </c>
      <c r="F1294" t="s">
        <v>239</v>
      </c>
      <c r="G1294" t="s">
        <v>23</v>
      </c>
      <c r="H1294" t="s">
        <v>65</v>
      </c>
      <c r="I1294" t="s">
        <v>98</v>
      </c>
      <c r="J1294">
        <v>2</v>
      </c>
      <c r="K1294">
        <v>499</v>
      </c>
      <c r="L1294">
        <f>Table1[[#This Row],[Quantity]] * Table1[[#This Row],[UnitPrice]]</f>
        <v>998</v>
      </c>
      <c r="M1294" s="25">
        <v>0</v>
      </c>
      <c r="N1294">
        <f>Table1[[#This Row],[Revenue]]*Table1[[#This Row],[Discount%]]/100</f>
        <v>0</v>
      </c>
      <c r="O1294" s="6">
        <f>Table1[[#This Row],[Revenue]]-Table1[[#This Row],[Disc_amount]]</f>
        <v>998</v>
      </c>
      <c r="P1294" t="s">
        <v>41</v>
      </c>
      <c r="Q1294" t="s">
        <v>34</v>
      </c>
    </row>
    <row r="1295" spans="1:17">
      <c r="A1295" t="s">
        <v>2066</v>
      </c>
      <c r="B1295" s="1" t="s">
        <v>1189</v>
      </c>
      <c r="C1295" s="1" t="s">
        <v>2018</v>
      </c>
      <c r="D1295" s="1" t="s">
        <v>20</v>
      </c>
      <c r="E1295" t="s">
        <v>993</v>
      </c>
      <c r="F1295" t="s">
        <v>203</v>
      </c>
      <c r="G1295" t="s">
        <v>45</v>
      </c>
      <c r="H1295" t="s">
        <v>108</v>
      </c>
      <c r="I1295" t="s">
        <v>109</v>
      </c>
      <c r="J1295">
        <v>3</v>
      </c>
      <c r="K1295">
        <v>1499</v>
      </c>
      <c r="L1295">
        <f>Table1[[#This Row],[Quantity]] * Table1[[#This Row],[UnitPrice]]</f>
        <v>4497</v>
      </c>
      <c r="M1295" s="25">
        <v>10</v>
      </c>
      <c r="N1295">
        <f>Table1[[#This Row],[Revenue]]*Table1[[#This Row],[Discount%]]/100</f>
        <v>449.7</v>
      </c>
      <c r="O1295" s="6">
        <f>Table1[[#This Row],[Revenue]]-Table1[[#This Row],[Disc_amount]]</f>
        <v>4047.3</v>
      </c>
      <c r="P1295" t="s">
        <v>52</v>
      </c>
      <c r="Q1295" t="s">
        <v>27</v>
      </c>
    </row>
    <row r="1296" spans="1:17">
      <c r="A1296" t="s">
        <v>2067</v>
      </c>
      <c r="B1296" s="1" t="s">
        <v>1189</v>
      </c>
      <c r="C1296" s="1" t="s">
        <v>2018</v>
      </c>
      <c r="D1296" s="1" t="s">
        <v>20</v>
      </c>
      <c r="E1296" t="s">
        <v>1772</v>
      </c>
      <c r="F1296" t="s">
        <v>1292</v>
      </c>
      <c r="G1296" t="s">
        <v>23</v>
      </c>
      <c r="H1296" t="s">
        <v>70</v>
      </c>
      <c r="I1296" t="s">
        <v>91</v>
      </c>
      <c r="J1296">
        <v>1</v>
      </c>
      <c r="K1296">
        <v>549</v>
      </c>
      <c r="L1296">
        <f>Table1[[#This Row],[Quantity]] * Table1[[#This Row],[UnitPrice]]</f>
        <v>549</v>
      </c>
      <c r="M1296" s="25">
        <v>15</v>
      </c>
      <c r="N1296">
        <f>Table1[[#This Row],[Revenue]]*Table1[[#This Row],[Discount%]]/100</f>
        <v>82.35</v>
      </c>
      <c r="O1296" s="6">
        <f>Table1[[#This Row],[Revenue]]-Table1[[#This Row],[Disc_amount]]</f>
        <v>466.65</v>
      </c>
      <c r="P1296" t="s">
        <v>41</v>
      </c>
      <c r="Q1296" t="s">
        <v>27</v>
      </c>
    </row>
    <row r="1297" spans="1:17">
      <c r="A1297" t="s">
        <v>2068</v>
      </c>
      <c r="B1297" s="1" t="s">
        <v>1189</v>
      </c>
      <c r="C1297" s="1" t="s">
        <v>2018</v>
      </c>
      <c r="D1297" s="1" t="s">
        <v>20</v>
      </c>
      <c r="E1297" t="s">
        <v>1382</v>
      </c>
      <c r="F1297" t="s">
        <v>173</v>
      </c>
      <c r="G1297" t="s">
        <v>38</v>
      </c>
      <c r="H1297" t="s">
        <v>24</v>
      </c>
      <c r="I1297" t="s">
        <v>25</v>
      </c>
      <c r="J1297">
        <v>3</v>
      </c>
      <c r="K1297">
        <v>99</v>
      </c>
      <c r="L1297">
        <f>Table1[[#This Row],[Quantity]] * Table1[[#This Row],[UnitPrice]]</f>
        <v>297</v>
      </c>
      <c r="M1297" s="25">
        <v>20</v>
      </c>
      <c r="N1297">
        <f>Table1[[#This Row],[Revenue]]*Table1[[#This Row],[Discount%]]/100</f>
        <v>59.4</v>
      </c>
      <c r="O1297" s="6">
        <f>Table1[[#This Row],[Revenue]]-Table1[[#This Row],[Disc_amount]]</f>
        <v>237.6</v>
      </c>
      <c r="P1297" t="s">
        <v>41</v>
      </c>
      <c r="Q1297" t="s">
        <v>34</v>
      </c>
    </row>
    <row r="1298" spans="1:17">
      <c r="A1298" t="s">
        <v>2069</v>
      </c>
      <c r="B1298" s="1" t="s">
        <v>1203</v>
      </c>
      <c r="C1298" s="1" t="s">
        <v>2018</v>
      </c>
      <c r="D1298" s="1" t="s">
        <v>20</v>
      </c>
      <c r="E1298" t="s">
        <v>783</v>
      </c>
      <c r="F1298" t="s">
        <v>784</v>
      </c>
      <c r="G1298" t="s">
        <v>23</v>
      </c>
      <c r="H1298" t="s">
        <v>70</v>
      </c>
      <c r="I1298" t="s">
        <v>71</v>
      </c>
      <c r="J1298">
        <v>1</v>
      </c>
      <c r="K1298">
        <v>349</v>
      </c>
      <c r="L1298">
        <f>Table1[[#This Row],[Quantity]] * Table1[[#This Row],[UnitPrice]]</f>
        <v>349</v>
      </c>
      <c r="M1298" s="25">
        <v>20</v>
      </c>
      <c r="N1298">
        <f>Table1[[#This Row],[Revenue]]*Table1[[#This Row],[Discount%]]/100</f>
        <v>69.8</v>
      </c>
      <c r="O1298" s="6">
        <f>Table1[[#This Row],[Revenue]]-Table1[[#This Row],[Disc_amount]]</f>
        <v>279.2</v>
      </c>
      <c r="P1298" t="s">
        <v>41</v>
      </c>
      <c r="Q1298" t="s">
        <v>34</v>
      </c>
    </row>
    <row r="1299" spans="1:17">
      <c r="A1299" t="s">
        <v>2070</v>
      </c>
      <c r="B1299" s="1" t="s">
        <v>1203</v>
      </c>
      <c r="C1299" s="1" t="s">
        <v>2018</v>
      </c>
      <c r="D1299" s="1" t="s">
        <v>20</v>
      </c>
      <c r="E1299" t="s">
        <v>915</v>
      </c>
      <c r="F1299" t="s">
        <v>345</v>
      </c>
      <c r="G1299" t="s">
        <v>38</v>
      </c>
      <c r="H1299" t="s">
        <v>108</v>
      </c>
      <c r="I1299" t="s">
        <v>130</v>
      </c>
      <c r="J1299">
        <v>1</v>
      </c>
      <c r="K1299">
        <v>699</v>
      </c>
      <c r="L1299">
        <f>Table1[[#This Row],[Quantity]] * Table1[[#This Row],[UnitPrice]]</f>
        <v>699</v>
      </c>
      <c r="M1299" s="25">
        <v>0</v>
      </c>
      <c r="N1299">
        <f>Table1[[#This Row],[Revenue]]*Table1[[#This Row],[Discount%]]/100</f>
        <v>0</v>
      </c>
      <c r="O1299" s="6">
        <f>Table1[[#This Row],[Revenue]]-Table1[[#This Row],[Disc_amount]]</f>
        <v>699</v>
      </c>
      <c r="P1299" t="s">
        <v>86</v>
      </c>
      <c r="Q1299" t="s">
        <v>27</v>
      </c>
    </row>
    <row r="1300" spans="1:17">
      <c r="A1300" t="s">
        <v>2071</v>
      </c>
      <c r="B1300" s="1" t="s">
        <v>1203</v>
      </c>
      <c r="C1300" s="1" t="s">
        <v>2018</v>
      </c>
      <c r="D1300" s="1" t="s">
        <v>20</v>
      </c>
      <c r="E1300" t="s">
        <v>677</v>
      </c>
      <c r="F1300" t="s">
        <v>597</v>
      </c>
      <c r="G1300" t="s">
        <v>56</v>
      </c>
      <c r="H1300" t="s">
        <v>108</v>
      </c>
      <c r="I1300" t="s">
        <v>109</v>
      </c>
      <c r="J1300">
        <v>1</v>
      </c>
      <c r="K1300">
        <v>1499</v>
      </c>
      <c r="L1300">
        <f>Table1[[#This Row],[Quantity]] * Table1[[#This Row],[UnitPrice]]</f>
        <v>1499</v>
      </c>
      <c r="M1300" s="25">
        <v>0</v>
      </c>
      <c r="N1300">
        <f>Table1[[#This Row],[Revenue]]*Table1[[#This Row],[Discount%]]/100</f>
        <v>0</v>
      </c>
      <c r="O1300" s="6">
        <f>Table1[[#This Row],[Revenue]]-Table1[[#This Row],[Disc_amount]]</f>
        <v>1499</v>
      </c>
      <c r="P1300" t="s">
        <v>26</v>
      </c>
      <c r="Q1300" t="s">
        <v>27</v>
      </c>
    </row>
    <row r="1301" spans="1:17">
      <c r="A1301" t="s">
        <v>2072</v>
      </c>
      <c r="B1301" s="1" t="s">
        <v>1203</v>
      </c>
      <c r="C1301" s="1" t="s">
        <v>2018</v>
      </c>
      <c r="D1301" s="1" t="s">
        <v>20</v>
      </c>
      <c r="E1301" t="s">
        <v>1521</v>
      </c>
      <c r="F1301" t="s">
        <v>960</v>
      </c>
      <c r="G1301" t="s">
        <v>31</v>
      </c>
      <c r="H1301" t="s">
        <v>57</v>
      </c>
      <c r="I1301" t="s">
        <v>62</v>
      </c>
      <c r="J1301">
        <v>2</v>
      </c>
      <c r="K1301">
        <v>799</v>
      </c>
      <c r="L1301">
        <f>Table1[[#This Row],[Quantity]] * Table1[[#This Row],[UnitPrice]]</f>
        <v>1598</v>
      </c>
      <c r="M1301" s="25">
        <v>0</v>
      </c>
      <c r="N1301">
        <f>Table1[[#This Row],[Revenue]]*Table1[[#This Row],[Discount%]]/100</f>
        <v>0</v>
      </c>
      <c r="O1301" s="6">
        <f>Table1[[#This Row],[Revenue]]-Table1[[#This Row],[Disc_amount]]</f>
        <v>1598</v>
      </c>
      <c r="P1301" t="s">
        <v>33</v>
      </c>
      <c r="Q1301" t="s">
        <v>27</v>
      </c>
    </row>
    <row r="1302" spans="1:17">
      <c r="A1302" t="s">
        <v>2073</v>
      </c>
      <c r="B1302" s="1" t="s">
        <v>1203</v>
      </c>
      <c r="C1302" s="1" t="s">
        <v>2018</v>
      </c>
      <c r="D1302" s="1" t="s">
        <v>20</v>
      </c>
      <c r="E1302" t="s">
        <v>252</v>
      </c>
      <c r="F1302" t="s">
        <v>253</v>
      </c>
      <c r="G1302" t="s">
        <v>38</v>
      </c>
      <c r="H1302" t="s">
        <v>65</v>
      </c>
      <c r="I1302" t="s">
        <v>98</v>
      </c>
      <c r="J1302">
        <v>5</v>
      </c>
      <c r="K1302">
        <v>499</v>
      </c>
      <c r="L1302">
        <f>Table1[[#This Row],[Quantity]] * Table1[[#This Row],[UnitPrice]]</f>
        <v>2495</v>
      </c>
      <c r="M1302" s="25">
        <v>5</v>
      </c>
      <c r="N1302">
        <f>Table1[[#This Row],[Revenue]]*Table1[[#This Row],[Discount%]]/100</f>
        <v>124.75</v>
      </c>
      <c r="O1302" s="6">
        <f>Table1[[#This Row],[Revenue]]-Table1[[#This Row],[Disc_amount]]</f>
        <v>2370.25</v>
      </c>
      <c r="P1302" t="s">
        <v>33</v>
      </c>
      <c r="Q1302" t="s">
        <v>27</v>
      </c>
    </row>
    <row r="1303" spans="1:17">
      <c r="A1303" t="s">
        <v>2074</v>
      </c>
      <c r="B1303" s="1" t="s">
        <v>1203</v>
      </c>
      <c r="C1303" s="1" t="s">
        <v>2018</v>
      </c>
      <c r="D1303" s="1" t="s">
        <v>20</v>
      </c>
      <c r="E1303" t="s">
        <v>1946</v>
      </c>
      <c r="F1303" t="s">
        <v>74</v>
      </c>
      <c r="G1303" t="s">
        <v>23</v>
      </c>
      <c r="H1303" t="s">
        <v>70</v>
      </c>
      <c r="I1303" t="s">
        <v>71</v>
      </c>
      <c r="J1303">
        <v>1</v>
      </c>
      <c r="K1303">
        <v>349</v>
      </c>
      <c r="L1303">
        <f>Table1[[#This Row],[Quantity]] * Table1[[#This Row],[UnitPrice]]</f>
        <v>349</v>
      </c>
      <c r="M1303" s="25">
        <v>0</v>
      </c>
      <c r="N1303">
        <f>Table1[[#This Row],[Revenue]]*Table1[[#This Row],[Discount%]]/100</f>
        <v>0</v>
      </c>
      <c r="O1303" s="6">
        <f>Table1[[#This Row],[Revenue]]-Table1[[#This Row],[Disc_amount]]</f>
        <v>349</v>
      </c>
      <c r="P1303" t="s">
        <v>41</v>
      </c>
      <c r="Q1303" t="s">
        <v>27</v>
      </c>
    </row>
    <row r="1304" spans="1:17">
      <c r="A1304" t="s">
        <v>2075</v>
      </c>
      <c r="B1304" s="1" t="s">
        <v>1203</v>
      </c>
      <c r="C1304" s="1" t="s">
        <v>2018</v>
      </c>
      <c r="D1304" s="1" t="s">
        <v>20</v>
      </c>
      <c r="E1304" t="s">
        <v>640</v>
      </c>
      <c r="F1304" t="s">
        <v>225</v>
      </c>
      <c r="G1304" t="s">
        <v>45</v>
      </c>
      <c r="H1304" t="s">
        <v>46</v>
      </c>
      <c r="I1304" t="s">
        <v>154</v>
      </c>
      <c r="J1304">
        <v>2</v>
      </c>
      <c r="K1304">
        <v>299</v>
      </c>
      <c r="L1304">
        <f>Table1[[#This Row],[Quantity]] * Table1[[#This Row],[UnitPrice]]</f>
        <v>598</v>
      </c>
      <c r="M1304" s="25">
        <v>0</v>
      </c>
      <c r="N1304">
        <f>Table1[[#This Row],[Revenue]]*Table1[[#This Row],[Discount%]]/100</f>
        <v>0</v>
      </c>
      <c r="O1304" s="6">
        <f>Table1[[#This Row],[Revenue]]-Table1[[#This Row],[Disc_amount]]</f>
        <v>598</v>
      </c>
      <c r="P1304" t="s">
        <v>41</v>
      </c>
      <c r="Q1304" t="s">
        <v>34</v>
      </c>
    </row>
    <row r="1305" spans="1:17">
      <c r="A1305" t="s">
        <v>2076</v>
      </c>
      <c r="B1305" s="1" t="s">
        <v>1203</v>
      </c>
      <c r="C1305" s="1" t="s">
        <v>2018</v>
      </c>
      <c r="D1305" s="1" t="s">
        <v>20</v>
      </c>
      <c r="E1305" t="s">
        <v>1637</v>
      </c>
      <c r="F1305" t="s">
        <v>209</v>
      </c>
      <c r="G1305" t="s">
        <v>31</v>
      </c>
      <c r="H1305" t="s">
        <v>24</v>
      </c>
      <c r="I1305" t="s">
        <v>25</v>
      </c>
      <c r="J1305">
        <v>1</v>
      </c>
      <c r="K1305">
        <v>99</v>
      </c>
      <c r="L1305">
        <f>Table1[[#This Row],[Quantity]] * Table1[[#This Row],[UnitPrice]]</f>
        <v>99</v>
      </c>
      <c r="M1305" s="25">
        <v>0</v>
      </c>
      <c r="N1305">
        <f>Table1[[#This Row],[Revenue]]*Table1[[#This Row],[Discount%]]/100</f>
        <v>0</v>
      </c>
      <c r="O1305" s="6">
        <f>Table1[[#This Row],[Revenue]]-Table1[[#This Row],[Disc_amount]]</f>
        <v>99</v>
      </c>
      <c r="P1305" t="s">
        <v>41</v>
      </c>
      <c r="Q1305" t="s">
        <v>27</v>
      </c>
    </row>
    <row r="1306" spans="1:17">
      <c r="A1306" t="s">
        <v>2077</v>
      </c>
      <c r="B1306" s="1" t="s">
        <v>1203</v>
      </c>
      <c r="C1306" s="1" t="s">
        <v>2018</v>
      </c>
      <c r="D1306" s="1" t="s">
        <v>20</v>
      </c>
      <c r="E1306" t="s">
        <v>54</v>
      </c>
      <c r="F1306" t="s">
        <v>55</v>
      </c>
      <c r="G1306" t="s">
        <v>45</v>
      </c>
      <c r="H1306" t="s">
        <v>39</v>
      </c>
      <c r="I1306" t="s">
        <v>40</v>
      </c>
      <c r="J1306">
        <v>1</v>
      </c>
      <c r="K1306">
        <v>599</v>
      </c>
      <c r="L1306">
        <f>Table1[[#This Row],[Quantity]] * Table1[[#This Row],[UnitPrice]]</f>
        <v>599</v>
      </c>
      <c r="M1306" s="25">
        <v>0</v>
      </c>
      <c r="N1306">
        <f>Table1[[#This Row],[Revenue]]*Table1[[#This Row],[Discount%]]/100</f>
        <v>0</v>
      </c>
      <c r="O1306" s="6">
        <f>Table1[[#This Row],[Revenue]]-Table1[[#This Row],[Disc_amount]]</f>
        <v>599</v>
      </c>
      <c r="P1306" t="s">
        <v>33</v>
      </c>
      <c r="Q1306" t="s">
        <v>27</v>
      </c>
    </row>
    <row r="1307" spans="1:17">
      <c r="A1307" t="s">
        <v>2078</v>
      </c>
      <c r="B1307" s="1" t="s">
        <v>1203</v>
      </c>
      <c r="C1307" s="1" t="s">
        <v>2018</v>
      </c>
      <c r="D1307" s="1" t="s">
        <v>20</v>
      </c>
      <c r="E1307" t="s">
        <v>49</v>
      </c>
      <c r="F1307" t="s">
        <v>50</v>
      </c>
      <c r="G1307" t="s">
        <v>45</v>
      </c>
      <c r="H1307" t="s">
        <v>108</v>
      </c>
      <c r="I1307" t="s">
        <v>130</v>
      </c>
      <c r="J1307">
        <v>1</v>
      </c>
      <c r="K1307">
        <v>699</v>
      </c>
      <c r="L1307">
        <f>Table1[[#This Row],[Quantity]] * Table1[[#This Row],[UnitPrice]]</f>
        <v>699</v>
      </c>
      <c r="M1307" s="25">
        <v>10</v>
      </c>
      <c r="N1307">
        <f>Table1[[#This Row],[Revenue]]*Table1[[#This Row],[Discount%]]/100</f>
        <v>69.900000000000006</v>
      </c>
      <c r="O1307" s="6">
        <f>Table1[[#This Row],[Revenue]]-Table1[[#This Row],[Disc_amount]]</f>
        <v>629.1</v>
      </c>
      <c r="P1307" t="s">
        <v>52</v>
      </c>
      <c r="Q1307" t="s">
        <v>27</v>
      </c>
    </row>
    <row r="1308" spans="1:17">
      <c r="A1308" t="s">
        <v>2079</v>
      </c>
      <c r="B1308" s="1" t="s">
        <v>1207</v>
      </c>
      <c r="C1308" s="1" t="s">
        <v>2018</v>
      </c>
      <c r="D1308" s="1" t="s">
        <v>20</v>
      </c>
      <c r="E1308" t="s">
        <v>533</v>
      </c>
      <c r="F1308" t="s">
        <v>534</v>
      </c>
      <c r="G1308" t="s">
        <v>45</v>
      </c>
      <c r="H1308" t="s">
        <v>46</v>
      </c>
      <c r="I1308" t="s">
        <v>47</v>
      </c>
      <c r="J1308">
        <v>1</v>
      </c>
      <c r="K1308">
        <v>249</v>
      </c>
      <c r="L1308">
        <f>Table1[[#This Row],[Quantity]] * Table1[[#This Row],[UnitPrice]]</f>
        <v>249</v>
      </c>
      <c r="M1308" s="25">
        <v>0</v>
      </c>
      <c r="N1308">
        <f>Table1[[#This Row],[Revenue]]*Table1[[#This Row],[Discount%]]/100</f>
        <v>0</v>
      </c>
      <c r="O1308" s="6">
        <f>Table1[[#This Row],[Revenue]]-Table1[[#This Row],[Disc_amount]]</f>
        <v>249</v>
      </c>
      <c r="P1308" t="s">
        <v>33</v>
      </c>
      <c r="Q1308" t="s">
        <v>27</v>
      </c>
    </row>
    <row r="1309" spans="1:17">
      <c r="A1309" t="s">
        <v>2080</v>
      </c>
      <c r="B1309" s="1" t="s">
        <v>1207</v>
      </c>
      <c r="C1309" s="1" t="s">
        <v>2018</v>
      </c>
      <c r="D1309" s="1" t="s">
        <v>20</v>
      </c>
      <c r="E1309" t="s">
        <v>169</v>
      </c>
      <c r="F1309" t="s">
        <v>170</v>
      </c>
      <c r="G1309" t="s">
        <v>23</v>
      </c>
      <c r="H1309" t="s">
        <v>46</v>
      </c>
      <c r="I1309" t="s">
        <v>47</v>
      </c>
      <c r="J1309">
        <v>4</v>
      </c>
      <c r="K1309">
        <v>249</v>
      </c>
      <c r="L1309">
        <f>Table1[[#This Row],[Quantity]] * Table1[[#This Row],[UnitPrice]]</f>
        <v>996</v>
      </c>
      <c r="M1309" s="25">
        <v>0</v>
      </c>
      <c r="N1309">
        <f>Table1[[#This Row],[Revenue]]*Table1[[#This Row],[Discount%]]/100</f>
        <v>0</v>
      </c>
      <c r="O1309" s="6">
        <f>Table1[[#This Row],[Revenue]]-Table1[[#This Row],[Disc_amount]]</f>
        <v>996</v>
      </c>
      <c r="P1309" t="s">
        <v>41</v>
      </c>
      <c r="Q1309" t="s">
        <v>27</v>
      </c>
    </row>
    <row r="1310" spans="1:17">
      <c r="A1310" t="s">
        <v>2081</v>
      </c>
      <c r="B1310" s="1" t="s">
        <v>1207</v>
      </c>
      <c r="C1310" s="1" t="s">
        <v>2018</v>
      </c>
      <c r="D1310" s="1" t="s">
        <v>20</v>
      </c>
      <c r="E1310" t="s">
        <v>36</v>
      </c>
      <c r="F1310" t="s">
        <v>37</v>
      </c>
      <c r="G1310" t="s">
        <v>38</v>
      </c>
      <c r="H1310" t="s">
        <v>39</v>
      </c>
      <c r="I1310" t="s">
        <v>40</v>
      </c>
      <c r="J1310">
        <v>4</v>
      </c>
      <c r="K1310">
        <v>599</v>
      </c>
      <c r="L1310">
        <f>Table1[[#This Row],[Quantity]] * Table1[[#This Row],[UnitPrice]]</f>
        <v>2396</v>
      </c>
      <c r="M1310" s="25">
        <v>5</v>
      </c>
      <c r="N1310">
        <f>Table1[[#This Row],[Revenue]]*Table1[[#This Row],[Discount%]]/100</f>
        <v>119.8</v>
      </c>
      <c r="O1310" s="6">
        <f>Table1[[#This Row],[Revenue]]-Table1[[#This Row],[Disc_amount]]</f>
        <v>2276.1999999999998</v>
      </c>
      <c r="P1310" t="s">
        <v>33</v>
      </c>
      <c r="Q1310" t="s">
        <v>27</v>
      </c>
    </row>
    <row r="1311" spans="1:17">
      <c r="A1311" t="s">
        <v>2082</v>
      </c>
      <c r="B1311" s="1" t="s">
        <v>1207</v>
      </c>
      <c r="C1311" s="1" t="s">
        <v>2018</v>
      </c>
      <c r="D1311" s="1" t="s">
        <v>20</v>
      </c>
      <c r="E1311" t="s">
        <v>936</v>
      </c>
      <c r="F1311" t="s">
        <v>229</v>
      </c>
      <c r="G1311" t="s">
        <v>56</v>
      </c>
      <c r="H1311" t="s">
        <v>46</v>
      </c>
      <c r="I1311" t="s">
        <v>154</v>
      </c>
      <c r="J1311">
        <v>1</v>
      </c>
      <c r="K1311">
        <v>299</v>
      </c>
      <c r="L1311">
        <f>Table1[[#This Row],[Quantity]] * Table1[[#This Row],[UnitPrice]]</f>
        <v>299</v>
      </c>
      <c r="M1311" s="25">
        <v>0</v>
      </c>
      <c r="N1311">
        <f>Table1[[#This Row],[Revenue]]*Table1[[#This Row],[Discount%]]/100</f>
        <v>0</v>
      </c>
      <c r="O1311" s="6">
        <f>Table1[[#This Row],[Revenue]]-Table1[[#This Row],[Disc_amount]]</f>
        <v>299</v>
      </c>
      <c r="P1311" t="s">
        <v>26</v>
      </c>
      <c r="Q1311" t="s">
        <v>27</v>
      </c>
    </row>
    <row r="1312" spans="1:17">
      <c r="A1312" t="s">
        <v>2083</v>
      </c>
      <c r="B1312" s="1" t="s">
        <v>1207</v>
      </c>
      <c r="C1312" s="1" t="s">
        <v>2018</v>
      </c>
      <c r="D1312" s="1" t="s">
        <v>20</v>
      </c>
      <c r="E1312" t="s">
        <v>208</v>
      </c>
      <c r="F1312" t="s">
        <v>209</v>
      </c>
      <c r="G1312" t="s">
        <v>31</v>
      </c>
      <c r="H1312" t="s">
        <v>108</v>
      </c>
      <c r="I1312" t="s">
        <v>109</v>
      </c>
      <c r="J1312">
        <v>1</v>
      </c>
      <c r="K1312">
        <v>1499</v>
      </c>
      <c r="L1312">
        <f>Table1[[#This Row],[Quantity]] * Table1[[#This Row],[UnitPrice]]</f>
        <v>1499</v>
      </c>
      <c r="M1312" s="25">
        <v>15</v>
      </c>
      <c r="N1312">
        <f>Table1[[#This Row],[Revenue]]*Table1[[#This Row],[Discount%]]/100</f>
        <v>224.85</v>
      </c>
      <c r="O1312" s="6">
        <f>Table1[[#This Row],[Revenue]]-Table1[[#This Row],[Disc_amount]]</f>
        <v>1274.1500000000001</v>
      </c>
      <c r="P1312" t="s">
        <v>33</v>
      </c>
      <c r="Q1312" t="s">
        <v>34</v>
      </c>
    </row>
    <row r="1313" spans="1:17">
      <c r="A1313" t="s">
        <v>2084</v>
      </c>
      <c r="B1313" s="1" t="s">
        <v>1207</v>
      </c>
      <c r="C1313" s="1" t="s">
        <v>2018</v>
      </c>
      <c r="D1313" s="1" t="s">
        <v>20</v>
      </c>
      <c r="E1313" t="s">
        <v>100</v>
      </c>
      <c r="F1313" t="s">
        <v>101</v>
      </c>
      <c r="G1313" t="s">
        <v>31</v>
      </c>
      <c r="H1313" t="s">
        <v>108</v>
      </c>
      <c r="I1313" t="s">
        <v>109</v>
      </c>
      <c r="J1313">
        <v>3</v>
      </c>
      <c r="K1313">
        <v>1499</v>
      </c>
      <c r="L1313">
        <f>Table1[[#This Row],[Quantity]] * Table1[[#This Row],[UnitPrice]]</f>
        <v>4497</v>
      </c>
      <c r="M1313" s="25">
        <v>20</v>
      </c>
      <c r="N1313">
        <f>Table1[[#This Row],[Revenue]]*Table1[[#This Row],[Discount%]]/100</f>
        <v>899.4</v>
      </c>
      <c r="O1313" s="6">
        <f>Table1[[#This Row],[Revenue]]-Table1[[#This Row],[Disc_amount]]</f>
        <v>3597.6</v>
      </c>
      <c r="P1313" t="s">
        <v>33</v>
      </c>
      <c r="Q1313" t="s">
        <v>27</v>
      </c>
    </row>
    <row r="1314" spans="1:17">
      <c r="A1314" t="s">
        <v>2085</v>
      </c>
      <c r="B1314" s="1" t="s">
        <v>1207</v>
      </c>
      <c r="C1314" s="1" t="s">
        <v>2018</v>
      </c>
      <c r="D1314" s="1" t="s">
        <v>20</v>
      </c>
      <c r="E1314" t="s">
        <v>159</v>
      </c>
      <c r="F1314" t="s">
        <v>160</v>
      </c>
      <c r="G1314" t="s">
        <v>31</v>
      </c>
      <c r="H1314" t="s">
        <v>70</v>
      </c>
      <c r="I1314" t="s">
        <v>71</v>
      </c>
      <c r="J1314">
        <v>1</v>
      </c>
      <c r="K1314">
        <v>349</v>
      </c>
      <c r="L1314">
        <f>Table1[[#This Row],[Quantity]] * Table1[[#This Row],[UnitPrice]]</f>
        <v>349</v>
      </c>
      <c r="M1314" s="25">
        <v>15</v>
      </c>
      <c r="N1314">
        <f>Table1[[#This Row],[Revenue]]*Table1[[#This Row],[Discount%]]/100</f>
        <v>52.35</v>
      </c>
      <c r="O1314" s="6">
        <f>Table1[[#This Row],[Revenue]]-Table1[[#This Row],[Disc_amount]]</f>
        <v>296.64999999999998</v>
      </c>
      <c r="P1314" t="s">
        <v>41</v>
      </c>
      <c r="Q1314" t="s">
        <v>27</v>
      </c>
    </row>
    <row r="1315" spans="1:17">
      <c r="A1315" t="s">
        <v>2086</v>
      </c>
      <c r="B1315" s="1" t="s">
        <v>1207</v>
      </c>
      <c r="C1315" s="1" t="s">
        <v>2018</v>
      </c>
      <c r="D1315" s="1" t="s">
        <v>20</v>
      </c>
      <c r="E1315" t="s">
        <v>159</v>
      </c>
      <c r="F1315" t="s">
        <v>160</v>
      </c>
      <c r="G1315" t="s">
        <v>38</v>
      </c>
      <c r="H1315" t="s">
        <v>70</v>
      </c>
      <c r="I1315" t="s">
        <v>71</v>
      </c>
      <c r="J1315">
        <v>1</v>
      </c>
      <c r="K1315">
        <v>349</v>
      </c>
      <c r="L1315">
        <f>Table1[[#This Row],[Quantity]] * Table1[[#This Row],[UnitPrice]]</f>
        <v>349</v>
      </c>
      <c r="M1315" s="25">
        <v>15</v>
      </c>
      <c r="N1315">
        <f>Table1[[#This Row],[Revenue]]*Table1[[#This Row],[Discount%]]/100</f>
        <v>52.35</v>
      </c>
      <c r="O1315" s="6">
        <f>Table1[[#This Row],[Revenue]]-Table1[[#This Row],[Disc_amount]]</f>
        <v>296.64999999999998</v>
      </c>
      <c r="P1315" t="s">
        <v>52</v>
      </c>
      <c r="Q1315" t="s">
        <v>34</v>
      </c>
    </row>
    <row r="1316" spans="1:17">
      <c r="A1316" t="s">
        <v>2087</v>
      </c>
      <c r="B1316" s="1" t="s">
        <v>1211</v>
      </c>
      <c r="C1316" s="1" t="s">
        <v>2018</v>
      </c>
      <c r="D1316" s="1" t="s">
        <v>20</v>
      </c>
      <c r="E1316" t="s">
        <v>103</v>
      </c>
      <c r="F1316" t="s">
        <v>104</v>
      </c>
      <c r="G1316" t="s">
        <v>31</v>
      </c>
      <c r="H1316" t="s">
        <v>65</v>
      </c>
      <c r="I1316" t="s">
        <v>66</v>
      </c>
      <c r="J1316">
        <v>1</v>
      </c>
      <c r="K1316">
        <v>1999</v>
      </c>
      <c r="L1316">
        <f>Table1[[#This Row],[Quantity]] * Table1[[#This Row],[UnitPrice]]</f>
        <v>1999</v>
      </c>
      <c r="M1316" s="25">
        <v>15</v>
      </c>
      <c r="N1316">
        <f>Table1[[#This Row],[Revenue]]*Table1[[#This Row],[Discount%]]/100</f>
        <v>299.85000000000002</v>
      </c>
      <c r="O1316" s="6">
        <f>Table1[[#This Row],[Revenue]]-Table1[[#This Row],[Disc_amount]]</f>
        <v>1699.15</v>
      </c>
      <c r="P1316" t="s">
        <v>33</v>
      </c>
      <c r="Q1316" t="s">
        <v>27</v>
      </c>
    </row>
    <row r="1317" spans="1:17">
      <c r="A1317" t="s">
        <v>2088</v>
      </c>
      <c r="B1317" s="1" t="s">
        <v>1211</v>
      </c>
      <c r="C1317" s="1" t="s">
        <v>2018</v>
      </c>
      <c r="D1317" s="1" t="s">
        <v>20</v>
      </c>
      <c r="E1317" t="s">
        <v>238</v>
      </c>
      <c r="F1317" t="s">
        <v>239</v>
      </c>
      <c r="G1317" t="s">
        <v>23</v>
      </c>
      <c r="H1317" t="s">
        <v>24</v>
      </c>
      <c r="I1317" t="s">
        <v>25</v>
      </c>
      <c r="J1317">
        <v>1</v>
      </c>
      <c r="K1317">
        <v>99</v>
      </c>
      <c r="L1317">
        <f>Table1[[#This Row],[Quantity]] * Table1[[#This Row],[UnitPrice]]</f>
        <v>99</v>
      </c>
      <c r="M1317" s="25">
        <v>0</v>
      </c>
      <c r="N1317">
        <f>Table1[[#This Row],[Revenue]]*Table1[[#This Row],[Discount%]]/100</f>
        <v>0</v>
      </c>
      <c r="O1317" s="6">
        <f>Table1[[#This Row],[Revenue]]-Table1[[#This Row],[Disc_amount]]</f>
        <v>99</v>
      </c>
      <c r="P1317" t="s">
        <v>33</v>
      </c>
      <c r="Q1317" t="s">
        <v>27</v>
      </c>
    </row>
    <row r="1318" spans="1:17">
      <c r="A1318" t="s">
        <v>2089</v>
      </c>
      <c r="B1318" s="1" t="s">
        <v>1211</v>
      </c>
      <c r="C1318" s="1" t="s">
        <v>2018</v>
      </c>
      <c r="D1318" s="1" t="s">
        <v>20</v>
      </c>
      <c r="E1318" t="s">
        <v>1049</v>
      </c>
      <c r="F1318" t="s">
        <v>415</v>
      </c>
      <c r="G1318" t="s">
        <v>31</v>
      </c>
      <c r="H1318" t="s">
        <v>24</v>
      </c>
      <c r="I1318" t="s">
        <v>25</v>
      </c>
      <c r="J1318">
        <v>3</v>
      </c>
      <c r="K1318">
        <v>99</v>
      </c>
      <c r="L1318">
        <f>Table1[[#This Row],[Quantity]] * Table1[[#This Row],[UnitPrice]]</f>
        <v>297</v>
      </c>
      <c r="M1318" s="25">
        <v>5</v>
      </c>
      <c r="N1318">
        <f>Table1[[#This Row],[Revenue]]*Table1[[#This Row],[Discount%]]/100</f>
        <v>14.85</v>
      </c>
      <c r="O1318" s="6">
        <f>Table1[[#This Row],[Revenue]]-Table1[[#This Row],[Disc_amount]]</f>
        <v>282.14999999999998</v>
      </c>
      <c r="P1318" t="s">
        <v>33</v>
      </c>
      <c r="Q1318" t="s">
        <v>34</v>
      </c>
    </row>
    <row r="1319" spans="1:17">
      <c r="A1319" t="s">
        <v>2090</v>
      </c>
      <c r="B1319" s="1" t="s">
        <v>1211</v>
      </c>
      <c r="C1319" s="1" t="s">
        <v>2018</v>
      </c>
      <c r="D1319" s="1" t="s">
        <v>20</v>
      </c>
      <c r="E1319" t="s">
        <v>589</v>
      </c>
      <c r="F1319" t="s">
        <v>501</v>
      </c>
      <c r="G1319" t="s">
        <v>38</v>
      </c>
      <c r="H1319" t="s">
        <v>65</v>
      </c>
      <c r="I1319" t="s">
        <v>66</v>
      </c>
      <c r="J1319">
        <v>1</v>
      </c>
      <c r="K1319">
        <v>1999</v>
      </c>
      <c r="L1319">
        <f>Table1[[#This Row],[Quantity]] * Table1[[#This Row],[UnitPrice]]</f>
        <v>1999</v>
      </c>
      <c r="M1319" s="25">
        <v>10</v>
      </c>
      <c r="N1319">
        <f>Table1[[#This Row],[Revenue]]*Table1[[#This Row],[Discount%]]/100</f>
        <v>199.9</v>
      </c>
      <c r="O1319" s="6">
        <f>Table1[[#This Row],[Revenue]]-Table1[[#This Row],[Disc_amount]]</f>
        <v>1799.1</v>
      </c>
      <c r="P1319" t="s">
        <v>41</v>
      </c>
      <c r="Q1319" t="s">
        <v>34</v>
      </c>
    </row>
    <row r="1320" spans="1:17">
      <c r="A1320" t="s">
        <v>2091</v>
      </c>
      <c r="B1320" s="1" t="s">
        <v>1211</v>
      </c>
      <c r="C1320" s="1" t="s">
        <v>2018</v>
      </c>
      <c r="D1320" s="1" t="s">
        <v>20</v>
      </c>
      <c r="E1320" t="s">
        <v>247</v>
      </c>
      <c r="F1320" t="s">
        <v>248</v>
      </c>
      <c r="G1320" t="s">
        <v>23</v>
      </c>
      <c r="H1320" t="s">
        <v>24</v>
      </c>
      <c r="I1320" t="s">
        <v>25</v>
      </c>
      <c r="J1320">
        <v>1</v>
      </c>
      <c r="K1320">
        <v>99</v>
      </c>
      <c r="L1320">
        <f>Table1[[#This Row],[Quantity]] * Table1[[#This Row],[UnitPrice]]</f>
        <v>99</v>
      </c>
      <c r="M1320" s="25">
        <v>10</v>
      </c>
      <c r="N1320">
        <f>Table1[[#This Row],[Revenue]]*Table1[[#This Row],[Discount%]]/100</f>
        <v>9.9</v>
      </c>
      <c r="O1320" s="6">
        <f>Table1[[#This Row],[Revenue]]-Table1[[#This Row],[Disc_amount]]</f>
        <v>89.1</v>
      </c>
      <c r="P1320" t="s">
        <v>33</v>
      </c>
      <c r="Q1320" t="s">
        <v>27</v>
      </c>
    </row>
    <row r="1321" spans="1:17">
      <c r="A1321" t="s">
        <v>2092</v>
      </c>
      <c r="B1321" s="1" t="s">
        <v>1220</v>
      </c>
      <c r="C1321" s="1" t="s">
        <v>2018</v>
      </c>
      <c r="D1321" s="1" t="s">
        <v>20</v>
      </c>
      <c r="E1321" t="s">
        <v>405</v>
      </c>
      <c r="F1321" t="s">
        <v>248</v>
      </c>
      <c r="G1321" t="s">
        <v>45</v>
      </c>
      <c r="H1321" t="s">
        <v>39</v>
      </c>
      <c r="I1321" t="s">
        <v>140</v>
      </c>
      <c r="J1321">
        <v>4</v>
      </c>
      <c r="K1321">
        <v>1799</v>
      </c>
      <c r="L1321">
        <f>Table1[[#This Row],[Quantity]] * Table1[[#This Row],[UnitPrice]]</f>
        <v>7196</v>
      </c>
      <c r="M1321" s="25">
        <v>5</v>
      </c>
      <c r="N1321">
        <f>Table1[[#This Row],[Revenue]]*Table1[[#This Row],[Discount%]]/100</f>
        <v>359.8</v>
      </c>
      <c r="O1321" s="6">
        <f>Table1[[#This Row],[Revenue]]-Table1[[#This Row],[Disc_amount]]</f>
        <v>6836.2</v>
      </c>
      <c r="P1321" t="s">
        <v>26</v>
      </c>
      <c r="Q1321" t="s">
        <v>34</v>
      </c>
    </row>
    <row r="1322" spans="1:17">
      <c r="A1322" t="s">
        <v>2093</v>
      </c>
      <c r="B1322" s="1" t="s">
        <v>1220</v>
      </c>
      <c r="C1322" s="1" t="s">
        <v>2018</v>
      </c>
      <c r="D1322" s="1" t="s">
        <v>20</v>
      </c>
      <c r="E1322" t="s">
        <v>713</v>
      </c>
      <c r="F1322" t="s">
        <v>714</v>
      </c>
      <c r="G1322" t="s">
        <v>38</v>
      </c>
      <c r="H1322" t="s">
        <v>57</v>
      </c>
      <c r="I1322" t="s">
        <v>62</v>
      </c>
      <c r="J1322">
        <v>2</v>
      </c>
      <c r="K1322">
        <v>799</v>
      </c>
      <c r="L1322">
        <f>Table1[[#This Row],[Quantity]] * Table1[[#This Row],[UnitPrice]]</f>
        <v>1598</v>
      </c>
      <c r="M1322" s="25">
        <v>0</v>
      </c>
      <c r="N1322">
        <f>Table1[[#This Row],[Revenue]]*Table1[[#This Row],[Discount%]]/100</f>
        <v>0</v>
      </c>
      <c r="O1322" s="6">
        <f>Table1[[#This Row],[Revenue]]-Table1[[#This Row],[Disc_amount]]</f>
        <v>1598</v>
      </c>
      <c r="P1322" t="s">
        <v>33</v>
      </c>
      <c r="Q1322" t="s">
        <v>27</v>
      </c>
    </row>
    <row r="1323" spans="1:17">
      <c r="A1323" t="s">
        <v>2094</v>
      </c>
      <c r="B1323" s="1" t="s">
        <v>1220</v>
      </c>
      <c r="C1323" s="1" t="s">
        <v>2018</v>
      </c>
      <c r="D1323" s="1" t="s">
        <v>20</v>
      </c>
      <c r="E1323" t="s">
        <v>1056</v>
      </c>
      <c r="F1323" t="s">
        <v>61</v>
      </c>
      <c r="G1323" t="s">
        <v>38</v>
      </c>
      <c r="H1323" t="s">
        <v>70</v>
      </c>
      <c r="I1323" t="s">
        <v>71</v>
      </c>
      <c r="J1323">
        <v>1</v>
      </c>
      <c r="K1323">
        <v>349</v>
      </c>
      <c r="L1323">
        <f>Table1[[#This Row],[Quantity]] * Table1[[#This Row],[UnitPrice]]</f>
        <v>349</v>
      </c>
      <c r="M1323" s="25">
        <v>0</v>
      </c>
      <c r="N1323">
        <f>Table1[[#This Row],[Revenue]]*Table1[[#This Row],[Discount%]]/100</f>
        <v>0</v>
      </c>
      <c r="O1323" s="6">
        <f>Table1[[#This Row],[Revenue]]-Table1[[#This Row],[Disc_amount]]</f>
        <v>349</v>
      </c>
      <c r="P1323" t="s">
        <v>26</v>
      </c>
      <c r="Q1323" t="s">
        <v>34</v>
      </c>
    </row>
    <row r="1324" spans="1:17">
      <c r="A1324" t="s">
        <v>2095</v>
      </c>
      <c r="B1324" s="1" t="s">
        <v>1232</v>
      </c>
      <c r="C1324" s="1" t="s">
        <v>2018</v>
      </c>
      <c r="D1324" s="1" t="s">
        <v>20</v>
      </c>
      <c r="E1324" t="s">
        <v>862</v>
      </c>
      <c r="F1324" t="s">
        <v>863</v>
      </c>
      <c r="G1324" t="s">
        <v>56</v>
      </c>
      <c r="H1324" t="s">
        <v>24</v>
      </c>
      <c r="I1324" t="s">
        <v>25</v>
      </c>
      <c r="J1324">
        <v>2</v>
      </c>
      <c r="K1324">
        <v>99</v>
      </c>
      <c r="L1324">
        <f>Table1[[#This Row],[Quantity]] * Table1[[#This Row],[UnitPrice]]</f>
        <v>198</v>
      </c>
      <c r="M1324" s="25">
        <v>15</v>
      </c>
      <c r="N1324">
        <f>Table1[[#This Row],[Revenue]]*Table1[[#This Row],[Discount%]]/100</f>
        <v>29.7</v>
      </c>
      <c r="O1324" s="6">
        <f>Table1[[#This Row],[Revenue]]-Table1[[#This Row],[Disc_amount]]</f>
        <v>168.3</v>
      </c>
      <c r="P1324" t="s">
        <v>41</v>
      </c>
      <c r="Q1324" t="s">
        <v>34</v>
      </c>
    </row>
    <row r="1325" spans="1:17">
      <c r="A1325" t="s">
        <v>2096</v>
      </c>
      <c r="B1325" s="1" t="s">
        <v>1232</v>
      </c>
      <c r="C1325" s="1" t="s">
        <v>2018</v>
      </c>
      <c r="D1325" s="1" t="s">
        <v>20</v>
      </c>
      <c r="E1325" t="s">
        <v>780</v>
      </c>
      <c r="F1325" t="s">
        <v>504</v>
      </c>
      <c r="G1325" t="s">
        <v>56</v>
      </c>
      <c r="H1325" t="s">
        <v>108</v>
      </c>
      <c r="I1325" t="s">
        <v>109</v>
      </c>
      <c r="J1325">
        <v>1</v>
      </c>
      <c r="K1325">
        <v>1499</v>
      </c>
      <c r="L1325">
        <f>Table1[[#This Row],[Quantity]] * Table1[[#This Row],[UnitPrice]]</f>
        <v>1499</v>
      </c>
      <c r="M1325" s="25">
        <v>0</v>
      </c>
      <c r="N1325">
        <f>Table1[[#This Row],[Revenue]]*Table1[[#This Row],[Discount%]]/100</f>
        <v>0</v>
      </c>
      <c r="O1325" s="6">
        <f>Table1[[#This Row],[Revenue]]-Table1[[#This Row],[Disc_amount]]</f>
        <v>1499</v>
      </c>
      <c r="P1325" t="s">
        <v>41</v>
      </c>
      <c r="Q1325" t="s">
        <v>34</v>
      </c>
    </row>
    <row r="1326" spans="1:17">
      <c r="A1326" t="s">
        <v>2097</v>
      </c>
      <c r="B1326" s="1" t="s">
        <v>1232</v>
      </c>
      <c r="C1326" s="1" t="s">
        <v>2018</v>
      </c>
      <c r="D1326" s="1" t="s">
        <v>20</v>
      </c>
      <c r="E1326" t="s">
        <v>392</v>
      </c>
      <c r="F1326" t="s">
        <v>236</v>
      </c>
      <c r="G1326" t="s">
        <v>31</v>
      </c>
      <c r="H1326" t="s">
        <v>70</v>
      </c>
      <c r="I1326" t="s">
        <v>91</v>
      </c>
      <c r="J1326">
        <v>2</v>
      </c>
      <c r="K1326">
        <v>549</v>
      </c>
      <c r="L1326">
        <f>Table1[[#This Row],[Quantity]] * Table1[[#This Row],[UnitPrice]]</f>
        <v>1098</v>
      </c>
      <c r="M1326" s="25">
        <v>5</v>
      </c>
      <c r="N1326">
        <f>Table1[[#This Row],[Revenue]]*Table1[[#This Row],[Discount%]]/100</f>
        <v>54.9</v>
      </c>
      <c r="O1326" s="6">
        <f>Table1[[#This Row],[Revenue]]-Table1[[#This Row],[Disc_amount]]</f>
        <v>1043.0999999999999</v>
      </c>
      <c r="P1326" t="s">
        <v>26</v>
      </c>
      <c r="Q1326" t="s">
        <v>34</v>
      </c>
    </row>
    <row r="1327" spans="1:17">
      <c r="A1327" t="s">
        <v>2098</v>
      </c>
      <c r="B1327" s="1" t="s">
        <v>1232</v>
      </c>
      <c r="C1327" s="1" t="s">
        <v>2018</v>
      </c>
      <c r="D1327" s="1" t="s">
        <v>20</v>
      </c>
      <c r="E1327" t="s">
        <v>893</v>
      </c>
      <c r="F1327" t="s">
        <v>434</v>
      </c>
      <c r="G1327" t="s">
        <v>31</v>
      </c>
      <c r="H1327" t="s">
        <v>39</v>
      </c>
      <c r="I1327" t="s">
        <v>140</v>
      </c>
      <c r="J1327">
        <v>1</v>
      </c>
      <c r="K1327">
        <v>1799</v>
      </c>
      <c r="L1327">
        <f>Table1[[#This Row],[Quantity]] * Table1[[#This Row],[UnitPrice]]</f>
        <v>1799</v>
      </c>
      <c r="M1327" s="25">
        <v>0</v>
      </c>
      <c r="N1327">
        <f>Table1[[#This Row],[Revenue]]*Table1[[#This Row],[Discount%]]/100</f>
        <v>0</v>
      </c>
      <c r="O1327" s="6">
        <f>Table1[[#This Row],[Revenue]]-Table1[[#This Row],[Disc_amount]]</f>
        <v>1799</v>
      </c>
      <c r="P1327" t="s">
        <v>33</v>
      </c>
      <c r="Q1327" t="s">
        <v>34</v>
      </c>
    </row>
    <row r="1328" spans="1:17">
      <c r="A1328" t="s">
        <v>2099</v>
      </c>
      <c r="B1328" s="1" t="s">
        <v>1232</v>
      </c>
      <c r="C1328" s="1" t="s">
        <v>2018</v>
      </c>
      <c r="D1328" s="1" t="s">
        <v>20</v>
      </c>
      <c r="E1328" t="s">
        <v>433</v>
      </c>
      <c r="F1328" t="s">
        <v>434</v>
      </c>
      <c r="G1328" t="s">
        <v>31</v>
      </c>
      <c r="H1328" t="s">
        <v>70</v>
      </c>
      <c r="I1328" t="s">
        <v>91</v>
      </c>
      <c r="J1328">
        <v>1</v>
      </c>
      <c r="K1328">
        <v>549</v>
      </c>
      <c r="L1328">
        <f>Table1[[#This Row],[Quantity]] * Table1[[#This Row],[UnitPrice]]</f>
        <v>549</v>
      </c>
      <c r="M1328" s="25">
        <v>0</v>
      </c>
      <c r="N1328">
        <f>Table1[[#This Row],[Revenue]]*Table1[[#This Row],[Discount%]]/100</f>
        <v>0</v>
      </c>
      <c r="O1328" s="6">
        <f>Table1[[#This Row],[Revenue]]-Table1[[#This Row],[Disc_amount]]</f>
        <v>549</v>
      </c>
      <c r="P1328" t="s">
        <v>33</v>
      </c>
      <c r="Q1328" t="s">
        <v>34</v>
      </c>
    </row>
    <row r="1329" spans="1:17">
      <c r="A1329" t="s">
        <v>2100</v>
      </c>
      <c r="B1329" s="1" t="s">
        <v>1232</v>
      </c>
      <c r="C1329" s="1" t="s">
        <v>2018</v>
      </c>
      <c r="D1329" s="1" t="s">
        <v>20</v>
      </c>
      <c r="E1329" t="s">
        <v>1422</v>
      </c>
      <c r="F1329" t="s">
        <v>236</v>
      </c>
      <c r="G1329" t="s">
        <v>23</v>
      </c>
      <c r="H1329" t="s">
        <v>24</v>
      </c>
      <c r="I1329" t="s">
        <v>25</v>
      </c>
      <c r="J1329">
        <v>1</v>
      </c>
      <c r="K1329">
        <v>99</v>
      </c>
      <c r="L1329">
        <f>Table1[[#This Row],[Quantity]] * Table1[[#This Row],[UnitPrice]]</f>
        <v>99</v>
      </c>
      <c r="M1329" s="25">
        <v>15</v>
      </c>
      <c r="N1329">
        <f>Table1[[#This Row],[Revenue]]*Table1[[#This Row],[Discount%]]/100</f>
        <v>14.85</v>
      </c>
      <c r="O1329" s="6">
        <f>Table1[[#This Row],[Revenue]]-Table1[[#This Row],[Disc_amount]]</f>
        <v>84.15</v>
      </c>
      <c r="P1329" t="s">
        <v>41</v>
      </c>
      <c r="Q1329" t="s">
        <v>27</v>
      </c>
    </row>
    <row r="1330" spans="1:17">
      <c r="A1330" t="s">
        <v>2101</v>
      </c>
      <c r="B1330" s="1" t="s">
        <v>1232</v>
      </c>
      <c r="C1330" s="1" t="s">
        <v>2018</v>
      </c>
      <c r="D1330" s="1" t="s">
        <v>20</v>
      </c>
      <c r="E1330" t="s">
        <v>394</v>
      </c>
      <c r="F1330" t="s">
        <v>338</v>
      </c>
      <c r="G1330" t="s">
        <v>38</v>
      </c>
      <c r="H1330" t="s">
        <v>65</v>
      </c>
      <c r="I1330" t="s">
        <v>98</v>
      </c>
      <c r="J1330">
        <v>1</v>
      </c>
      <c r="K1330">
        <v>499</v>
      </c>
      <c r="L1330">
        <f>Table1[[#This Row],[Quantity]] * Table1[[#This Row],[UnitPrice]]</f>
        <v>499</v>
      </c>
      <c r="M1330" s="25">
        <v>15</v>
      </c>
      <c r="N1330">
        <f>Table1[[#This Row],[Revenue]]*Table1[[#This Row],[Discount%]]/100</f>
        <v>74.849999999999994</v>
      </c>
      <c r="O1330" s="6">
        <f>Table1[[#This Row],[Revenue]]-Table1[[#This Row],[Disc_amount]]</f>
        <v>424.15</v>
      </c>
      <c r="P1330" t="s">
        <v>26</v>
      </c>
      <c r="Q1330" t="s">
        <v>34</v>
      </c>
    </row>
    <row r="1331" spans="1:17">
      <c r="A1331" t="s">
        <v>2102</v>
      </c>
      <c r="B1331" s="1" t="s">
        <v>1232</v>
      </c>
      <c r="C1331" s="1" t="s">
        <v>2018</v>
      </c>
      <c r="D1331" s="1" t="s">
        <v>20</v>
      </c>
      <c r="E1331" t="s">
        <v>1291</v>
      </c>
      <c r="F1331" t="s">
        <v>1292</v>
      </c>
      <c r="G1331" t="s">
        <v>23</v>
      </c>
      <c r="H1331" t="s">
        <v>57</v>
      </c>
      <c r="I1331" t="s">
        <v>58</v>
      </c>
      <c r="J1331">
        <v>1</v>
      </c>
      <c r="K1331">
        <v>1299</v>
      </c>
      <c r="L1331">
        <f>Table1[[#This Row],[Quantity]] * Table1[[#This Row],[UnitPrice]]</f>
        <v>1299</v>
      </c>
      <c r="M1331" s="25">
        <v>5</v>
      </c>
      <c r="N1331">
        <f>Table1[[#This Row],[Revenue]]*Table1[[#This Row],[Discount%]]/100</f>
        <v>64.95</v>
      </c>
      <c r="O1331" s="6">
        <f>Table1[[#This Row],[Revenue]]-Table1[[#This Row],[Disc_amount]]</f>
        <v>1234.05</v>
      </c>
      <c r="P1331" t="s">
        <v>86</v>
      </c>
      <c r="Q1331" t="s">
        <v>34</v>
      </c>
    </row>
    <row r="1332" spans="1:17">
      <c r="A1332" t="s">
        <v>2103</v>
      </c>
      <c r="B1332" s="1" t="s">
        <v>1243</v>
      </c>
      <c r="C1332" s="1" t="s">
        <v>2018</v>
      </c>
      <c r="D1332" s="1" t="s">
        <v>20</v>
      </c>
      <c r="E1332" t="s">
        <v>1101</v>
      </c>
      <c r="F1332" t="s">
        <v>989</v>
      </c>
      <c r="G1332" t="s">
        <v>31</v>
      </c>
      <c r="H1332" t="s">
        <v>24</v>
      </c>
      <c r="I1332" t="s">
        <v>32</v>
      </c>
      <c r="J1332">
        <v>1</v>
      </c>
      <c r="K1332">
        <v>199</v>
      </c>
      <c r="L1332">
        <f>Table1[[#This Row],[Quantity]] * Table1[[#This Row],[UnitPrice]]</f>
        <v>199</v>
      </c>
      <c r="M1332" s="25">
        <v>15</v>
      </c>
      <c r="N1332">
        <f>Table1[[#This Row],[Revenue]]*Table1[[#This Row],[Discount%]]/100</f>
        <v>29.85</v>
      </c>
      <c r="O1332" s="6">
        <f>Table1[[#This Row],[Revenue]]-Table1[[#This Row],[Disc_amount]]</f>
        <v>169.15</v>
      </c>
      <c r="P1332" t="s">
        <v>33</v>
      </c>
      <c r="Q1332" t="s">
        <v>34</v>
      </c>
    </row>
    <row r="1333" spans="1:17">
      <c r="A1333" t="s">
        <v>2104</v>
      </c>
      <c r="B1333" s="1" t="s">
        <v>1243</v>
      </c>
      <c r="C1333" s="1" t="s">
        <v>2018</v>
      </c>
      <c r="D1333" s="1" t="s">
        <v>20</v>
      </c>
      <c r="E1333" t="s">
        <v>821</v>
      </c>
      <c r="F1333" t="s">
        <v>714</v>
      </c>
      <c r="G1333" t="s">
        <v>31</v>
      </c>
      <c r="H1333" t="s">
        <v>39</v>
      </c>
      <c r="I1333" t="s">
        <v>140</v>
      </c>
      <c r="J1333">
        <v>1</v>
      </c>
      <c r="K1333">
        <v>1799</v>
      </c>
      <c r="L1333">
        <f>Table1[[#This Row],[Quantity]] * Table1[[#This Row],[UnitPrice]]</f>
        <v>1799</v>
      </c>
      <c r="M1333" s="25">
        <v>15</v>
      </c>
      <c r="N1333">
        <f>Table1[[#This Row],[Revenue]]*Table1[[#This Row],[Discount%]]/100</f>
        <v>269.85000000000002</v>
      </c>
      <c r="O1333" s="6">
        <f>Table1[[#This Row],[Revenue]]-Table1[[#This Row],[Disc_amount]]</f>
        <v>1529.15</v>
      </c>
      <c r="P1333" t="s">
        <v>33</v>
      </c>
      <c r="Q1333" t="s">
        <v>27</v>
      </c>
    </row>
    <row r="1334" spans="1:17">
      <c r="A1334" t="s">
        <v>2105</v>
      </c>
      <c r="B1334" s="1" t="s">
        <v>1243</v>
      </c>
      <c r="C1334" s="1" t="s">
        <v>2018</v>
      </c>
      <c r="D1334" s="1" t="s">
        <v>20</v>
      </c>
      <c r="E1334" t="s">
        <v>1088</v>
      </c>
      <c r="F1334" t="s">
        <v>160</v>
      </c>
      <c r="G1334" t="s">
        <v>23</v>
      </c>
      <c r="H1334" t="s">
        <v>46</v>
      </c>
      <c r="I1334" t="s">
        <v>47</v>
      </c>
      <c r="J1334">
        <v>3</v>
      </c>
      <c r="K1334">
        <v>249</v>
      </c>
      <c r="L1334">
        <f>Table1[[#This Row],[Quantity]] * Table1[[#This Row],[UnitPrice]]</f>
        <v>747</v>
      </c>
      <c r="M1334" s="25">
        <v>0</v>
      </c>
      <c r="N1334">
        <f>Table1[[#This Row],[Revenue]]*Table1[[#This Row],[Discount%]]/100</f>
        <v>0</v>
      </c>
      <c r="O1334" s="6">
        <f>Table1[[#This Row],[Revenue]]-Table1[[#This Row],[Disc_amount]]</f>
        <v>747</v>
      </c>
      <c r="P1334" t="s">
        <v>41</v>
      </c>
      <c r="Q1334" t="s">
        <v>27</v>
      </c>
    </row>
    <row r="1335" spans="1:17">
      <c r="A1335" t="s">
        <v>2106</v>
      </c>
      <c r="B1335" s="1" t="s">
        <v>1243</v>
      </c>
      <c r="C1335" s="1" t="s">
        <v>2018</v>
      </c>
      <c r="D1335" s="1" t="s">
        <v>20</v>
      </c>
      <c r="E1335" t="s">
        <v>616</v>
      </c>
      <c r="F1335" t="s">
        <v>617</v>
      </c>
      <c r="G1335" t="s">
        <v>56</v>
      </c>
      <c r="H1335" t="s">
        <v>70</v>
      </c>
      <c r="I1335" t="s">
        <v>91</v>
      </c>
      <c r="J1335">
        <v>1</v>
      </c>
      <c r="K1335">
        <v>549</v>
      </c>
      <c r="L1335">
        <f>Table1[[#This Row],[Quantity]] * Table1[[#This Row],[UnitPrice]]</f>
        <v>549</v>
      </c>
      <c r="M1335" s="25">
        <v>0</v>
      </c>
      <c r="N1335">
        <f>Table1[[#This Row],[Revenue]]*Table1[[#This Row],[Discount%]]/100</f>
        <v>0</v>
      </c>
      <c r="O1335" s="6">
        <f>Table1[[#This Row],[Revenue]]-Table1[[#This Row],[Disc_amount]]</f>
        <v>549</v>
      </c>
      <c r="P1335" t="s">
        <v>26</v>
      </c>
      <c r="Q1335" t="s">
        <v>34</v>
      </c>
    </row>
    <row r="1336" spans="1:17">
      <c r="A1336" t="s">
        <v>2107</v>
      </c>
      <c r="B1336" s="1" t="s">
        <v>1243</v>
      </c>
      <c r="C1336" s="1" t="s">
        <v>2018</v>
      </c>
      <c r="D1336" s="1" t="s">
        <v>20</v>
      </c>
      <c r="E1336" t="s">
        <v>1257</v>
      </c>
      <c r="F1336" t="s">
        <v>248</v>
      </c>
      <c r="G1336" t="s">
        <v>23</v>
      </c>
      <c r="H1336" t="s">
        <v>46</v>
      </c>
      <c r="I1336" t="s">
        <v>47</v>
      </c>
      <c r="J1336">
        <v>1</v>
      </c>
      <c r="K1336">
        <v>249</v>
      </c>
      <c r="L1336">
        <f>Table1[[#This Row],[Quantity]] * Table1[[#This Row],[UnitPrice]]</f>
        <v>249</v>
      </c>
      <c r="M1336" s="25">
        <v>0</v>
      </c>
      <c r="N1336">
        <f>Table1[[#This Row],[Revenue]]*Table1[[#This Row],[Discount%]]/100</f>
        <v>0</v>
      </c>
      <c r="O1336" s="6">
        <f>Table1[[#This Row],[Revenue]]-Table1[[#This Row],[Disc_amount]]</f>
        <v>249</v>
      </c>
      <c r="P1336" t="s">
        <v>26</v>
      </c>
      <c r="Q1336" t="s">
        <v>27</v>
      </c>
    </row>
    <row r="1337" spans="1:17">
      <c r="A1337" t="s">
        <v>2108</v>
      </c>
      <c r="B1337" s="1" t="s">
        <v>1243</v>
      </c>
      <c r="C1337" s="1" t="s">
        <v>2018</v>
      </c>
      <c r="D1337" s="1" t="s">
        <v>20</v>
      </c>
      <c r="E1337" t="s">
        <v>780</v>
      </c>
      <c r="F1337" t="s">
        <v>504</v>
      </c>
      <c r="G1337" t="s">
        <v>56</v>
      </c>
      <c r="H1337" t="s">
        <v>108</v>
      </c>
      <c r="I1337" t="s">
        <v>130</v>
      </c>
      <c r="J1337">
        <v>3</v>
      </c>
      <c r="K1337">
        <v>699</v>
      </c>
      <c r="L1337">
        <f>Table1[[#This Row],[Quantity]] * Table1[[#This Row],[UnitPrice]]</f>
        <v>2097</v>
      </c>
      <c r="M1337" s="25">
        <v>20</v>
      </c>
      <c r="N1337">
        <f>Table1[[#This Row],[Revenue]]*Table1[[#This Row],[Discount%]]/100</f>
        <v>419.4</v>
      </c>
      <c r="O1337" s="6">
        <f>Table1[[#This Row],[Revenue]]-Table1[[#This Row],[Disc_amount]]</f>
        <v>1677.6</v>
      </c>
      <c r="P1337" t="s">
        <v>52</v>
      </c>
      <c r="Q1337" t="s">
        <v>27</v>
      </c>
    </row>
    <row r="1338" spans="1:17">
      <c r="A1338" t="s">
        <v>2109</v>
      </c>
      <c r="B1338" s="1" t="s">
        <v>1243</v>
      </c>
      <c r="C1338" s="1" t="s">
        <v>2018</v>
      </c>
      <c r="D1338" s="1" t="s">
        <v>20</v>
      </c>
      <c r="E1338" t="s">
        <v>1623</v>
      </c>
      <c r="F1338" t="s">
        <v>1624</v>
      </c>
      <c r="G1338" t="s">
        <v>38</v>
      </c>
      <c r="H1338" t="s">
        <v>39</v>
      </c>
      <c r="I1338" t="s">
        <v>51</v>
      </c>
      <c r="J1338">
        <v>3</v>
      </c>
      <c r="K1338">
        <v>2999</v>
      </c>
      <c r="L1338">
        <f>Table1[[#This Row],[Quantity]] * Table1[[#This Row],[UnitPrice]]</f>
        <v>8997</v>
      </c>
      <c r="M1338" s="25">
        <v>10</v>
      </c>
      <c r="N1338">
        <f>Table1[[#This Row],[Revenue]]*Table1[[#This Row],[Discount%]]/100</f>
        <v>899.7</v>
      </c>
      <c r="O1338" s="6">
        <f>Table1[[#This Row],[Revenue]]-Table1[[#This Row],[Disc_amount]]</f>
        <v>8097.3</v>
      </c>
      <c r="P1338" t="s">
        <v>41</v>
      </c>
      <c r="Q1338" t="s">
        <v>34</v>
      </c>
    </row>
    <row r="1339" spans="1:17">
      <c r="A1339" t="s">
        <v>2110</v>
      </c>
      <c r="B1339" s="1" t="s">
        <v>1243</v>
      </c>
      <c r="C1339" s="1" t="s">
        <v>2018</v>
      </c>
      <c r="D1339" s="1" t="s">
        <v>20</v>
      </c>
      <c r="E1339" t="s">
        <v>943</v>
      </c>
      <c r="F1339" t="s">
        <v>944</v>
      </c>
      <c r="G1339" t="s">
        <v>31</v>
      </c>
      <c r="H1339" t="s">
        <v>46</v>
      </c>
      <c r="I1339" t="s">
        <v>154</v>
      </c>
      <c r="J1339">
        <v>1</v>
      </c>
      <c r="K1339">
        <v>299</v>
      </c>
      <c r="L1339">
        <f>Table1[[#This Row],[Quantity]] * Table1[[#This Row],[UnitPrice]]</f>
        <v>299</v>
      </c>
      <c r="M1339" s="25">
        <v>20</v>
      </c>
      <c r="N1339">
        <f>Table1[[#This Row],[Revenue]]*Table1[[#This Row],[Discount%]]/100</f>
        <v>59.8</v>
      </c>
      <c r="O1339" s="6">
        <f>Table1[[#This Row],[Revenue]]-Table1[[#This Row],[Disc_amount]]</f>
        <v>239.2</v>
      </c>
      <c r="P1339" t="s">
        <v>33</v>
      </c>
      <c r="Q1339" t="s">
        <v>27</v>
      </c>
    </row>
    <row r="1340" spans="1:17">
      <c r="A1340" t="s">
        <v>2111</v>
      </c>
      <c r="B1340" s="1" t="s">
        <v>1243</v>
      </c>
      <c r="C1340" s="1" t="s">
        <v>2018</v>
      </c>
      <c r="D1340" s="1" t="s">
        <v>20</v>
      </c>
      <c r="E1340" t="s">
        <v>169</v>
      </c>
      <c r="F1340" t="s">
        <v>170</v>
      </c>
      <c r="G1340" t="s">
        <v>45</v>
      </c>
      <c r="H1340" t="s">
        <v>24</v>
      </c>
      <c r="I1340" t="s">
        <v>32</v>
      </c>
      <c r="J1340">
        <v>3</v>
      </c>
      <c r="K1340">
        <v>199</v>
      </c>
      <c r="L1340">
        <f>Table1[[#This Row],[Quantity]] * Table1[[#This Row],[UnitPrice]]</f>
        <v>597</v>
      </c>
      <c r="M1340" s="25">
        <v>20</v>
      </c>
      <c r="N1340">
        <f>Table1[[#This Row],[Revenue]]*Table1[[#This Row],[Discount%]]/100</f>
        <v>119.4</v>
      </c>
      <c r="O1340" s="6">
        <f>Table1[[#This Row],[Revenue]]-Table1[[#This Row],[Disc_amount]]</f>
        <v>477.6</v>
      </c>
      <c r="P1340" t="s">
        <v>33</v>
      </c>
      <c r="Q1340" t="s">
        <v>34</v>
      </c>
    </row>
    <row r="1341" spans="1:17">
      <c r="A1341" t="s">
        <v>2112</v>
      </c>
      <c r="B1341" s="1" t="s">
        <v>1249</v>
      </c>
      <c r="C1341" s="1" t="s">
        <v>2018</v>
      </c>
      <c r="D1341" s="1" t="s">
        <v>20</v>
      </c>
      <c r="E1341" t="s">
        <v>1015</v>
      </c>
      <c r="F1341" t="s">
        <v>123</v>
      </c>
      <c r="G1341" t="s">
        <v>56</v>
      </c>
      <c r="H1341" t="s">
        <v>39</v>
      </c>
      <c r="I1341" t="s">
        <v>40</v>
      </c>
      <c r="J1341">
        <v>1</v>
      </c>
      <c r="K1341">
        <v>599</v>
      </c>
      <c r="L1341">
        <f>Table1[[#This Row],[Quantity]] * Table1[[#This Row],[UnitPrice]]</f>
        <v>599</v>
      </c>
      <c r="M1341" s="25">
        <v>20</v>
      </c>
      <c r="N1341">
        <f>Table1[[#This Row],[Revenue]]*Table1[[#This Row],[Discount%]]/100</f>
        <v>119.8</v>
      </c>
      <c r="O1341" s="6">
        <f>Table1[[#This Row],[Revenue]]-Table1[[#This Row],[Disc_amount]]</f>
        <v>479.2</v>
      </c>
      <c r="P1341" t="s">
        <v>26</v>
      </c>
      <c r="Q1341" t="s">
        <v>27</v>
      </c>
    </row>
    <row r="1342" spans="1:17">
      <c r="A1342" t="s">
        <v>2113</v>
      </c>
      <c r="B1342" s="1" t="s">
        <v>1249</v>
      </c>
      <c r="C1342" s="1" t="s">
        <v>2018</v>
      </c>
      <c r="D1342" s="1" t="s">
        <v>20</v>
      </c>
      <c r="E1342" t="s">
        <v>793</v>
      </c>
      <c r="F1342" t="s">
        <v>129</v>
      </c>
      <c r="G1342" t="s">
        <v>38</v>
      </c>
      <c r="H1342" t="s">
        <v>39</v>
      </c>
      <c r="I1342" t="s">
        <v>51</v>
      </c>
      <c r="J1342">
        <v>1</v>
      </c>
      <c r="K1342">
        <v>2999</v>
      </c>
      <c r="L1342">
        <f>Table1[[#This Row],[Quantity]] * Table1[[#This Row],[UnitPrice]]</f>
        <v>2999</v>
      </c>
      <c r="M1342" s="25">
        <v>0</v>
      </c>
      <c r="N1342">
        <f>Table1[[#This Row],[Revenue]]*Table1[[#This Row],[Discount%]]/100</f>
        <v>0</v>
      </c>
      <c r="O1342" s="6">
        <f>Table1[[#This Row],[Revenue]]-Table1[[#This Row],[Disc_amount]]</f>
        <v>2999</v>
      </c>
      <c r="P1342" t="s">
        <v>26</v>
      </c>
      <c r="Q1342" t="s">
        <v>27</v>
      </c>
    </row>
    <row r="1343" spans="1:17">
      <c r="A1343" t="s">
        <v>2114</v>
      </c>
      <c r="B1343" s="1" t="s">
        <v>1262</v>
      </c>
      <c r="C1343" s="1" t="s">
        <v>2018</v>
      </c>
      <c r="D1343" s="1" t="s">
        <v>20</v>
      </c>
      <c r="E1343" t="s">
        <v>122</v>
      </c>
      <c r="F1343" t="s">
        <v>123</v>
      </c>
      <c r="G1343" t="s">
        <v>45</v>
      </c>
      <c r="H1343" t="s">
        <v>57</v>
      </c>
      <c r="I1343" t="s">
        <v>62</v>
      </c>
      <c r="J1343">
        <v>1</v>
      </c>
      <c r="K1343">
        <v>799</v>
      </c>
      <c r="L1343">
        <f>Table1[[#This Row],[Quantity]] * Table1[[#This Row],[UnitPrice]]</f>
        <v>799</v>
      </c>
      <c r="M1343" s="25">
        <v>0</v>
      </c>
      <c r="N1343">
        <f>Table1[[#This Row],[Revenue]]*Table1[[#This Row],[Discount%]]/100</f>
        <v>0</v>
      </c>
      <c r="O1343" s="6">
        <f>Table1[[#This Row],[Revenue]]-Table1[[#This Row],[Disc_amount]]</f>
        <v>799</v>
      </c>
      <c r="P1343" t="s">
        <v>33</v>
      </c>
      <c r="Q1343" t="s">
        <v>27</v>
      </c>
    </row>
    <row r="1344" spans="1:17">
      <c r="A1344" t="s">
        <v>2115</v>
      </c>
      <c r="B1344" s="1" t="s">
        <v>1262</v>
      </c>
      <c r="C1344" s="1" t="s">
        <v>2018</v>
      </c>
      <c r="D1344" s="1" t="s">
        <v>20</v>
      </c>
      <c r="E1344" t="s">
        <v>899</v>
      </c>
      <c r="F1344" t="s">
        <v>900</v>
      </c>
      <c r="G1344" t="s">
        <v>38</v>
      </c>
      <c r="H1344" t="s">
        <v>108</v>
      </c>
      <c r="I1344" t="s">
        <v>109</v>
      </c>
      <c r="J1344">
        <v>2</v>
      </c>
      <c r="K1344">
        <v>1499</v>
      </c>
      <c r="L1344">
        <f>Table1[[#This Row],[Quantity]] * Table1[[#This Row],[UnitPrice]]</f>
        <v>2998</v>
      </c>
      <c r="M1344" s="25">
        <v>15</v>
      </c>
      <c r="N1344">
        <f>Table1[[#This Row],[Revenue]]*Table1[[#This Row],[Discount%]]/100</f>
        <v>449.7</v>
      </c>
      <c r="O1344" s="6">
        <f>Table1[[#This Row],[Revenue]]-Table1[[#This Row],[Disc_amount]]</f>
        <v>2548.3000000000002</v>
      </c>
      <c r="P1344" t="s">
        <v>26</v>
      </c>
      <c r="Q1344" t="s">
        <v>27</v>
      </c>
    </row>
    <row r="1345" spans="1:17">
      <c r="A1345" t="s">
        <v>2116</v>
      </c>
      <c r="B1345" s="1" t="s">
        <v>1262</v>
      </c>
      <c r="C1345" s="1" t="s">
        <v>2018</v>
      </c>
      <c r="D1345" s="1" t="s">
        <v>20</v>
      </c>
      <c r="E1345" t="s">
        <v>1382</v>
      </c>
      <c r="F1345" t="s">
        <v>173</v>
      </c>
      <c r="G1345" t="s">
        <v>45</v>
      </c>
      <c r="H1345" t="s">
        <v>65</v>
      </c>
      <c r="I1345" t="s">
        <v>94</v>
      </c>
      <c r="J1345">
        <v>1</v>
      </c>
      <c r="K1345">
        <v>899</v>
      </c>
      <c r="L1345">
        <f>Table1[[#This Row],[Quantity]] * Table1[[#This Row],[UnitPrice]]</f>
        <v>899</v>
      </c>
      <c r="M1345" s="25">
        <v>15</v>
      </c>
      <c r="N1345">
        <f>Table1[[#This Row],[Revenue]]*Table1[[#This Row],[Discount%]]/100</f>
        <v>134.85</v>
      </c>
      <c r="O1345" s="6">
        <f>Table1[[#This Row],[Revenue]]-Table1[[#This Row],[Disc_amount]]</f>
        <v>764.15</v>
      </c>
      <c r="P1345" t="s">
        <v>41</v>
      </c>
      <c r="Q1345" t="s">
        <v>27</v>
      </c>
    </row>
    <row r="1346" spans="1:17">
      <c r="A1346" t="s">
        <v>2117</v>
      </c>
      <c r="B1346" s="1" t="s">
        <v>1262</v>
      </c>
      <c r="C1346" s="1" t="s">
        <v>2018</v>
      </c>
      <c r="D1346" s="1" t="s">
        <v>20</v>
      </c>
      <c r="E1346" t="s">
        <v>247</v>
      </c>
      <c r="F1346" t="s">
        <v>248</v>
      </c>
      <c r="G1346" t="s">
        <v>38</v>
      </c>
      <c r="H1346" t="s">
        <v>70</v>
      </c>
      <c r="I1346" t="s">
        <v>71</v>
      </c>
      <c r="J1346">
        <v>1</v>
      </c>
      <c r="K1346">
        <v>349</v>
      </c>
      <c r="L1346">
        <f>Table1[[#This Row],[Quantity]] * Table1[[#This Row],[UnitPrice]]</f>
        <v>349</v>
      </c>
      <c r="M1346" s="25">
        <v>10</v>
      </c>
      <c r="N1346">
        <f>Table1[[#This Row],[Revenue]]*Table1[[#This Row],[Discount%]]/100</f>
        <v>34.9</v>
      </c>
      <c r="O1346" s="6">
        <f>Table1[[#This Row],[Revenue]]-Table1[[#This Row],[Disc_amount]]</f>
        <v>314.10000000000002</v>
      </c>
      <c r="P1346" t="s">
        <v>41</v>
      </c>
      <c r="Q1346" t="s">
        <v>34</v>
      </c>
    </row>
    <row r="1347" spans="1:17">
      <c r="A1347" t="s">
        <v>2118</v>
      </c>
      <c r="B1347" s="1" t="s">
        <v>1262</v>
      </c>
      <c r="C1347" s="1" t="s">
        <v>2018</v>
      </c>
      <c r="D1347" s="1" t="s">
        <v>20</v>
      </c>
      <c r="E1347" t="s">
        <v>657</v>
      </c>
      <c r="F1347" t="s">
        <v>147</v>
      </c>
      <c r="G1347" t="s">
        <v>23</v>
      </c>
      <c r="H1347" t="s">
        <v>24</v>
      </c>
      <c r="I1347" t="s">
        <v>32</v>
      </c>
      <c r="J1347">
        <v>1</v>
      </c>
      <c r="K1347">
        <v>199</v>
      </c>
      <c r="L1347">
        <f>Table1[[#This Row],[Quantity]] * Table1[[#This Row],[UnitPrice]]</f>
        <v>199</v>
      </c>
      <c r="M1347" s="25">
        <v>0</v>
      </c>
      <c r="N1347">
        <f>Table1[[#This Row],[Revenue]]*Table1[[#This Row],[Discount%]]/100</f>
        <v>0</v>
      </c>
      <c r="O1347" s="6">
        <f>Table1[[#This Row],[Revenue]]-Table1[[#This Row],[Disc_amount]]</f>
        <v>199</v>
      </c>
      <c r="P1347" t="s">
        <v>26</v>
      </c>
      <c r="Q1347" t="s">
        <v>34</v>
      </c>
    </row>
    <row r="1348" spans="1:17">
      <c r="A1348" t="s">
        <v>2119</v>
      </c>
      <c r="B1348" s="1" t="s">
        <v>1262</v>
      </c>
      <c r="C1348" s="1" t="s">
        <v>2018</v>
      </c>
      <c r="D1348" s="1" t="s">
        <v>20</v>
      </c>
      <c r="E1348" t="s">
        <v>791</v>
      </c>
      <c r="F1348" t="s">
        <v>37</v>
      </c>
      <c r="G1348" t="s">
        <v>45</v>
      </c>
      <c r="H1348" t="s">
        <v>65</v>
      </c>
      <c r="I1348" t="s">
        <v>94</v>
      </c>
      <c r="J1348">
        <v>1</v>
      </c>
      <c r="K1348">
        <v>899</v>
      </c>
      <c r="L1348">
        <f>Table1[[#This Row],[Quantity]] * Table1[[#This Row],[UnitPrice]]</f>
        <v>899</v>
      </c>
      <c r="M1348" s="25">
        <v>0</v>
      </c>
      <c r="N1348">
        <f>Table1[[#This Row],[Revenue]]*Table1[[#This Row],[Discount%]]/100</f>
        <v>0</v>
      </c>
      <c r="O1348" s="6">
        <f>Table1[[#This Row],[Revenue]]-Table1[[#This Row],[Disc_amount]]</f>
        <v>899</v>
      </c>
      <c r="P1348" t="s">
        <v>41</v>
      </c>
      <c r="Q1348" t="s">
        <v>34</v>
      </c>
    </row>
    <row r="1349" spans="1:17">
      <c r="A1349" t="s">
        <v>2120</v>
      </c>
      <c r="B1349" s="1" t="s">
        <v>1268</v>
      </c>
      <c r="C1349" s="1" t="s">
        <v>2018</v>
      </c>
      <c r="D1349" s="1" t="s">
        <v>20</v>
      </c>
      <c r="E1349" t="s">
        <v>1407</v>
      </c>
      <c r="F1349" t="s">
        <v>907</v>
      </c>
      <c r="G1349" t="s">
        <v>56</v>
      </c>
      <c r="H1349" t="s">
        <v>108</v>
      </c>
      <c r="I1349" t="s">
        <v>109</v>
      </c>
      <c r="J1349">
        <v>2</v>
      </c>
      <c r="K1349">
        <v>1499</v>
      </c>
      <c r="L1349">
        <f>Table1[[#This Row],[Quantity]] * Table1[[#This Row],[UnitPrice]]</f>
        <v>2998</v>
      </c>
      <c r="M1349" s="25">
        <v>10</v>
      </c>
      <c r="N1349">
        <f>Table1[[#This Row],[Revenue]]*Table1[[#This Row],[Discount%]]/100</f>
        <v>299.8</v>
      </c>
      <c r="O1349" s="6">
        <f>Table1[[#This Row],[Revenue]]-Table1[[#This Row],[Disc_amount]]</f>
        <v>2698.2</v>
      </c>
      <c r="P1349" t="s">
        <v>41</v>
      </c>
      <c r="Q1349" t="s">
        <v>27</v>
      </c>
    </row>
    <row r="1350" spans="1:17">
      <c r="A1350" t="s">
        <v>2121</v>
      </c>
      <c r="B1350" s="1" t="s">
        <v>1268</v>
      </c>
      <c r="C1350" s="1" t="s">
        <v>2018</v>
      </c>
      <c r="D1350" s="1" t="s">
        <v>20</v>
      </c>
      <c r="E1350" t="s">
        <v>424</v>
      </c>
      <c r="F1350" t="s">
        <v>425</v>
      </c>
      <c r="G1350" t="s">
        <v>56</v>
      </c>
      <c r="H1350" t="s">
        <v>24</v>
      </c>
      <c r="I1350" t="s">
        <v>25</v>
      </c>
      <c r="J1350">
        <v>3</v>
      </c>
      <c r="K1350">
        <v>99</v>
      </c>
      <c r="L1350">
        <f>Table1[[#This Row],[Quantity]] * Table1[[#This Row],[UnitPrice]]</f>
        <v>297</v>
      </c>
      <c r="M1350" s="25">
        <v>20</v>
      </c>
      <c r="N1350">
        <f>Table1[[#This Row],[Revenue]]*Table1[[#This Row],[Discount%]]/100</f>
        <v>59.4</v>
      </c>
      <c r="O1350" s="6">
        <f>Table1[[#This Row],[Revenue]]-Table1[[#This Row],[Disc_amount]]</f>
        <v>237.6</v>
      </c>
      <c r="P1350" t="s">
        <v>26</v>
      </c>
      <c r="Q1350" t="s">
        <v>27</v>
      </c>
    </row>
    <row r="1351" spans="1:17">
      <c r="A1351" t="s">
        <v>2122</v>
      </c>
      <c r="B1351" s="1" t="s">
        <v>1268</v>
      </c>
      <c r="C1351" s="1" t="s">
        <v>2018</v>
      </c>
      <c r="D1351" s="1" t="s">
        <v>20</v>
      </c>
      <c r="E1351" t="s">
        <v>1163</v>
      </c>
      <c r="F1351" t="s">
        <v>390</v>
      </c>
      <c r="G1351" t="s">
        <v>56</v>
      </c>
      <c r="H1351" t="s">
        <v>108</v>
      </c>
      <c r="I1351" t="s">
        <v>109</v>
      </c>
      <c r="J1351">
        <v>1</v>
      </c>
      <c r="K1351">
        <v>1499</v>
      </c>
      <c r="L1351">
        <f>Table1[[#This Row],[Quantity]] * Table1[[#This Row],[UnitPrice]]</f>
        <v>1499</v>
      </c>
      <c r="M1351" s="25">
        <v>5</v>
      </c>
      <c r="N1351">
        <f>Table1[[#This Row],[Revenue]]*Table1[[#This Row],[Discount%]]/100</f>
        <v>74.95</v>
      </c>
      <c r="O1351" s="6">
        <f>Table1[[#This Row],[Revenue]]-Table1[[#This Row],[Disc_amount]]</f>
        <v>1424.05</v>
      </c>
      <c r="P1351" t="s">
        <v>33</v>
      </c>
      <c r="Q1351" t="s">
        <v>27</v>
      </c>
    </row>
    <row r="1352" spans="1:17">
      <c r="A1352" t="s">
        <v>2123</v>
      </c>
      <c r="B1352" s="1" t="s">
        <v>1268</v>
      </c>
      <c r="C1352" s="1" t="s">
        <v>2018</v>
      </c>
      <c r="D1352" s="1" t="s">
        <v>20</v>
      </c>
      <c r="E1352" t="s">
        <v>783</v>
      </c>
      <c r="F1352" t="s">
        <v>784</v>
      </c>
      <c r="G1352" t="s">
        <v>23</v>
      </c>
      <c r="H1352" t="s">
        <v>65</v>
      </c>
      <c r="I1352" t="s">
        <v>66</v>
      </c>
      <c r="J1352">
        <v>1</v>
      </c>
      <c r="K1352">
        <v>1999</v>
      </c>
      <c r="L1352">
        <f>Table1[[#This Row],[Quantity]] * Table1[[#This Row],[UnitPrice]]</f>
        <v>1999</v>
      </c>
      <c r="M1352" s="25">
        <v>10</v>
      </c>
      <c r="N1352">
        <f>Table1[[#This Row],[Revenue]]*Table1[[#This Row],[Discount%]]/100</f>
        <v>199.9</v>
      </c>
      <c r="O1352" s="6">
        <f>Table1[[#This Row],[Revenue]]-Table1[[#This Row],[Disc_amount]]</f>
        <v>1799.1</v>
      </c>
      <c r="P1352" t="s">
        <v>52</v>
      </c>
      <c r="Q1352" t="s">
        <v>27</v>
      </c>
    </row>
    <row r="1353" spans="1:17">
      <c r="A1353" t="s">
        <v>2124</v>
      </c>
      <c r="B1353" s="1" t="s">
        <v>1268</v>
      </c>
      <c r="C1353" s="1" t="s">
        <v>2018</v>
      </c>
      <c r="D1353" s="1" t="s">
        <v>20</v>
      </c>
      <c r="E1353" t="s">
        <v>1264</v>
      </c>
      <c r="F1353" t="s">
        <v>462</v>
      </c>
      <c r="G1353" t="s">
        <v>31</v>
      </c>
      <c r="H1353" t="s">
        <v>46</v>
      </c>
      <c r="I1353" t="s">
        <v>154</v>
      </c>
      <c r="J1353">
        <v>1</v>
      </c>
      <c r="K1353">
        <v>299</v>
      </c>
      <c r="L1353">
        <f>Table1[[#This Row],[Quantity]] * Table1[[#This Row],[UnitPrice]]</f>
        <v>299</v>
      </c>
      <c r="M1353" s="25">
        <v>15</v>
      </c>
      <c r="N1353">
        <f>Table1[[#This Row],[Revenue]]*Table1[[#This Row],[Discount%]]/100</f>
        <v>44.85</v>
      </c>
      <c r="O1353" s="6">
        <f>Table1[[#This Row],[Revenue]]-Table1[[#This Row],[Disc_amount]]</f>
        <v>254.15</v>
      </c>
      <c r="P1353" t="s">
        <v>33</v>
      </c>
      <c r="Q1353" t="s">
        <v>27</v>
      </c>
    </row>
    <row r="1354" spans="1:17">
      <c r="A1354" t="s">
        <v>2125</v>
      </c>
      <c r="B1354" s="1" t="s">
        <v>1268</v>
      </c>
      <c r="C1354" s="1" t="s">
        <v>2018</v>
      </c>
      <c r="D1354" s="1" t="s">
        <v>20</v>
      </c>
      <c r="E1354" t="s">
        <v>409</v>
      </c>
      <c r="F1354" t="s">
        <v>410</v>
      </c>
      <c r="G1354" t="s">
        <v>23</v>
      </c>
      <c r="H1354" t="s">
        <v>70</v>
      </c>
      <c r="I1354" t="s">
        <v>71</v>
      </c>
      <c r="J1354">
        <v>1</v>
      </c>
      <c r="K1354">
        <v>349</v>
      </c>
      <c r="L1354">
        <f>Table1[[#This Row],[Quantity]] * Table1[[#This Row],[UnitPrice]]</f>
        <v>349</v>
      </c>
      <c r="M1354" s="25">
        <v>0</v>
      </c>
      <c r="N1354">
        <f>Table1[[#This Row],[Revenue]]*Table1[[#This Row],[Discount%]]/100</f>
        <v>0</v>
      </c>
      <c r="O1354" s="6">
        <f>Table1[[#This Row],[Revenue]]-Table1[[#This Row],[Disc_amount]]</f>
        <v>349</v>
      </c>
      <c r="P1354" t="s">
        <v>52</v>
      </c>
      <c r="Q1354" t="s">
        <v>27</v>
      </c>
    </row>
    <row r="1355" spans="1:17">
      <c r="A1355" t="s">
        <v>2126</v>
      </c>
      <c r="B1355" s="1" t="s">
        <v>1268</v>
      </c>
      <c r="C1355" s="1" t="s">
        <v>2018</v>
      </c>
      <c r="D1355" s="1" t="s">
        <v>20</v>
      </c>
      <c r="E1355" t="s">
        <v>1163</v>
      </c>
      <c r="F1355" t="s">
        <v>390</v>
      </c>
      <c r="G1355" t="s">
        <v>45</v>
      </c>
      <c r="H1355" t="s">
        <v>108</v>
      </c>
      <c r="I1355" t="s">
        <v>130</v>
      </c>
      <c r="J1355">
        <v>2</v>
      </c>
      <c r="K1355">
        <v>699</v>
      </c>
      <c r="L1355">
        <f>Table1[[#This Row],[Quantity]] * Table1[[#This Row],[UnitPrice]]</f>
        <v>1398</v>
      </c>
      <c r="M1355" s="25">
        <v>10</v>
      </c>
      <c r="N1355">
        <f>Table1[[#This Row],[Revenue]]*Table1[[#This Row],[Discount%]]/100</f>
        <v>139.80000000000001</v>
      </c>
      <c r="O1355" s="6">
        <f>Table1[[#This Row],[Revenue]]-Table1[[#This Row],[Disc_amount]]</f>
        <v>1258.2</v>
      </c>
      <c r="P1355" t="s">
        <v>26</v>
      </c>
      <c r="Q1355" t="s">
        <v>27</v>
      </c>
    </row>
    <row r="1356" spans="1:17">
      <c r="A1356" t="s">
        <v>2127</v>
      </c>
      <c r="B1356" s="1" t="s">
        <v>1268</v>
      </c>
      <c r="C1356" s="1" t="s">
        <v>2018</v>
      </c>
      <c r="D1356" s="1" t="s">
        <v>20</v>
      </c>
      <c r="E1356" t="s">
        <v>1521</v>
      </c>
      <c r="F1356" t="s">
        <v>960</v>
      </c>
      <c r="G1356" t="s">
        <v>45</v>
      </c>
      <c r="H1356" t="s">
        <v>39</v>
      </c>
      <c r="I1356" t="s">
        <v>51</v>
      </c>
      <c r="J1356">
        <v>4</v>
      </c>
      <c r="K1356">
        <v>2999</v>
      </c>
      <c r="L1356">
        <f>Table1[[#This Row],[Quantity]] * Table1[[#This Row],[UnitPrice]]</f>
        <v>11996</v>
      </c>
      <c r="M1356" s="25">
        <v>0</v>
      </c>
      <c r="N1356">
        <f>Table1[[#This Row],[Revenue]]*Table1[[#This Row],[Discount%]]/100</f>
        <v>0</v>
      </c>
      <c r="O1356" s="6">
        <f>Table1[[#This Row],[Revenue]]-Table1[[#This Row],[Disc_amount]]</f>
        <v>11996</v>
      </c>
      <c r="P1356" t="s">
        <v>26</v>
      </c>
      <c r="Q1356" t="s">
        <v>34</v>
      </c>
    </row>
    <row r="1357" spans="1:17">
      <c r="A1357" t="s">
        <v>2128</v>
      </c>
      <c r="B1357" s="1" t="s">
        <v>1274</v>
      </c>
      <c r="C1357" s="1" t="s">
        <v>2018</v>
      </c>
      <c r="D1357" s="1" t="s">
        <v>20</v>
      </c>
      <c r="E1357" t="s">
        <v>552</v>
      </c>
      <c r="F1357" t="s">
        <v>553</v>
      </c>
      <c r="G1357" t="s">
        <v>23</v>
      </c>
      <c r="H1357" t="s">
        <v>57</v>
      </c>
      <c r="I1357" t="s">
        <v>62</v>
      </c>
      <c r="J1357">
        <v>1</v>
      </c>
      <c r="K1357">
        <v>799</v>
      </c>
      <c r="L1357">
        <f>Table1[[#This Row],[Quantity]] * Table1[[#This Row],[UnitPrice]]</f>
        <v>799</v>
      </c>
      <c r="M1357" s="25">
        <v>20</v>
      </c>
      <c r="N1357">
        <f>Table1[[#This Row],[Revenue]]*Table1[[#This Row],[Discount%]]/100</f>
        <v>159.80000000000001</v>
      </c>
      <c r="O1357" s="6">
        <f>Table1[[#This Row],[Revenue]]-Table1[[#This Row],[Disc_amount]]</f>
        <v>639.20000000000005</v>
      </c>
      <c r="P1357" t="s">
        <v>86</v>
      </c>
      <c r="Q1357" t="s">
        <v>27</v>
      </c>
    </row>
    <row r="1358" spans="1:17">
      <c r="A1358" t="s">
        <v>2129</v>
      </c>
      <c r="B1358" s="1" t="s">
        <v>1274</v>
      </c>
      <c r="C1358" s="1" t="s">
        <v>2018</v>
      </c>
      <c r="D1358" s="1" t="s">
        <v>20</v>
      </c>
      <c r="E1358" t="s">
        <v>952</v>
      </c>
      <c r="F1358" t="s">
        <v>134</v>
      </c>
      <c r="G1358" t="s">
        <v>56</v>
      </c>
      <c r="H1358" t="s">
        <v>24</v>
      </c>
      <c r="I1358" t="s">
        <v>25</v>
      </c>
      <c r="J1358">
        <v>2</v>
      </c>
      <c r="K1358">
        <v>99</v>
      </c>
      <c r="L1358">
        <f>Table1[[#This Row],[Quantity]] * Table1[[#This Row],[UnitPrice]]</f>
        <v>198</v>
      </c>
      <c r="M1358" s="25">
        <v>15</v>
      </c>
      <c r="N1358">
        <f>Table1[[#This Row],[Revenue]]*Table1[[#This Row],[Discount%]]/100</f>
        <v>29.7</v>
      </c>
      <c r="O1358" s="6">
        <f>Table1[[#This Row],[Revenue]]-Table1[[#This Row],[Disc_amount]]</f>
        <v>168.3</v>
      </c>
      <c r="P1358" t="s">
        <v>41</v>
      </c>
      <c r="Q1358" t="s">
        <v>27</v>
      </c>
    </row>
    <row r="1359" spans="1:17">
      <c r="A1359" t="s">
        <v>2130</v>
      </c>
      <c r="B1359" s="1" t="s">
        <v>1274</v>
      </c>
      <c r="C1359" s="1" t="s">
        <v>2018</v>
      </c>
      <c r="D1359" s="1" t="s">
        <v>20</v>
      </c>
      <c r="E1359" t="s">
        <v>747</v>
      </c>
      <c r="F1359" t="s">
        <v>748</v>
      </c>
      <c r="G1359" t="s">
        <v>23</v>
      </c>
      <c r="H1359" t="s">
        <v>46</v>
      </c>
      <c r="I1359" t="s">
        <v>47</v>
      </c>
      <c r="J1359">
        <v>1</v>
      </c>
      <c r="K1359">
        <v>249</v>
      </c>
      <c r="L1359">
        <f>Table1[[#This Row],[Quantity]] * Table1[[#This Row],[UnitPrice]]</f>
        <v>249</v>
      </c>
      <c r="M1359" s="25">
        <v>0</v>
      </c>
      <c r="N1359">
        <f>Table1[[#This Row],[Revenue]]*Table1[[#This Row],[Discount%]]/100</f>
        <v>0</v>
      </c>
      <c r="O1359" s="6">
        <f>Table1[[#This Row],[Revenue]]-Table1[[#This Row],[Disc_amount]]</f>
        <v>249</v>
      </c>
      <c r="P1359" t="s">
        <v>33</v>
      </c>
      <c r="Q1359" t="s">
        <v>27</v>
      </c>
    </row>
    <row r="1360" spans="1:17">
      <c r="A1360" t="s">
        <v>2131</v>
      </c>
      <c r="B1360" s="1" t="s">
        <v>1274</v>
      </c>
      <c r="C1360" s="1" t="s">
        <v>2018</v>
      </c>
      <c r="D1360" s="1" t="s">
        <v>20</v>
      </c>
      <c r="E1360" t="s">
        <v>205</v>
      </c>
      <c r="F1360" t="s">
        <v>206</v>
      </c>
      <c r="G1360" t="s">
        <v>23</v>
      </c>
      <c r="H1360" t="s">
        <v>65</v>
      </c>
      <c r="I1360" t="s">
        <v>66</v>
      </c>
      <c r="J1360">
        <v>2</v>
      </c>
      <c r="K1360">
        <v>1999</v>
      </c>
      <c r="L1360">
        <f>Table1[[#This Row],[Quantity]] * Table1[[#This Row],[UnitPrice]]</f>
        <v>3998</v>
      </c>
      <c r="M1360" s="25">
        <v>0</v>
      </c>
      <c r="N1360">
        <f>Table1[[#This Row],[Revenue]]*Table1[[#This Row],[Discount%]]/100</f>
        <v>0</v>
      </c>
      <c r="O1360" s="6">
        <f>Table1[[#This Row],[Revenue]]-Table1[[#This Row],[Disc_amount]]</f>
        <v>3998</v>
      </c>
      <c r="P1360" t="s">
        <v>33</v>
      </c>
      <c r="Q1360" t="s">
        <v>27</v>
      </c>
    </row>
    <row r="1361" spans="1:17">
      <c r="A1361" t="s">
        <v>2132</v>
      </c>
      <c r="B1361" s="1" t="s">
        <v>1274</v>
      </c>
      <c r="C1361" s="1" t="s">
        <v>2018</v>
      </c>
      <c r="D1361" s="1" t="s">
        <v>20</v>
      </c>
      <c r="E1361" t="s">
        <v>1019</v>
      </c>
      <c r="F1361" t="s">
        <v>1020</v>
      </c>
      <c r="G1361" t="s">
        <v>56</v>
      </c>
      <c r="H1361" t="s">
        <v>46</v>
      </c>
      <c r="I1361" t="s">
        <v>47</v>
      </c>
      <c r="J1361">
        <v>1</v>
      </c>
      <c r="K1361">
        <v>249</v>
      </c>
      <c r="L1361">
        <f>Table1[[#This Row],[Quantity]] * Table1[[#This Row],[UnitPrice]]</f>
        <v>249</v>
      </c>
      <c r="M1361" s="25">
        <v>10</v>
      </c>
      <c r="N1361">
        <f>Table1[[#This Row],[Revenue]]*Table1[[#This Row],[Discount%]]/100</f>
        <v>24.9</v>
      </c>
      <c r="O1361" s="6">
        <f>Table1[[#This Row],[Revenue]]-Table1[[#This Row],[Disc_amount]]</f>
        <v>224.1</v>
      </c>
      <c r="P1361" t="s">
        <v>33</v>
      </c>
      <c r="Q1361" t="s">
        <v>27</v>
      </c>
    </row>
    <row r="1362" spans="1:17">
      <c r="A1362" t="s">
        <v>2133</v>
      </c>
      <c r="B1362" s="1" t="s">
        <v>1274</v>
      </c>
      <c r="C1362" s="1" t="s">
        <v>2018</v>
      </c>
      <c r="D1362" s="1" t="s">
        <v>20</v>
      </c>
      <c r="E1362" t="s">
        <v>1183</v>
      </c>
      <c r="F1362" t="s">
        <v>1184</v>
      </c>
      <c r="G1362" t="s">
        <v>31</v>
      </c>
      <c r="H1362" t="s">
        <v>39</v>
      </c>
      <c r="I1362" t="s">
        <v>140</v>
      </c>
      <c r="J1362">
        <v>1</v>
      </c>
      <c r="K1362">
        <v>1799</v>
      </c>
      <c r="L1362">
        <f>Table1[[#This Row],[Quantity]] * Table1[[#This Row],[UnitPrice]]</f>
        <v>1799</v>
      </c>
      <c r="M1362" s="25">
        <v>15</v>
      </c>
      <c r="N1362">
        <f>Table1[[#This Row],[Revenue]]*Table1[[#This Row],[Discount%]]/100</f>
        <v>269.85000000000002</v>
      </c>
      <c r="O1362" s="6">
        <f>Table1[[#This Row],[Revenue]]-Table1[[#This Row],[Disc_amount]]</f>
        <v>1529.15</v>
      </c>
      <c r="P1362" t="s">
        <v>26</v>
      </c>
      <c r="Q1362" t="s">
        <v>27</v>
      </c>
    </row>
    <row r="1363" spans="1:17">
      <c r="A1363" t="s">
        <v>2134</v>
      </c>
      <c r="B1363" s="1" t="s">
        <v>1274</v>
      </c>
      <c r="C1363" s="1" t="s">
        <v>2018</v>
      </c>
      <c r="D1363" s="1" t="s">
        <v>20</v>
      </c>
      <c r="E1363" t="s">
        <v>1364</v>
      </c>
      <c r="F1363" t="s">
        <v>326</v>
      </c>
      <c r="G1363" t="s">
        <v>38</v>
      </c>
      <c r="H1363" t="s">
        <v>57</v>
      </c>
      <c r="I1363" t="s">
        <v>62</v>
      </c>
      <c r="J1363">
        <v>1</v>
      </c>
      <c r="K1363">
        <v>799</v>
      </c>
      <c r="L1363">
        <f>Table1[[#This Row],[Quantity]] * Table1[[#This Row],[UnitPrice]]</f>
        <v>799</v>
      </c>
      <c r="M1363" s="25">
        <v>0</v>
      </c>
      <c r="N1363">
        <f>Table1[[#This Row],[Revenue]]*Table1[[#This Row],[Discount%]]/100</f>
        <v>0</v>
      </c>
      <c r="O1363" s="6">
        <f>Table1[[#This Row],[Revenue]]-Table1[[#This Row],[Disc_amount]]</f>
        <v>799</v>
      </c>
      <c r="P1363" t="s">
        <v>86</v>
      </c>
      <c r="Q1363" t="s">
        <v>34</v>
      </c>
    </row>
    <row r="1364" spans="1:17">
      <c r="A1364" t="s">
        <v>2135</v>
      </c>
      <c r="B1364" s="1" t="s">
        <v>1274</v>
      </c>
      <c r="C1364" s="1" t="s">
        <v>2018</v>
      </c>
      <c r="D1364" s="1" t="s">
        <v>20</v>
      </c>
      <c r="E1364" t="s">
        <v>592</v>
      </c>
      <c r="F1364" t="s">
        <v>268</v>
      </c>
      <c r="G1364" t="s">
        <v>45</v>
      </c>
      <c r="H1364" t="s">
        <v>39</v>
      </c>
      <c r="I1364" t="s">
        <v>140</v>
      </c>
      <c r="J1364">
        <v>1</v>
      </c>
      <c r="K1364">
        <v>1799</v>
      </c>
      <c r="L1364">
        <f>Table1[[#This Row],[Quantity]] * Table1[[#This Row],[UnitPrice]]</f>
        <v>1799</v>
      </c>
      <c r="M1364" s="25">
        <v>0</v>
      </c>
      <c r="N1364">
        <f>Table1[[#This Row],[Revenue]]*Table1[[#This Row],[Discount%]]/100</f>
        <v>0</v>
      </c>
      <c r="O1364" s="6">
        <f>Table1[[#This Row],[Revenue]]-Table1[[#This Row],[Disc_amount]]</f>
        <v>1799</v>
      </c>
      <c r="P1364" t="s">
        <v>52</v>
      </c>
      <c r="Q1364" t="s">
        <v>27</v>
      </c>
    </row>
    <row r="1365" spans="1:17">
      <c r="A1365" t="s">
        <v>2136</v>
      </c>
      <c r="B1365" s="1" t="s">
        <v>1274</v>
      </c>
      <c r="C1365" s="1" t="s">
        <v>2018</v>
      </c>
      <c r="D1365" s="1" t="s">
        <v>20</v>
      </c>
      <c r="E1365" t="s">
        <v>313</v>
      </c>
      <c r="F1365" t="s">
        <v>314</v>
      </c>
      <c r="G1365" t="s">
        <v>45</v>
      </c>
      <c r="H1365" t="s">
        <v>39</v>
      </c>
      <c r="I1365" t="s">
        <v>140</v>
      </c>
      <c r="J1365">
        <v>2</v>
      </c>
      <c r="K1365">
        <v>1799</v>
      </c>
      <c r="L1365">
        <f>Table1[[#This Row],[Quantity]] * Table1[[#This Row],[UnitPrice]]</f>
        <v>3598</v>
      </c>
      <c r="M1365" s="25">
        <v>0</v>
      </c>
      <c r="N1365">
        <f>Table1[[#This Row],[Revenue]]*Table1[[#This Row],[Discount%]]/100</f>
        <v>0</v>
      </c>
      <c r="O1365" s="6">
        <f>Table1[[#This Row],[Revenue]]-Table1[[#This Row],[Disc_amount]]</f>
        <v>3598</v>
      </c>
      <c r="P1365" t="s">
        <v>26</v>
      </c>
      <c r="Q1365" t="s">
        <v>34</v>
      </c>
    </row>
    <row r="1366" spans="1:17">
      <c r="A1366" t="s">
        <v>2137</v>
      </c>
      <c r="B1366" s="1" t="s">
        <v>1278</v>
      </c>
      <c r="C1366" s="1" t="s">
        <v>2018</v>
      </c>
      <c r="D1366" s="1" t="s">
        <v>20</v>
      </c>
      <c r="E1366" t="s">
        <v>228</v>
      </c>
      <c r="F1366" t="s">
        <v>229</v>
      </c>
      <c r="G1366" t="s">
        <v>56</v>
      </c>
      <c r="H1366" t="s">
        <v>39</v>
      </c>
      <c r="I1366" t="s">
        <v>51</v>
      </c>
      <c r="J1366">
        <v>2</v>
      </c>
      <c r="K1366">
        <v>2999</v>
      </c>
      <c r="L1366">
        <f>Table1[[#This Row],[Quantity]] * Table1[[#This Row],[UnitPrice]]</f>
        <v>5998</v>
      </c>
      <c r="M1366" s="25">
        <v>20</v>
      </c>
      <c r="N1366">
        <f>Table1[[#This Row],[Revenue]]*Table1[[#This Row],[Discount%]]/100</f>
        <v>1199.5999999999999</v>
      </c>
      <c r="O1366" s="6">
        <f>Table1[[#This Row],[Revenue]]-Table1[[#This Row],[Disc_amount]]</f>
        <v>4798.3999999999996</v>
      </c>
      <c r="P1366" t="s">
        <v>33</v>
      </c>
      <c r="Q1366" t="s">
        <v>27</v>
      </c>
    </row>
    <row r="1367" spans="1:17">
      <c r="A1367" t="s">
        <v>2138</v>
      </c>
      <c r="B1367" s="1" t="s">
        <v>1286</v>
      </c>
      <c r="C1367" s="1" t="s">
        <v>2018</v>
      </c>
      <c r="D1367" s="1" t="s">
        <v>20</v>
      </c>
      <c r="E1367" t="s">
        <v>235</v>
      </c>
      <c r="F1367" t="s">
        <v>236</v>
      </c>
      <c r="G1367" t="s">
        <v>31</v>
      </c>
      <c r="H1367" t="s">
        <v>65</v>
      </c>
      <c r="I1367" t="s">
        <v>98</v>
      </c>
      <c r="J1367">
        <v>1</v>
      </c>
      <c r="K1367">
        <v>499</v>
      </c>
      <c r="L1367">
        <f>Table1[[#This Row],[Quantity]] * Table1[[#This Row],[UnitPrice]]</f>
        <v>499</v>
      </c>
      <c r="M1367" s="25">
        <v>0</v>
      </c>
      <c r="N1367">
        <f>Table1[[#This Row],[Revenue]]*Table1[[#This Row],[Discount%]]/100</f>
        <v>0</v>
      </c>
      <c r="O1367" s="6">
        <f>Table1[[#This Row],[Revenue]]-Table1[[#This Row],[Disc_amount]]</f>
        <v>499</v>
      </c>
      <c r="P1367" t="s">
        <v>33</v>
      </c>
      <c r="Q1367" t="s">
        <v>27</v>
      </c>
    </row>
    <row r="1368" spans="1:17">
      <c r="A1368" t="s">
        <v>2139</v>
      </c>
      <c r="B1368" s="1" t="s">
        <v>1286</v>
      </c>
      <c r="C1368" s="1" t="s">
        <v>2018</v>
      </c>
      <c r="D1368" s="1" t="s">
        <v>20</v>
      </c>
      <c r="E1368" t="s">
        <v>306</v>
      </c>
      <c r="F1368" t="s">
        <v>307</v>
      </c>
      <c r="G1368" t="s">
        <v>38</v>
      </c>
      <c r="H1368" t="s">
        <v>108</v>
      </c>
      <c r="I1368" t="s">
        <v>130</v>
      </c>
      <c r="J1368">
        <v>3</v>
      </c>
      <c r="K1368">
        <v>699</v>
      </c>
      <c r="L1368">
        <f>Table1[[#This Row],[Quantity]] * Table1[[#This Row],[UnitPrice]]</f>
        <v>2097</v>
      </c>
      <c r="M1368" s="25">
        <v>10</v>
      </c>
      <c r="N1368">
        <f>Table1[[#This Row],[Revenue]]*Table1[[#This Row],[Discount%]]/100</f>
        <v>209.7</v>
      </c>
      <c r="O1368" s="6">
        <f>Table1[[#This Row],[Revenue]]-Table1[[#This Row],[Disc_amount]]</f>
        <v>1887.3</v>
      </c>
      <c r="P1368" t="s">
        <v>33</v>
      </c>
      <c r="Q1368" t="s">
        <v>27</v>
      </c>
    </row>
    <row r="1369" spans="1:17">
      <c r="A1369" t="s">
        <v>2140</v>
      </c>
      <c r="B1369" s="1" t="s">
        <v>1286</v>
      </c>
      <c r="C1369" s="1" t="s">
        <v>2018</v>
      </c>
      <c r="D1369" s="1" t="s">
        <v>20</v>
      </c>
      <c r="E1369" t="s">
        <v>258</v>
      </c>
      <c r="F1369" t="s">
        <v>259</v>
      </c>
      <c r="G1369" t="s">
        <v>31</v>
      </c>
      <c r="H1369" t="s">
        <v>57</v>
      </c>
      <c r="I1369" t="s">
        <v>62</v>
      </c>
      <c r="J1369">
        <v>1</v>
      </c>
      <c r="K1369">
        <v>799</v>
      </c>
      <c r="L1369">
        <f>Table1[[#This Row],[Quantity]] * Table1[[#This Row],[UnitPrice]]</f>
        <v>799</v>
      </c>
      <c r="M1369" s="25">
        <v>10</v>
      </c>
      <c r="N1369">
        <f>Table1[[#This Row],[Revenue]]*Table1[[#This Row],[Discount%]]/100</f>
        <v>79.900000000000006</v>
      </c>
      <c r="O1369" s="6">
        <f>Table1[[#This Row],[Revenue]]-Table1[[#This Row],[Disc_amount]]</f>
        <v>719.1</v>
      </c>
      <c r="P1369" t="s">
        <v>26</v>
      </c>
      <c r="Q1369" t="s">
        <v>34</v>
      </c>
    </row>
    <row r="1370" spans="1:17">
      <c r="A1370" t="s">
        <v>2141</v>
      </c>
      <c r="B1370" s="1" t="s">
        <v>1286</v>
      </c>
      <c r="C1370" s="1" t="s">
        <v>2018</v>
      </c>
      <c r="D1370" s="1" t="s">
        <v>20</v>
      </c>
      <c r="E1370" t="s">
        <v>2142</v>
      </c>
      <c r="F1370" t="s">
        <v>473</v>
      </c>
      <c r="G1370" t="s">
        <v>23</v>
      </c>
      <c r="H1370" t="s">
        <v>65</v>
      </c>
      <c r="I1370" t="s">
        <v>94</v>
      </c>
      <c r="J1370">
        <v>1</v>
      </c>
      <c r="K1370">
        <v>899</v>
      </c>
      <c r="L1370">
        <f>Table1[[#This Row],[Quantity]] * Table1[[#This Row],[UnitPrice]]</f>
        <v>899</v>
      </c>
      <c r="M1370" s="25">
        <v>0</v>
      </c>
      <c r="N1370">
        <f>Table1[[#This Row],[Revenue]]*Table1[[#This Row],[Discount%]]/100</f>
        <v>0</v>
      </c>
      <c r="O1370" s="6">
        <f>Table1[[#This Row],[Revenue]]-Table1[[#This Row],[Disc_amount]]</f>
        <v>899</v>
      </c>
      <c r="P1370" t="s">
        <v>33</v>
      </c>
      <c r="Q1370" t="s">
        <v>27</v>
      </c>
    </row>
    <row r="1371" spans="1:17">
      <c r="A1371" t="s">
        <v>2143</v>
      </c>
      <c r="B1371" s="1" t="s">
        <v>1286</v>
      </c>
      <c r="C1371" s="1" t="s">
        <v>2018</v>
      </c>
      <c r="D1371" s="1" t="s">
        <v>20</v>
      </c>
      <c r="E1371" t="s">
        <v>1913</v>
      </c>
      <c r="F1371" t="s">
        <v>462</v>
      </c>
      <c r="G1371" t="s">
        <v>23</v>
      </c>
      <c r="H1371" t="s">
        <v>70</v>
      </c>
      <c r="I1371" t="s">
        <v>71</v>
      </c>
      <c r="J1371">
        <v>1</v>
      </c>
      <c r="K1371">
        <v>349</v>
      </c>
      <c r="L1371">
        <f>Table1[[#This Row],[Quantity]] * Table1[[#This Row],[UnitPrice]]</f>
        <v>349</v>
      </c>
      <c r="M1371" s="25">
        <v>5</v>
      </c>
      <c r="N1371">
        <f>Table1[[#This Row],[Revenue]]*Table1[[#This Row],[Discount%]]/100</f>
        <v>17.45</v>
      </c>
      <c r="O1371" s="6">
        <f>Table1[[#This Row],[Revenue]]-Table1[[#This Row],[Disc_amount]]</f>
        <v>331.55</v>
      </c>
      <c r="P1371" t="s">
        <v>26</v>
      </c>
      <c r="Q1371" t="s">
        <v>27</v>
      </c>
    </row>
    <row r="1372" spans="1:17">
      <c r="A1372" t="s">
        <v>2144</v>
      </c>
      <c r="B1372" s="1" t="s">
        <v>1286</v>
      </c>
      <c r="C1372" s="1" t="s">
        <v>2018</v>
      </c>
      <c r="D1372" s="1" t="s">
        <v>20</v>
      </c>
      <c r="E1372" t="s">
        <v>531</v>
      </c>
      <c r="F1372" t="s">
        <v>295</v>
      </c>
      <c r="G1372" t="s">
        <v>23</v>
      </c>
      <c r="H1372" t="s">
        <v>46</v>
      </c>
      <c r="I1372" t="s">
        <v>47</v>
      </c>
      <c r="J1372">
        <v>3</v>
      </c>
      <c r="K1372">
        <v>249</v>
      </c>
      <c r="L1372">
        <f>Table1[[#This Row],[Quantity]] * Table1[[#This Row],[UnitPrice]]</f>
        <v>747</v>
      </c>
      <c r="M1372" s="25">
        <v>0</v>
      </c>
      <c r="N1372">
        <f>Table1[[#This Row],[Revenue]]*Table1[[#This Row],[Discount%]]/100</f>
        <v>0</v>
      </c>
      <c r="O1372" s="6">
        <f>Table1[[#This Row],[Revenue]]-Table1[[#This Row],[Disc_amount]]</f>
        <v>747</v>
      </c>
      <c r="P1372" t="s">
        <v>52</v>
      </c>
      <c r="Q1372" t="s">
        <v>34</v>
      </c>
    </row>
    <row r="1373" spans="1:17">
      <c r="A1373" t="s">
        <v>2145</v>
      </c>
      <c r="B1373" s="1" t="s">
        <v>1286</v>
      </c>
      <c r="C1373" s="1" t="s">
        <v>2018</v>
      </c>
      <c r="D1373" s="1" t="s">
        <v>20</v>
      </c>
      <c r="E1373" t="s">
        <v>1658</v>
      </c>
      <c r="F1373" t="s">
        <v>61</v>
      </c>
      <c r="G1373" t="s">
        <v>45</v>
      </c>
      <c r="H1373" t="s">
        <v>108</v>
      </c>
      <c r="I1373" t="s">
        <v>109</v>
      </c>
      <c r="J1373">
        <v>2</v>
      </c>
      <c r="K1373">
        <v>1499</v>
      </c>
      <c r="L1373">
        <f>Table1[[#This Row],[Quantity]] * Table1[[#This Row],[UnitPrice]]</f>
        <v>2998</v>
      </c>
      <c r="M1373" s="25">
        <v>5</v>
      </c>
      <c r="N1373">
        <f>Table1[[#This Row],[Revenue]]*Table1[[#This Row],[Discount%]]/100</f>
        <v>149.9</v>
      </c>
      <c r="O1373" s="6">
        <f>Table1[[#This Row],[Revenue]]-Table1[[#This Row],[Disc_amount]]</f>
        <v>2848.1</v>
      </c>
      <c r="P1373" t="s">
        <v>33</v>
      </c>
      <c r="Q1373" t="s">
        <v>27</v>
      </c>
    </row>
    <row r="1374" spans="1:17">
      <c r="A1374" t="s">
        <v>2146</v>
      </c>
      <c r="B1374" s="1" t="s">
        <v>1300</v>
      </c>
      <c r="C1374" s="1" t="s">
        <v>2018</v>
      </c>
      <c r="D1374" s="1" t="s">
        <v>20</v>
      </c>
      <c r="E1374" t="s">
        <v>375</v>
      </c>
      <c r="F1374" t="s">
        <v>376</v>
      </c>
      <c r="G1374" t="s">
        <v>38</v>
      </c>
      <c r="H1374" t="s">
        <v>39</v>
      </c>
      <c r="I1374" t="s">
        <v>51</v>
      </c>
      <c r="J1374">
        <v>1</v>
      </c>
      <c r="K1374">
        <v>2999</v>
      </c>
      <c r="L1374">
        <f>Table1[[#This Row],[Quantity]] * Table1[[#This Row],[UnitPrice]]</f>
        <v>2999</v>
      </c>
      <c r="M1374" s="25">
        <v>15</v>
      </c>
      <c r="N1374">
        <f>Table1[[#This Row],[Revenue]]*Table1[[#This Row],[Discount%]]/100</f>
        <v>449.85</v>
      </c>
      <c r="O1374" s="6">
        <f>Table1[[#This Row],[Revenue]]-Table1[[#This Row],[Disc_amount]]</f>
        <v>2549.15</v>
      </c>
      <c r="P1374" t="s">
        <v>52</v>
      </c>
      <c r="Q1374" t="s">
        <v>27</v>
      </c>
    </row>
    <row r="1375" spans="1:17">
      <c r="A1375" t="s">
        <v>2147</v>
      </c>
      <c r="B1375" s="1" t="s">
        <v>1300</v>
      </c>
      <c r="C1375" s="1" t="s">
        <v>2018</v>
      </c>
      <c r="D1375" s="1" t="s">
        <v>20</v>
      </c>
      <c r="E1375" t="s">
        <v>648</v>
      </c>
      <c r="F1375" t="s">
        <v>213</v>
      </c>
      <c r="G1375" t="s">
        <v>31</v>
      </c>
      <c r="H1375" t="s">
        <v>70</v>
      </c>
      <c r="I1375" t="s">
        <v>91</v>
      </c>
      <c r="J1375">
        <v>1</v>
      </c>
      <c r="K1375">
        <v>549</v>
      </c>
      <c r="L1375">
        <f>Table1[[#This Row],[Quantity]] * Table1[[#This Row],[UnitPrice]]</f>
        <v>549</v>
      </c>
      <c r="M1375" s="25">
        <v>10</v>
      </c>
      <c r="N1375">
        <f>Table1[[#This Row],[Revenue]]*Table1[[#This Row],[Discount%]]/100</f>
        <v>54.9</v>
      </c>
      <c r="O1375" s="6">
        <f>Table1[[#This Row],[Revenue]]-Table1[[#This Row],[Disc_amount]]</f>
        <v>494.1</v>
      </c>
      <c r="P1375" t="s">
        <v>41</v>
      </c>
      <c r="Q1375" t="s">
        <v>34</v>
      </c>
    </row>
    <row r="1376" spans="1:17">
      <c r="A1376" t="s">
        <v>2148</v>
      </c>
      <c r="B1376" s="1" t="s">
        <v>1300</v>
      </c>
      <c r="C1376" s="1" t="s">
        <v>2018</v>
      </c>
      <c r="D1376" s="1" t="s">
        <v>20</v>
      </c>
      <c r="E1376" t="s">
        <v>437</v>
      </c>
      <c r="F1376" t="s">
        <v>438</v>
      </c>
      <c r="G1376" t="s">
        <v>23</v>
      </c>
      <c r="H1376" t="s">
        <v>65</v>
      </c>
      <c r="I1376" t="s">
        <v>98</v>
      </c>
      <c r="J1376">
        <v>2</v>
      </c>
      <c r="K1376">
        <v>499</v>
      </c>
      <c r="L1376">
        <f>Table1[[#This Row],[Quantity]] * Table1[[#This Row],[UnitPrice]]</f>
        <v>998</v>
      </c>
      <c r="M1376" s="25">
        <v>15</v>
      </c>
      <c r="N1376">
        <f>Table1[[#This Row],[Revenue]]*Table1[[#This Row],[Discount%]]/100</f>
        <v>149.69999999999999</v>
      </c>
      <c r="O1376" s="6">
        <f>Table1[[#This Row],[Revenue]]-Table1[[#This Row],[Disc_amount]]</f>
        <v>848.3</v>
      </c>
      <c r="P1376" t="s">
        <v>33</v>
      </c>
      <c r="Q1376" t="s">
        <v>34</v>
      </c>
    </row>
    <row r="1377" spans="1:17">
      <c r="A1377" t="s">
        <v>2149</v>
      </c>
      <c r="B1377" s="1" t="s">
        <v>1300</v>
      </c>
      <c r="C1377" s="1" t="s">
        <v>2018</v>
      </c>
      <c r="D1377" s="1" t="s">
        <v>20</v>
      </c>
      <c r="E1377" t="s">
        <v>628</v>
      </c>
      <c r="F1377" t="s">
        <v>245</v>
      </c>
      <c r="G1377" t="s">
        <v>31</v>
      </c>
      <c r="H1377" t="s">
        <v>57</v>
      </c>
      <c r="I1377" t="s">
        <v>62</v>
      </c>
      <c r="J1377">
        <v>2</v>
      </c>
      <c r="K1377">
        <v>799</v>
      </c>
      <c r="L1377">
        <f>Table1[[#This Row],[Quantity]] * Table1[[#This Row],[UnitPrice]]</f>
        <v>1598</v>
      </c>
      <c r="M1377" s="25">
        <v>0</v>
      </c>
      <c r="N1377">
        <f>Table1[[#This Row],[Revenue]]*Table1[[#This Row],[Discount%]]/100</f>
        <v>0</v>
      </c>
      <c r="O1377" s="6">
        <f>Table1[[#This Row],[Revenue]]-Table1[[#This Row],[Disc_amount]]</f>
        <v>1598</v>
      </c>
      <c r="P1377" t="s">
        <v>26</v>
      </c>
      <c r="Q1377" t="s">
        <v>34</v>
      </c>
    </row>
    <row r="1378" spans="1:17">
      <c r="A1378" t="s">
        <v>2150</v>
      </c>
      <c r="B1378" s="1" t="s">
        <v>1300</v>
      </c>
      <c r="C1378" s="1" t="s">
        <v>2018</v>
      </c>
      <c r="D1378" s="1" t="s">
        <v>20</v>
      </c>
      <c r="E1378" t="s">
        <v>128</v>
      </c>
      <c r="F1378" t="s">
        <v>129</v>
      </c>
      <c r="G1378" t="s">
        <v>23</v>
      </c>
      <c r="H1378" t="s">
        <v>24</v>
      </c>
      <c r="I1378" t="s">
        <v>32</v>
      </c>
      <c r="J1378">
        <v>3</v>
      </c>
      <c r="K1378">
        <v>199</v>
      </c>
      <c r="L1378">
        <f>Table1[[#This Row],[Quantity]] * Table1[[#This Row],[UnitPrice]]</f>
        <v>597</v>
      </c>
      <c r="M1378" s="25">
        <v>10</v>
      </c>
      <c r="N1378">
        <f>Table1[[#This Row],[Revenue]]*Table1[[#This Row],[Discount%]]/100</f>
        <v>59.7</v>
      </c>
      <c r="O1378" s="6">
        <f>Table1[[#This Row],[Revenue]]-Table1[[#This Row],[Disc_amount]]</f>
        <v>537.29999999999995</v>
      </c>
      <c r="P1378" t="s">
        <v>33</v>
      </c>
      <c r="Q1378" t="s">
        <v>27</v>
      </c>
    </row>
    <row r="1379" spans="1:17">
      <c r="A1379" t="s">
        <v>2151</v>
      </c>
      <c r="B1379" s="1" t="s">
        <v>1300</v>
      </c>
      <c r="C1379" s="1" t="s">
        <v>2018</v>
      </c>
      <c r="D1379" s="1" t="s">
        <v>20</v>
      </c>
      <c r="E1379" t="s">
        <v>606</v>
      </c>
      <c r="F1379" t="s">
        <v>607</v>
      </c>
      <c r="G1379" t="s">
        <v>56</v>
      </c>
      <c r="H1379" t="s">
        <v>65</v>
      </c>
      <c r="I1379" t="s">
        <v>98</v>
      </c>
      <c r="J1379">
        <v>3</v>
      </c>
      <c r="K1379">
        <v>499</v>
      </c>
      <c r="L1379">
        <f>Table1[[#This Row],[Quantity]] * Table1[[#This Row],[UnitPrice]]</f>
        <v>1497</v>
      </c>
      <c r="M1379" s="25">
        <v>0</v>
      </c>
      <c r="N1379">
        <f>Table1[[#This Row],[Revenue]]*Table1[[#This Row],[Discount%]]/100</f>
        <v>0</v>
      </c>
      <c r="O1379" s="6">
        <f>Table1[[#This Row],[Revenue]]-Table1[[#This Row],[Disc_amount]]</f>
        <v>1497</v>
      </c>
      <c r="P1379" t="s">
        <v>26</v>
      </c>
      <c r="Q1379" t="s">
        <v>27</v>
      </c>
    </row>
    <row r="1380" spans="1:17">
      <c r="A1380" t="s">
        <v>2152</v>
      </c>
      <c r="B1380" s="1" t="s">
        <v>1300</v>
      </c>
      <c r="C1380" s="1" t="s">
        <v>2018</v>
      </c>
      <c r="D1380" s="1" t="s">
        <v>20</v>
      </c>
      <c r="E1380" t="s">
        <v>936</v>
      </c>
      <c r="F1380" t="s">
        <v>229</v>
      </c>
      <c r="G1380" t="s">
        <v>38</v>
      </c>
      <c r="H1380" t="s">
        <v>108</v>
      </c>
      <c r="I1380" t="s">
        <v>130</v>
      </c>
      <c r="J1380">
        <v>4</v>
      </c>
      <c r="K1380">
        <v>699</v>
      </c>
      <c r="L1380">
        <f>Table1[[#This Row],[Quantity]] * Table1[[#This Row],[UnitPrice]]</f>
        <v>2796</v>
      </c>
      <c r="M1380" s="25">
        <v>0</v>
      </c>
      <c r="N1380">
        <f>Table1[[#This Row],[Revenue]]*Table1[[#This Row],[Discount%]]/100</f>
        <v>0</v>
      </c>
      <c r="O1380" s="6">
        <f>Table1[[#This Row],[Revenue]]-Table1[[#This Row],[Disc_amount]]</f>
        <v>2796</v>
      </c>
      <c r="P1380" t="s">
        <v>52</v>
      </c>
      <c r="Q1380" t="s">
        <v>27</v>
      </c>
    </row>
    <row r="1381" spans="1:17">
      <c r="A1381" t="s">
        <v>2153</v>
      </c>
      <c r="B1381" s="1" t="s">
        <v>1300</v>
      </c>
      <c r="C1381" s="1" t="s">
        <v>2018</v>
      </c>
      <c r="D1381" s="1" t="s">
        <v>20</v>
      </c>
      <c r="E1381" t="s">
        <v>539</v>
      </c>
      <c r="F1381" t="s">
        <v>298</v>
      </c>
      <c r="G1381" t="s">
        <v>45</v>
      </c>
      <c r="H1381" t="s">
        <v>108</v>
      </c>
      <c r="I1381" t="s">
        <v>109</v>
      </c>
      <c r="J1381">
        <v>1</v>
      </c>
      <c r="K1381">
        <v>1499</v>
      </c>
      <c r="L1381">
        <f>Table1[[#This Row],[Quantity]] * Table1[[#This Row],[UnitPrice]]</f>
        <v>1499</v>
      </c>
      <c r="M1381" s="25">
        <v>0</v>
      </c>
      <c r="N1381">
        <f>Table1[[#This Row],[Revenue]]*Table1[[#This Row],[Discount%]]/100</f>
        <v>0</v>
      </c>
      <c r="O1381" s="6">
        <f>Table1[[#This Row],[Revenue]]-Table1[[#This Row],[Disc_amount]]</f>
        <v>1499</v>
      </c>
      <c r="P1381" t="s">
        <v>26</v>
      </c>
      <c r="Q1381" t="s">
        <v>27</v>
      </c>
    </row>
    <row r="1382" spans="1:17">
      <c r="A1382" t="s">
        <v>2154</v>
      </c>
      <c r="B1382" s="1" t="s">
        <v>1305</v>
      </c>
      <c r="C1382" s="1" t="s">
        <v>2018</v>
      </c>
      <c r="D1382" s="1" t="s">
        <v>20</v>
      </c>
      <c r="E1382" t="s">
        <v>1298</v>
      </c>
      <c r="F1382" t="s">
        <v>384</v>
      </c>
      <c r="G1382" t="s">
        <v>56</v>
      </c>
      <c r="H1382" t="s">
        <v>65</v>
      </c>
      <c r="I1382" t="s">
        <v>94</v>
      </c>
      <c r="J1382">
        <v>3</v>
      </c>
      <c r="K1382">
        <v>899</v>
      </c>
      <c r="L1382">
        <f>Table1[[#This Row],[Quantity]] * Table1[[#This Row],[UnitPrice]]</f>
        <v>2697</v>
      </c>
      <c r="M1382" s="25">
        <v>0</v>
      </c>
      <c r="N1382">
        <f>Table1[[#This Row],[Revenue]]*Table1[[#This Row],[Discount%]]/100</f>
        <v>0</v>
      </c>
      <c r="O1382" s="6">
        <f>Table1[[#This Row],[Revenue]]-Table1[[#This Row],[Disc_amount]]</f>
        <v>2697</v>
      </c>
      <c r="P1382" t="s">
        <v>26</v>
      </c>
      <c r="Q1382" t="s">
        <v>27</v>
      </c>
    </row>
    <row r="1383" spans="1:17">
      <c r="A1383" t="s">
        <v>2155</v>
      </c>
      <c r="B1383" s="1" t="s">
        <v>1305</v>
      </c>
      <c r="C1383" s="1" t="s">
        <v>2018</v>
      </c>
      <c r="D1383" s="1" t="s">
        <v>20</v>
      </c>
      <c r="E1383" t="s">
        <v>665</v>
      </c>
      <c r="F1383" t="s">
        <v>666</v>
      </c>
      <c r="G1383" t="s">
        <v>38</v>
      </c>
      <c r="H1383" t="s">
        <v>46</v>
      </c>
      <c r="I1383" t="s">
        <v>154</v>
      </c>
      <c r="J1383">
        <v>1</v>
      </c>
      <c r="K1383">
        <v>299</v>
      </c>
      <c r="L1383">
        <f>Table1[[#This Row],[Quantity]] * Table1[[#This Row],[UnitPrice]]</f>
        <v>299</v>
      </c>
      <c r="M1383" s="25">
        <v>0</v>
      </c>
      <c r="N1383">
        <f>Table1[[#This Row],[Revenue]]*Table1[[#This Row],[Discount%]]/100</f>
        <v>0</v>
      </c>
      <c r="O1383" s="6">
        <f>Table1[[#This Row],[Revenue]]-Table1[[#This Row],[Disc_amount]]</f>
        <v>299</v>
      </c>
      <c r="P1383" t="s">
        <v>26</v>
      </c>
      <c r="Q1383" t="s">
        <v>27</v>
      </c>
    </row>
    <row r="1384" spans="1:17">
      <c r="A1384" t="s">
        <v>2156</v>
      </c>
      <c r="B1384" s="1" t="s">
        <v>1305</v>
      </c>
      <c r="C1384" s="1" t="s">
        <v>2018</v>
      </c>
      <c r="D1384" s="1" t="s">
        <v>20</v>
      </c>
      <c r="E1384" t="s">
        <v>383</v>
      </c>
      <c r="F1384" t="s">
        <v>384</v>
      </c>
      <c r="G1384" t="s">
        <v>56</v>
      </c>
      <c r="H1384" t="s">
        <v>65</v>
      </c>
      <c r="I1384" t="s">
        <v>94</v>
      </c>
      <c r="J1384">
        <v>1</v>
      </c>
      <c r="K1384">
        <v>899</v>
      </c>
      <c r="L1384">
        <f>Table1[[#This Row],[Quantity]] * Table1[[#This Row],[UnitPrice]]</f>
        <v>899</v>
      </c>
      <c r="M1384" s="25">
        <v>20</v>
      </c>
      <c r="N1384">
        <f>Table1[[#This Row],[Revenue]]*Table1[[#This Row],[Discount%]]/100</f>
        <v>179.8</v>
      </c>
      <c r="O1384" s="6">
        <f>Table1[[#This Row],[Revenue]]-Table1[[#This Row],[Disc_amount]]</f>
        <v>719.2</v>
      </c>
      <c r="P1384" t="s">
        <v>26</v>
      </c>
      <c r="Q1384" t="s">
        <v>34</v>
      </c>
    </row>
    <row r="1385" spans="1:17">
      <c r="A1385" t="s">
        <v>2157</v>
      </c>
      <c r="B1385" s="1" t="s">
        <v>1305</v>
      </c>
      <c r="C1385" s="1" t="s">
        <v>2018</v>
      </c>
      <c r="D1385" s="1" t="s">
        <v>20</v>
      </c>
      <c r="E1385" t="s">
        <v>1029</v>
      </c>
      <c r="F1385" t="s">
        <v>345</v>
      </c>
      <c r="G1385" t="s">
        <v>31</v>
      </c>
      <c r="H1385" t="s">
        <v>24</v>
      </c>
      <c r="I1385" t="s">
        <v>32</v>
      </c>
      <c r="J1385">
        <v>2</v>
      </c>
      <c r="K1385">
        <v>199</v>
      </c>
      <c r="L1385">
        <f>Table1[[#This Row],[Quantity]] * Table1[[#This Row],[UnitPrice]]</f>
        <v>398</v>
      </c>
      <c r="M1385" s="25">
        <v>0</v>
      </c>
      <c r="N1385">
        <f>Table1[[#This Row],[Revenue]]*Table1[[#This Row],[Discount%]]/100</f>
        <v>0</v>
      </c>
      <c r="O1385" s="6">
        <f>Table1[[#This Row],[Revenue]]-Table1[[#This Row],[Disc_amount]]</f>
        <v>398</v>
      </c>
      <c r="P1385" t="s">
        <v>52</v>
      </c>
      <c r="Q1385" t="s">
        <v>27</v>
      </c>
    </row>
    <row r="1386" spans="1:17">
      <c r="A1386" t="s">
        <v>2158</v>
      </c>
      <c r="B1386" s="1" t="s">
        <v>1305</v>
      </c>
      <c r="C1386" s="1" t="s">
        <v>2018</v>
      </c>
      <c r="D1386" s="1" t="s">
        <v>20</v>
      </c>
      <c r="E1386" t="s">
        <v>583</v>
      </c>
      <c r="F1386" t="s">
        <v>584</v>
      </c>
      <c r="G1386" t="s">
        <v>56</v>
      </c>
      <c r="H1386" t="s">
        <v>46</v>
      </c>
      <c r="I1386" t="s">
        <v>47</v>
      </c>
      <c r="J1386">
        <v>1</v>
      </c>
      <c r="K1386">
        <v>249</v>
      </c>
      <c r="L1386">
        <f>Table1[[#This Row],[Quantity]] * Table1[[#This Row],[UnitPrice]]</f>
        <v>249</v>
      </c>
      <c r="M1386" s="25">
        <v>10</v>
      </c>
      <c r="N1386">
        <f>Table1[[#This Row],[Revenue]]*Table1[[#This Row],[Discount%]]/100</f>
        <v>24.9</v>
      </c>
      <c r="O1386" s="6">
        <f>Table1[[#This Row],[Revenue]]-Table1[[#This Row],[Disc_amount]]</f>
        <v>224.1</v>
      </c>
      <c r="P1386" t="s">
        <v>41</v>
      </c>
      <c r="Q1386" t="s">
        <v>27</v>
      </c>
    </row>
    <row r="1387" spans="1:17">
      <c r="A1387" t="s">
        <v>2159</v>
      </c>
      <c r="B1387" s="1" t="s">
        <v>1305</v>
      </c>
      <c r="C1387" s="1" t="s">
        <v>2018</v>
      </c>
      <c r="D1387" s="1" t="s">
        <v>20</v>
      </c>
      <c r="E1387" t="s">
        <v>255</v>
      </c>
      <c r="F1387" t="s">
        <v>256</v>
      </c>
      <c r="G1387" t="s">
        <v>38</v>
      </c>
      <c r="H1387" t="s">
        <v>24</v>
      </c>
      <c r="I1387" t="s">
        <v>25</v>
      </c>
      <c r="J1387">
        <v>1</v>
      </c>
      <c r="K1387">
        <v>99</v>
      </c>
      <c r="L1387">
        <f>Table1[[#This Row],[Quantity]] * Table1[[#This Row],[UnitPrice]]</f>
        <v>99</v>
      </c>
      <c r="M1387" s="25">
        <v>0</v>
      </c>
      <c r="N1387">
        <f>Table1[[#This Row],[Revenue]]*Table1[[#This Row],[Discount%]]/100</f>
        <v>0</v>
      </c>
      <c r="O1387" s="6">
        <f>Table1[[#This Row],[Revenue]]-Table1[[#This Row],[Disc_amount]]</f>
        <v>99</v>
      </c>
      <c r="P1387" t="s">
        <v>26</v>
      </c>
      <c r="Q1387" t="s">
        <v>34</v>
      </c>
    </row>
    <row r="1388" spans="1:17">
      <c r="A1388" t="s">
        <v>2160</v>
      </c>
      <c r="B1388" s="1" t="s">
        <v>1305</v>
      </c>
      <c r="C1388" s="1" t="s">
        <v>2018</v>
      </c>
      <c r="D1388" s="1" t="s">
        <v>20</v>
      </c>
      <c r="E1388" t="s">
        <v>169</v>
      </c>
      <c r="F1388" t="s">
        <v>170</v>
      </c>
      <c r="G1388" t="s">
        <v>31</v>
      </c>
      <c r="H1388" t="s">
        <v>39</v>
      </c>
      <c r="I1388" t="s">
        <v>40</v>
      </c>
      <c r="J1388">
        <v>1</v>
      </c>
      <c r="K1388">
        <v>599</v>
      </c>
      <c r="L1388">
        <f>Table1[[#This Row],[Quantity]] * Table1[[#This Row],[UnitPrice]]</f>
        <v>599</v>
      </c>
      <c r="M1388" s="25">
        <v>5</v>
      </c>
      <c r="N1388">
        <f>Table1[[#This Row],[Revenue]]*Table1[[#This Row],[Discount%]]/100</f>
        <v>29.95</v>
      </c>
      <c r="O1388" s="6">
        <f>Table1[[#This Row],[Revenue]]-Table1[[#This Row],[Disc_amount]]</f>
        <v>569.04999999999995</v>
      </c>
      <c r="P1388" t="s">
        <v>33</v>
      </c>
      <c r="Q1388" t="s">
        <v>27</v>
      </c>
    </row>
    <row r="1389" spans="1:17">
      <c r="A1389" t="s">
        <v>2161</v>
      </c>
      <c r="B1389" s="1" t="s">
        <v>1305</v>
      </c>
      <c r="C1389" s="1" t="s">
        <v>2018</v>
      </c>
      <c r="D1389" s="1" t="s">
        <v>20</v>
      </c>
      <c r="E1389" t="s">
        <v>89</v>
      </c>
      <c r="F1389" t="s">
        <v>90</v>
      </c>
      <c r="G1389" t="s">
        <v>23</v>
      </c>
      <c r="H1389" t="s">
        <v>70</v>
      </c>
      <c r="I1389" t="s">
        <v>91</v>
      </c>
      <c r="J1389">
        <v>1</v>
      </c>
      <c r="K1389">
        <v>549</v>
      </c>
      <c r="L1389">
        <f>Table1[[#This Row],[Quantity]] * Table1[[#This Row],[UnitPrice]]</f>
        <v>549</v>
      </c>
      <c r="M1389" s="25">
        <v>0</v>
      </c>
      <c r="N1389">
        <f>Table1[[#This Row],[Revenue]]*Table1[[#This Row],[Discount%]]/100</f>
        <v>0</v>
      </c>
      <c r="O1389" s="6">
        <f>Table1[[#This Row],[Revenue]]-Table1[[#This Row],[Disc_amount]]</f>
        <v>549</v>
      </c>
      <c r="P1389" t="s">
        <v>26</v>
      </c>
      <c r="Q1389" t="s">
        <v>27</v>
      </c>
    </row>
    <row r="1390" spans="1:17">
      <c r="A1390" t="s">
        <v>2162</v>
      </c>
      <c r="B1390" s="1" t="s">
        <v>1314</v>
      </c>
      <c r="C1390" s="1" t="s">
        <v>2018</v>
      </c>
      <c r="D1390" s="1" t="s">
        <v>20</v>
      </c>
      <c r="E1390" t="s">
        <v>954</v>
      </c>
      <c r="F1390" t="s">
        <v>569</v>
      </c>
      <c r="G1390" t="s">
        <v>31</v>
      </c>
      <c r="H1390" t="s">
        <v>39</v>
      </c>
      <c r="I1390" t="s">
        <v>40</v>
      </c>
      <c r="J1390">
        <v>3</v>
      </c>
      <c r="K1390">
        <v>599</v>
      </c>
      <c r="L1390">
        <f>Table1[[#This Row],[Quantity]] * Table1[[#This Row],[UnitPrice]]</f>
        <v>1797</v>
      </c>
      <c r="M1390" s="25">
        <v>0</v>
      </c>
      <c r="N1390">
        <f>Table1[[#This Row],[Revenue]]*Table1[[#This Row],[Discount%]]/100</f>
        <v>0</v>
      </c>
      <c r="O1390" s="6">
        <f>Table1[[#This Row],[Revenue]]-Table1[[#This Row],[Disc_amount]]</f>
        <v>1797</v>
      </c>
      <c r="P1390" t="s">
        <v>33</v>
      </c>
      <c r="Q1390" t="s">
        <v>34</v>
      </c>
    </row>
    <row r="1391" spans="1:17">
      <c r="A1391" t="s">
        <v>2163</v>
      </c>
      <c r="B1391" s="1" t="s">
        <v>1314</v>
      </c>
      <c r="C1391" s="1" t="s">
        <v>2018</v>
      </c>
      <c r="D1391" s="1" t="s">
        <v>20</v>
      </c>
      <c r="E1391" t="s">
        <v>1783</v>
      </c>
      <c r="F1391" t="s">
        <v>623</v>
      </c>
      <c r="G1391" t="s">
        <v>38</v>
      </c>
      <c r="H1391" t="s">
        <v>46</v>
      </c>
      <c r="I1391" t="s">
        <v>47</v>
      </c>
      <c r="J1391">
        <v>3</v>
      </c>
      <c r="K1391">
        <v>249</v>
      </c>
      <c r="L1391">
        <f>Table1[[#This Row],[Quantity]] * Table1[[#This Row],[UnitPrice]]</f>
        <v>747</v>
      </c>
      <c r="M1391" s="25">
        <v>15</v>
      </c>
      <c r="N1391">
        <f>Table1[[#This Row],[Revenue]]*Table1[[#This Row],[Discount%]]/100</f>
        <v>112.05</v>
      </c>
      <c r="O1391" s="6">
        <f>Table1[[#This Row],[Revenue]]-Table1[[#This Row],[Disc_amount]]</f>
        <v>634.95000000000005</v>
      </c>
      <c r="P1391" t="s">
        <v>86</v>
      </c>
      <c r="Q1391" t="s">
        <v>27</v>
      </c>
    </row>
    <row r="1392" spans="1:17">
      <c r="A1392" t="s">
        <v>2164</v>
      </c>
      <c r="B1392" s="1" t="s">
        <v>1314</v>
      </c>
      <c r="C1392" s="1" t="s">
        <v>2018</v>
      </c>
      <c r="D1392" s="1" t="s">
        <v>20</v>
      </c>
      <c r="E1392" t="s">
        <v>657</v>
      </c>
      <c r="F1392" t="s">
        <v>147</v>
      </c>
      <c r="G1392" t="s">
        <v>38</v>
      </c>
      <c r="H1392" t="s">
        <v>46</v>
      </c>
      <c r="I1392" t="s">
        <v>154</v>
      </c>
      <c r="J1392">
        <v>2</v>
      </c>
      <c r="K1392">
        <v>299</v>
      </c>
      <c r="L1392">
        <f>Table1[[#This Row],[Quantity]] * Table1[[#This Row],[UnitPrice]]</f>
        <v>598</v>
      </c>
      <c r="M1392" s="25">
        <v>5</v>
      </c>
      <c r="N1392">
        <f>Table1[[#This Row],[Revenue]]*Table1[[#This Row],[Discount%]]/100</f>
        <v>29.9</v>
      </c>
      <c r="O1392" s="6">
        <f>Table1[[#This Row],[Revenue]]-Table1[[#This Row],[Disc_amount]]</f>
        <v>568.1</v>
      </c>
      <c r="P1392" t="s">
        <v>33</v>
      </c>
      <c r="Q1392" t="s">
        <v>27</v>
      </c>
    </row>
    <row r="1393" spans="1:17">
      <c r="A1393" t="s">
        <v>2165</v>
      </c>
      <c r="B1393" s="1" t="s">
        <v>1314</v>
      </c>
      <c r="C1393" s="1" t="s">
        <v>2018</v>
      </c>
      <c r="D1393" s="1" t="s">
        <v>20</v>
      </c>
      <c r="E1393" t="s">
        <v>1163</v>
      </c>
      <c r="F1393" t="s">
        <v>390</v>
      </c>
      <c r="G1393" t="s">
        <v>45</v>
      </c>
      <c r="H1393" t="s">
        <v>108</v>
      </c>
      <c r="I1393" t="s">
        <v>109</v>
      </c>
      <c r="J1393">
        <v>2</v>
      </c>
      <c r="K1393">
        <v>1499</v>
      </c>
      <c r="L1393">
        <f>Table1[[#This Row],[Quantity]] * Table1[[#This Row],[UnitPrice]]</f>
        <v>2998</v>
      </c>
      <c r="M1393" s="25">
        <v>0</v>
      </c>
      <c r="N1393">
        <f>Table1[[#This Row],[Revenue]]*Table1[[#This Row],[Discount%]]/100</f>
        <v>0</v>
      </c>
      <c r="O1393" s="6">
        <f>Table1[[#This Row],[Revenue]]-Table1[[#This Row],[Disc_amount]]</f>
        <v>2998</v>
      </c>
      <c r="P1393" t="s">
        <v>26</v>
      </c>
      <c r="Q1393" t="s">
        <v>27</v>
      </c>
    </row>
    <row r="1394" spans="1:17">
      <c r="A1394" t="s">
        <v>2166</v>
      </c>
      <c r="B1394" s="1" t="s">
        <v>1314</v>
      </c>
      <c r="C1394" s="1" t="s">
        <v>2018</v>
      </c>
      <c r="D1394" s="1" t="s">
        <v>20</v>
      </c>
      <c r="E1394" t="s">
        <v>606</v>
      </c>
      <c r="F1394" t="s">
        <v>607</v>
      </c>
      <c r="G1394" t="s">
        <v>23</v>
      </c>
      <c r="H1394" t="s">
        <v>65</v>
      </c>
      <c r="I1394" t="s">
        <v>98</v>
      </c>
      <c r="J1394">
        <v>1</v>
      </c>
      <c r="K1394">
        <v>499</v>
      </c>
      <c r="L1394">
        <f>Table1[[#This Row],[Quantity]] * Table1[[#This Row],[UnitPrice]]</f>
        <v>499</v>
      </c>
      <c r="M1394" s="25">
        <v>5</v>
      </c>
      <c r="N1394">
        <f>Table1[[#This Row],[Revenue]]*Table1[[#This Row],[Discount%]]/100</f>
        <v>24.95</v>
      </c>
      <c r="O1394" s="6">
        <f>Table1[[#This Row],[Revenue]]-Table1[[#This Row],[Disc_amount]]</f>
        <v>474.05</v>
      </c>
      <c r="P1394" t="s">
        <v>41</v>
      </c>
      <c r="Q1394" t="s">
        <v>27</v>
      </c>
    </row>
    <row r="1395" spans="1:17">
      <c r="A1395" t="s">
        <v>2167</v>
      </c>
      <c r="B1395" s="1" t="s">
        <v>1314</v>
      </c>
      <c r="C1395" s="1" t="s">
        <v>2018</v>
      </c>
      <c r="D1395" s="1" t="s">
        <v>20</v>
      </c>
      <c r="E1395" t="s">
        <v>1554</v>
      </c>
      <c r="F1395" t="s">
        <v>268</v>
      </c>
      <c r="G1395" t="s">
        <v>45</v>
      </c>
      <c r="H1395" t="s">
        <v>57</v>
      </c>
      <c r="I1395" t="s">
        <v>58</v>
      </c>
      <c r="J1395">
        <v>1</v>
      </c>
      <c r="K1395">
        <v>1299</v>
      </c>
      <c r="L1395">
        <f>Table1[[#This Row],[Quantity]] * Table1[[#This Row],[UnitPrice]]</f>
        <v>1299</v>
      </c>
      <c r="M1395" s="25">
        <v>0</v>
      </c>
      <c r="N1395">
        <f>Table1[[#This Row],[Revenue]]*Table1[[#This Row],[Discount%]]/100</f>
        <v>0</v>
      </c>
      <c r="O1395" s="6">
        <f>Table1[[#This Row],[Revenue]]-Table1[[#This Row],[Disc_amount]]</f>
        <v>1299</v>
      </c>
      <c r="P1395" t="s">
        <v>86</v>
      </c>
      <c r="Q1395" t="s">
        <v>27</v>
      </c>
    </row>
    <row r="1396" spans="1:17">
      <c r="A1396" t="s">
        <v>2168</v>
      </c>
      <c r="B1396" s="1" t="s">
        <v>1314</v>
      </c>
      <c r="C1396" s="1" t="s">
        <v>2018</v>
      </c>
      <c r="D1396" s="1" t="s">
        <v>20</v>
      </c>
      <c r="E1396" t="s">
        <v>440</v>
      </c>
      <c r="F1396" t="s">
        <v>259</v>
      </c>
      <c r="G1396" t="s">
        <v>31</v>
      </c>
      <c r="H1396" t="s">
        <v>70</v>
      </c>
      <c r="I1396" t="s">
        <v>91</v>
      </c>
      <c r="J1396">
        <v>3</v>
      </c>
      <c r="K1396">
        <v>549</v>
      </c>
      <c r="L1396">
        <f>Table1[[#This Row],[Quantity]] * Table1[[#This Row],[UnitPrice]]</f>
        <v>1647</v>
      </c>
      <c r="M1396" s="25">
        <v>15</v>
      </c>
      <c r="N1396">
        <f>Table1[[#This Row],[Revenue]]*Table1[[#This Row],[Discount%]]/100</f>
        <v>247.05</v>
      </c>
      <c r="O1396" s="6">
        <f>Table1[[#This Row],[Revenue]]-Table1[[#This Row],[Disc_amount]]</f>
        <v>1399.95</v>
      </c>
      <c r="P1396" t="s">
        <v>52</v>
      </c>
      <c r="Q1396" t="s">
        <v>27</v>
      </c>
    </row>
    <row r="1397" spans="1:17">
      <c r="A1397" t="s">
        <v>2169</v>
      </c>
      <c r="B1397" s="1" t="s">
        <v>1314</v>
      </c>
      <c r="C1397" s="1" t="s">
        <v>2018</v>
      </c>
      <c r="D1397" s="1" t="s">
        <v>20</v>
      </c>
      <c r="E1397" t="s">
        <v>599</v>
      </c>
      <c r="F1397" t="s">
        <v>600</v>
      </c>
      <c r="G1397" t="s">
        <v>23</v>
      </c>
      <c r="H1397" t="s">
        <v>39</v>
      </c>
      <c r="I1397" t="s">
        <v>140</v>
      </c>
      <c r="J1397">
        <v>1</v>
      </c>
      <c r="K1397">
        <v>1799</v>
      </c>
      <c r="L1397">
        <f>Table1[[#This Row],[Quantity]] * Table1[[#This Row],[UnitPrice]]</f>
        <v>1799</v>
      </c>
      <c r="M1397" s="25">
        <v>0</v>
      </c>
      <c r="N1397">
        <f>Table1[[#This Row],[Revenue]]*Table1[[#This Row],[Discount%]]/100</f>
        <v>0</v>
      </c>
      <c r="O1397" s="6">
        <f>Table1[[#This Row],[Revenue]]-Table1[[#This Row],[Disc_amount]]</f>
        <v>1799</v>
      </c>
      <c r="P1397" t="s">
        <v>33</v>
      </c>
      <c r="Q1397" t="s">
        <v>27</v>
      </c>
    </row>
    <row r="1398" spans="1:17">
      <c r="A1398" t="s">
        <v>2170</v>
      </c>
      <c r="B1398" s="1" t="s">
        <v>1314</v>
      </c>
      <c r="C1398" s="1" t="s">
        <v>2018</v>
      </c>
      <c r="D1398" s="1" t="s">
        <v>20</v>
      </c>
      <c r="E1398" t="s">
        <v>103</v>
      </c>
      <c r="F1398" t="s">
        <v>104</v>
      </c>
      <c r="G1398" t="s">
        <v>38</v>
      </c>
      <c r="H1398" t="s">
        <v>46</v>
      </c>
      <c r="I1398" t="s">
        <v>154</v>
      </c>
      <c r="J1398">
        <v>2</v>
      </c>
      <c r="K1398">
        <v>299</v>
      </c>
      <c r="L1398">
        <f>Table1[[#This Row],[Quantity]] * Table1[[#This Row],[UnitPrice]]</f>
        <v>598</v>
      </c>
      <c r="M1398" s="25">
        <v>15</v>
      </c>
      <c r="N1398">
        <f>Table1[[#This Row],[Revenue]]*Table1[[#This Row],[Discount%]]/100</f>
        <v>89.7</v>
      </c>
      <c r="O1398" s="6">
        <f>Table1[[#This Row],[Revenue]]-Table1[[#This Row],[Disc_amount]]</f>
        <v>508.3</v>
      </c>
      <c r="P1398" t="s">
        <v>26</v>
      </c>
      <c r="Q1398" t="s">
        <v>27</v>
      </c>
    </row>
    <row r="1399" spans="1:17">
      <c r="A1399" t="s">
        <v>2171</v>
      </c>
      <c r="B1399" s="1" t="s">
        <v>1321</v>
      </c>
      <c r="C1399" s="1" t="s">
        <v>2018</v>
      </c>
      <c r="D1399" s="1" t="s">
        <v>20</v>
      </c>
      <c r="E1399" t="s">
        <v>915</v>
      </c>
      <c r="F1399" t="s">
        <v>345</v>
      </c>
      <c r="G1399" t="s">
        <v>23</v>
      </c>
      <c r="H1399" t="s">
        <v>39</v>
      </c>
      <c r="I1399" t="s">
        <v>140</v>
      </c>
      <c r="J1399">
        <v>1</v>
      </c>
      <c r="K1399">
        <v>1799</v>
      </c>
      <c r="L1399">
        <f>Table1[[#This Row],[Quantity]] * Table1[[#This Row],[UnitPrice]]</f>
        <v>1799</v>
      </c>
      <c r="M1399" s="25">
        <v>20</v>
      </c>
      <c r="N1399">
        <f>Table1[[#This Row],[Revenue]]*Table1[[#This Row],[Discount%]]/100</f>
        <v>359.8</v>
      </c>
      <c r="O1399" s="6">
        <f>Table1[[#This Row],[Revenue]]-Table1[[#This Row],[Disc_amount]]</f>
        <v>1439.2</v>
      </c>
      <c r="P1399" t="s">
        <v>86</v>
      </c>
      <c r="Q1399" t="s">
        <v>27</v>
      </c>
    </row>
    <row r="1400" spans="1:17">
      <c r="A1400" t="s">
        <v>2172</v>
      </c>
      <c r="B1400" s="1" t="s">
        <v>1321</v>
      </c>
      <c r="C1400" s="1" t="s">
        <v>2018</v>
      </c>
      <c r="D1400" s="1" t="s">
        <v>20</v>
      </c>
      <c r="E1400" t="s">
        <v>1422</v>
      </c>
      <c r="F1400" t="s">
        <v>236</v>
      </c>
      <c r="G1400" t="s">
        <v>56</v>
      </c>
      <c r="H1400" t="s">
        <v>108</v>
      </c>
      <c r="I1400" t="s">
        <v>130</v>
      </c>
      <c r="J1400">
        <v>1</v>
      </c>
      <c r="K1400">
        <v>699</v>
      </c>
      <c r="L1400">
        <f>Table1[[#This Row],[Quantity]] * Table1[[#This Row],[UnitPrice]]</f>
        <v>699</v>
      </c>
      <c r="M1400" s="25">
        <v>0</v>
      </c>
      <c r="N1400">
        <f>Table1[[#This Row],[Revenue]]*Table1[[#This Row],[Discount%]]/100</f>
        <v>0</v>
      </c>
      <c r="O1400" s="6">
        <f>Table1[[#This Row],[Revenue]]-Table1[[#This Row],[Disc_amount]]</f>
        <v>699</v>
      </c>
      <c r="P1400" t="s">
        <v>41</v>
      </c>
      <c r="Q1400" t="s">
        <v>27</v>
      </c>
    </row>
    <row r="1401" spans="1:17">
      <c r="A1401" t="s">
        <v>2173</v>
      </c>
      <c r="B1401" s="1" t="s">
        <v>1321</v>
      </c>
      <c r="C1401" s="1" t="s">
        <v>2018</v>
      </c>
      <c r="D1401" s="1" t="s">
        <v>20</v>
      </c>
      <c r="E1401" t="s">
        <v>1392</v>
      </c>
      <c r="F1401" t="s">
        <v>97</v>
      </c>
      <c r="G1401" t="s">
        <v>23</v>
      </c>
      <c r="H1401" t="s">
        <v>108</v>
      </c>
      <c r="I1401" t="s">
        <v>130</v>
      </c>
      <c r="J1401">
        <v>1</v>
      </c>
      <c r="K1401">
        <v>699</v>
      </c>
      <c r="L1401">
        <f>Table1[[#This Row],[Quantity]] * Table1[[#This Row],[UnitPrice]]</f>
        <v>699</v>
      </c>
      <c r="M1401" s="25">
        <v>0</v>
      </c>
      <c r="N1401">
        <f>Table1[[#This Row],[Revenue]]*Table1[[#This Row],[Discount%]]/100</f>
        <v>0</v>
      </c>
      <c r="O1401" s="6">
        <f>Table1[[#This Row],[Revenue]]-Table1[[#This Row],[Disc_amount]]</f>
        <v>699</v>
      </c>
      <c r="P1401" t="s">
        <v>41</v>
      </c>
      <c r="Q1401" t="s">
        <v>27</v>
      </c>
    </row>
    <row r="1402" spans="1:17">
      <c r="A1402" t="s">
        <v>2174</v>
      </c>
      <c r="B1402" s="1" t="s">
        <v>1321</v>
      </c>
      <c r="C1402" s="1" t="s">
        <v>2018</v>
      </c>
      <c r="D1402" s="1" t="s">
        <v>20</v>
      </c>
      <c r="E1402" t="s">
        <v>659</v>
      </c>
      <c r="F1402" t="s">
        <v>253</v>
      </c>
      <c r="G1402" t="s">
        <v>56</v>
      </c>
      <c r="H1402" t="s">
        <v>65</v>
      </c>
      <c r="I1402" t="s">
        <v>98</v>
      </c>
      <c r="J1402">
        <v>1</v>
      </c>
      <c r="K1402">
        <v>499</v>
      </c>
      <c r="L1402">
        <f>Table1[[#This Row],[Quantity]] * Table1[[#This Row],[UnitPrice]]</f>
        <v>499</v>
      </c>
      <c r="M1402" s="25">
        <v>15</v>
      </c>
      <c r="N1402">
        <f>Table1[[#This Row],[Revenue]]*Table1[[#This Row],[Discount%]]/100</f>
        <v>74.849999999999994</v>
      </c>
      <c r="O1402" s="6">
        <f>Table1[[#This Row],[Revenue]]-Table1[[#This Row],[Disc_amount]]</f>
        <v>424.15</v>
      </c>
      <c r="P1402" t="s">
        <v>41</v>
      </c>
      <c r="Q1402" t="s">
        <v>27</v>
      </c>
    </row>
    <row r="1403" spans="1:17">
      <c r="A1403" t="s">
        <v>2175</v>
      </c>
      <c r="B1403" s="1" t="s">
        <v>1321</v>
      </c>
      <c r="C1403" s="1" t="s">
        <v>2018</v>
      </c>
      <c r="D1403" s="1" t="s">
        <v>20</v>
      </c>
      <c r="E1403" t="s">
        <v>278</v>
      </c>
      <c r="F1403" t="s">
        <v>279</v>
      </c>
      <c r="G1403" t="s">
        <v>38</v>
      </c>
      <c r="H1403" t="s">
        <v>24</v>
      </c>
      <c r="I1403" t="s">
        <v>25</v>
      </c>
      <c r="J1403">
        <v>1</v>
      </c>
      <c r="K1403">
        <v>99</v>
      </c>
      <c r="L1403">
        <f>Table1[[#This Row],[Quantity]] * Table1[[#This Row],[UnitPrice]]</f>
        <v>99</v>
      </c>
      <c r="M1403" s="25">
        <v>0</v>
      </c>
      <c r="N1403">
        <f>Table1[[#This Row],[Revenue]]*Table1[[#This Row],[Discount%]]/100</f>
        <v>0</v>
      </c>
      <c r="O1403" s="6">
        <f>Table1[[#This Row],[Revenue]]-Table1[[#This Row],[Disc_amount]]</f>
        <v>99</v>
      </c>
      <c r="P1403" t="s">
        <v>33</v>
      </c>
      <c r="Q1403" t="s">
        <v>27</v>
      </c>
    </row>
    <row r="1404" spans="1:17">
      <c r="A1404" t="s">
        <v>2176</v>
      </c>
      <c r="B1404" s="1" t="s">
        <v>1321</v>
      </c>
      <c r="C1404" s="1" t="s">
        <v>2018</v>
      </c>
      <c r="D1404" s="1" t="s">
        <v>20</v>
      </c>
      <c r="E1404" t="s">
        <v>2177</v>
      </c>
      <c r="F1404" t="s">
        <v>203</v>
      </c>
      <c r="G1404" t="s">
        <v>45</v>
      </c>
      <c r="H1404" t="s">
        <v>70</v>
      </c>
      <c r="I1404" t="s">
        <v>91</v>
      </c>
      <c r="J1404">
        <v>3</v>
      </c>
      <c r="K1404">
        <v>549</v>
      </c>
      <c r="L1404">
        <f>Table1[[#This Row],[Quantity]] * Table1[[#This Row],[UnitPrice]]</f>
        <v>1647</v>
      </c>
      <c r="M1404" s="25">
        <v>0</v>
      </c>
      <c r="N1404">
        <f>Table1[[#This Row],[Revenue]]*Table1[[#This Row],[Discount%]]/100</f>
        <v>0</v>
      </c>
      <c r="O1404" s="6">
        <f>Table1[[#This Row],[Revenue]]-Table1[[#This Row],[Disc_amount]]</f>
        <v>1647</v>
      </c>
      <c r="P1404" t="s">
        <v>33</v>
      </c>
      <c r="Q1404" t="s">
        <v>27</v>
      </c>
    </row>
    <row r="1405" spans="1:17">
      <c r="A1405" t="s">
        <v>2178</v>
      </c>
      <c r="B1405" s="1" t="s">
        <v>1321</v>
      </c>
      <c r="C1405" s="1" t="s">
        <v>2018</v>
      </c>
      <c r="D1405" s="1" t="s">
        <v>20</v>
      </c>
      <c r="E1405" t="s">
        <v>594</v>
      </c>
      <c r="F1405" t="s">
        <v>546</v>
      </c>
      <c r="G1405" t="s">
        <v>23</v>
      </c>
      <c r="H1405" t="s">
        <v>108</v>
      </c>
      <c r="I1405" t="s">
        <v>130</v>
      </c>
      <c r="J1405">
        <v>3</v>
      </c>
      <c r="K1405">
        <v>699</v>
      </c>
      <c r="L1405">
        <f>Table1[[#This Row],[Quantity]] * Table1[[#This Row],[UnitPrice]]</f>
        <v>2097</v>
      </c>
      <c r="M1405" s="25">
        <v>0</v>
      </c>
      <c r="N1405">
        <f>Table1[[#This Row],[Revenue]]*Table1[[#This Row],[Discount%]]/100</f>
        <v>0</v>
      </c>
      <c r="O1405" s="6">
        <f>Table1[[#This Row],[Revenue]]-Table1[[#This Row],[Disc_amount]]</f>
        <v>2097</v>
      </c>
      <c r="P1405" t="s">
        <v>33</v>
      </c>
      <c r="Q1405" t="s">
        <v>34</v>
      </c>
    </row>
    <row r="1406" spans="1:17">
      <c r="A1406" t="s">
        <v>2179</v>
      </c>
      <c r="B1406" s="1" t="s">
        <v>1327</v>
      </c>
      <c r="C1406" s="1" t="s">
        <v>2018</v>
      </c>
      <c r="D1406" s="1" t="s">
        <v>20</v>
      </c>
      <c r="E1406" t="s">
        <v>1462</v>
      </c>
      <c r="F1406" t="s">
        <v>1463</v>
      </c>
      <c r="G1406" t="s">
        <v>31</v>
      </c>
      <c r="H1406" t="s">
        <v>46</v>
      </c>
      <c r="I1406" t="s">
        <v>47</v>
      </c>
      <c r="J1406">
        <v>2</v>
      </c>
      <c r="K1406">
        <v>249</v>
      </c>
      <c r="L1406">
        <f>Table1[[#This Row],[Quantity]] * Table1[[#This Row],[UnitPrice]]</f>
        <v>498</v>
      </c>
      <c r="M1406" s="25">
        <v>0</v>
      </c>
      <c r="N1406">
        <f>Table1[[#This Row],[Revenue]]*Table1[[#This Row],[Discount%]]/100</f>
        <v>0</v>
      </c>
      <c r="O1406" s="6">
        <f>Table1[[#This Row],[Revenue]]-Table1[[#This Row],[Disc_amount]]</f>
        <v>498</v>
      </c>
      <c r="P1406" t="s">
        <v>33</v>
      </c>
      <c r="Q1406" t="s">
        <v>27</v>
      </c>
    </row>
    <row r="1407" spans="1:17">
      <c r="A1407" t="s">
        <v>2180</v>
      </c>
      <c r="B1407" s="1" t="s">
        <v>1327</v>
      </c>
      <c r="C1407" s="1" t="s">
        <v>2018</v>
      </c>
      <c r="D1407" s="1" t="s">
        <v>20</v>
      </c>
      <c r="E1407" t="s">
        <v>190</v>
      </c>
      <c r="F1407" t="s">
        <v>191</v>
      </c>
      <c r="G1407" t="s">
        <v>56</v>
      </c>
      <c r="H1407" t="s">
        <v>70</v>
      </c>
      <c r="I1407" t="s">
        <v>91</v>
      </c>
      <c r="J1407">
        <v>3</v>
      </c>
      <c r="K1407">
        <v>549</v>
      </c>
      <c r="L1407">
        <f>Table1[[#This Row],[Quantity]] * Table1[[#This Row],[UnitPrice]]</f>
        <v>1647</v>
      </c>
      <c r="M1407" s="25">
        <v>0</v>
      </c>
      <c r="N1407">
        <f>Table1[[#This Row],[Revenue]]*Table1[[#This Row],[Discount%]]/100</f>
        <v>0</v>
      </c>
      <c r="O1407" s="6">
        <f>Table1[[#This Row],[Revenue]]-Table1[[#This Row],[Disc_amount]]</f>
        <v>1647</v>
      </c>
      <c r="P1407" t="s">
        <v>52</v>
      </c>
      <c r="Q1407" t="s">
        <v>34</v>
      </c>
    </row>
    <row r="1408" spans="1:17">
      <c r="A1408" t="s">
        <v>2181</v>
      </c>
      <c r="B1408" s="1" t="s">
        <v>1331</v>
      </c>
      <c r="C1408" s="1" t="s">
        <v>2018</v>
      </c>
      <c r="D1408" s="1" t="s">
        <v>20</v>
      </c>
      <c r="E1408" t="s">
        <v>2061</v>
      </c>
      <c r="F1408" t="s">
        <v>2062</v>
      </c>
      <c r="G1408" t="s">
        <v>23</v>
      </c>
      <c r="H1408" t="s">
        <v>24</v>
      </c>
      <c r="I1408" t="s">
        <v>32</v>
      </c>
      <c r="J1408">
        <v>2</v>
      </c>
      <c r="K1408">
        <v>199</v>
      </c>
      <c r="L1408">
        <f>Table1[[#This Row],[Quantity]] * Table1[[#This Row],[UnitPrice]]</f>
        <v>398</v>
      </c>
      <c r="M1408" s="25">
        <v>0</v>
      </c>
      <c r="N1408">
        <f>Table1[[#This Row],[Revenue]]*Table1[[#This Row],[Discount%]]/100</f>
        <v>0</v>
      </c>
      <c r="O1408" s="6">
        <f>Table1[[#This Row],[Revenue]]-Table1[[#This Row],[Disc_amount]]</f>
        <v>398</v>
      </c>
      <c r="P1408" t="s">
        <v>26</v>
      </c>
      <c r="Q1408" t="s">
        <v>27</v>
      </c>
    </row>
    <row r="1409" spans="1:17">
      <c r="A1409" t="s">
        <v>2182</v>
      </c>
      <c r="B1409" s="1" t="s">
        <v>1331</v>
      </c>
      <c r="C1409" s="1" t="s">
        <v>2018</v>
      </c>
      <c r="D1409" s="1" t="s">
        <v>20</v>
      </c>
      <c r="E1409" t="s">
        <v>424</v>
      </c>
      <c r="F1409" t="s">
        <v>425</v>
      </c>
      <c r="G1409" t="s">
        <v>23</v>
      </c>
      <c r="H1409" t="s">
        <v>57</v>
      </c>
      <c r="I1409" t="s">
        <v>58</v>
      </c>
      <c r="J1409">
        <v>1</v>
      </c>
      <c r="K1409">
        <v>1299</v>
      </c>
      <c r="L1409">
        <f>Table1[[#This Row],[Quantity]] * Table1[[#This Row],[UnitPrice]]</f>
        <v>1299</v>
      </c>
      <c r="M1409" s="25">
        <v>20</v>
      </c>
      <c r="N1409">
        <f>Table1[[#This Row],[Revenue]]*Table1[[#This Row],[Discount%]]/100</f>
        <v>259.8</v>
      </c>
      <c r="O1409" s="6">
        <f>Table1[[#This Row],[Revenue]]-Table1[[#This Row],[Disc_amount]]</f>
        <v>1039.2</v>
      </c>
      <c r="P1409" t="s">
        <v>86</v>
      </c>
      <c r="Q1409" t="s">
        <v>27</v>
      </c>
    </row>
    <row r="1410" spans="1:17">
      <c r="A1410" t="s">
        <v>2183</v>
      </c>
      <c r="B1410" s="1" t="s">
        <v>1331</v>
      </c>
      <c r="C1410" s="1" t="s">
        <v>2018</v>
      </c>
      <c r="D1410" s="1" t="s">
        <v>20</v>
      </c>
      <c r="E1410" t="s">
        <v>693</v>
      </c>
      <c r="F1410" t="s">
        <v>694</v>
      </c>
      <c r="G1410" t="s">
        <v>56</v>
      </c>
      <c r="H1410" t="s">
        <v>57</v>
      </c>
      <c r="I1410" t="s">
        <v>58</v>
      </c>
      <c r="J1410">
        <v>3</v>
      </c>
      <c r="K1410">
        <v>1299</v>
      </c>
      <c r="L1410">
        <f>Table1[[#This Row],[Quantity]] * Table1[[#This Row],[UnitPrice]]</f>
        <v>3897</v>
      </c>
      <c r="M1410" s="25">
        <v>0</v>
      </c>
      <c r="N1410">
        <f>Table1[[#This Row],[Revenue]]*Table1[[#This Row],[Discount%]]/100</f>
        <v>0</v>
      </c>
      <c r="O1410" s="6">
        <f>Table1[[#This Row],[Revenue]]-Table1[[#This Row],[Disc_amount]]</f>
        <v>3897</v>
      </c>
      <c r="P1410" t="s">
        <v>52</v>
      </c>
      <c r="Q1410" t="s">
        <v>34</v>
      </c>
    </row>
    <row r="1411" spans="1:17">
      <c r="A1411" t="s">
        <v>2184</v>
      </c>
      <c r="B1411" s="1" t="s">
        <v>1331</v>
      </c>
      <c r="C1411" s="1" t="s">
        <v>2018</v>
      </c>
      <c r="D1411" s="1" t="s">
        <v>20</v>
      </c>
      <c r="E1411" t="s">
        <v>453</v>
      </c>
      <c r="F1411" t="s">
        <v>454</v>
      </c>
      <c r="G1411" t="s">
        <v>45</v>
      </c>
      <c r="H1411" t="s">
        <v>46</v>
      </c>
      <c r="I1411" t="s">
        <v>154</v>
      </c>
      <c r="J1411">
        <v>3</v>
      </c>
      <c r="K1411">
        <v>299</v>
      </c>
      <c r="L1411">
        <f>Table1[[#This Row],[Quantity]] * Table1[[#This Row],[UnitPrice]]</f>
        <v>897</v>
      </c>
      <c r="M1411" s="25">
        <v>0</v>
      </c>
      <c r="N1411">
        <f>Table1[[#This Row],[Revenue]]*Table1[[#This Row],[Discount%]]/100</f>
        <v>0</v>
      </c>
      <c r="O1411" s="6">
        <f>Table1[[#This Row],[Revenue]]-Table1[[#This Row],[Disc_amount]]</f>
        <v>897</v>
      </c>
      <c r="P1411" t="s">
        <v>33</v>
      </c>
      <c r="Q1411" t="s">
        <v>27</v>
      </c>
    </row>
    <row r="1412" spans="1:17">
      <c r="A1412" t="s">
        <v>2185</v>
      </c>
      <c r="B1412" s="1" t="s">
        <v>1331</v>
      </c>
      <c r="C1412" s="1" t="s">
        <v>2018</v>
      </c>
      <c r="D1412" s="1" t="s">
        <v>20</v>
      </c>
      <c r="E1412" t="s">
        <v>921</v>
      </c>
      <c r="F1412" t="s">
        <v>104</v>
      </c>
      <c r="G1412" t="s">
        <v>23</v>
      </c>
      <c r="H1412" t="s">
        <v>24</v>
      </c>
      <c r="I1412" t="s">
        <v>32</v>
      </c>
      <c r="J1412">
        <v>1</v>
      </c>
      <c r="K1412">
        <v>199</v>
      </c>
      <c r="L1412">
        <f>Table1[[#This Row],[Quantity]] * Table1[[#This Row],[UnitPrice]]</f>
        <v>199</v>
      </c>
      <c r="M1412" s="25">
        <v>10</v>
      </c>
      <c r="N1412">
        <f>Table1[[#This Row],[Revenue]]*Table1[[#This Row],[Discount%]]/100</f>
        <v>19.899999999999999</v>
      </c>
      <c r="O1412" s="6">
        <f>Table1[[#This Row],[Revenue]]-Table1[[#This Row],[Disc_amount]]</f>
        <v>179.1</v>
      </c>
      <c r="P1412" t="s">
        <v>26</v>
      </c>
      <c r="Q1412" t="s">
        <v>34</v>
      </c>
    </row>
    <row r="1413" spans="1:17">
      <c r="A1413" t="s">
        <v>2186</v>
      </c>
      <c r="B1413" s="1" t="s">
        <v>1336</v>
      </c>
      <c r="C1413" s="1" t="s">
        <v>2018</v>
      </c>
      <c r="D1413" s="1" t="s">
        <v>20</v>
      </c>
      <c r="E1413" t="s">
        <v>152</v>
      </c>
      <c r="F1413" t="s">
        <v>153</v>
      </c>
      <c r="G1413" t="s">
        <v>38</v>
      </c>
      <c r="H1413" t="s">
        <v>108</v>
      </c>
      <c r="I1413" t="s">
        <v>109</v>
      </c>
      <c r="J1413">
        <v>5</v>
      </c>
      <c r="K1413">
        <v>1499</v>
      </c>
      <c r="L1413">
        <f>Table1[[#This Row],[Quantity]] * Table1[[#This Row],[UnitPrice]]</f>
        <v>7495</v>
      </c>
      <c r="M1413" s="25">
        <v>10</v>
      </c>
      <c r="N1413">
        <f>Table1[[#This Row],[Revenue]]*Table1[[#This Row],[Discount%]]/100</f>
        <v>749.5</v>
      </c>
      <c r="O1413" s="6">
        <f>Table1[[#This Row],[Revenue]]-Table1[[#This Row],[Disc_amount]]</f>
        <v>6745.5</v>
      </c>
      <c r="P1413" t="s">
        <v>52</v>
      </c>
      <c r="Q1413" t="s">
        <v>27</v>
      </c>
    </row>
    <row r="1414" spans="1:17">
      <c r="A1414" t="s">
        <v>2187</v>
      </c>
      <c r="B1414" s="1" t="s">
        <v>1336</v>
      </c>
      <c r="C1414" s="1" t="s">
        <v>2018</v>
      </c>
      <c r="D1414" s="1" t="s">
        <v>20</v>
      </c>
      <c r="E1414" t="s">
        <v>93</v>
      </c>
      <c r="F1414" t="s">
        <v>77</v>
      </c>
      <c r="G1414" t="s">
        <v>45</v>
      </c>
      <c r="H1414" t="s">
        <v>65</v>
      </c>
      <c r="I1414" t="s">
        <v>94</v>
      </c>
      <c r="J1414">
        <v>1</v>
      </c>
      <c r="K1414">
        <v>899</v>
      </c>
      <c r="L1414">
        <f>Table1[[#This Row],[Quantity]] * Table1[[#This Row],[UnitPrice]]</f>
        <v>899</v>
      </c>
      <c r="M1414" s="25">
        <v>5</v>
      </c>
      <c r="N1414">
        <f>Table1[[#This Row],[Revenue]]*Table1[[#This Row],[Discount%]]/100</f>
        <v>44.95</v>
      </c>
      <c r="O1414" s="6">
        <f>Table1[[#This Row],[Revenue]]-Table1[[#This Row],[Disc_amount]]</f>
        <v>854.05</v>
      </c>
      <c r="P1414" t="s">
        <v>41</v>
      </c>
      <c r="Q1414" t="s">
        <v>27</v>
      </c>
    </row>
    <row r="1415" spans="1:17">
      <c r="A1415" t="s">
        <v>2188</v>
      </c>
      <c r="B1415" s="1" t="s">
        <v>1336</v>
      </c>
      <c r="C1415" s="1" t="s">
        <v>2018</v>
      </c>
      <c r="D1415" s="1" t="s">
        <v>20</v>
      </c>
      <c r="E1415" t="s">
        <v>986</v>
      </c>
      <c r="F1415" t="s">
        <v>209</v>
      </c>
      <c r="G1415" t="s">
        <v>31</v>
      </c>
      <c r="H1415" t="s">
        <v>24</v>
      </c>
      <c r="I1415" t="s">
        <v>25</v>
      </c>
      <c r="J1415">
        <v>1</v>
      </c>
      <c r="K1415">
        <v>99</v>
      </c>
      <c r="L1415">
        <f>Table1[[#This Row],[Quantity]] * Table1[[#This Row],[UnitPrice]]</f>
        <v>99</v>
      </c>
      <c r="M1415" s="25">
        <v>15</v>
      </c>
      <c r="N1415">
        <f>Table1[[#This Row],[Revenue]]*Table1[[#This Row],[Discount%]]/100</f>
        <v>14.85</v>
      </c>
      <c r="O1415" s="6">
        <f>Table1[[#This Row],[Revenue]]-Table1[[#This Row],[Disc_amount]]</f>
        <v>84.15</v>
      </c>
      <c r="P1415" t="s">
        <v>41</v>
      </c>
      <c r="Q1415" t="s">
        <v>34</v>
      </c>
    </row>
    <row r="1416" spans="1:17">
      <c r="A1416" t="s">
        <v>2189</v>
      </c>
      <c r="B1416" s="1" t="s">
        <v>1336</v>
      </c>
      <c r="C1416" s="1" t="s">
        <v>2018</v>
      </c>
      <c r="D1416" s="1" t="s">
        <v>20</v>
      </c>
      <c r="E1416" t="s">
        <v>100</v>
      </c>
      <c r="F1416" t="s">
        <v>101</v>
      </c>
      <c r="G1416" t="s">
        <v>56</v>
      </c>
      <c r="H1416" t="s">
        <v>108</v>
      </c>
      <c r="I1416" t="s">
        <v>109</v>
      </c>
      <c r="J1416">
        <v>5</v>
      </c>
      <c r="K1416">
        <v>1499</v>
      </c>
      <c r="L1416">
        <f>Table1[[#This Row],[Quantity]] * Table1[[#This Row],[UnitPrice]]</f>
        <v>7495</v>
      </c>
      <c r="M1416" s="25">
        <v>0</v>
      </c>
      <c r="N1416">
        <f>Table1[[#This Row],[Revenue]]*Table1[[#This Row],[Discount%]]/100</f>
        <v>0</v>
      </c>
      <c r="O1416" s="6">
        <f>Table1[[#This Row],[Revenue]]-Table1[[#This Row],[Disc_amount]]</f>
        <v>7495</v>
      </c>
      <c r="P1416" t="s">
        <v>41</v>
      </c>
      <c r="Q1416" t="s">
        <v>27</v>
      </c>
    </row>
    <row r="1417" spans="1:17">
      <c r="A1417" t="s">
        <v>2190</v>
      </c>
      <c r="B1417" s="1" t="s">
        <v>1340</v>
      </c>
      <c r="C1417" s="1" t="s">
        <v>2018</v>
      </c>
      <c r="D1417" s="1" t="s">
        <v>20</v>
      </c>
      <c r="E1417" t="s">
        <v>895</v>
      </c>
      <c r="F1417" t="s">
        <v>759</v>
      </c>
      <c r="G1417" t="s">
        <v>38</v>
      </c>
      <c r="H1417" t="s">
        <v>70</v>
      </c>
      <c r="I1417" t="s">
        <v>91</v>
      </c>
      <c r="J1417">
        <v>2</v>
      </c>
      <c r="K1417">
        <v>549</v>
      </c>
      <c r="L1417">
        <f>Table1[[#This Row],[Quantity]] * Table1[[#This Row],[UnitPrice]]</f>
        <v>1098</v>
      </c>
      <c r="M1417" s="25">
        <v>5</v>
      </c>
      <c r="N1417">
        <f>Table1[[#This Row],[Revenue]]*Table1[[#This Row],[Discount%]]/100</f>
        <v>54.9</v>
      </c>
      <c r="O1417" s="6">
        <f>Table1[[#This Row],[Revenue]]-Table1[[#This Row],[Disc_amount]]</f>
        <v>1043.0999999999999</v>
      </c>
      <c r="P1417" t="s">
        <v>26</v>
      </c>
      <c r="Q1417" t="s">
        <v>27</v>
      </c>
    </row>
    <row r="1418" spans="1:17">
      <c r="A1418" t="s">
        <v>2191</v>
      </c>
      <c r="B1418" s="1" t="s">
        <v>1340</v>
      </c>
      <c r="C1418" s="1" t="s">
        <v>2018</v>
      </c>
      <c r="D1418" s="1" t="s">
        <v>20</v>
      </c>
      <c r="E1418" t="s">
        <v>1049</v>
      </c>
      <c r="F1418" t="s">
        <v>415</v>
      </c>
      <c r="G1418" t="s">
        <v>23</v>
      </c>
      <c r="H1418" t="s">
        <v>70</v>
      </c>
      <c r="I1418" t="s">
        <v>91</v>
      </c>
      <c r="J1418">
        <v>3</v>
      </c>
      <c r="K1418">
        <v>549</v>
      </c>
      <c r="L1418">
        <f>Table1[[#This Row],[Quantity]] * Table1[[#This Row],[UnitPrice]]</f>
        <v>1647</v>
      </c>
      <c r="M1418" s="25">
        <v>0</v>
      </c>
      <c r="N1418">
        <f>Table1[[#This Row],[Revenue]]*Table1[[#This Row],[Discount%]]/100</f>
        <v>0</v>
      </c>
      <c r="O1418" s="6">
        <f>Table1[[#This Row],[Revenue]]-Table1[[#This Row],[Disc_amount]]</f>
        <v>1647</v>
      </c>
      <c r="P1418" t="s">
        <v>52</v>
      </c>
      <c r="Q1418" t="s">
        <v>27</v>
      </c>
    </row>
    <row r="1419" spans="1:17">
      <c r="A1419" t="s">
        <v>2192</v>
      </c>
      <c r="B1419" s="1" t="s">
        <v>1340</v>
      </c>
      <c r="C1419" s="1" t="s">
        <v>2018</v>
      </c>
      <c r="D1419" s="1" t="s">
        <v>20</v>
      </c>
      <c r="E1419" t="s">
        <v>128</v>
      </c>
      <c r="F1419" t="s">
        <v>129</v>
      </c>
      <c r="G1419" t="s">
        <v>31</v>
      </c>
      <c r="H1419" t="s">
        <v>39</v>
      </c>
      <c r="I1419" t="s">
        <v>40</v>
      </c>
      <c r="J1419">
        <v>1</v>
      </c>
      <c r="K1419">
        <v>599</v>
      </c>
      <c r="L1419">
        <f>Table1[[#This Row],[Quantity]] * Table1[[#This Row],[UnitPrice]]</f>
        <v>599</v>
      </c>
      <c r="M1419" s="25">
        <v>5</v>
      </c>
      <c r="N1419">
        <f>Table1[[#This Row],[Revenue]]*Table1[[#This Row],[Discount%]]/100</f>
        <v>29.95</v>
      </c>
      <c r="O1419" s="6">
        <f>Table1[[#This Row],[Revenue]]-Table1[[#This Row],[Disc_amount]]</f>
        <v>569.04999999999995</v>
      </c>
      <c r="P1419" t="s">
        <v>33</v>
      </c>
      <c r="Q1419" t="s">
        <v>27</v>
      </c>
    </row>
    <row r="1420" spans="1:17">
      <c r="A1420" t="s">
        <v>2193</v>
      </c>
      <c r="B1420" s="1" t="s">
        <v>1340</v>
      </c>
      <c r="C1420" s="1" t="s">
        <v>2018</v>
      </c>
      <c r="D1420" s="1" t="s">
        <v>20</v>
      </c>
      <c r="E1420" t="s">
        <v>1197</v>
      </c>
      <c r="F1420" t="s">
        <v>256</v>
      </c>
      <c r="G1420" t="s">
        <v>31</v>
      </c>
      <c r="H1420" t="s">
        <v>70</v>
      </c>
      <c r="I1420" t="s">
        <v>71</v>
      </c>
      <c r="J1420">
        <v>3</v>
      </c>
      <c r="K1420">
        <v>349</v>
      </c>
      <c r="L1420">
        <f>Table1[[#This Row],[Quantity]] * Table1[[#This Row],[UnitPrice]]</f>
        <v>1047</v>
      </c>
      <c r="M1420" s="25">
        <v>20</v>
      </c>
      <c r="N1420">
        <f>Table1[[#This Row],[Revenue]]*Table1[[#This Row],[Discount%]]/100</f>
        <v>209.4</v>
      </c>
      <c r="O1420" s="6">
        <f>Table1[[#This Row],[Revenue]]-Table1[[#This Row],[Disc_amount]]</f>
        <v>837.6</v>
      </c>
      <c r="P1420" t="s">
        <v>33</v>
      </c>
      <c r="Q1420" t="s">
        <v>27</v>
      </c>
    </row>
    <row r="1421" spans="1:17">
      <c r="A1421" t="s">
        <v>2194</v>
      </c>
      <c r="B1421" s="1" t="s">
        <v>1350</v>
      </c>
      <c r="C1421" s="1" t="s">
        <v>2018</v>
      </c>
      <c r="D1421" s="1" t="s">
        <v>20</v>
      </c>
      <c r="E1421" t="s">
        <v>1658</v>
      </c>
      <c r="F1421" t="s">
        <v>61</v>
      </c>
      <c r="G1421" t="s">
        <v>23</v>
      </c>
      <c r="H1421" t="s">
        <v>39</v>
      </c>
      <c r="I1421" t="s">
        <v>140</v>
      </c>
      <c r="J1421">
        <v>4</v>
      </c>
      <c r="K1421">
        <v>1799</v>
      </c>
      <c r="L1421">
        <f>Table1[[#This Row],[Quantity]] * Table1[[#This Row],[UnitPrice]]</f>
        <v>7196</v>
      </c>
      <c r="M1421" s="25">
        <v>15</v>
      </c>
      <c r="N1421">
        <f>Table1[[#This Row],[Revenue]]*Table1[[#This Row],[Discount%]]/100</f>
        <v>1079.4000000000001</v>
      </c>
      <c r="O1421" s="6">
        <f>Table1[[#This Row],[Revenue]]-Table1[[#This Row],[Disc_amount]]</f>
        <v>6116.6</v>
      </c>
      <c r="P1421" t="s">
        <v>41</v>
      </c>
      <c r="Q1421" t="s">
        <v>34</v>
      </c>
    </row>
    <row r="1422" spans="1:17">
      <c r="A1422" t="s">
        <v>2195</v>
      </c>
      <c r="B1422" s="1" t="s">
        <v>1350</v>
      </c>
      <c r="C1422" s="1" t="s">
        <v>2018</v>
      </c>
      <c r="D1422" s="1" t="s">
        <v>20</v>
      </c>
      <c r="E1422" t="s">
        <v>612</v>
      </c>
      <c r="F1422" t="s">
        <v>613</v>
      </c>
      <c r="G1422" t="s">
        <v>23</v>
      </c>
      <c r="H1422" t="s">
        <v>65</v>
      </c>
      <c r="I1422" t="s">
        <v>98</v>
      </c>
      <c r="J1422">
        <v>4</v>
      </c>
      <c r="K1422">
        <v>499</v>
      </c>
      <c r="L1422">
        <f>Table1[[#This Row],[Quantity]] * Table1[[#This Row],[UnitPrice]]</f>
        <v>1996</v>
      </c>
      <c r="M1422" s="25">
        <v>20</v>
      </c>
      <c r="N1422">
        <f>Table1[[#This Row],[Revenue]]*Table1[[#This Row],[Discount%]]/100</f>
        <v>399.2</v>
      </c>
      <c r="O1422" s="6">
        <f>Table1[[#This Row],[Revenue]]-Table1[[#This Row],[Disc_amount]]</f>
        <v>1596.8</v>
      </c>
      <c r="P1422" t="s">
        <v>33</v>
      </c>
      <c r="Q1422" t="s">
        <v>34</v>
      </c>
    </row>
    <row r="1423" spans="1:17">
      <c r="A1423" t="s">
        <v>2196</v>
      </c>
      <c r="B1423" s="1" t="s">
        <v>1350</v>
      </c>
      <c r="C1423" s="1" t="s">
        <v>2018</v>
      </c>
      <c r="D1423" s="1" t="s">
        <v>20</v>
      </c>
      <c r="E1423" t="s">
        <v>1229</v>
      </c>
      <c r="F1423" t="s">
        <v>97</v>
      </c>
      <c r="G1423" t="s">
        <v>56</v>
      </c>
      <c r="H1423" t="s">
        <v>24</v>
      </c>
      <c r="I1423" t="s">
        <v>32</v>
      </c>
      <c r="J1423">
        <v>1</v>
      </c>
      <c r="K1423">
        <v>199</v>
      </c>
      <c r="L1423">
        <f>Table1[[#This Row],[Quantity]] * Table1[[#This Row],[UnitPrice]]</f>
        <v>199</v>
      </c>
      <c r="M1423" s="25">
        <v>0</v>
      </c>
      <c r="N1423">
        <f>Table1[[#This Row],[Revenue]]*Table1[[#This Row],[Discount%]]/100</f>
        <v>0</v>
      </c>
      <c r="O1423" s="6">
        <f>Table1[[#This Row],[Revenue]]-Table1[[#This Row],[Disc_amount]]</f>
        <v>199</v>
      </c>
      <c r="P1423" t="s">
        <v>26</v>
      </c>
      <c r="Q1423" t="s">
        <v>27</v>
      </c>
    </row>
    <row r="1424" spans="1:17">
      <c r="A1424" t="s">
        <v>2197</v>
      </c>
      <c r="B1424" s="1" t="s">
        <v>1350</v>
      </c>
      <c r="C1424" s="1" t="s">
        <v>2018</v>
      </c>
      <c r="D1424" s="1" t="s">
        <v>20</v>
      </c>
      <c r="E1424" t="s">
        <v>352</v>
      </c>
      <c r="F1424" t="s">
        <v>134</v>
      </c>
      <c r="G1424" t="s">
        <v>23</v>
      </c>
      <c r="H1424" t="s">
        <v>65</v>
      </c>
      <c r="I1424" t="s">
        <v>94</v>
      </c>
      <c r="J1424">
        <v>1</v>
      </c>
      <c r="K1424">
        <v>899</v>
      </c>
      <c r="L1424">
        <f>Table1[[#This Row],[Quantity]] * Table1[[#This Row],[UnitPrice]]</f>
        <v>899</v>
      </c>
      <c r="M1424" s="25">
        <v>0</v>
      </c>
      <c r="N1424">
        <f>Table1[[#This Row],[Revenue]]*Table1[[#This Row],[Discount%]]/100</f>
        <v>0</v>
      </c>
      <c r="O1424" s="6">
        <f>Table1[[#This Row],[Revenue]]-Table1[[#This Row],[Disc_amount]]</f>
        <v>899</v>
      </c>
      <c r="P1424" t="s">
        <v>41</v>
      </c>
      <c r="Q1424" t="s">
        <v>34</v>
      </c>
    </row>
    <row r="1425" spans="1:17">
      <c r="A1425" t="s">
        <v>2198</v>
      </c>
      <c r="B1425" s="1" t="s">
        <v>1350</v>
      </c>
      <c r="C1425" s="1" t="s">
        <v>2018</v>
      </c>
      <c r="D1425" s="1" t="s">
        <v>20</v>
      </c>
      <c r="E1425" t="s">
        <v>1176</v>
      </c>
      <c r="F1425" t="s">
        <v>173</v>
      </c>
      <c r="G1425" t="s">
        <v>38</v>
      </c>
      <c r="H1425" t="s">
        <v>39</v>
      </c>
      <c r="I1425" t="s">
        <v>140</v>
      </c>
      <c r="J1425">
        <v>1</v>
      </c>
      <c r="K1425">
        <v>1799</v>
      </c>
      <c r="L1425">
        <f>Table1[[#This Row],[Quantity]] * Table1[[#This Row],[UnitPrice]]</f>
        <v>1799</v>
      </c>
      <c r="M1425" s="25">
        <v>0</v>
      </c>
      <c r="N1425">
        <f>Table1[[#This Row],[Revenue]]*Table1[[#This Row],[Discount%]]/100</f>
        <v>0</v>
      </c>
      <c r="O1425" s="6">
        <f>Table1[[#This Row],[Revenue]]-Table1[[#This Row],[Disc_amount]]</f>
        <v>1799</v>
      </c>
      <c r="P1425" t="s">
        <v>52</v>
      </c>
      <c r="Q1425" t="s">
        <v>27</v>
      </c>
    </row>
    <row r="1426" spans="1:17">
      <c r="A1426" t="s">
        <v>2199</v>
      </c>
      <c r="B1426" s="1" t="s">
        <v>1350</v>
      </c>
      <c r="C1426" s="1" t="s">
        <v>2018</v>
      </c>
      <c r="D1426" s="1" t="s">
        <v>20</v>
      </c>
      <c r="E1426" t="s">
        <v>568</v>
      </c>
      <c r="F1426" t="s">
        <v>569</v>
      </c>
      <c r="G1426" t="s">
        <v>56</v>
      </c>
      <c r="H1426" t="s">
        <v>57</v>
      </c>
      <c r="I1426" t="s">
        <v>62</v>
      </c>
      <c r="J1426">
        <v>2</v>
      </c>
      <c r="K1426">
        <v>799</v>
      </c>
      <c r="L1426">
        <f>Table1[[#This Row],[Quantity]] * Table1[[#This Row],[UnitPrice]]</f>
        <v>1598</v>
      </c>
      <c r="M1426" s="25">
        <v>0</v>
      </c>
      <c r="N1426">
        <f>Table1[[#This Row],[Revenue]]*Table1[[#This Row],[Discount%]]/100</f>
        <v>0</v>
      </c>
      <c r="O1426" s="6">
        <f>Table1[[#This Row],[Revenue]]-Table1[[#This Row],[Disc_amount]]</f>
        <v>1598</v>
      </c>
      <c r="P1426" t="s">
        <v>26</v>
      </c>
      <c r="Q1426" t="s">
        <v>34</v>
      </c>
    </row>
    <row r="1427" spans="1:17">
      <c r="A1427" t="s">
        <v>2200</v>
      </c>
      <c r="B1427" s="1" t="s">
        <v>1350</v>
      </c>
      <c r="C1427" s="1" t="s">
        <v>2018</v>
      </c>
      <c r="D1427" s="1" t="s">
        <v>20</v>
      </c>
      <c r="E1427" t="s">
        <v>1044</v>
      </c>
      <c r="F1427" t="s">
        <v>587</v>
      </c>
      <c r="G1427" t="s">
        <v>38</v>
      </c>
      <c r="H1427" t="s">
        <v>46</v>
      </c>
      <c r="I1427" t="s">
        <v>47</v>
      </c>
      <c r="J1427">
        <v>1</v>
      </c>
      <c r="K1427">
        <v>249</v>
      </c>
      <c r="L1427">
        <f>Table1[[#This Row],[Quantity]] * Table1[[#This Row],[UnitPrice]]</f>
        <v>249</v>
      </c>
      <c r="M1427" s="25">
        <v>20</v>
      </c>
      <c r="N1427">
        <f>Table1[[#This Row],[Revenue]]*Table1[[#This Row],[Discount%]]/100</f>
        <v>49.8</v>
      </c>
      <c r="O1427" s="6">
        <f>Table1[[#This Row],[Revenue]]-Table1[[#This Row],[Disc_amount]]</f>
        <v>199.2</v>
      </c>
      <c r="P1427" t="s">
        <v>33</v>
      </c>
      <c r="Q1427" t="s">
        <v>34</v>
      </c>
    </row>
    <row r="1428" spans="1:17">
      <c r="A1428" t="s">
        <v>2201</v>
      </c>
      <c r="B1428" s="1" t="s">
        <v>1350</v>
      </c>
      <c r="C1428" s="1" t="s">
        <v>2018</v>
      </c>
      <c r="D1428" s="1" t="s">
        <v>20</v>
      </c>
      <c r="E1428" t="s">
        <v>993</v>
      </c>
      <c r="F1428" t="s">
        <v>203</v>
      </c>
      <c r="G1428" t="s">
        <v>45</v>
      </c>
      <c r="H1428" t="s">
        <v>57</v>
      </c>
      <c r="I1428" t="s">
        <v>58</v>
      </c>
      <c r="J1428">
        <v>3</v>
      </c>
      <c r="K1428">
        <v>1299</v>
      </c>
      <c r="L1428">
        <f>Table1[[#This Row],[Quantity]] * Table1[[#This Row],[UnitPrice]]</f>
        <v>3897</v>
      </c>
      <c r="M1428" s="25">
        <v>10</v>
      </c>
      <c r="N1428">
        <f>Table1[[#This Row],[Revenue]]*Table1[[#This Row],[Discount%]]/100</f>
        <v>389.7</v>
      </c>
      <c r="O1428" s="6">
        <f>Table1[[#This Row],[Revenue]]-Table1[[#This Row],[Disc_amount]]</f>
        <v>3507.3</v>
      </c>
      <c r="P1428" t="s">
        <v>41</v>
      </c>
      <c r="Q1428" t="s">
        <v>34</v>
      </c>
    </row>
    <row r="1429" spans="1:17">
      <c r="A1429" t="s">
        <v>2202</v>
      </c>
      <c r="B1429" s="1" t="s">
        <v>1358</v>
      </c>
      <c r="C1429" s="1" t="s">
        <v>2018</v>
      </c>
      <c r="D1429" s="1" t="s">
        <v>20</v>
      </c>
      <c r="E1429" t="s">
        <v>1623</v>
      </c>
      <c r="F1429" t="s">
        <v>1624</v>
      </c>
      <c r="G1429" t="s">
        <v>31</v>
      </c>
      <c r="H1429" t="s">
        <v>65</v>
      </c>
      <c r="I1429" t="s">
        <v>66</v>
      </c>
      <c r="J1429">
        <v>1</v>
      </c>
      <c r="K1429">
        <v>1999</v>
      </c>
      <c r="L1429">
        <f>Table1[[#This Row],[Quantity]] * Table1[[#This Row],[UnitPrice]]</f>
        <v>1999</v>
      </c>
      <c r="M1429" s="25">
        <v>0</v>
      </c>
      <c r="N1429">
        <f>Table1[[#This Row],[Revenue]]*Table1[[#This Row],[Discount%]]/100</f>
        <v>0</v>
      </c>
      <c r="O1429" s="6">
        <f>Table1[[#This Row],[Revenue]]-Table1[[#This Row],[Disc_amount]]</f>
        <v>1999</v>
      </c>
      <c r="P1429" t="s">
        <v>26</v>
      </c>
      <c r="Q1429" t="s">
        <v>34</v>
      </c>
    </row>
    <row r="1430" spans="1:17">
      <c r="A1430" t="s">
        <v>2203</v>
      </c>
      <c r="B1430" s="1" t="s">
        <v>1358</v>
      </c>
      <c r="C1430" s="1" t="s">
        <v>2018</v>
      </c>
      <c r="D1430" s="1" t="s">
        <v>20</v>
      </c>
      <c r="E1430" t="s">
        <v>461</v>
      </c>
      <c r="F1430" t="s">
        <v>462</v>
      </c>
      <c r="G1430" t="s">
        <v>56</v>
      </c>
      <c r="H1430" t="s">
        <v>24</v>
      </c>
      <c r="I1430" t="s">
        <v>32</v>
      </c>
      <c r="J1430">
        <v>2</v>
      </c>
      <c r="K1430">
        <v>199</v>
      </c>
      <c r="L1430">
        <f>Table1[[#This Row],[Quantity]] * Table1[[#This Row],[UnitPrice]]</f>
        <v>398</v>
      </c>
      <c r="M1430" s="25">
        <v>15</v>
      </c>
      <c r="N1430">
        <f>Table1[[#This Row],[Revenue]]*Table1[[#This Row],[Discount%]]/100</f>
        <v>59.7</v>
      </c>
      <c r="O1430" s="6">
        <f>Table1[[#This Row],[Revenue]]-Table1[[#This Row],[Disc_amount]]</f>
        <v>338.3</v>
      </c>
      <c r="P1430" t="s">
        <v>33</v>
      </c>
      <c r="Q1430" t="s">
        <v>27</v>
      </c>
    </row>
    <row r="1431" spans="1:17">
      <c r="A1431" t="s">
        <v>2204</v>
      </c>
      <c r="B1431" s="1" t="s">
        <v>1358</v>
      </c>
      <c r="C1431" s="1" t="s">
        <v>2018</v>
      </c>
      <c r="D1431" s="1" t="s">
        <v>20</v>
      </c>
      <c r="E1431" t="s">
        <v>878</v>
      </c>
      <c r="F1431" t="s">
        <v>879</v>
      </c>
      <c r="G1431" t="s">
        <v>56</v>
      </c>
      <c r="H1431" t="s">
        <v>65</v>
      </c>
      <c r="I1431" t="s">
        <v>94</v>
      </c>
      <c r="J1431">
        <v>1</v>
      </c>
      <c r="K1431">
        <v>899</v>
      </c>
      <c r="L1431">
        <f>Table1[[#This Row],[Quantity]] * Table1[[#This Row],[UnitPrice]]</f>
        <v>899</v>
      </c>
      <c r="M1431" s="25">
        <v>15</v>
      </c>
      <c r="N1431">
        <f>Table1[[#This Row],[Revenue]]*Table1[[#This Row],[Discount%]]/100</f>
        <v>134.85</v>
      </c>
      <c r="O1431" s="6">
        <f>Table1[[#This Row],[Revenue]]-Table1[[#This Row],[Disc_amount]]</f>
        <v>764.15</v>
      </c>
      <c r="P1431" t="s">
        <v>33</v>
      </c>
      <c r="Q1431" t="s">
        <v>34</v>
      </c>
    </row>
    <row r="1432" spans="1:17">
      <c r="A1432" t="s">
        <v>2205</v>
      </c>
      <c r="B1432" s="1" t="s">
        <v>1358</v>
      </c>
      <c r="C1432" s="1" t="s">
        <v>2018</v>
      </c>
      <c r="D1432" s="1" t="s">
        <v>20</v>
      </c>
      <c r="E1432" t="s">
        <v>1578</v>
      </c>
      <c r="F1432" t="s">
        <v>44</v>
      </c>
      <c r="G1432" t="s">
        <v>56</v>
      </c>
      <c r="H1432" t="s">
        <v>39</v>
      </c>
      <c r="I1432" t="s">
        <v>40</v>
      </c>
      <c r="J1432">
        <v>3</v>
      </c>
      <c r="K1432">
        <v>599</v>
      </c>
      <c r="L1432">
        <f>Table1[[#This Row],[Quantity]] * Table1[[#This Row],[UnitPrice]]</f>
        <v>1797</v>
      </c>
      <c r="M1432" s="25">
        <v>15</v>
      </c>
      <c r="N1432">
        <f>Table1[[#This Row],[Revenue]]*Table1[[#This Row],[Discount%]]/100</f>
        <v>269.55</v>
      </c>
      <c r="O1432" s="6">
        <f>Table1[[#This Row],[Revenue]]-Table1[[#This Row],[Disc_amount]]</f>
        <v>1527.45</v>
      </c>
      <c r="P1432" t="s">
        <v>26</v>
      </c>
      <c r="Q1432" t="s">
        <v>27</v>
      </c>
    </row>
    <row r="1433" spans="1:17">
      <c r="A1433" t="s">
        <v>2206</v>
      </c>
      <c r="B1433" s="1" t="s">
        <v>1358</v>
      </c>
      <c r="C1433" s="1" t="s">
        <v>2018</v>
      </c>
      <c r="D1433" s="1" t="s">
        <v>20</v>
      </c>
      <c r="E1433" t="s">
        <v>2207</v>
      </c>
      <c r="F1433" t="s">
        <v>2208</v>
      </c>
      <c r="G1433" t="s">
        <v>45</v>
      </c>
      <c r="H1433" t="s">
        <v>46</v>
      </c>
      <c r="I1433" t="s">
        <v>47</v>
      </c>
      <c r="J1433">
        <v>1</v>
      </c>
      <c r="K1433">
        <v>249</v>
      </c>
      <c r="L1433">
        <f>Table1[[#This Row],[Quantity]] * Table1[[#This Row],[UnitPrice]]</f>
        <v>249</v>
      </c>
      <c r="M1433" s="25">
        <v>15</v>
      </c>
      <c r="N1433">
        <f>Table1[[#This Row],[Revenue]]*Table1[[#This Row],[Discount%]]/100</f>
        <v>37.35</v>
      </c>
      <c r="O1433" s="6">
        <f>Table1[[#This Row],[Revenue]]-Table1[[#This Row],[Disc_amount]]</f>
        <v>211.65</v>
      </c>
      <c r="P1433" t="s">
        <v>26</v>
      </c>
      <c r="Q1433" t="s">
        <v>27</v>
      </c>
    </row>
    <row r="1434" spans="1:17">
      <c r="A1434" t="s">
        <v>2209</v>
      </c>
      <c r="B1434" s="1" t="s">
        <v>1358</v>
      </c>
      <c r="C1434" s="1" t="s">
        <v>2018</v>
      </c>
      <c r="D1434" s="1" t="s">
        <v>20</v>
      </c>
      <c r="E1434" t="s">
        <v>79</v>
      </c>
      <c r="F1434" t="s">
        <v>80</v>
      </c>
      <c r="G1434" t="s">
        <v>31</v>
      </c>
      <c r="H1434" t="s">
        <v>57</v>
      </c>
      <c r="I1434" t="s">
        <v>58</v>
      </c>
      <c r="J1434">
        <v>1</v>
      </c>
      <c r="K1434">
        <v>1299</v>
      </c>
      <c r="L1434">
        <f>Table1[[#This Row],[Quantity]] * Table1[[#This Row],[UnitPrice]]</f>
        <v>1299</v>
      </c>
      <c r="M1434" s="25">
        <v>0</v>
      </c>
      <c r="N1434">
        <f>Table1[[#This Row],[Revenue]]*Table1[[#This Row],[Discount%]]/100</f>
        <v>0</v>
      </c>
      <c r="O1434" s="6">
        <f>Table1[[#This Row],[Revenue]]-Table1[[#This Row],[Disc_amount]]</f>
        <v>1299</v>
      </c>
      <c r="P1434" t="s">
        <v>52</v>
      </c>
      <c r="Q1434" t="s">
        <v>27</v>
      </c>
    </row>
    <row r="1435" spans="1:17">
      <c r="A1435" t="s">
        <v>2210</v>
      </c>
      <c r="B1435" s="1" t="s">
        <v>1358</v>
      </c>
      <c r="C1435" s="1" t="s">
        <v>2018</v>
      </c>
      <c r="D1435" s="1" t="s">
        <v>20</v>
      </c>
      <c r="E1435" t="s">
        <v>440</v>
      </c>
      <c r="F1435" t="s">
        <v>259</v>
      </c>
      <c r="G1435" t="s">
        <v>31</v>
      </c>
      <c r="H1435" t="s">
        <v>65</v>
      </c>
      <c r="I1435" t="s">
        <v>98</v>
      </c>
      <c r="J1435">
        <v>5</v>
      </c>
      <c r="K1435">
        <v>499</v>
      </c>
      <c r="L1435">
        <f>Table1[[#This Row],[Quantity]] * Table1[[#This Row],[UnitPrice]]</f>
        <v>2495</v>
      </c>
      <c r="M1435" s="25">
        <v>15</v>
      </c>
      <c r="N1435">
        <f>Table1[[#This Row],[Revenue]]*Table1[[#This Row],[Discount%]]/100</f>
        <v>374.25</v>
      </c>
      <c r="O1435" s="6">
        <f>Table1[[#This Row],[Revenue]]-Table1[[#This Row],[Disc_amount]]</f>
        <v>2120.75</v>
      </c>
      <c r="P1435" t="s">
        <v>26</v>
      </c>
      <c r="Q1435" t="s">
        <v>34</v>
      </c>
    </row>
    <row r="1436" spans="1:17">
      <c r="A1436" t="s">
        <v>2211</v>
      </c>
      <c r="B1436" s="1" t="s">
        <v>1358</v>
      </c>
      <c r="C1436" s="1" t="s">
        <v>2018</v>
      </c>
      <c r="D1436" s="1" t="s">
        <v>20</v>
      </c>
      <c r="E1436" t="s">
        <v>974</v>
      </c>
      <c r="F1436" t="s">
        <v>879</v>
      </c>
      <c r="G1436" t="s">
        <v>56</v>
      </c>
      <c r="H1436" t="s">
        <v>46</v>
      </c>
      <c r="I1436" t="s">
        <v>47</v>
      </c>
      <c r="J1436">
        <v>3</v>
      </c>
      <c r="K1436">
        <v>249</v>
      </c>
      <c r="L1436">
        <f>Table1[[#This Row],[Quantity]] * Table1[[#This Row],[UnitPrice]]</f>
        <v>747</v>
      </c>
      <c r="M1436" s="25">
        <v>0</v>
      </c>
      <c r="N1436">
        <f>Table1[[#This Row],[Revenue]]*Table1[[#This Row],[Discount%]]/100</f>
        <v>0</v>
      </c>
      <c r="O1436" s="6">
        <f>Table1[[#This Row],[Revenue]]-Table1[[#This Row],[Disc_amount]]</f>
        <v>747</v>
      </c>
      <c r="P1436" t="s">
        <v>41</v>
      </c>
      <c r="Q1436" t="s">
        <v>27</v>
      </c>
    </row>
    <row r="1437" spans="1:17">
      <c r="A1437" t="s">
        <v>2212</v>
      </c>
      <c r="B1437" s="1" t="s">
        <v>1358</v>
      </c>
      <c r="C1437" s="1" t="s">
        <v>2018</v>
      </c>
      <c r="D1437" s="1" t="s">
        <v>20</v>
      </c>
      <c r="E1437" t="s">
        <v>1549</v>
      </c>
      <c r="F1437" t="s">
        <v>562</v>
      </c>
      <c r="G1437" t="s">
        <v>45</v>
      </c>
      <c r="H1437" t="s">
        <v>24</v>
      </c>
      <c r="I1437" t="s">
        <v>25</v>
      </c>
      <c r="J1437">
        <v>3</v>
      </c>
      <c r="K1437">
        <v>99</v>
      </c>
      <c r="L1437">
        <f>Table1[[#This Row],[Quantity]] * Table1[[#This Row],[UnitPrice]]</f>
        <v>297</v>
      </c>
      <c r="M1437" s="25">
        <v>0</v>
      </c>
      <c r="N1437">
        <f>Table1[[#This Row],[Revenue]]*Table1[[#This Row],[Discount%]]/100</f>
        <v>0</v>
      </c>
      <c r="O1437" s="6">
        <f>Table1[[#This Row],[Revenue]]-Table1[[#This Row],[Disc_amount]]</f>
        <v>297</v>
      </c>
      <c r="P1437" t="s">
        <v>52</v>
      </c>
      <c r="Q1437" t="s">
        <v>34</v>
      </c>
    </row>
    <row r="1438" spans="1:17">
      <c r="A1438" t="s">
        <v>2213</v>
      </c>
      <c r="B1438" s="1" t="s">
        <v>1358</v>
      </c>
      <c r="C1438" s="1" t="s">
        <v>2018</v>
      </c>
      <c r="D1438" s="1" t="s">
        <v>20</v>
      </c>
      <c r="E1438" t="s">
        <v>925</v>
      </c>
      <c r="F1438" t="s">
        <v>248</v>
      </c>
      <c r="G1438" t="s">
        <v>38</v>
      </c>
      <c r="H1438" t="s">
        <v>46</v>
      </c>
      <c r="I1438" t="s">
        <v>47</v>
      </c>
      <c r="J1438">
        <v>3</v>
      </c>
      <c r="K1438">
        <v>249</v>
      </c>
      <c r="L1438">
        <f>Table1[[#This Row],[Quantity]] * Table1[[#This Row],[UnitPrice]]</f>
        <v>747</v>
      </c>
      <c r="M1438" s="25">
        <v>20</v>
      </c>
      <c r="N1438">
        <f>Table1[[#This Row],[Revenue]]*Table1[[#This Row],[Discount%]]/100</f>
        <v>149.4</v>
      </c>
      <c r="O1438" s="6">
        <f>Table1[[#This Row],[Revenue]]-Table1[[#This Row],[Disc_amount]]</f>
        <v>597.6</v>
      </c>
      <c r="P1438" t="s">
        <v>41</v>
      </c>
      <c r="Q1438" t="s">
        <v>34</v>
      </c>
    </row>
    <row r="1439" spans="1:17">
      <c r="A1439" t="s">
        <v>2214</v>
      </c>
      <c r="B1439" s="1" t="s">
        <v>1358</v>
      </c>
      <c r="C1439" s="1" t="s">
        <v>2018</v>
      </c>
      <c r="D1439" s="1" t="s">
        <v>20</v>
      </c>
      <c r="E1439" t="s">
        <v>297</v>
      </c>
      <c r="F1439" t="s">
        <v>298</v>
      </c>
      <c r="G1439" t="s">
        <v>56</v>
      </c>
      <c r="H1439" t="s">
        <v>65</v>
      </c>
      <c r="I1439" t="s">
        <v>98</v>
      </c>
      <c r="J1439">
        <v>2</v>
      </c>
      <c r="K1439">
        <v>499</v>
      </c>
      <c r="L1439">
        <f>Table1[[#This Row],[Quantity]] * Table1[[#This Row],[UnitPrice]]</f>
        <v>998</v>
      </c>
      <c r="M1439" s="25">
        <v>0</v>
      </c>
      <c r="N1439">
        <f>Table1[[#This Row],[Revenue]]*Table1[[#This Row],[Discount%]]/100</f>
        <v>0</v>
      </c>
      <c r="O1439" s="6">
        <f>Table1[[#This Row],[Revenue]]-Table1[[#This Row],[Disc_amount]]</f>
        <v>998</v>
      </c>
      <c r="P1439" t="s">
        <v>86</v>
      </c>
      <c r="Q1439" t="s">
        <v>27</v>
      </c>
    </row>
    <row r="1440" spans="1:17">
      <c r="A1440" t="s">
        <v>2215</v>
      </c>
      <c r="B1440" s="1" t="s">
        <v>1358</v>
      </c>
      <c r="C1440" s="1" t="s">
        <v>2018</v>
      </c>
      <c r="D1440" s="1" t="s">
        <v>20</v>
      </c>
      <c r="E1440" t="s">
        <v>603</v>
      </c>
      <c r="F1440" t="s">
        <v>604</v>
      </c>
      <c r="G1440" t="s">
        <v>31</v>
      </c>
      <c r="H1440" t="s">
        <v>24</v>
      </c>
      <c r="I1440" t="s">
        <v>25</v>
      </c>
      <c r="J1440">
        <v>2</v>
      </c>
      <c r="K1440">
        <v>99</v>
      </c>
      <c r="L1440">
        <f>Table1[[#This Row],[Quantity]] * Table1[[#This Row],[UnitPrice]]</f>
        <v>198</v>
      </c>
      <c r="M1440" s="25">
        <v>0</v>
      </c>
      <c r="N1440">
        <f>Table1[[#This Row],[Revenue]]*Table1[[#This Row],[Discount%]]/100</f>
        <v>0</v>
      </c>
      <c r="O1440" s="6">
        <f>Table1[[#This Row],[Revenue]]-Table1[[#This Row],[Disc_amount]]</f>
        <v>198</v>
      </c>
      <c r="P1440" t="s">
        <v>33</v>
      </c>
      <c r="Q1440" t="s">
        <v>27</v>
      </c>
    </row>
    <row r="1441" spans="1:17">
      <c r="A1441" t="s">
        <v>2216</v>
      </c>
      <c r="B1441" s="1" t="s">
        <v>1367</v>
      </c>
      <c r="C1441" s="1" t="s">
        <v>2018</v>
      </c>
      <c r="D1441" s="1" t="s">
        <v>20</v>
      </c>
      <c r="E1441" t="s">
        <v>286</v>
      </c>
      <c r="F1441" t="s">
        <v>287</v>
      </c>
      <c r="G1441" t="s">
        <v>45</v>
      </c>
      <c r="H1441" t="s">
        <v>39</v>
      </c>
      <c r="I1441" t="s">
        <v>140</v>
      </c>
      <c r="J1441">
        <v>1</v>
      </c>
      <c r="K1441">
        <v>1799</v>
      </c>
      <c r="L1441">
        <f>Table1[[#This Row],[Quantity]] * Table1[[#This Row],[UnitPrice]]</f>
        <v>1799</v>
      </c>
      <c r="M1441" s="25">
        <v>0</v>
      </c>
      <c r="N1441">
        <f>Table1[[#This Row],[Revenue]]*Table1[[#This Row],[Discount%]]/100</f>
        <v>0</v>
      </c>
      <c r="O1441" s="6">
        <f>Table1[[#This Row],[Revenue]]-Table1[[#This Row],[Disc_amount]]</f>
        <v>1799</v>
      </c>
      <c r="P1441" t="s">
        <v>26</v>
      </c>
      <c r="Q1441" t="s">
        <v>27</v>
      </c>
    </row>
    <row r="1442" spans="1:17">
      <c r="A1442" t="s">
        <v>2217</v>
      </c>
      <c r="B1442" s="1" t="s">
        <v>1367</v>
      </c>
      <c r="C1442" s="1" t="s">
        <v>2018</v>
      </c>
      <c r="D1442" s="1" t="s">
        <v>20</v>
      </c>
      <c r="E1442" t="s">
        <v>126</v>
      </c>
      <c r="F1442" t="s">
        <v>77</v>
      </c>
      <c r="G1442" t="s">
        <v>38</v>
      </c>
      <c r="H1442" t="s">
        <v>65</v>
      </c>
      <c r="I1442" t="s">
        <v>94</v>
      </c>
      <c r="J1442">
        <v>3</v>
      </c>
      <c r="K1442">
        <v>899</v>
      </c>
      <c r="L1442">
        <f>Table1[[#This Row],[Quantity]] * Table1[[#This Row],[UnitPrice]]</f>
        <v>2697</v>
      </c>
      <c r="M1442" s="25">
        <v>10</v>
      </c>
      <c r="N1442">
        <f>Table1[[#This Row],[Revenue]]*Table1[[#This Row],[Discount%]]/100</f>
        <v>269.7</v>
      </c>
      <c r="O1442" s="6">
        <f>Table1[[#This Row],[Revenue]]-Table1[[#This Row],[Disc_amount]]</f>
        <v>2427.3000000000002</v>
      </c>
      <c r="P1442" t="s">
        <v>41</v>
      </c>
      <c r="Q1442" t="s">
        <v>34</v>
      </c>
    </row>
    <row r="1443" spans="1:17">
      <c r="A1443" t="s">
        <v>2218</v>
      </c>
      <c r="B1443" s="1" t="s">
        <v>1379</v>
      </c>
      <c r="C1443" s="1" t="s">
        <v>2018</v>
      </c>
      <c r="D1443" s="1" t="s">
        <v>20</v>
      </c>
      <c r="E1443" t="s">
        <v>758</v>
      </c>
      <c r="F1443" t="s">
        <v>759</v>
      </c>
      <c r="G1443" t="s">
        <v>45</v>
      </c>
      <c r="H1443" t="s">
        <v>39</v>
      </c>
      <c r="I1443" t="s">
        <v>51</v>
      </c>
      <c r="J1443">
        <v>1</v>
      </c>
      <c r="K1443">
        <v>2999</v>
      </c>
      <c r="L1443">
        <f>Table1[[#This Row],[Quantity]] * Table1[[#This Row],[UnitPrice]]</f>
        <v>2999</v>
      </c>
      <c r="M1443" s="25">
        <v>5</v>
      </c>
      <c r="N1443">
        <f>Table1[[#This Row],[Revenue]]*Table1[[#This Row],[Discount%]]/100</f>
        <v>149.94999999999999</v>
      </c>
      <c r="O1443" s="6">
        <f>Table1[[#This Row],[Revenue]]-Table1[[#This Row],[Disc_amount]]</f>
        <v>2849.05</v>
      </c>
      <c r="P1443" t="s">
        <v>52</v>
      </c>
      <c r="Q1443" t="s">
        <v>34</v>
      </c>
    </row>
    <row r="1444" spans="1:17">
      <c r="A1444" t="s">
        <v>2219</v>
      </c>
      <c r="B1444" s="1" t="s">
        <v>1379</v>
      </c>
      <c r="C1444" s="1" t="s">
        <v>2018</v>
      </c>
      <c r="D1444" s="1" t="s">
        <v>20</v>
      </c>
      <c r="E1444" t="s">
        <v>433</v>
      </c>
      <c r="F1444" t="s">
        <v>434</v>
      </c>
      <c r="G1444" t="s">
        <v>31</v>
      </c>
      <c r="H1444" t="s">
        <v>39</v>
      </c>
      <c r="I1444" t="s">
        <v>51</v>
      </c>
      <c r="J1444">
        <v>1</v>
      </c>
      <c r="K1444">
        <v>2999</v>
      </c>
      <c r="L1444">
        <f>Table1[[#This Row],[Quantity]] * Table1[[#This Row],[UnitPrice]]</f>
        <v>2999</v>
      </c>
      <c r="M1444" s="25">
        <v>15</v>
      </c>
      <c r="N1444">
        <f>Table1[[#This Row],[Revenue]]*Table1[[#This Row],[Discount%]]/100</f>
        <v>449.85</v>
      </c>
      <c r="O1444" s="6">
        <f>Table1[[#This Row],[Revenue]]-Table1[[#This Row],[Disc_amount]]</f>
        <v>2549.15</v>
      </c>
      <c r="P1444" t="s">
        <v>26</v>
      </c>
      <c r="Q1444" t="s">
        <v>27</v>
      </c>
    </row>
    <row r="1445" spans="1:17">
      <c r="A1445" t="s">
        <v>2220</v>
      </c>
      <c r="B1445" s="1" t="s">
        <v>1379</v>
      </c>
      <c r="C1445" s="1" t="s">
        <v>2018</v>
      </c>
      <c r="D1445" s="1" t="s">
        <v>20</v>
      </c>
      <c r="E1445" t="s">
        <v>354</v>
      </c>
      <c r="F1445" t="s">
        <v>355</v>
      </c>
      <c r="G1445" t="s">
        <v>23</v>
      </c>
      <c r="H1445" t="s">
        <v>108</v>
      </c>
      <c r="I1445" t="s">
        <v>130</v>
      </c>
      <c r="J1445">
        <v>2</v>
      </c>
      <c r="K1445">
        <v>699</v>
      </c>
      <c r="L1445">
        <f>Table1[[#This Row],[Quantity]] * Table1[[#This Row],[UnitPrice]]</f>
        <v>1398</v>
      </c>
      <c r="M1445" s="25">
        <v>15</v>
      </c>
      <c r="N1445">
        <f>Table1[[#This Row],[Revenue]]*Table1[[#This Row],[Discount%]]/100</f>
        <v>209.7</v>
      </c>
      <c r="O1445" s="6">
        <f>Table1[[#This Row],[Revenue]]-Table1[[#This Row],[Disc_amount]]</f>
        <v>1188.3</v>
      </c>
      <c r="P1445" t="s">
        <v>33</v>
      </c>
      <c r="Q1445" t="s">
        <v>34</v>
      </c>
    </row>
    <row r="1446" spans="1:17">
      <c r="A1446" t="s">
        <v>2221</v>
      </c>
      <c r="B1446" s="1" t="s">
        <v>1379</v>
      </c>
      <c r="C1446" s="1" t="s">
        <v>2018</v>
      </c>
      <c r="D1446" s="1" t="s">
        <v>20</v>
      </c>
      <c r="E1446" t="s">
        <v>1110</v>
      </c>
      <c r="F1446" t="s">
        <v>279</v>
      </c>
      <c r="G1446" t="s">
        <v>45</v>
      </c>
      <c r="H1446" t="s">
        <v>46</v>
      </c>
      <c r="I1446" t="s">
        <v>47</v>
      </c>
      <c r="J1446">
        <v>1</v>
      </c>
      <c r="K1446">
        <v>249</v>
      </c>
      <c r="L1446">
        <f>Table1[[#This Row],[Quantity]] * Table1[[#This Row],[UnitPrice]]</f>
        <v>249</v>
      </c>
      <c r="M1446" s="25">
        <v>0</v>
      </c>
      <c r="N1446">
        <f>Table1[[#This Row],[Revenue]]*Table1[[#This Row],[Discount%]]/100</f>
        <v>0</v>
      </c>
      <c r="O1446" s="6">
        <f>Table1[[#This Row],[Revenue]]-Table1[[#This Row],[Disc_amount]]</f>
        <v>249</v>
      </c>
      <c r="P1446" t="s">
        <v>41</v>
      </c>
      <c r="Q1446" t="s">
        <v>34</v>
      </c>
    </row>
    <row r="1447" spans="1:17">
      <c r="A1447" t="s">
        <v>2222</v>
      </c>
      <c r="B1447" s="1" t="s">
        <v>1379</v>
      </c>
      <c r="C1447" s="1" t="s">
        <v>2018</v>
      </c>
      <c r="D1447" s="1" t="s">
        <v>20</v>
      </c>
      <c r="E1447" t="s">
        <v>200</v>
      </c>
      <c r="F1447" t="s">
        <v>22</v>
      </c>
      <c r="G1447" t="s">
        <v>31</v>
      </c>
      <c r="H1447" t="s">
        <v>57</v>
      </c>
      <c r="I1447" t="s">
        <v>58</v>
      </c>
      <c r="J1447">
        <v>1</v>
      </c>
      <c r="K1447">
        <v>1299</v>
      </c>
      <c r="L1447">
        <f>Table1[[#This Row],[Quantity]] * Table1[[#This Row],[UnitPrice]]</f>
        <v>1299</v>
      </c>
      <c r="M1447" s="25">
        <v>15</v>
      </c>
      <c r="N1447">
        <f>Table1[[#This Row],[Revenue]]*Table1[[#This Row],[Discount%]]/100</f>
        <v>194.85</v>
      </c>
      <c r="O1447" s="6">
        <f>Table1[[#This Row],[Revenue]]-Table1[[#This Row],[Disc_amount]]</f>
        <v>1104.1500000000001</v>
      </c>
      <c r="P1447" t="s">
        <v>41</v>
      </c>
      <c r="Q1447" t="s">
        <v>27</v>
      </c>
    </row>
    <row r="1448" spans="1:17">
      <c r="A1448" t="s">
        <v>2223</v>
      </c>
      <c r="B1448" s="1" t="s">
        <v>1379</v>
      </c>
      <c r="C1448" s="1" t="s">
        <v>2018</v>
      </c>
      <c r="D1448" s="1" t="s">
        <v>20</v>
      </c>
      <c r="E1448" t="s">
        <v>49</v>
      </c>
      <c r="F1448" t="s">
        <v>50</v>
      </c>
      <c r="G1448" t="s">
        <v>31</v>
      </c>
      <c r="H1448" t="s">
        <v>39</v>
      </c>
      <c r="I1448" t="s">
        <v>140</v>
      </c>
      <c r="J1448">
        <v>2</v>
      </c>
      <c r="K1448">
        <v>1799</v>
      </c>
      <c r="L1448">
        <f>Table1[[#This Row],[Quantity]] * Table1[[#This Row],[UnitPrice]]</f>
        <v>3598</v>
      </c>
      <c r="M1448" s="25">
        <v>0</v>
      </c>
      <c r="N1448">
        <f>Table1[[#This Row],[Revenue]]*Table1[[#This Row],[Discount%]]/100</f>
        <v>0</v>
      </c>
      <c r="O1448" s="6">
        <f>Table1[[#This Row],[Revenue]]-Table1[[#This Row],[Disc_amount]]</f>
        <v>3598</v>
      </c>
      <c r="P1448" t="s">
        <v>26</v>
      </c>
      <c r="Q1448" t="s">
        <v>34</v>
      </c>
    </row>
    <row r="1449" spans="1:17">
      <c r="A1449" t="s">
        <v>2224</v>
      </c>
      <c r="B1449" s="1" t="s">
        <v>1379</v>
      </c>
      <c r="C1449" s="1" t="s">
        <v>2018</v>
      </c>
      <c r="D1449" s="1" t="s">
        <v>20</v>
      </c>
      <c r="E1449" t="s">
        <v>68</v>
      </c>
      <c r="F1449" t="s">
        <v>69</v>
      </c>
      <c r="G1449" t="s">
        <v>23</v>
      </c>
      <c r="H1449" t="s">
        <v>70</v>
      </c>
      <c r="I1449" t="s">
        <v>71</v>
      </c>
      <c r="J1449">
        <v>1</v>
      </c>
      <c r="K1449">
        <v>349</v>
      </c>
      <c r="L1449">
        <f>Table1[[#This Row],[Quantity]] * Table1[[#This Row],[UnitPrice]]</f>
        <v>349</v>
      </c>
      <c r="M1449" s="25">
        <v>5</v>
      </c>
      <c r="N1449">
        <f>Table1[[#This Row],[Revenue]]*Table1[[#This Row],[Discount%]]/100</f>
        <v>17.45</v>
      </c>
      <c r="O1449" s="6">
        <f>Table1[[#This Row],[Revenue]]-Table1[[#This Row],[Disc_amount]]</f>
        <v>331.55</v>
      </c>
      <c r="P1449" t="s">
        <v>26</v>
      </c>
      <c r="Q1449" t="s">
        <v>34</v>
      </c>
    </row>
    <row r="1450" spans="1:17">
      <c r="A1450" t="s">
        <v>2225</v>
      </c>
      <c r="B1450" s="1" t="s">
        <v>1379</v>
      </c>
      <c r="C1450" s="1" t="s">
        <v>2018</v>
      </c>
      <c r="D1450" s="1" t="s">
        <v>20</v>
      </c>
      <c r="E1450" t="s">
        <v>297</v>
      </c>
      <c r="F1450" t="s">
        <v>298</v>
      </c>
      <c r="G1450" t="s">
        <v>45</v>
      </c>
      <c r="H1450" t="s">
        <v>57</v>
      </c>
      <c r="I1450" t="s">
        <v>62</v>
      </c>
      <c r="J1450">
        <v>3</v>
      </c>
      <c r="K1450">
        <v>799</v>
      </c>
      <c r="L1450">
        <f>Table1[[#This Row],[Quantity]] * Table1[[#This Row],[UnitPrice]]</f>
        <v>2397</v>
      </c>
      <c r="M1450" s="25">
        <v>10</v>
      </c>
      <c r="N1450">
        <f>Table1[[#This Row],[Revenue]]*Table1[[#This Row],[Discount%]]/100</f>
        <v>239.7</v>
      </c>
      <c r="O1450" s="6">
        <f>Table1[[#This Row],[Revenue]]-Table1[[#This Row],[Disc_amount]]</f>
        <v>2157.3000000000002</v>
      </c>
      <c r="P1450" t="s">
        <v>52</v>
      </c>
      <c r="Q1450" t="s">
        <v>34</v>
      </c>
    </row>
    <row r="1451" spans="1:17">
      <c r="A1451" t="s">
        <v>2226</v>
      </c>
      <c r="B1451" s="1" t="s">
        <v>1379</v>
      </c>
      <c r="C1451" s="1" t="s">
        <v>2018</v>
      </c>
      <c r="D1451" s="1" t="s">
        <v>20</v>
      </c>
      <c r="E1451" t="s">
        <v>235</v>
      </c>
      <c r="F1451" t="s">
        <v>236</v>
      </c>
      <c r="G1451" t="s">
        <v>38</v>
      </c>
      <c r="H1451" t="s">
        <v>24</v>
      </c>
      <c r="I1451" t="s">
        <v>25</v>
      </c>
      <c r="J1451">
        <v>2</v>
      </c>
      <c r="K1451">
        <v>99</v>
      </c>
      <c r="L1451">
        <f>Table1[[#This Row],[Quantity]] * Table1[[#This Row],[UnitPrice]]</f>
        <v>198</v>
      </c>
      <c r="M1451" s="25">
        <v>0</v>
      </c>
      <c r="N1451">
        <f>Table1[[#This Row],[Revenue]]*Table1[[#This Row],[Discount%]]/100</f>
        <v>0</v>
      </c>
      <c r="O1451" s="6">
        <f>Table1[[#This Row],[Revenue]]-Table1[[#This Row],[Disc_amount]]</f>
        <v>198</v>
      </c>
      <c r="P1451" t="s">
        <v>33</v>
      </c>
      <c r="Q1451" t="s">
        <v>27</v>
      </c>
    </row>
    <row r="1452" spans="1:17">
      <c r="A1452" t="s">
        <v>2227</v>
      </c>
      <c r="B1452" s="1" t="s">
        <v>1379</v>
      </c>
      <c r="C1452" s="1" t="s">
        <v>2018</v>
      </c>
      <c r="D1452" s="1" t="s">
        <v>20</v>
      </c>
      <c r="E1452" t="s">
        <v>817</v>
      </c>
      <c r="F1452" t="s">
        <v>150</v>
      </c>
      <c r="G1452" t="s">
        <v>31</v>
      </c>
      <c r="H1452" t="s">
        <v>70</v>
      </c>
      <c r="I1452" t="s">
        <v>71</v>
      </c>
      <c r="J1452">
        <v>1</v>
      </c>
      <c r="K1452">
        <v>349</v>
      </c>
      <c r="L1452">
        <f>Table1[[#This Row],[Quantity]] * Table1[[#This Row],[UnitPrice]]</f>
        <v>349</v>
      </c>
      <c r="M1452" s="25">
        <v>0</v>
      </c>
      <c r="N1452">
        <f>Table1[[#This Row],[Revenue]]*Table1[[#This Row],[Discount%]]/100</f>
        <v>0</v>
      </c>
      <c r="O1452" s="6">
        <f>Table1[[#This Row],[Revenue]]-Table1[[#This Row],[Disc_amount]]</f>
        <v>349</v>
      </c>
      <c r="P1452" t="s">
        <v>26</v>
      </c>
      <c r="Q1452" t="s">
        <v>27</v>
      </c>
    </row>
    <row r="1453" spans="1:17">
      <c r="A1453" t="s">
        <v>2228</v>
      </c>
      <c r="B1453" s="1" t="s">
        <v>1379</v>
      </c>
      <c r="C1453" s="1" t="s">
        <v>2018</v>
      </c>
      <c r="D1453" s="1" t="s">
        <v>20</v>
      </c>
      <c r="E1453" t="s">
        <v>316</v>
      </c>
      <c r="F1453" t="s">
        <v>317</v>
      </c>
      <c r="G1453" t="s">
        <v>38</v>
      </c>
      <c r="H1453" t="s">
        <v>65</v>
      </c>
      <c r="I1453" t="s">
        <v>98</v>
      </c>
      <c r="J1453">
        <v>1</v>
      </c>
      <c r="K1453">
        <v>499</v>
      </c>
      <c r="L1453">
        <f>Table1[[#This Row],[Quantity]] * Table1[[#This Row],[UnitPrice]]</f>
        <v>499</v>
      </c>
      <c r="M1453" s="25">
        <v>0</v>
      </c>
      <c r="N1453">
        <f>Table1[[#This Row],[Revenue]]*Table1[[#This Row],[Discount%]]/100</f>
        <v>0</v>
      </c>
      <c r="O1453" s="6">
        <f>Table1[[#This Row],[Revenue]]-Table1[[#This Row],[Disc_amount]]</f>
        <v>499</v>
      </c>
      <c r="P1453" t="s">
        <v>41</v>
      </c>
      <c r="Q1453" t="s">
        <v>27</v>
      </c>
    </row>
    <row r="1454" spans="1:17">
      <c r="A1454" t="s">
        <v>2229</v>
      </c>
      <c r="B1454" s="1" t="s">
        <v>1391</v>
      </c>
      <c r="C1454" s="1" t="s">
        <v>2018</v>
      </c>
      <c r="D1454" s="1" t="s">
        <v>20</v>
      </c>
      <c r="E1454" t="s">
        <v>763</v>
      </c>
      <c r="F1454" t="s">
        <v>118</v>
      </c>
      <c r="G1454" t="s">
        <v>31</v>
      </c>
      <c r="H1454" t="s">
        <v>57</v>
      </c>
      <c r="I1454" t="s">
        <v>62</v>
      </c>
      <c r="J1454">
        <v>1</v>
      </c>
      <c r="K1454">
        <v>799</v>
      </c>
      <c r="L1454">
        <f>Table1[[#This Row],[Quantity]] * Table1[[#This Row],[UnitPrice]]</f>
        <v>799</v>
      </c>
      <c r="M1454" s="25">
        <v>10</v>
      </c>
      <c r="N1454">
        <f>Table1[[#This Row],[Revenue]]*Table1[[#This Row],[Discount%]]/100</f>
        <v>79.900000000000006</v>
      </c>
      <c r="O1454" s="6">
        <f>Table1[[#This Row],[Revenue]]-Table1[[#This Row],[Disc_amount]]</f>
        <v>719.1</v>
      </c>
      <c r="P1454" t="s">
        <v>52</v>
      </c>
      <c r="Q1454" t="s">
        <v>27</v>
      </c>
    </row>
    <row r="1455" spans="1:17">
      <c r="A1455" t="s">
        <v>2230</v>
      </c>
      <c r="B1455" s="1" t="s">
        <v>1391</v>
      </c>
      <c r="C1455" s="1" t="s">
        <v>2018</v>
      </c>
      <c r="D1455" s="1" t="s">
        <v>20</v>
      </c>
      <c r="E1455" t="s">
        <v>832</v>
      </c>
      <c r="F1455" t="s">
        <v>166</v>
      </c>
      <c r="G1455" t="s">
        <v>45</v>
      </c>
      <c r="H1455" t="s">
        <v>65</v>
      </c>
      <c r="I1455" t="s">
        <v>66</v>
      </c>
      <c r="J1455">
        <v>1</v>
      </c>
      <c r="K1455">
        <v>1999</v>
      </c>
      <c r="L1455">
        <f>Table1[[#This Row],[Quantity]] * Table1[[#This Row],[UnitPrice]]</f>
        <v>1999</v>
      </c>
      <c r="M1455" s="25">
        <v>0</v>
      </c>
      <c r="N1455">
        <f>Table1[[#This Row],[Revenue]]*Table1[[#This Row],[Discount%]]/100</f>
        <v>0</v>
      </c>
      <c r="O1455" s="6">
        <f>Table1[[#This Row],[Revenue]]-Table1[[#This Row],[Disc_amount]]</f>
        <v>1999</v>
      </c>
      <c r="P1455" t="s">
        <v>33</v>
      </c>
      <c r="Q1455" t="s">
        <v>27</v>
      </c>
    </row>
    <row r="1456" spans="1:17">
      <c r="A1456" t="s">
        <v>2231</v>
      </c>
      <c r="B1456" s="1" t="s">
        <v>2232</v>
      </c>
      <c r="C1456" s="1" t="s">
        <v>2018</v>
      </c>
      <c r="D1456" s="1" t="s">
        <v>20</v>
      </c>
      <c r="E1456" t="s">
        <v>202</v>
      </c>
      <c r="F1456" t="s">
        <v>203</v>
      </c>
      <c r="G1456" t="s">
        <v>56</v>
      </c>
      <c r="H1456" t="s">
        <v>57</v>
      </c>
      <c r="I1456" t="s">
        <v>62</v>
      </c>
      <c r="J1456">
        <v>3</v>
      </c>
      <c r="K1456">
        <v>799</v>
      </c>
      <c r="L1456">
        <f>Table1[[#This Row],[Quantity]] * Table1[[#This Row],[UnitPrice]]</f>
        <v>2397</v>
      </c>
      <c r="M1456" s="25">
        <v>5</v>
      </c>
      <c r="N1456">
        <f>Table1[[#This Row],[Revenue]]*Table1[[#This Row],[Discount%]]/100</f>
        <v>119.85</v>
      </c>
      <c r="O1456" s="6">
        <f>Table1[[#This Row],[Revenue]]-Table1[[#This Row],[Disc_amount]]</f>
        <v>2277.15</v>
      </c>
      <c r="P1456" t="s">
        <v>26</v>
      </c>
      <c r="Q1456" t="s">
        <v>34</v>
      </c>
    </row>
    <row r="1457" spans="1:17">
      <c r="A1457" t="s">
        <v>2233</v>
      </c>
      <c r="B1457" s="1" t="s">
        <v>2232</v>
      </c>
      <c r="C1457" s="1" t="s">
        <v>2018</v>
      </c>
      <c r="D1457" s="1" t="s">
        <v>20</v>
      </c>
      <c r="E1457" t="s">
        <v>1298</v>
      </c>
      <c r="F1457" t="s">
        <v>384</v>
      </c>
      <c r="G1457" t="s">
        <v>38</v>
      </c>
      <c r="H1457" t="s">
        <v>24</v>
      </c>
      <c r="I1457" t="s">
        <v>32</v>
      </c>
      <c r="J1457">
        <v>1</v>
      </c>
      <c r="K1457">
        <v>199</v>
      </c>
      <c r="L1457">
        <f>Table1[[#This Row],[Quantity]] * Table1[[#This Row],[UnitPrice]]</f>
        <v>199</v>
      </c>
      <c r="M1457" s="25">
        <v>20</v>
      </c>
      <c r="N1457">
        <f>Table1[[#This Row],[Revenue]]*Table1[[#This Row],[Discount%]]/100</f>
        <v>39.799999999999997</v>
      </c>
      <c r="O1457" s="6">
        <f>Table1[[#This Row],[Revenue]]-Table1[[#This Row],[Disc_amount]]</f>
        <v>159.19999999999999</v>
      </c>
      <c r="P1457" t="s">
        <v>26</v>
      </c>
      <c r="Q1457" t="s">
        <v>27</v>
      </c>
    </row>
    <row r="1458" spans="1:17">
      <c r="A1458" t="s">
        <v>2234</v>
      </c>
      <c r="B1458" s="1" t="s">
        <v>2232</v>
      </c>
      <c r="C1458" s="1" t="s">
        <v>2018</v>
      </c>
      <c r="D1458" s="1" t="s">
        <v>20</v>
      </c>
      <c r="E1458" t="s">
        <v>787</v>
      </c>
      <c r="F1458" t="s">
        <v>788</v>
      </c>
      <c r="G1458" t="s">
        <v>45</v>
      </c>
      <c r="H1458" t="s">
        <v>70</v>
      </c>
      <c r="I1458" t="s">
        <v>71</v>
      </c>
      <c r="J1458">
        <v>1</v>
      </c>
      <c r="K1458">
        <v>349</v>
      </c>
      <c r="L1458">
        <f>Table1[[#This Row],[Quantity]] * Table1[[#This Row],[UnitPrice]]</f>
        <v>349</v>
      </c>
      <c r="M1458" s="25">
        <v>0</v>
      </c>
      <c r="N1458">
        <f>Table1[[#This Row],[Revenue]]*Table1[[#This Row],[Discount%]]/100</f>
        <v>0</v>
      </c>
      <c r="O1458" s="6">
        <f>Table1[[#This Row],[Revenue]]-Table1[[#This Row],[Disc_amount]]</f>
        <v>349</v>
      </c>
      <c r="P1458" t="s">
        <v>33</v>
      </c>
      <c r="Q1458" t="s">
        <v>34</v>
      </c>
    </row>
    <row r="1459" spans="1:17">
      <c r="A1459" t="s">
        <v>2235</v>
      </c>
      <c r="B1459" s="1" t="s">
        <v>2232</v>
      </c>
      <c r="C1459" s="1" t="s">
        <v>2018</v>
      </c>
      <c r="D1459" s="1" t="s">
        <v>20</v>
      </c>
      <c r="E1459" t="s">
        <v>235</v>
      </c>
      <c r="F1459" t="s">
        <v>236</v>
      </c>
      <c r="G1459" t="s">
        <v>38</v>
      </c>
      <c r="H1459" t="s">
        <v>57</v>
      </c>
      <c r="I1459" t="s">
        <v>58</v>
      </c>
      <c r="J1459">
        <v>2</v>
      </c>
      <c r="K1459">
        <v>1299</v>
      </c>
      <c r="L1459">
        <f>Table1[[#This Row],[Quantity]] * Table1[[#This Row],[UnitPrice]]</f>
        <v>2598</v>
      </c>
      <c r="M1459" s="25">
        <v>5</v>
      </c>
      <c r="N1459">
        <f>Table1[[#This Row],[Revenue]]*Table1[[#This Row],[Discount%]]/100</f>
        <v>129.9</v>
      </c>
      <c r="O1459" s="6">
        <f>Table1[[#This Row],[Revenue]]-Table1[[#This Row],[Disc_amount]]</f>
        <v>2468.1</v>
      </c>
      <c r="P1459" t="s">
        <v>86</v>
      </c>
      <c r="Q1459" t="s">
        <v>34</v>
      </c>
    </row>
    <row r="1460" spans="1:17">
      <c r="A1460" t="s">
        <v>2236</v>
      </c>
      <c r="B1460" s="1" t="s">
        <v>2232</v>
      </c>
      <c r="C1460" s="1" t="s">
        <v>2018</v>
      </c>
      <c r="D1460" s="1" t="s">
        <v>20</v>
      </c>
      <c r="E1460" t="s">
        <v>503</v>
      </c>
      <c r="F1460" t="s">
        <v>504</v>
      </c>
      <c r="G1460" t="s">
        <v>38</v>
      </c>
      <c r="H1460" t="s">
        <v>24</v>
      </c>
      <c r="I1460" t="s">
        <v>32</v>
      </c>
      <c r="J1460">
        <v>2</v>
      </c>
      <c r="K1460">
        <v>199</v>
      </c>
      <c r="L1460">
        <f>Table1[[#This Row],[Quantity]] * Table1[[#This Row],[UnitPrice]]</f>
        <v>398</v>
      </c>
      <c r="M1460" s="25">
        <v>10</v>
      </c>
      <c r="N1460">
        <f>Table1[[#This Row],[Revenue]]*Table1[[#This Row],[Discount%]]/100</f>
        <v>39.799999999999997</v>
      </c>
      <c r="O1460" s="6">
        <f>Table1[[#This Row],[Revenue]]-Table1[[#This Row],[Disc_amount]]</f>
        <v>358.2</v>
      </c>
      <c r="P1460" t="s">
        <v>33</v>
      </c>
      <c r="Q1460" t="s">
        <v>27</v>
      </c>
    </row>
    <row r="1461" spans="1:17">
      <c r="A1461" t="s">
        <v>2237</v>
      </c>
      <c r="B1461" s="1" t="s">
        <v>2232</v>
      </c>
      <c r="C1461" s="1" t="s">
        <v>2018</v>
      </c>
      <c r="D1461" s="1" t="s">
        <v>20</v>
      </c>
      <c r="E1461" t="s">
        <v>89</v>
      </c>
      <c r="F1461" t="s">
        <v>90</v>
      </c>
      <c r="G1461" t="s">
        <v>45</v>
      </c>
      <c r="H1461" t="s">
        <v>70</v>
      </c>
      <c r="I1461" t="s">
        <v>91</v>
      </c>
      <c r="J1461">
        <v>1</v>
      </c>
      <c r="K1461">
        <v>549</v>
      </c>
      <c r="L1461">
        <f>Table1[[#This Row],[Quantity]] * Table1[[#This Row],[UnitPrice]]</f>
        <v>549</v>
      </c>
      <c r="M1461" s="25">
        <v>0</v>
      </c>
      <c r="N1461">
        <f>Table1[[#This Row],[Revenue]]*Table1[[#This Row],[Discount%]]/100</f>
        <v>0</v>
      </c>
      <c r="O1461" s="6">
        <f>Table1[[#This Row],[Revenue]]-Table1[[#This Row],[Disc_amount]]</f>
        <v>549</v>
      </c>
      <c r="P1461" t="s">
        <v>41</v>
      </c>
      <c r="Q1461" t="s">
        <v>34</v>
      </c>
    </row>
    <row r="1462" spans="1:17">
      <c r="A1462" t="s">
        <v>2238</v>
      </c>
      <c r="B1462" s="1" t="s">
        <v>2232</v>
      </c>
      <c r="C1462" s="1" t="s">
        <v>2018</v>
      </c>
      <c r="D1462" s="1" t="s">
        <v>20</v>
      </c>
      <c r="E1462" t="s">
        <v>1176</v>
      </c>
      <c r="F1462" t="s">
        <v>173</v>
      </c>
      <c r="G1462" t="s">
        <v>31</v>
      </c>
      <c r="H1462" t="s">
        <v>57</v>
      </c>
      <c r="I1462" t="s">
        <v>62</v>
      </c>
      <c r="J1462">
        <v>1</v>
      </c>
      <c r="K1462">
        <v>799</v>
      </c>
      <c r="L1462">
        <f>Table1[[#This Row],[Quantity]] * Table1[[#This Row],[UnitPrice]]</f>
        <v>799</v>
      </c>
      <c r="M1462" s="25">
        <v>20</v>
      </c>
      <c r="N1462">
        <f>Table1[[#This Row],[Revenue]]*Table1[[#This Row],[Discount%]]/100</f>
        <v>159.80000000000001</v>
      </c>
      <c r="O1462" s="6">
        <f>Table1[[#This Row],[Revenue]]-Table1[[#This Row],[Disc_amount]]</f>
        <v>639.20000000000005</v>
      </c>
      <c r="P1462" t="s">
        <v>41</v>
      </c>
      <c r="Q1462" t="s">
        <v>27</v>
      </c>
    </row>
    <row r="1463" spans="1:17">
      <c r="A1463" t="s">
        <v>2239</v>
      </c>
      <c r="B1463" s="1" t="s">
        <v>2232</v>
      </c>
      <c r="C1463" s="1" t="s">
        <v>2018</v>
      </c>
      <c r="D1463" s="1" t="s">
        <v>20</v>
      </c>
      <c r="E1463" t="s">
        <v>405</v>
      </c>
      <c r="F1463" t="s">
        <v>248</v>
      </c>
      <c r="G1463" t="s">
        <v>56</v>
      </c>
      <c r="H1463" t="s">
        <v>108</v>
      </c>
      <c r="I1463" t="s">
        <v>130</v>
      </c>
      <c r="J1463">
        <v>1</v>
      </c>
      <c r="K1463">
        <v>699</v>
      </c>
      <c r="L1463">
        <f>Table1[[#This Row],[Quantity]] * Table1[[#This Row],[UnitPrice]]</f>
        <v>699</v>
      </c>
      <c r="M1463" s="25">
        <v>10</v>
      </c>
      <c r="N1463">
        <f>Table1[[#This Row],[Revenue]]*Table1[[#This Row],[Discount%]]/100</f>
        <v>69.900000000000006</v>
      </c>
      <c r="O1463" s="6">
        <f>Table1[[#This Row],[Revenue]]-Table1[[#This Row],[Disc_amount]]</f>
        <v>629.1</v>
      </c>
      <c r="P1463" t="s">
        <v>41</v>
      </c>
      <c r="Q1463" t="s">
        <v>27</v>
      </c>
    </row>
    <row r="1464" spans="1:17">
      <c r="A1464" t="s">
        <v>2240</v>
      </c>
      <c r="B1464" s="1" t="s">
        <v>2241</v>
      </c>
      <c r="C1464" s="1" t="s">
        <v>2242</v>
      </c>
      <c r="D1464" s="1" t="s">
        <v>20</v>
      </c>
      <c r="E1464" t="s">
        <v>1803</v>
      </c>
      <c r="F1464" t="s">
        <v>1463</v>
      </c>
      <c r="G1464" t="s">
        <v>31</v>
      </c>
      <c r="H1464" t="s">
        <v>57</v>
      </c>
      <c r="I1464" t="s">
        <v>58</v>
      </c>
      <c r="J1464">
        <v>1</v>
      </c>
      <c r="K1464">
        <v>1299</v>
      </c>
      <c r="L1464">
        <f>Table1[[#This Row],[Quantity]] * Table1[[#This Row],[UnitPrice]]</f>
        <v>1299</v>
      </c>
      <c r="M1464" s="25">
        <v>0</v>
      </c>
      <c r="N1464">
        <f>Table1[[#This Row],[Revenue]]*Table1[[#This Row],[Discount%]]/100</f>
        <v>0</v>
      </c>
      <c r="O1464" s="6">
        <f>Table1[[#This Row],[Revenue]]-Table1[[#This Row],[Disc_amount]]</f>
        <v>1299</v>
      </c>
      <c r="P1464" t="s">
        <v>52</v>
      </c>
      <c r="Q1464" t="s">
        <v>34</v>
      </c>
    </row>
    <row r="1465" spans="1:17">
      <c r="A1465" t="s">
        <v>2243</v>
      </c>
      <c r="B1465" s="1" t="s">
        <v>2241</v>
      </c>
      <c r="C1465" s="1" t="s">
        <v>2242</v>
      </c>
      <c r="D1465" s="1" t="s">
        <v>20</v>
      </c>
      <c r="E1465" t="s">
        <v>936</v>
      </c>
      <c r="F1465" t="s">
        <v>229</v>
      </c>
      <c r="G1465" t="s">
        <v>56</v>
      </c>
      <c r="H1465" t="s">
        <v>57</v>
      </c>
      <c r="I1465" t="s">
        <v>62</v>
      </c>
      <c r="J1465">
        <v>2</v>
      </c>
      <c r="K1465">
        <v>799</v>
      </c>
      <c r="L1465">
        <f>Table1[[#This Row],[Quantity]] * Table1[[#This Row],[UnitPrice]]</f>
        <v>1598</v>
      </c>
      <c r="M1465" s="25">
        <v>0</v>
      </c>
      <c r="N1465">
        <f>Table1[[#This Row],[Revenue]]*Table1[[#This Row],[Discount%]]/100</f>
        <v>0</v>
      </c>
      <c r="O1465" s="6">
        <f>Table1[[#This Row],[Revenue]]-Table1[[#This Row],[Disc_amount]]</f>
        <v>1598</v>
      </c>
      <c r="P1465" t="s">
        <v>41</v>
      </c>
      <c r="Q1465" t="s">
        <v>34</v>
      </c>
    </row>
    <row r="1466" spans="1:17">
      <c r="A1466" t="s">
        <v>2244</v>
      </c>
      <c r="B1466" s="1" t="s">
        <v>2241</v>
      </c>
      <c r="C1466" s="1" t="s">
        <v>2242</v>
      </c>
      <c r="D1466" s="1" t="s">
        <v>20</v>
      </c>
      <c r="E1466" t="s">
        <v>247</v>
      </c>
      <c r="F1466" t="s">
        <v>248</v>
      </c>
      <c r="G1466" t="s">
        <v>31</v>
      </c>
      <c r="H1466" t="s">
        <v>39</v>
      </c>
      <c r="I1466" t="s">
        <v>140</v>
      </c>
      <c r="J1466">
        <v>5</v>
      </c>
      <c r="K1466">
        <v>1799</v>
      </c>
      <c r="L1466">
        <f>Table1[[#This Row],[Quantity]] * Table1[[#This Row],[UnitPrice]]</f>
        <v>8995</v>
      </c>
      <c r="M1466" s="25">
        <v>0</v>
      </c>
      <c r="N1466">
        <f>Table1[[#This Row],[Revenue]]*Table1[[#This Row],[Discount%]]/100</f>
        <v>0</v>
      </c>
      <c r="O1466" s="6">
        <f>Table1[[#This Row],[Revenue]]-Table1[[#This Row],[Disc_amount]]</f>
        <v>8995</v>
      </c>
      <c r="P1466" t="s">
        <v>33</v>
      </c>
      <c r="Q1466" t="s">
        <v>34</v>
      </c>
    </row>
    <row r="1467" spans="1:17">
      <c r="A1467" t="s">
        <v>2245</v>
      </c>
      <c r="B1467" s="1" t="s">
        <v>2241</v>
      </c>
      <c r="C1467" s="1" t="s">
        <v>2242</v>
      </c>
      <c r="D1467" s="1" t="s">
        <v>20</v>
      </c>
      <c r="E1467" t="s">
        <v>2061</v>
      </c>
      <c r="F1467" t="s">
        <v>2062</v>
      </c>
      <c r="G1467" t="s">
        <v>45</v>
      </c>
      <c r="H1467" t="s">
        <v>70</v>
      </c>
      <c r="I1467" t="s">
        <v>91</v>
      </c>
      <c r="J1467">
        <v>1</v>
      </c>
      <c r="K1467">
        <v>549</v>
      </c>
      <c r="L1467">
        <f>Table1[[#This Row],[Quantity]] * Table1[[#This Row],[UnitPrice]]</f>
        <v>549</v>
      </c>
      <c r="M1467" s="25">
        <v>15</v>
      </c>
      <c r="N1467">
        <f>Table1[[#This Row],[Revenue]]*Table1[[#This Row],[Discount%]]/100</f>
        <v>82.35</v>
      </c>
      <c r="O1467" s="6">
        <f>Table1[[#This Row],[Revenue]]-Table1[[#This Row],[Disc_amount]]</f>
        <v>466.65</v>
      </c>
      <c r="P1467" t="s">
        <v>41</v>
      </c>
      <c r="Q1467" t="s">
        <v>27</v>
      </c>
    </row>
    <row r="1468" spans="1:17">
      <c r="A1468" t="s">
        <v>2246</v>
      </c>
      <c r="B1468" s="1" t="s">
        <v>2241</v>
      </c>
      <c r="C1468" s="1" t="s">
        <v>2242</v>
      </c>
      <c r="D1468" s="1" t="s">
        <v>20</v>
      </c>
      <c r="E1468" t="s">
        <v>1567</v>
      </c>
      <c r="F1468" t="s">
        <v>143</v>
      </c>
      <c r="G1468" t="s">
        <v>38</v>
      </c>
      <c r="H1468" t="s">
        <v>24</v>
      </c>
      <c r="I1468" t="s">
        <v>32</v>
      </c>
      <c r="J1468">
        <v>1</v>
      </c>
      <c r="K1468">
        <v>199</v>
      </c>
      <c r="L1468">
        <f>Table1[[#This Row],[Quantity]] * Table1[[#This Row],[UnitPrice]]</f>
        <v>199</v>
      </c>
      <c r="M1468" s="25">
        <v>15</v>
      </c>
      <c r="N1468">
        <f>Table1[[#This Row],[Revenue]]*Table1[[#This Row],[Discount%]]/100</f>
        <v>29.85</v>
      </c>
      <c r="O1468" s="6">
        <f>Table1[[#This Row],[Revenue]]-Table1[[#This Row],[Disc_amount]]</f>
        <v>169.15</v>
      </c>
      <c r="P1468" t="s">
        <v>41</v>
      </c>
      <c r="Q1468" t="s">
        <v>27</v>
      </c>
    </row>
    <row r="1469" spans="1:17">
      <c r="A1469" t="s">
        <v>2247</v>
      </c>
      <c r="B1469" s="1" t="s">
        <v>2241</v>
      </c>
      <c r="C1469" s="1" t="s">
        <v>2242</v>
      </c>
      <c r="D1469" s="1" t="s">
        <v>20</v>
      </c>
      <c r="E1469" t="s">
        <v>915</v>
      </c>
      <c r="F1469" t="s">
        <v>345</v>
      </c>
      <c r="G1469" t="s">
        <v>31</v>
      </c>
      <c r="H1469" t="s">
        <v>108</v>
      </c>
      <c r="I1469" t="s">
        <v>130</v>
      </c>
      <c r="J1469">
        <v>2</v>
      </c>
      <c r="K1469">
        <v>699</v>
      </c>
      <c r="L1469">
        <f>Table1[[#This Row],[Quantity]] * Table1[[#This Row],[UnitPrice]]</f>
        <v>1398</v>
      </c>
      <c r="M1469" s="25">
        <v>0</v>
      </c>
      <c r="N1469">
        <f>Table1[[#This Row],[Revenue]]*Table1[[#This Row],[Discount%]]/100</f>
        <v>0</v>
      </c>
      <c r="O1469" s="6">
        <f>Table1[[#This Row],[Revenue]]-Table1[[#This Row],[Disc_amount]]</f>
        <v>1398</v>
      </c>
      <c r="P1469" t="s">
        <v>41</v>
      </c>
      <c r="Q1469" t="s">
        <v>34</v>
      </c>
    </row>
    <row r="1470" spans="1:17">
      <c r="A1470" t="s">
        <v>2248</v>
      </c>
      <c r="B1470" s="1" t="s">
        <v>2241</v>
      </c>
      <c r="C1470" s="1" t="s">
        <v>2242</v>
      </c>
      <c r="D1470" s="1" t="s">
        <v>20</v>
      </c>
      <c r="E1470" t="s">
        <v>2249</v>
      </c>
      <c r="F1470" t="s">
        <v>107</v>
      </c>
      <c r="G1470" t="s">
        <v>38</v>
      </c>
      <c r="H1470" t="s">
        <v>24</v>
      </c>
      <c r="I1470" t="s">
        <v>25</v>
      </c>
      <c r="J1470">
        <v>2</v>
      </c>
      <c r="K1470">
        <v>99</v>
      </c>
      <c r="L1470">
        <f>Table1[[#This Row],[Quantity]] * Table1[[#This Row],[UnitPrice]]</f>
        <v>198</v>
      </c>
      <c r="M1470" s="25">
        <v>15</v>
      </c>
      <c r="N1470">
        <f>Table1[[#This Row],[Revenue]]*Table1[[#This Row],[Discount%]]/100</f>
        <v>29.7</v>
      </c>
      <c r="O1470" s="6">
        <f>Table1[[#This Row],[Revenue]]-Table1[[#This Row],[Disc_amount]]</f>
        <v>168.3</v>
      </c>
      <c r="P1470" t="s">
        <v>26</v>
      </c>
      <c r="Q1470" t="s">
        <v>34</v>
      </c>
    </row>
    <row r="1471" spans="1:17">
      <c r="A1471" t="s">
        <v>2250</v>
      </c>
      <c r="B1471" s="1" t="s">
        <v>2251</v>
      </c>
      <c r="C1471" s="1" t="s">
        <v>2242</v>
      </c>
      <c r="D1471" s="1" t="s">
        <v>20</v>
      </c>
      <c r="E1471" t="s">
        <v>974</v>
      </c>
      <c r="F1471" t="s">
        <v>879</v>
      </c>
      <c r="G1471" t="s">
        <v>56</v>
      </c>
      <c r="H1471" t="s">
        <v>46</v>
      </c>
      <c r="I1471" t="s">
        <v>47</v>
      </c>
      <c r="J1471">
        <v>2</v>
      </c>
      <c r="K1471">
        <v>249</v>
      </c>
      <c r="L1471">
        <f>Table1[[#This Row],[Quantity]] * Table1[[#This Row],[UnitPrice]]</f>
        <v>498</v>
      </c>
      <c r="M1471" s="25">
        <v>0</v>
      </c>
      <c r="N1471">
        <f>Table1[[#This Row],[Revenue]]*Table1[[#This Row],[Discount%]]/100</f>
        <v>0</v>
      </c>
      <c r="O1471" s="6">
        <f>Table1[[#This Row],[Revenue]]-Table1[[#This Row],[Disc_amount]]</f>
        <v>498</v>
      </c>
      <c r="P1471" t="s">
        <v>41</v>
      </c>
      <c r="Q1471" t="s">
        <v>34</v>
      </c>
    </row>
    <row r="1472" spans="1:17">
      <c r="A1472" t="s">
        <v>2252</v>
      </c>
      <c r="B1472" s="1" t="s">
        <v>2251</v>
      </c>
      <c r="C1472" s="1" t="s">
        <v>2242</v>
      </c>
      <c r="D1472" s="1" t="s">
        <v>20</v>
      </c>
      <c r="E1472" t="s">
        <v>1129</v>
      </c>
      <c r="F1472" t="s">
        <v>345</v>
      </c>
      <c r="G1472" t="s">
        <v>31</v>
      </c>
      <c r="H1472" t="s">
        <v>108</v>
      </c>
      <c r="I1472" t="s">
        <v>130</v>
      </c>
      <c r="J1472">
        <v>1</v>
      </c>
      <c r="K1472">
        <v>699</v>
      </c>
      <c r="L1472">
        <f>Table1[[#This Row],[Quantity]] * Table1[[#This Row],[UnitPrice]]</f>
        <v>699</v>
      </c>
      <c r="M1472" s="25">
        <v>10</v>
      </c>
      <c r="N1472">
        <f>Table1[[#This Row],[Revenue]]*Table1[[#This Row],[Discount%]]/100</f>
        <v>69.900000000000006</v>
      </c>
      <c r="O1472" s="6">
        <f>Table1[[#This Row],[Revenue]]-Table1[[#This Row],[Disc_amount]]</f>
        <v>629.1</v>
      </c>
      <c r="P1472" t="s">
        <v>86</v>
      </c>
      <c r="Q1472" t="s">
        <v>27</v>
      </c>
    </row>
    <row r="1473" spans="1:17">
      <c r="A1473" t="s">
        <v>2253</v>
      </c>
      <c r="B1473" s="1" t="s">
        <v>2251</v>
      </c>
      <c r="C1473" s="1" t="s">
        <v>2242</v>
      </c>
      <c r="D1473" s="1" t="s">
        <v>20</v>
      </c>
      <c r="E1473" t="s">
        <v>220</v>
      </c>
      <c r="F1473" t="s">
        <v>153</v>
      </c>
      <c r="G1473" t="s">
        <v>23</v>
      </c>
      <c r="H1473" t="s">
        <v>39</v>
      </c>
      <c r="I1473" t="s">
        <v>140</v>
      </c>
      <c r="J1473">
        <v>1</v>
      </c>
      <c r="K1473">
        <v>1799</v>
      </c>
      <c r="L1473">
        <f>Table1[[#This Row],[Quantity]] * Table1[[#This Row],[UnitPrice]]</f>
        <v>1799</v>
      </c>
      <c r="M1473" s="25">
        <v>10</v>
      </c>
      <c r="N1473">
        <f>Table1[[#This Row],[Revenue]]*Table1[[#This Row],[Discount%]]/100</f>
        <v>179.9</v>
      </c>
      <c r="O1473" s="6">
        <f>Table1[[#This Row],[Revenue]]-Table1[[#This Row],[Disc_amount]]</f>
        <v>1619.1</v>
      </c>
      <c r="P1473" t="s">
        <v>41</v>
      </c>
      <c r="Q1473" t="s">
        <v>34</v>
      </c>
    </row>
    <row r="1474" spans="1:17">
      <c r="A1474" t="s">
        <v>2254</v>
      </c>
      <c r="B1474" s="1" t="s">
        <v>2251</v>
      </c>
      <c r="C1474" s="1" t="s">
        <v>2242</v>
      </c>
      <c r="D1474" s="1" t="s">
        <v>20</v>
      </c>
      <c r="E1474" t="s">
        <v>878</v>
      </c>
      <c r="F1474" t="s">
        <v>879</v>
      </c>
      <c r="G1474" t="s">
        <v>31</v>
      </c>
      <c r="H1474" t="s">
        <v>24</v>
      </c>
      <c r="I1474" t="s">
        <v>25</v>
      </c>
      <c r="J1474">
        <v>1</v>
      </c>
      <c r="K1474">
        <v>99</v>
      </c>
      <c r="L1474">
        <f>Table1[[#This Row],[Quantity]] * Table1[[#This Row],[UnitPrice]]</f>
        <v>99</v>
      </c>
      <c r="M1474" s="25">
        <v>0</v>
      </c>
      <c r="N1474">
        <f>Table1[[#This Row],[Revenue]]*Table1[[#This Row],[Discount%]]/100</f>
        <v>0</v>
      </c>
      <c r="O1474" s="6">
        <f>Table1[[#This Row],[Revenue]]-Table1[[#This Row],[Disc_amount]]</f>
        <v>99</v>
      </c>
      <c r="P1474" t="s">
        <v>41</v>
      </c>
      <c r="Q1474" t="s">
        <v>27</v>
      </c>
    </row>
    <row r="1475" spans="1:17">
      <c r="A1475" t="s">
        <v>2255</v>
      </c>
      <c r="B1475" s="1" t="s">
        <v>2251</v>
      </c>
      <c r="C1475" s="1" t="s">
        <v>2242</v>
      </c>
      <c r="D1475" s="1" t="s">
        <v>20</v>
      </c>
      <c r="E1475" t="s">
        <v>713</v>
      </c>
      <c r="F1475" t="s">
        <v>714</v>
      </c>
      <c r="G1475" t="s">
        <v>45</v>
      </c>
      <c r="H1475" t="s">
        <v>57</v>
      </c>
      <c r="I1475" t="s">
        <v>58</v>
      </c>
      <c r="J1475">
        <v>1</v>
      </c>
      <c r="K1475">
        <v>1299</v>
      </c>
      <c r="L1475">
        <f>Table1[[#This Row],[Quantity]] * Table1[[#This Row],[UnitPrice]]</f>
        <v>1299</v>
      </c>
      <c r="M1475" s="25">
        <v>10</v>
      </c>
      <c r="N1475">
        <f>Table1[[#This Row],[Revenue]]*Table1[[#This Row],[Discount%]]/100</f>
        <v>129.9</v>
      </c>
      <c r="O1475" s="6">
        <f>Table1[[#This Row],[Revenue]]-Table1[[#This Row],[Disc_amount]]</f>
        <v>1169.0999999999999</v>
      </c>
      <c r="P1475" t="s">
        <v>26</v>
      </c>
      <c r="Q1475" t="s">
        <v>27</v>
      </c>
    </row>
    <row r="1476" spans="1:17">
      <c r="A1476" t="s">
        <v>2256</v>
      </c>
      <c r="B1476" s="1" t="s">
        <v>2251</v>
      </c>
      <c r="C1476" s="1" t="s">
        <v>2242</v>
      </c>
      <c r="D1476" s="1" t="s">
        <v>20</v>
      </c>
      <c r="E1476" t="s">
        <v>904</v>
      </c>
      <c r="F1476" t="s">
        <v>191</v>
      </c>
      <c r="G1476" t="s">
        <v>38</v>
      </c>
      <c r="H1476" t="s">
        <v>65</v>
      </c>
      <c r="I1476" t="s">
        <v>98</v>
      </c>
      <c r="J1476">
        <v>1</v>
      </c>
      <c r="K1476">
        <v>499</v>
      </c>
      <c r="L1476">
        <f>Table1[[#This Row],[Quantity]] * Table1[[#This Row],[UnitPrice]]</f>
        <v>499</v>
      </c>
      <c r="M1476" s="25">
        <v>0</v>
      </c>
      <c r="N1476">
        <f>Table1[[#This Row],[Revenue]]*Table1[[#This Row],[Discount%]]/100</f>
        <v>0</v>
      </c>
      <c r="O1476" s="6">
        <f>Table1[[#This Row],[Revenue]]-Table1[[#This Row],[Disc_amount]]</f>
        <v>499</v>
      </c>
      <c r="P1476" t="s">
        <v>52</v>
      </c>
      <c r="Q1476" t="s">
        <v>27</v>
      </c>
    </row>
    <row r="1477" spans="1:17">
      <c r="A1477" t="s">
        <v>2257</v>
      </c>
      <c r="B1477" s="1" t="s">
        <v>2258</v>
      </c>
      <c r="C1477" s="1" t="s">
        <v>2242</v>
      </c>
      <c r="D1477" s="1" t="s">
        <v>20</v>
      </c>
      <c r="E1477" t="s">
        <v>795</v>
      </c>
      <c r="F1477" t="s">
        <v>796</v>
      </c>
      <c r="G1477" t="s">
        <v>45</v>
      </c>
      <c r="H1477" t="s">
        <v>65</v>
      </c>
      <c r="I1477" t="s">
        <v>94</v>
      </c>
      <c r="J1477">
        <v>4</v>
      </c>
      <c r="K1477">
        <v>899</v>
      </c>
      <c r="L1477">
        <f>Table1[[#This Row],[Quantity]] * Table1[[#This Row],[UnitPrice]]</f>
        <v>3596</v>
      </c>
      <c r="M1477" s="25">
        <v>20</v>
      </c>
      <c r="N1477">
        <f>Table1[[#This Row],[Revenue]]*Table1[[#This Row],[Discount%]]/100</f>
        <v>719.2</v>
      </c>
      <c r="O1477" s="6">
        <f>Table1[[#This Row],[Revenue]]-Table1[[#This Row],[Disc_amount]]</f>
        <v>2876.8</v>
      </c>
      <c r="P1477" t="s">
        <v>52</v>
      </c>
      <c r="Q1477" t="s">
        <v>27</v>
      </c>
    </row>
    <row r="1478" spans="1:17">
      <c r="A1478" t="s">
        <v>2259</v>
      </c>
      <c r="B1478" s="1" t="s">
        <v>2258</v>
      </c>
      <c r="C1478" s="1" t="s">
        <v>2242</v>
      </c>
      <c r="D1478" s="1" t="s">
        <v>20</v>
      </c>
      <c r="E1478" t="s">
        <v>1088</v>
      </c>
      <c r="F1478" t="s">
        <v>160</v>
      </c>
      <c r="G1478" t="s">
        <v>23</v>
      </c>
      <c r="H1478" t="s">
        <v>65</v>
      </c>
      <c r="I1478" t="s">
        <v>98</v>
      </c>
      <c r="J1478">
        <v>1</v>
      </c>
      <c r="K1478">
        <v>499</v>
      </c>
      <c r="L1478">
        <f>Table1[[#This Row],[Quantity]] * Table1[[#This Row],[UnitPrice]]</f>
        <v>499</v>
      </c>
      <c r="M1478" s="25">
        <v>20</v>
      </c>
      <c r="N1478">
        <f>Table1[[#This Row],[Revenue]]*Table1[[#This Row],[Discount%]]/100</f>
        <v>99.8</v>
      </c>
      <c r="O1478" s="6">
        <f>Table1[[#This Row],[Revenue]]-Table1[[#This Row],[Disc_amount]]</f>
        <v>399.2</v>
      </c>
      <c r="P1478" t="s">
        <v>33</v>
      </c>
      <c r="Q1478" t="s">
        <v>27</v>
      </c>
    </row>
    <row r="1479" spans="1:17">
      <c r="A1479" t="s">
        <v>2260</v>
      </c>
      <c r="B1479" s="1" t="s">
        <v>2258</v>
      </c>
      <c r="C1479" s="1" t="s">
        <v>2242</v>
      </c>
      <c r="D1479" s="1" t="s">
        <v>20</v>
      </c>
      <c r="E1479" t="s">
        <v>231</v>
      </c>
      <c r="F1479" t="s">
        <v>173</v>
      </c>
      <c r="G1479" t="s">
        <v>45</v>
      </c>
      <c r="H1479" t="s">
        <v>46</v>
      </c>
      <c r="I1479" t="s">
        <v>154</v>
      </c>
      <c r="J1479">
        <v>5</v>
      </c>
      <c r="K1479">
        <v>299</v>
      </c>
      <c r="L1479">
        <f>Table1[[#This Row],[Quantity]] * Table1[[#This Row],[UnitPrice]]</f>
        <v>1495</v>
      </c>
      <c r="M1479" s="25">
        <v>10</v>
      </c>
      <c r="N1479">
        <f>Table1[[#This Row],[Revenue]]*Table1[[#This Row],[Discount%]]/100</f>
        <v>149.5</v>
      </c>
      <c r="O1479" s="6">
        <f>Table1[[#This Row],[Revenue]]-Table1[[#This Row],[Disc_amount]]</f>
        <v>1345.5</v>
      </c>
      <c r="P1479" t="s">
        <v>26</v>
      </c>
      <c r="Q1479" t="s">
        <v>34</v>
      </c>
    </row>
    <row r="1480" spans="1:17">
      <c r="A1480" t="s">
        <v>2261</v>
      </c>
      <c r="B1480" s="1" t="s">
        <v>2258</v>
      </c>
      <c r="C1480" s="1" t="s">
        <v>2242</v>
      </c>
      <c r="D1480" s="1" t="s">
        <v>20</v>
      </c>
      <c r="E1480" t="s">
        <v>801</v>
      </c>
      <c r="F1480" t="s">
        <v>802</v>
      </c>
      <c r="G1480" t="s">
        <v>56</v>
      </c>
      <c r="H1480" t="s">
        <v>39</v>
      </c>
      <c r="I1480" t="s">
        <v>140</v>
      </c>
      <c r="J1480">
        <v>1</v>
      </c>
      <c r="K1480">
        <v>1799</v>
      </c>
      <c r="L1480">
        <f>Table1[[#This Row],[Quantity]] * Table1[[#This Row],[UnitPrice]]</f>
        <v>1799</v>
      </c>
      <c r="M1480" s="25">
        <v>5</v>
      </c>
      <c r="N1480">
        <f>Table1[[#This Row],[Revenue]]*Table1[[#This Row],[Discount%]]/100</f>
        <v>89.95</v>
      </c>
      <c r="O1480" s="6">
        <f>Table1[[#This Row],[Revenue]]-Table1[[#This Row],[Disc_amount]]</f>
        <v>1709.05</v>
      </c>
      <c r="P1480" t="s">
        <v>41</v>
      </c>
      <c r="Q1480" t="s">
        <v>27</v>
      </c>
    </row>
    <row r="1481" spans="1:17">
      <c r="A1481" t="s">
        <v>2262</v>
      </c>
      <c r="B1481" s="1" t="s">
        <v>2263</v>
      </c>
      <c r="C1481" s="1" t="s">
        <v>2242</v>
      </c>
      <c r="D1481" s="1" t="s">
        <v>20</v>
      </c>
      <c r="E1481" t="s">
        <v>430</v>
      </c>
      <c r="F1481" t="s">
        <v>101</v>
      </c>
      <c r="G1481" t="s">
        <v>23</v>
      </c>
      <c r="H1481" t="s">
        <v>46</v>
      </c>
      <c r="I1481" t="s">
        <v>47</v>
      </c>
      <c r="J1481">
        <v>2</v>
      </c>
      <c r="K1481">
        <v>249</v>
      </c>
      <c r="L1481">
        <f>Table1[[#This Row],[Quantity]] * Table1[[#This Row],[UnitPrice]]</f>
        <v>498</v>
      </c>
      <c r="M1481" s="25">
        <v>10</v>
      </c>
      <c r="N1481">
        <f>Table1[[#This Row],[Revenue]]*Table1[[#This Row],[Discount%]]/100</f>
        <v>49.8</v>
      </c>
      <c r="O1481" s="6">
        <f>Table1[[#This Row],[Revenue]]-Table1[[#This Row],[Disc_amount]]</f>
        <v>448.2</v>
      </c>
      <c r="P1481" t="s">
        <v>41</v>
      </c>
      <c r="Q1481" t="s">
        <v>27</v>
      </c>
    </row>
    <row r="1482" spans="1:17">
      <c r="A1482" t="s">
        <v>2264</v>
      </c>
      <c r="B1482" s="1" t="s">
        <v>2263</v>
      </c>
      <c r="C1482" s="1" t="s">
        <v>2242</v>
      </c>
      <c r="D1482" s="1" t="s">
        <v>20</v>
      </c>
      <c r="E1482" t="s">
        <v>1214</v>
      </c>
      <c r="F1482" t="s">
        <v>376</v>
      </c>
      <c r="G1482" t="s">
        <v>38</v>
      </c>
      <c r="H1482" t="s">
        <v>57</v>
      </c>
      <c r="I1482" t="s">
        <v>62</v>
      </c>
      <c r="J1482">
        <v>1</v>
      </c>
      <c r="K1482">
        <v>799</v>
      </c>
      <c r="L1482">
        <f>Table1[[#This Row],[Quantity]] * Table1[[#This Row],[UnitPrice]]</f>
        <v>799</v>
      </c>
      <c r="M1482" s="25">
        <v>0</v>
      </c>
      <c r="N1482">
        <f>Table1[[#This Row],[Revenue]]*Table1[[#This Row],[Discount%]]/100</f>
        <v>0</v>
      </c>
      <c r="O1482" s="6">
        <f>Table1[[#This Row],[Revenue]]-Table1[[#This Row],[Disc_amount]]</f>
        <v>799</v>
      </c>
      <c r="P1482" t="s">
        <v>52</v>
      </c>
      <c r="Q1482" t="s">
        <v>27</v>
      </c>
    </row>
    <row r="1483" spans="1:17">
      <c r="A1483" t="s">
        <v>2265</v>
      </c>
      <c r="B1483" s="1" t="s">
        <v>2263</v>
      </c>
      <c r="C1483" s="1" t="s">
        <v>2242</v>
      </c>
      <c r="D1483" s="1" t="s">
        <v>20</v>
      </c>
      <c r="E1483" t="s">
        <v>133</v>
      </c>
      <c r="F1483" t="s">
        <v>134</v>
      </c>
      <c r="G1483" t="s">
        <v>23</v>
      </c>
      <c r="H1483" t="s">
        <v>108</v>
      </c>
      <c r="I1483" t="s">
        <v>109</v>
      </c>
      <c r="J1483">
        <v>4</v>
      </c>
      <c r="K1483">
        <v>1499</v>
      </c>
      <c r="L1483">
        <f>Table1[[#This Row],[Quantity]] * Table1[[#This Row],[UnitPrice]]</f>
        <v>5996</v>
      </c>
      <c r="M1483" s="25">
        <v>15</v>
      </c>
      <c r="N1483">
        <f>Table1[[#This Row],[Revenue]]*Table1[[#This Row],[Discount%]]/100</f>
        <v>899.4</v>
      </c>
      <c r="O1483" s="6">
        <f>Table1[[#This Row],[Revenue]]-Table1[[#This Row],[Disc_amount]]</f>
        <v>5096.6000000000004</v>
      </c>
      <c r="P1483" t="s">
        <v>33</v>
      </c>
      <c r="Q1483" t="s">
        <v>27</v>
      </c>
    </row>
    <row r="1484" spans="1:17">
      <c r="A1484" t="s">
        <v>2266</v>
      </c>
      <c r="B1484" s="1" t="s">
        <v>2263</v>
      </c>
      <c r="C1484" s="1" t="s">
        <v>2242</v>
      </c>
      <c r="D1484" s="1" t="s">
        <v>20</v>
      </c>
      <c r="E1484" t="s">
        <v>378</v>
      </c>
      <c r="F1484" t="s">
        <v>379</v>
      </c>
      <c r="G1484" t="s">
        <v>45</v>
      </c>
      <c r="H1484" t="s">
        <v>39</v>
      </c>
      <c r="I1484" t="s">
        <v>140</v>
      </c>
      <c r="J1484">
        <v>5</v>
      </c>
      <c r="K1484">
        <v>1799</v>
      </c>
      <c r="L1484">
        <f>Table1[[#This Row],[Quantity]] * Table1[[#This Row],[UnitPrice]]</f>
        <v>8995</v>
      </c>
      <c r="M1484" s="25">
        <v>0</v>
      </c>
      <c r="N1484">
        <f>Table1[[#This Row],[Revenue]]*Table1[[#This Row],[Discount%]]/100</f>
        <v>0</v>
      </c>
      <c r="O1484" s="6">
        <f>Table1[[#This Row],[Revenue]]-Table1[[#This Row],[Disc_amount]]</f>
        <v>8995</v>
      </c>
      <c r="P1484" t="s">
        <v>41</v>
      </c>
      <c r="Q1484" t="s">
        <v>34</v>
      </c>
    </row>
    <row r="1485" spans="1:17">
      <c r="A1485" t="s">
        <v>2267</v>
      </c>
      <c r="B1485" s="1" t="s">
        <v>2263</v>
      </c>
      <c r="C1485" s="1" t="s">
        <v>2242</v>
      </c>
      <c r="D1485" s="1" t="s">
        <v>20</v>
      </c>
      <c r="E1485" t="s">
        <v>1364</v>
      </c>
      <c r="F1485" t="s">
        <v>326</v>
      </c>
      <c r="G1485" t="s">
        <v>56</v>
      </c>
      <c r="H1485" t="s">
        <v>108</v>
      </c>
      <c r="I1485" t="s">
        <v>109</v>
      </c>
      <c r="J1485">
        <v>2</v>
      </c>
      <c r="K1485">
        <v>1499</v>
      </c>
      <c r="L1485">
        <f>Table1[[#This Row],[Quantity]] * Table1[[#This Row],[UnitPrice]]</f>
        <v>2998</v>
      </c>
      <c r="M1485" s="25">
        <v>10</v>
      </c>
      <c r="N1485">
        <f>Table1[[#This Row],[Revenue]]*Table1[[#This Row],[Discount%]]/100</f>
        <v>299.8</v>
      </c>
      <c r="O1485" s="6">
        <f>Table1[[#This Row],[Revenue]]-Table1[[#This Row],[Disc_amount]]</f>
        <v>2698.2</v>
      </c>
      <c r="P1485" t="s">
        <v>26</v>
      </c>
      <c r="Q1485" t="s">
        <v>27</v>
      </c>
    </row>
    <row r="1486" spans="1:17">
      <c r="A1486" t="s">
        <v>2268</v>
      </c>
      <c r="B1486" s="1" t="s">
        <v>2263</v>
      </c>
      <c r="C1486" s="1" t="s">
        <v>2242</v>
      </c>
      <c r="D1486" s="1" t="s">
        <v>20</v>
      </c>
      <c r="E1486" t="s">
        <v>313</v>
      </c>
      <c r="F1486" t="s">
        <v>314</v>
      </c>
      <c r="G1486" t="s">
        <v>23</v>
      </c>
      <c r="H1486" t="s">
        <v>108</v>
      </c>
      <c r="I1486" t="s">
        <v>109</v>
      </c>
      <c r="J1486">
        <v>1</v>
      </c>
      <c r="K1486">
        <v>1499</v>
      </c>
      <c r="L1486">
        <f>Table1[[#This Row],[Quantity]] * Table1[[#This Row],[UnitPrice]]</f>
        <v>1499</v>
      </c>
      <c r="M1486" s="25">
        <v>0</v>
      </c>
      <c r="N1486">
        <f>Table1[[#This Row],[Revenue]]*Table1[[#This Row],[Discount%]]/100</f>
        <v>0</v>
      </c>
      <c r="O1486" s="6">
        <f>Table1[[#This Row],[Revenue]]-Table1[[#This Row],[Disc_amount]]</f>
        <v>1499</v>
      </c>
      <c r="P1486" t="s">
        <v>26</v>
      </c>
      <c r="Q1486" t="s">
        <v>34</v>
      </c>
    </row>
    <row r="1487" spans="1:17">
      <c r="A1487" t="s">
        <v>2269</v>
      </c>
      <c r="B1487" s="1" t="s">
        <v>2263</v>
      </c>
      <c r="C1487" s="1" t="s">
        <v>2242</v>
      </c>
      <c r="D1487" s="1" t="s">
        <v>20</v>
      </c>
      <c r="E1487" t="s">
        <v>461</v>
      </c>
      <c r="F1487" t="s">
        <v>462</v>
      </c>
      <c r="G1487" t="s">
        <v>38</v>
      </c>
      <c r="H1487" t="s">
        <v>108</v>
      </c>
      <c r="I1487" t="s">
        <v>130</v>
      </c>
      <c r="J1487">
        <v>1</v>
      </c>
      <c r="K1487">
        <v>699</v>
      </c>
      <c r="L1487">
        <f>Table1[[#This Row],[Quantity]] * Table1[[#This Row],[UnitPrice]]</f>
        <v>699</v>
      </c>
      <c r="M1487" s="25">
        <v>0</v>
      </c>
      <c r="N1487">
        <f>Table1[[#This Row],[Revenue]]*Table1[[#This Row],[Discount%]]/100</f>
        <v>0</v>
      </c>
      <c r="O1487" s="6">
        <f>Table1[[#This Row],[Revenue]]-Table1[[#This Row],[Disc_amount]]</f>
        <v>699</v>
      </c>
      <c r="P1487" t="s">
        <v>41</v>
      </c>
      <c r="Q1487" t="s">
        <v>27</v>
      </c>
    </row>
    <row r="1488" spans="1:17">
      <c r="A1488" t="s">
        <v>2270</v>
      </c>
      <c r="B1488" s="1" t="s">
        <v>2263</v>
      </c>
      <c r="C1488" s="1" t="s">
        <v>2242</v>
      </c>
      <c r="D1488" s="1" t="s">
        <v>20</v>
      </c>
      <c r="E1488" t="s">
        <v>709</v>
      </c>
      <c r="F1488" t="s">
        <v>694</v>
      </c>
      <c r="G1488" t="s">
        <v>31</v>
      </c>
      <c r="H1488" t="s">
        <v>24</v>
      </c>
      <c r="I1488" t="s">
        <v>25</v>
      </c>
      <c r="J1488">
        <v>1</v>
      </c>
      <c r="K1488">
        <v>99</v>
      </c>
      <c r="L1488">
        <f>Table1[[#This Row],[Quantity]] * Table1[[#This Row],[UnitPrice]]</f>
        <v>99</v>
      </c>
      <c r="M1488" s="25">
        <v>20</v>
      </c>
      <c r="N1488">
        <f>Table1[[#This Row],[Revenue]]*Table1[[#This Row],[Discount%]]/100</f>
        <v>19.8</v>
      </c>
      <c r="O1488" s="6">
        <f>Table1[[#This Row],[Revenue]]-Table1[[#This Row],[Disc_amount]]</f>
        <v>79.2</v>
      </c>
      <c r="P1488" t="s">
        <v>33</v>
      </c>
      <c r="Q1488" t="s">
        <v>27</v>
      </c>
    </row>
    <row r="1489" spans="1:17">
      <c r="A1489" t="s">
        <v>2271</v>
      </c>
      <c r="B1489" s="1" t="s">
        <v>2272</v>
      </c>
      <c r="C1489" s="1" t="s">
        <v>2242</v>
      </c>
      <c r="D1489" s="1" t="s">
        <v>20</v>
      </c>
      <c r="E1489" t="s">
        <v>740</v>
      </c>
      <c r="F1489" t="s">
        <v>376</v>
      </c>
      <c r="G1489" t="s">
        <v>38</v>
      </c>
      <c r="H1489" t="s">
        <v>24</v>
      </c>
      <c r="I1489" t="s">
        <v>32</v>
      </c>
      <c r="J1489">
        <v>3</v>
      </c>
      <c r="K1489">
        <v>199</v>
      </c>
      <c r="L1489">
        <f>Table1[[#This Row],[Quantity]] * Table1[[#This Row],[UnitPrice]]</f>
        <v>597</v>
      </c>
      <c r="M1489" s="25">
        <v>20</v>
      </c>
      <c r="N1489">
        <f>Table1[[#This Row],[Revenue]]*Table1[[#This Row],[Discount%]]/100</f>
        <v>119.4</v>
      </c>
      <c r="O1489" s="6">
        <f>Table1[[#This Row],[Revenue]]-Table1[[#This Row],[Disc_amount]]</f>
        <v>477.6</v>
      </c>
      <c r="P1489" t="s">
        <v>33</v>
      </c>
      <c r="Q1489" t="s">
        <v>27</v>
      </c>
    </row>
    <row r="1490" spans="1:17">
      <c r="A1490" t="s">
        <v>2273</v>
      </c>
      <c r="B1490" s="1" t="s">
        <v>2272</v>
      </c>
      <c r="C1490" s="1" t="s">
        <v>2242</v>
      </c>
      <c r="D1490" s="1" t="s">
        <v>20</v>
      </c>
      <c r="E1490" t="s">
        <v>2042</v>
      </c>
      <c r="F1490" t="s">
        <v>160</v>
      </c>
      <c r="G1490" t="s">
        <v>45</v>
      </c>
      <c r="H1490" t="s">
        <v>39</v>
      </c>
      <c r="I1490" t="s">
        <v>51</v>
      </c>
      <c r="J1490">
        <v>1</v>
      </c>
      <c r="K1490">
        <v>2999</v>
      </c>
      <c r="L1490">
        <f>Table1[[#This Row],[Quantity]] * Table1[[#This Row],[UnitPrice]]</f>
        <v>2999</v>
      </c>
      <c r="M1490" s="25">
        <v>15</v>
      </c>
      <c r="N1490">
        <f>Table1[[#This Row],[Revenue]]*Table1[[#This Row],[Discount%]]/100</f>
        <v>449.85</v>
      </c>
      <c r="O1490" s="6">
        <f>Table1[[#This Row],[Revenue]]-Table1[[#This Row],[Disc_amount]]</f>
        <v>2549.15</v>
      </c>
      <c r="P1490" t="s">
        <v>33</v>
      </c>
      <c r="Q1490" t="s">
        <v>27</v>
      </c>
    </row>
    <row r="1491" spans="1:17">
      <c r="A1491" t="s">
        <v>2274</v>
      </c>
      <c r="B1491" s="1" t="s">
        <v>2272</v>
      </c>
      <c r="C1491" s="1" t="s">
        <v>2242</v>
      </c>
      <c r="D1491" s="1" t="s">
        <v>20</v>
      </c>
      <c r="E1491" t="s">
        <v>205</v>
      </c>
      <c r="F1491" t="s">
        <v>206</v>
      </c>
      <c r="G1491" t="s">
        <v>56</v>
      </c>
      <c r="H1491" t="s">
        <v>65</v>
      </c>
      <c r="I1491" t="s">
        <v>94</v>
      </c>
      <c r="J1491">
        <v>2</v>
      </c>
      <c r="K1491">
        <v>899</v>
      </c>
      <c r="L1491">
        <f>Table1[[#This Row],[Quantity]] * Table1[[#This Row],[UnitPrice]]</f>
        <v>1798</v>
      </c>
      <c r="M1491" s="25">
        <v>10</v>
      </c>
      <c r="N1491">
        <f>Table1[[#This Row],[Revenue]]*Table1[[#This Row],[Discount%]]/100</f>
        <v>179.8</v>
      </c>
      <c r="O1491" s="6">
        <f>Table1[[#This Row],[Revenue]]-Table1[[#This Row],[Disc_amount]]</f>
        <v>1618.2</v>
      </c>
      <c r="P1491" t="s">
        <v>26</v>
      </c>
      <c r="Q1491" t="s">
        <v>27</v>
      </c>
    </row>
    <row r="1492" spans="1:17">
      <c r="A1492" t="s">
        <v>2275</v>
      </c>
      <c r="B1492" s="1" t="s">
        <v>2272</v>
      </c>
      <c r="C1492" s="1" t="s">
        <v>2242</v>
      </c>
      <c r="D1492" s="1" t="s">
        <v>20</v>
      </c>
      <c r="E1492" t="s">
        <v>231</v>
      </c>
      <c r="F1492" t="s">
        <v>173</v>
      </c>
      <c r="G1492" t="s">
        <v>31</v>
      </c>
      <c r="H1492" t="s">
        <v>70</v>
      </c>
      <c r="I1492" t="s">
        <v>71</v>
      </c>
      <c r="J1492">
        <v>1</v>
      </c>
      <c r="K1492">
        <v>349</v>
      </c>
      <c r="L1492">
        <f>Table1[[#This Row],[Quantity]] * Table1[[#This Row],[UnitPrice]]</f>
        <v>349</v>
      </c>
      <c r="M1492" s="25">
        <v>0</v>
      </c>
      <c r="N1492">
        <f>Table1[[#This Row],[Revenue]]*Table1[[#This Row],[Discount%]]/100</f>
        <v>0</v>
      </c>
      <c r="O1492" s="6">
        <f>Table1[[#This Row],[Revenue]]-Table1[[#This Row],[Disc_amount]]</f>
        <v>349</v>
      </c>
      <c r="P1492" t="s">
        <v>33</v>
      </c>
      <c r="Q1492" t="s">
        <v>27</v>
      </c>
    </row>
    <row r="1493" spans="1:17">
      <c r="A1493" t="s">
        <v>2276</v>
      </c>
      <c r="B1493" s="1" t="s">
        <v>2272</v>
      </c>
      <c r="C1493" s="1" t="s">
        <v>2242</v>
      </c>
      <c r="D1493" s="1" t="s">
        <v>20</v>
      </c>
      <c r="E1493" t="s">
        <v>686</v>
      </c>
      <c r="F1493" t="s">
        <v>443</v>
      </c>
      <c r="G1493" t="s">
        <v>56</v>
      </c>
      <c r="H1493" t="s">
        <v>39</v>
      </c>
      <c r="I1493" t="s">
        <v>40</v>
      </c>
      <c r="J1493">
        <v>1</v>
      </c>
      <c r="K1493">
        <v>599</v>
      </c>
      <c r="L1493">
        <f>Table1[[#This Row],[Quantity]] * Table1[[#This Row],[UnitPrice]]</f>
        <v>599</v>
      </c>
      <c r="M1493" s="25">
        <v>10</v>
      </c>
      <c r="N1493">
        <f>Table1[[#This Row],[Revenue]]*Table1[[#This Row],[Discount%]]/100</f>
        <v>59.9</v>
      </c>
      <c r="O1493" s="6">
        <f>Table1[[#This Row],[Revenue]]-Table1[[#This Row],[Disc_amount]]</f>
        <v>539.1</v>
      </c>
      <c r="P1493" t="s">
        <v>33</v>
      </c>
      <c r="Q1493" t="s">
        <v>27</v>
      </c>
    </row>
    <row r="1494" spans="1:17">
      <c r="A1494" t="s">
        <v>2277</v>
      </c>
      <c r="B1494" s="1" t="s">
        <v>2272</v>
      </c>
      <c r="C1494" s="1" t="s">
        <v>2242</v>
      </c>
      <c r="D1494" s="1" t="s">
        <v>20</v>
      </c>
      <c r="E1494" t="s">
        <v>495</v>
      </c>
      <c r="F1494" t="s">
        <v>187</v>
      </c>
      <c r="G1494" t="s">
        <v>31</v>
      </c>
      <c r="H1494" t="s">
        <v>70</v>
      </c>
      <c r="I1494" t="s">
        <v>91</v>
      </c>
      <c r="J1494">
        <v>4</v>
      </c>
      <c r="K1494">
        <v>549</v>
      </c>
      <c r="L1494">
        <f>Table1[[#This Row],[Quantity]] * Table1[[#This Row],[UnitPrice]]</f>
        <v>2196</v>
      </c>
      <c r="M1494" s="25">
        <v>20</v>
      </c>
      <c r="N1494">
        <f>Table1[[#This Row],[Revenue]]*Table1[[#This Row],[Discount%]]/100</f>
        <v>439.2</v>
      </c>
      <c r="O1494" s="6">
        <f>Table1[[#This Row],[Revenue]]-Table1[[#This Row],[Disc_amount]]</f>
        <v>1756.8</v>
      </c>
      <c r="P1494" t="s">
        <v>26</v>
      </c>
      <c r="Q1494" t="s">
        <v>34</v>
      </c>
    </row>
    <row r="1495" spans="1:17">
      <c r="A1495" t="s">
        <v>2278</v>
      </c>
      <c r="B1495" s="1" t="s">
        <v>2272</v>
      </c>
      <c r="C1495" s="1" t="s">
        <v>2242</v>
      </c>
      <c r="D1495" s="1" t="s">
        <v>20</v>
      </c>
      <c r="E1495" t="s">
        <v>93</v>
      </c>
      <c r="F1495" t="s">
        <v>77</v>
      </c>
      <c r="G1495" t="s">
        <v>23</v>
      </c>
      <c r="H1495" t="s">
        <v>57</v>
      </c>
      <c r="I1495" t="s">
        <v>58</v>
      </c>
      <c r="J1495">
        <v>1</v>
      </c>
      <c r="K1495">
        <v>1299</v>
      </c>
      <c r="L1495">
        <f>Table1[[#This Row],[Quantity]] * Table1[[#This Row],[UnitPrice]]</f>
        <v>1299</v>
      </c>
      <c r="M1495" s="25">
        <v>10</v>
      </c>
      <c r="N1495">
        <f>Table1[[#This Row],[Revenue]]*Table1[[#This Row],[Discount%]]/100</f>
        <v>129.9</v>
      </c>
      <c r="O1495" s="6">
        <f>Table1[[#This Row],[Revenue]]-Table1[[#This Row],[Disc_amount]]</f>
        <v>1169.0999999999999</v>
      </c>
      <c r="P1495" t="s">
        <v>33</v>
      </c>
      <c r="Q1495" t="s">
        <v>34</v>
      </c>
    </row>
    <row r="1496" spans="1:17">
      <c r="A1496" t="s">
        <v>2279</v>
      </c>
      <c r="B1496" s="1" t="s">
        <v>2272</v>
      </c>
      <c r="C1496" s="1" t="s">
        <v>2242</v>
      </c>
      <c r="D1496" s="1" t="s">
        <v>20</v>
      </c>
      <c r="E1496" t="s">
        <v>722</v>
      </c>
      <c r="F1496" t="s">
        <v>723</v>
      </c>
      <c r="G1496" t="s">
        <v>38</v>
      </c>
      <c r="H1496" t="s">
        <v>108</v>
      </c>
      <c r="I1496" t="s">
        <v>109</v>
      </c>
      <c r="J1496">
        <v>2</v>
      </c>
      <c r="K1496">
        <v>1499</v>
      </c>
      <c r="L1496">
        <f>Table1[[#This Row],[Quantity]] * Table1[[#This Row],[UnitPrice]]</f>
        <v>2998</v>
      </c>
      <c r="M1496" s="25">
        <v>0</v>
      </c>
      <c r="N1496">
        <f>Table1[[#This Row],[Revenue]]*Table1[[#This Row],[Discount%]]/100</f>
        <v>0</v>
      </c>
      <c r="O1496" s="6">
        <f>Table1[[#This Row],[Revenue]]-Table1[[#This Row],[Disc_amount]]</f>
        <v>2998</v>
      </c>
      <c r="P1496" t="s">
        <v>41</v>
      </c>
      <c r="Q1496" t="s">
        <v>27</v>
      </c>
    </row>
    <row r="1497" spans="1:17">
      <c r="A1497" t="s">
        <v>2280</v>
      </c>
      <c r="B1497" s="1" t="s">
        <v>2272</v>
      </c>
      <c r="C1497" s="1" t="s">
        <v>2242</v>
      </c>
      <c r="D1497" s="1" t="s">
        <v>20</v>
      </c>
      <c r="E1497" t="s">
        <v>1229</v>
      </c>
      <c r="F1497" t="s">
        <v>97</v>
      </c>
      <c r="G1497" t="s">
        <v>45</v>
      </c>
      <c r="H1497" t="s">
        <v>57</v>
      </c>
      <c r="I1497" t="s">
        <v>62</v>
      </c>
      <c r="J1497">
        <v>1</v>
      </c>
      <c r="K1497">
        <v>799</v>
      </c>
      <c r="L1497">
        <f>Table1[[#This Row],[Quantity]] * Table1[[#This Row],[UnitPrice]]</f>
        <v>799</v>
      </c>
      <c r="M1497" s="25">
        <v>20</v>
      </c>
      <c r="N1497">
        <f>Table1[[#This Row],[Revenue]]*Table1[[#This Row],[Discount%]]/100</f>
        <v>159.80000000000001</v>
      </c>
      <c r="O1497" s="6">
        <f>Table1[[#This Row],[Revenue]]-Table1[[#This Row],[Disc_amount]]</f>
        <v>639.20000000000005</v>
      </c>
      <c r="P1497" t="s">
        <v>41</v>
      </c>
      <c r="Q1497" t="s">
        <v>27</v>
      </c>
    </row>
    <row r="1498" spans="1:17">
      <c r="A1498" t="s">
        <v>2281</v>
      </c>
      <c r="B1498" s="1" t="s">
        <v>2282</v>
      </c>
      <c r="C1498" s="1" t="s">
        <v>2242</v>
      </c>
      <c r="D1498" s="1" t="s">
        <v>20</v>
      </c>
      <c r="E1498" t="s">
        <v>117</v>
      </c>
      <c r="F1498" t="s">
        <v>118</v>
      </c>
      <c r="G1498" t="s">
        <v>38</v>
      </c>
      <c r="H1498" t="s">
        <v>46</v>
      </c>
      <c r="I1498" t="s">
        <v>47</v>
      </c>
      <c r="J1498">
        <v>2</v>
      </c>
      <c r="K1498">
        <v>249</v>
      </c>
      <c r="L1498">
        <f>Table1[[#This Row],[Quantity]] * Table1[[#This Row],[UnitPrice]]</f>
        <v>498</v>
      </c>
      <c r="M1498" s="25">
        <v>20</v>
      </c>
      <c r="N1498">
        <f>Table1[[#This Row],[Revenue]]*Table1[[#This Row],[Discount%]]/100</f>
        <v>99.6</v>
      </c>
      <c r="O1498" s="6">
        <f>Table1[[#This Row],[Revenue]]-Table1[[#This Row],[Disc_amount]]</f>
        <v>398.4</v>
      </c>
      <c r="P1498" t="s">
        <v>52</v>
      </c>
      <c r="Q1498" t="s">
        <v>27</v>
      </c>
    </row>
    <row r="1499" spans="1:17">
      <c r="A1499" t="s">
        <v>2283</v>
      </c>
      <c r="B1499" s="1" t="s">
        <v>2282</v>
      </c>
      <c r="C1499" s="1" t="s">
        <v>2242</v>
      </c>
      <c r="D1499" s="1" t="s">
        <v>20</v>
      </c>
      <c r="E1499" t="s">
        <v>120</v>
      </c>
      <c r="F1499" t="s">
        <v>107</v>
      </c>
      <c r="G1499" t="s">
        <v>31</v>
      </c>
      <c r="H1499" t="s">
        <v>65</v>
      </c>
      <c r="I1499" t="s">
        <v>98</v>
      </c>
      <c r="J1499">
        <v>1</v>
      </c>
      <c r="K1499">
        <v>499</v>
      </c>
      <c r="L1499">
        <f>Table1[[#This Row],[Quantity]] * Table1[[#This Row],[UnitPrice]]</f>
        <v>499</v>
      </c>
      <c r="M1499" s="25">
        <v>10</v>
      </c>
      <c r="N1499">
        <f>Table1[[#This Row],[Revenue]]*Table1[[#This Row],[Discount%]]/100</f>
        <v>49.9</v>
      </c>
      <c r="O1499" s="6">
        <f>Table1[[#This Row],[Revenue]]-Table1[[#This Row],[Disc_amount]]</f>
        <v>449.1</v>
      </c>
      <c r="P1499" t="s">
        <v>41</v>
      </c>
      <c r="Q1499" t="s">
        <v>27</v>
      </c>
    </row>
    <row r="1500" spans="1:17">
      <c r="A1500" t="s">
        <v>2284</v>
      </c>
      <c r="B1500" s="1" t="s">
        <v>2285</v>
      </c>
      <c r="C1500" s="1" t="s">
        <v>2242</v>
      </c>
      <c r="D1500" s="1" t="s">
        <v>20</v>
      </c>
      <c r="E1500" t="s">
        <v>766</v>
      </c>
      <c r="F1500" t="s">
        <v>767</v>
      </c>
      <c r="G1500" t="s">
        <v>45</v>
      </c>
      <c r="H1500" t="s">
        <v>24</v>
      </c>
      <c r="I1500" t="s">
        <v>25</v>
      </c>
      <c r="J1500">
        <v>3</v>
      </c>
      <c r="K1500">
        <v>99</v>
      </c>
      <c r="L1500">
        <f>Table1[[#This Row],[Quantity]] * Table1[[#This Row],[UnitPrice]]</f>
        <v>297</v>
      </c>
      <c r="M1500" s="25">
        <v>0</v>
      </c>
      <c r="N1500">
        <f>Table1[[#This Row],[Revenue]]*Table1[[#This Row],[Discount%]]/100</f>
        <v>0</v>
      </c>
      <c r="O1500" s="6">
        <f>Table1[[#This Row],[Revenue]]-Table1[[#This Row],[Disc_amount]]</f>
        <v>297</v>
      </c>
      <c r="P1500" t="s">
        <v>41</v>
      </c>
      <c r="Q1500" t="s">
        <v>34</v>
      </c>
    </row>
    <row r="1501" spans="1:17">
      <c r="A1501" t="s">
        <v>2286</v>
      </c>
      <c r="B1501" s="1" t="s">
        <v>2285</v>
      </c>
      <c r="C1501" s="1" t="s">
        <v>2242</v>
      </c>
      <c r="D1501" s="1" t="s">
        <v>20</v>
      </c>
      <c r="E1501" t="s">
        <v>1229</v>
      </c>
      <c r="F1501" t="s">
        <v>97</v>
      </c>
      <c r="G1501" t="s">
        <v>31</v>
      </c>
      <c r="H1501" t="s">
        <v>46</v>
      </c>
      <c r="I1501" t="s">
        <v>47</v>
      </c>
      <c r="J1501">
        <v>1</v>
      </c>
      <c r="K1501">
        <v>249</v>
      </c>
      <c r="L1501">
        <f>Table1[[#This Row],[Quantity]] * Table1[[#This Row],[UnitPrice]]</f>
        <v>249</v>
      </c>
      <c r="M1501" s="25">
        <v>10</v>
      </c>
      <c r="N1501">
        <f>Table1[[#This Row],[Revenue]]*Table1[[#This Row],[Discount%]]/100</f>
        <v>24.9</v>
      </c>
      <c r="O1501" s="6">
        <f>Table1[[#This Row],[Revenue]]-Table1[[#This Row],[Disc_amount]]</f>
        <v>224.1</v>
      </c>
      <c r="P1501" t="s">
        <v>86</v>
      </c>
      <c r="Q1501" t="s">
        <v>27</v>
      </c>
    </row>
    <row r="1502" spans="1:17">
      <c r="A1502" t="s">
        <v>2287</v>
      </c>
      <c r="B1502" s="1" t="s">
        <v>2285</v>
      </c>
      <c r="C1502" s="1" t="s">
        <v>2242</v>
      </c>
      <c r="D1502" s="1" t="s">
        <v>20</v>
      </c>
      <c r="E1502" t="s">
        <v>238</v>
      </c>
      <c r="F1502" t="s">
        <v>239</v>
      </c>
      <c r="G1502" t="s">
        <v>31</v>
      </c>
      <c r="H1502" t="s">
        <v>39</v>
      </c>
      <c r="I1502" t="s">
        <v>40</v>
      </c>
      <c r="J1502">
        <v>2</v>
      </c>
      <c r="K1502">
        <v>599</v>
      </c>
      <c r="L1502">
        <f>Table1[[#This Row],[Quantity]] * Table1[[#This Row],[UnitPrice]]</f>
        <v>1198</v>
      </c>
      <c r="M1502" s="25">
        <v>0</v>
      </c>
      <c r="N1502">
        <f>Table1[[#This Row],[Revenue]]*Table1[[#This Row],[Discount%]]/100</f>
        <v>0</v>
      </c>
      <c r="O1502" s="6">
        <f>Table1[[#This Row],[Revenue]]-Table1[[#This Row],[Disc_amount]]</f>
        <v>1198</v>
      </c>
      <c r="P1502" t="s">
        <v>41</v>
      </c>
      <c r="Q1502" t="s">
        <v>27</v>
      </c>
    </row>
    <row r="1503" spans="1:17">
      <c r="A1503" t="s">
        <v>2288</v>
      </c>
      <c r="B1503" s="1" t="s">
        <v>2289</v>
      </c>
      <c r="C1503" s="1" t="s">
        <v>2242</v>
      </c>
      <c r="D1503" s="1" t="s">
        <v>20</v>
      </c>
      <c r="E1503" t="s">
        <v>1085</v>
      </c>
      <c r="F1503" t="s">
        <v>425</v>
      </c>
      <c r="G1503" t="s">
        <v>45</v>
      </c>
      <c r="H1503" t="s">
        <v>108</v>
      </c>
      <c r="I1503" t="s">
        <v>109</v>
      </c>
      <c r="J1503">
        <v>1</v>
      </c>
      <c r="K1503">
        <v>1499</v>
      </c>
      <c r="L1503">
        <f>Table1[[#This Row],[Quantity]] * Table1[[#This Row],[UnitPrice]]</f>
        <v>1499</v>
      </c>
      <c r="M1503" s="25">
        <v>20</v>
      </c>
      <c r="N1503">
        <f>Table1[[#This Row],[Revenue]]*Table1[[#This Row],[Discount%]]/100</f>
        <v>299.8</v>
      </c>
      <c r="O1503" s="6">
        <f>Table1[[#This Row],[Revenue]]-Table1[[#This Row],[Disc_amount]]</f>
        <v>1199.2</v>
      </c>
      <c r="P1503" t="s">
        <v>41</v>
      </c>
      <c r="Q1503" t="s">
        <v>34</v>
      </c>
    </row>
    <row r="1504" spans="1:17">
      <c r="A1504" t="s">
        <v>2290</v>
      </c>
      <c r="B1504" s="1" t="s">
        <v>2289</v>
      </c>
      <c r="C1504" s="1" t="s">
        <v>2242</v>
      </c>
      <c r="D1504" s="1" t="s">
        <v>20</v>
      </c>
      <c r="E1504" t="s">
        <v>510</v>
      </c>
      <c r="F1504" t="s">
        <v>425</v>
      </c>
      <c r="G1504" t="s">
        <v>23</v>
      </c>
      <c r="H1504" t="s">
        <v>46</v>
      </c>
      <c r="I1504" t="s">
        <v>154</v>
      </c>
      <c r="J1504">
        <v>3</v>
      </c>
      <c r="K1504">
        <v>299</v>
      </c>
      <c r="L1504">
        <f>Table1[[#This Row],[Quantity]] * Table1[[#This Row],[UnitPrice]]</f>
        <v>897</v>
      </c>
      <c r="M1504" s="25">
        <v>0</v>
      </c>
      <c r="N1504">
        <f>Table1[[#This Row],[Revenue]]*Table1[[#This Row],[Discount%]]/100</f>
        <v>0</v>
      </c>
      <c r="O1504" s="6">
        <f>Table1[[#This Row],[Revenue]]-Table1[[#This Row],[Disc_amount]]</f>
        <v>897</v>
      </c>
      <c r="P1504" t="s">
        <v>26</v>
      </c>
      <c r="Q1504" t="s">
        <v>27</v>
      </c>
    </row>
    <row r="1505" spans="1:17">
      <c r="A1505" t="s">
        <v>2291</v>
      </c>
      <c r="B1505" s="1" t="s">
        <v>2289</v>
      </c>
      <c r="C1505" s="1" t="s">
        <v>2242</v>
      </c>
      <c r="D1505" s="1" t="s">
        <v>20</v>
      </c>
      <c r="E1505" t="s">
        <v>1355</v>
      </c>
      <c r="F1505" t="s">
        <v>265</v>
      </c>
      <c r="G1505" t="s">
        <v>45</v>
      </c>
      <c r="H1505" t="s">
        <v>70</v>
      </c>
      <c r="I1505" t="s">
        <v>71</v>
      </c>
      <c r="J1505">
        <v>1</v>
      </c>
      <c r="K1505">
        <v>349</v>
      </c>
      <c r="L1505">
        <f>Table1[[#This Row],[Quantity]] * Table1[[#This Row],[UnitPrice]]</f>
        <v>349</v>
      </c>
      <c r="M1505" s="25">
        <v>0</v>
      </c>
      <c r="N1505">
        <f>Table1[[#This Row],[Revenue]]*Table1[[#This Row],[Discount%]]/100</f>
        <v>0</v>
      </c>
      <c r="O1505" s="6">
        <f>Table1[[#This Row],[Revenue]]-Table1[[#This Row],[Disc_amount]]</f>
        <v>349</v>
      </c>
      <c r="P1505" t="s">
        <v>33</v>
      </c>
      <c r="Q1505" t="s">
        <v>34</v>
      </c>
    </row>
    <row r="1506" spans="1:17">
      <c r="A1506" t="s">
        <v>2292</v>
      </c>
      <c r="B1506" s="1" t="s">
        <v>2293</v>
      </c>
      <c r="C1506" s="1" t="s">
        <v>2242</v>
      </c>
      <c r="D1506" s="1" t="s">
        <v>20</v>
      </c>
      <c r="E1506" t="s">
        <v>745</v>
      </c>
      <c r="F1506" t="s">
        <v>519</v>
      </c>
      <c r="G1506" t="s">
        <v>31</v>
      </c>
      <c r="H1506" t="s">
        <v>108</v>
      </c>
      <c r="I1506" t="s">
        <v>109</v>
      </c>
      <c r="J1506">
        <v>2</v>
      </c>
      <c r="K1506">
        <v>1499</v>
      </c>
      <c r="L1506">
        <f>Table1[[#This Row],[Quantity]] * Table1[[#This Row],[UnitPrice]]</f>
        <v>2998</v>
      </c>
      <c r="M1506" s="25">
        <v>0</v>
      </c>
      <c r="N1506">
        <f>Table1[[#This Row],[Revenue]]*Table1[[#This Row],[Discount%]]/100</f>
        <v>0</v>
      </c>
      <c r="O1506" s="6">
        <f>Table1[[#This Row],[Revenue]]-Table1[[#This Row],[Disc_amount]]</f>
        <v>2998</v>
      </c>
      <c r="P1506" t="s">
        <v>33</v>
      </c>
      <c r="Q1506" t="s">
        <v>34</v>
      </c>
    </row>
    <row r="1507" spans="1:17">
      <c r="A1507" t="s">
        <v>2294</v>
      </c>
      <c r="B1507" s="1" t="s">
        <v>2293</v>
      </c>
      <c r="C1507" s="1" t="s">
        <v>2242</v>
      </c>
      <c r="D1507" s="1" t="s">
        <v>20</v>
      </c>
      <c r="E1507" t="s">
        <v>122</v>
      </c>
      <c r="F1507" t="s">
        <v>123</v>
      </c>
      <c r="G1507" t="s">
        <v>31</v>
      </c>
      <c r="H1507" t="s">
        <v>70</v>
      </c>
      <c r="I1507" t="s">
        <v>71</v>
      </c>
      <c r="J1507">
        <v>4</v>
      </c>
      <c r="K1507">
        <v>349</v>
      </c>
      <c r="L1507">
        <f>Table1[[#This Row],[Quantity]] * Table1[[#This Row],[UnitPrice]]</f>
        <v>1396</v>
      </c>
      <c r="M1507" s="25">
        <v>10</v>
      </c>
      <c r="N1507">
        <f>Table1[[#This Row],[Revenue]]*Table1[[#This Row],[Discount%]]/100</f>
        <v>139.6</v>
      </c>
      <c r="O1507" s="6">
        <f>Table1[[#This Row],[Revenue]]-Table1[[#This Row],[Disc_amount]]</f>
        <v>1256.4000000000001</v>
      </c>
      <c r="P1507" t="s">
        <v>86</v>
      </c>
      <c r="Q1507" t="s">
        <v>27</v>
      </c>
    </row>
    <row r="1508" spans="1:17">
      <c r="A1508" t="s">
        <v>2295</v>
      </c>
      <c r="B1508" s="1" t="s">
        <v>2293</v>
      </c>
      <c r="C1508" s="1" t="s">
        <v>2242</v>
      </c>
      <c r="D1508" s="1" t="s">
        <v>20</v>
      </c>
      <c r="E1508" t="s">
        <v>224</v>
      </c>
      <c r="F1508" t="s">
        <v>225</v>
      </c>
      <c r="G1508" t="s">
        <v>31</v>
      </c>
      <c r="H1508" t="s">
        <v>65</v>
      </c>
      <c r="I1508" t="s">
        <v>98</v>
      </c>
      <c r="J1508">
        <v>3</v>
      </c>
      <c r="K1508">
        <v>499</v>
      </c>
      <c r="L1508">
        <f>Table1[[#This Row],[Quantity]] * Table1[[#This Row],[UnitPrice]]</f>
        <v>1497</v>
      </c>
      <c r="M1508" s="25">
        <v>15</v>
      </c>
      <c r="N1508">
        <f>Table1[[#This Row],[Revenue]]*Table1[[#This Row],[Discount%]]/100</f>
        <v>224.55</v>
      </c>
      <c r="O1508" s="6">
        <f>Table1[[#This Row],[Revenue]]-Table1[[#This Row],[Disc_amount]]</f>
        <v>1272.45</v>
      </c>
      <c r="P1508" t="s">
        <v>41</v>
      </c>
      <c r="Q1508" t="s">
        <v>27</v>
      </c>
    </row>
    <row r="1509" spans="1:17">
      <c r="A1509" t="s">
        <v>2296</v>
      </c>
      <c r="B1509" s="1" t="s">
        <v>2293</v>
      </c>
      <c r="C1509" s="1" t="s">
        <v>2242</v>
      </c>
      <c r="D1509" s="1" t="s">
        <v>20</v>
      </c>
      <c r="E1509" t="s">
        <v>925</v>
      </c>
      <c r="F1509" t="s">
        <v>248</v>
      </c>
      <c r="G1509" t="s">
        <v>56</v>
      </c>
      <c r="H1509" t="s">
        <v>39</v>
      </c>
      <c r="I1509" t="s">
        <v>51</v>
      </c>
      <c r="J1509">
        <v>1</v>
      </c>
      <c r="K1509">
        <v>2999</v>
      </c>
      <c r="L1509">
        <f>Table1[[#This Row],[Quantity]] * Table1[[#This Row],[UnitPrice]]</f>
        <v>2999</v>
      </c>
      <c r="M1509" s="25">
        <v>15</v>
      </c>
      <c r="N1509">
        <f>Table1[[#This Row],[Revenue]]*Table1[[#This Row],[Discount%]]/100</f>
        <v>449.85</v>
      </c>
      <c r="O1509" s="6">
        <f>Table1[[#This Row],[Revenue]]-Table1[[#This Row],[Disc_amount]]</f>
        <v>2549.15</v>
      </c>
      <c r="P1509" t="s">
        <v>33</v>
      </c>
      <c r="Q1509" t="s">
        <v>34</v>
      </c>
    </row>
    <row r="1510" spans="1:17">
      <c r="A1510" t="s">
        <v>2297</v>
      </c>
      <c r="B1510" s="1" t="s">
        <v>2293</v>
      </c>
      <c r="C1510" s="1" t="s">
        <v>2242</v>
      </c>
      <c r="D1510" s="1" t="s">
        <v>20</v>
      </c>
      <c r="E1510" t="s">
        <v>79</v>
      </c>
      <c r="F1510" t="s">
        <v>80</v>
      </c>
      <c r="G1510" t="s">
        <v>45</v>
      </c>
      <c r="H1510" t="s">
        <v>24</v>
      </c>
      <c r="I1510" t="s">
        <v>32</v>
      </c>
      <c r="J1510">
        <v>3</v>
      </c>
      <c r="K1510">
        <v>199</v>
      </c>
      <c r="L1510">
        <f>Table1[[#This Row],[Quantity]] * Table1[[#This Row],[UnitPrice]]</f>
        <v>597</v>
      </c>
      <c r="M1510" s="25">
        <v>0</v>
      </c>
      <c r="N1510">
        <f>Table1[[#This Row],[Revenue]]*Table1[[#This Row],[Discount%]]/100</f>
        <v>0</v>
      </c>
      <c r="O1510" s="6">
        <f>Table1[[#This Row],[Revenue]]-Table1[[#This Row],[Disc_amount]]</f>
        <v>597</v>
      </c>
      <c r="P1510" t="s">
        <v>86</v>
      </c>
      <c r="Q1510" t="s">
        <v>34</v>
      </c>
    </row>
    <row r="1511" spans="1:17">
      <c r="A1511" t="s">
        <v>2298</v>
      </c>
      <c r="B1511" s="1" t="s">
        <v>2293</v>
      </c>
      <c r="C1511" s="1" t="s">
        <v>2242</v>
      </c>
      <c r="D1511" s="1" t="s">
        <v>20</v>
      </c>
      <c r="E1511" t="s">
        <v>515</v>
      </c>
      <c r="F1511" t="s">
        <v>516</v>
      </c>
      <c r="G1511" t="s">
        <v>31</v>
      </c>
      <c r="H1511" t="s">
        <v>24</v>
      </c>
      <c r="I1511" t="s">
        <v>25</v>
      </c>
      <c r="J1511">
        <v>4</v>
      </c>
      <c r="K1511">
        <v>99</v>
      </c>
      <c r="L1511">
        <f>Table1[[#This Row],[Quantity]] * Table1[[#This Row],[UnitPrice]]</f>
        <v>396</v>
      </c>
      <c r="M1511" s="25">
        <v>15</v>
      </c>
      <c r="N1511">
        <f>Table1[[#This Row],[Revenue]]*Table1[[#This Row],[Discount%]]/100</f>
        <v>59.4</v>
      </c>
      <c r="O1511" s="6">
        <f>Table1[[#This Row],[Revenue]]-Table1[[#This Row],[Disc_amount]]</f>
        <v>336.6</v>
      </c>
      <c r="P1511" t="s">
        <v>26</v>
      </c>
      <c r="Q1511" t="s">
        <v>27</v>
      </c>
    </row>
    <row r="1512" spans="1:17">
      <c r="A1512" t="s">
        <v>2299</v>
      </c>
      <c r="B1512" s="1" t="s">
        <v>2293</v>
      </c>
      <c r="C1512" s="1" t="s">
        <v>2242</v>
      </c>
      <c r="D1512" s="1" t="s">
        <v>20</v>
      </c>
      <c r="E1512" t="s">
        <v>1259</v>
      </c>
      <c r="F1512" t="s">
        <v>1260</v>
      </c>
      <c r="G1512" t="s">
        <v>23</v>
      </c>
      <c r="H1512" t="s">
        <v>57</v>
      </c>
      <c r="I1512" t="s">
        <v>62</v>
      </c>
      <c r="J1512">
        <v>1</v>
      </c>
      <c r="K1512">
        <v>799</v>
      </c>
      <c r="L1512">
        <f>Table1[[#This Row],[Quantity]] * Table1[[#This Row],[UnitPrice]]</f>
        <v>799</v>
      </c>
      <c r="M1512" s="25">
        <v>0</v>
      </c>
      <c r="N1512">
        <f>Table1[[#This Row],[Revenue]]*Table1[[#This Row],[Discount%]]/100</f>
        <v>0</v>
      </c>
      <c r="O1512" s="6">
        <f>Table1[[#This Row],[Revenue]]-Table1[[#This Row],[Disc_amount]]</f>
        <v>799</v>
      </c>
      <c r="P1512" t="s">
        <v>52</v>
      </c>
      <c r="Q1512" t="s">
        <v>34</v>
      </c>
    </row>
    <row r="1513" spans="1:17">
      <c r="A1513" t="s">
        <v>2300</v>
      </c>
      <c r="B1513" s="1" t="s">
        <v>2301</v>
      </c>
      <c r="C1513" s="1" t="s">
        <v>2242</v>
      </c>
      <c r="D1513" s="1" t="s">
        <v>20</v>
      </c>
      <c r="E1513" t="s">
        <v>835</v>
      </c>
      <c r="F1513" t="s">
        <v>836</v>
      </c>
      <c r="G1513" t="s">
        <v>38</v>
      </c>
      <c r="H1513" t="s">
        <v>46</v>
      </c>
      <c r="I1513" t="s">
        <v>47</v>
      </c>
      <c r="J1513">
        <v>2</v>
      </c>
      <c r="K1513">
        <v>249</v>
      </c>
      <c r="L1513">
        <f>Table1[[#This Row],[Quantity]] * Table1[[#This Row],[UnitPrice]]</f>
        <v>498</v>
      </c>
      <c r="M1513" s="25">
        <v>10</v>
      </c>
      <c r="N1513">
        <f>Table1[[#This Row],[Revenue]]*Table1[[#This Row],[Discount%]]/100</f>
        <v>49.8</v>
      </c>
      <c r="O1513" s="6">
        <f>Table1[[#This Row],[Revenue]]-Table1[[#This Row],[Disc_amount]]</f>
        <v>448.2</v>
      </c>
      <c r="P1513" t="s">
        <v>41</v>
      </c>
      <c r="Q1513" t="s">
        <v>27</v>
      </c>
    </row>
    <row r="1514" spans="1:17">
      <c r="A1514" t="s">
        <v>2302</v>
      </c>
      <c r="B1514" s="1" t="s">
        <v>2301</v>
      </c>
      <c r="C1514" s="1" t="s">
        <v>2242</v>
      </c>
      <c r="D1514" s="1" t="s">
        <v>20</v>
      </c>
      <c r="E1514" t="s">
        <v>303</v>
      </c>
      <c r="F1514" t="s">
        <v>304</v>
      </c>
      <c r="G1514" t="s">
        <v>23</v>
      </c>
      <c r="H1514" t="s">
        <v>39</v>
      </c>
      <c r="I1514" t="s">
        <v>51</v>
      </c>
      <c r="J1514">
        <v>1</v>
      </c>
      <c r="K1514">
        <v>2999</v>
      </c>
      <c r="L1514">
        <f>Table1[[#This Row],[Quantity]] * Table1[[#This Row],[UnitPrice]]</f>
        <v>2999</v>
      </c>
      <c r="M1514" s="25">
        <v>0</v>
      </c>
      <c r="N1514">
        <f>Table1[[#This Row],[Revenue]]*Table1[[#This Row],[Discount%]]/100</f>
        <v>0</v>
      </c>
      <c r="O1514" s="6">
        <f>Table1[[#This Row],[Revenue]]-Table1[[#This Row],[Disc_amount]]</f>
        <v>2999</v>
      </c>
      <c r="P1514" t="s">
        <v>33</v>
      </c>
      <c r="Q1514" t="s">
        <v>34</v>
      </c>
    </row>
    <row r="1515" spans="1:17">
      <c r="A1515" t="s">
        <v>2303</v>
      </c>
      <c r="B1515" s="1" t="s">
        <v>2301</v>
      </c>
      <c r="C1515" s="1" t="s">
        <v>2242</v>
      </c>
      <c r="D1515" s="1" t="s">
        <v>20</v>
      </c>
      <c r="E1515" t="s">
        <v>82</v>
      </c>
      <c r="F1515" t="s">
        <v>83</v>
      </c>
      <c r="G1515" t="s">
        <v>38</v>
      </c>
      <c r="H1515" t="s">
        <v>65</v>
      </c>
      <c r="I1515" t="s">
        <v>66</v>
      </c>
      <c r="J1515">
        <v>1</v>
      </c>
      <c r="K1515">
        <v>1999</v>
      </c>
      <c r="L1515">
        <f>Table1[[#This Row],[Quantity]] * Table1[[#This Row],[UnitPrice]]</f>
        <v>1999</v>
      </c>
      <c r="M1515" s="25">
        <v>0</v>
      </c>
      <c r="N1515">
        <f>Table1[[#This Row],[Revenue]]*Table1[[#This Row],[Discount%]]/100</f>
        <v>0</v>
      </c>
      <c r="O1515" s="6">
        <f>Table1[[#This Row],[Revenue]]-Table1[[#This Row],[Disc_amount]]</f>
        <v>1999</v>
      </c>
      <c r="P1515" t="s">
        <v>26</v>
      </c>
      <c r="Q1515" t="s">
        <v>27</v>
      </c>
    </row>
    <row r="1516" spans="1:17">
      <c r="A1516" t="s">
        <v>2304</v>
      </c>
      <c r="B1516" s="1" t="s">
        <v>2301</v>
      </c>
      <c r="C1516" s="1" t="s">
        <v>2242</v>
      </c>
      <c r="D1516" s="1" t="s">
        <v>20</v>
      </c>
      <c r="E1516" t="s">
        <v>449</v>
      </c>
      <c r="F1516" t="s">
        <v>450</v>
      </c>
      <c r="G1516" t="s">
        <v>31</v>
      </c>
      <c r="H1516" t="s">
        <v>65</v>
      </c>
      <c r="I1516" t="s">
        <v>94</v>
      </c>
      <c r="J1516">
        <v>2</v>
      </c>
      <c r="K1516">
        <v>899</v>
      </c>
      <c r="L1516">
        <f>Table1[[#This Row],[Quantity]] * Table1[[#This Row],[UnitPrice]]</f>
        <v>1798</v>
      </c>
      <c r="M1516" s="25">
        <v>0</v>
      </c>
      <c r="N1516">
        <f>Table1[[#This Row],[Revenue]]*Table1[[#This Row],[Discount%]]/100</f>
        <v>0</v>
      </c>
      <c r="O1516" s="6">
        <f>Table1[[#This Row],[Revenue]]-Table1[[#This Row],[Disc_amount]]</f>
        <v>1798</v>
      </c>
      <c r="P1516" t="s">
        <v>33</v>
      </c>
      <c r="Q1516" t="s">
        <v>27</v>
      </c>
    </row>
    <row r="1517" spans="1:17">
      <c r="A1517" t="s">
        <v>2305</v>
      </c>
      <c r="B1517" s="1" t="s">
        <v>2301</v>
      </c>
      <c r="C1517" s="1" t="s">
        <v>2242</v>
      </c>
      <c r="D1517" s="1" t="s">
        <v>20</v>
      </c>
      <c r="E1517" t="s">
        <v>442</v>
      </c>
      <c r="F1517" t="s">
        <v>443</v>
      </c>
      <c r="G1517" t="s">
        <v>38</v>
      </c>
      <c r="H1517" t="s">
        <v>108</v>
      </c>
      <c r="I1517" t="s">
        <v>109</v>
      </c>
      <c r="J1517">
        <v>1</v>
      </c>
      <c r="K1517">
        <v>1499</v>
      </c>
      <c r="L1517">
        <f>Table1[[#This Row],[Quantity]] * Table1[[#This Row],[UnitPrice]]</f>
        <v>1499</v>
      </c>
      <c r="M1517" s="25">
        <v>0</v>
      </c>
      <c r="N1517">
        <f>Table1[[#This Row],[Revenue]]*Table1[[#This Row],[Discount%]]/100</f>
        <v>0</v>
      </c>
      <c r="O1517" s="6">
        <f>Table1[[#This Row],[Revenue]]-Table1[[#This Row],[Disc_amount]]</f>
        <v>1499</v>
      </c>
      <c r="P1517" t="s">
        <v>41</v>
      </c>
      <c r="Q1517" t="s">
        <v>34</v>
      </c>
    </row>
    <row r="1518" spans="1:17">
      <c r="A1518" t="s">
        <v>2306</v>
      </c>
      <c r="B1518" s="1" t="s">
        <v>2301</v>
      </c>
      <c r="C1518" s="1" t="s">
        <v>2242</v>
      </c>
      <c r="D1518" s="1" t="s">
        <v>20</v>
      </c>
      <c r="E1518" t="s">
        <v>1640</v>
      </c>
      <c r="F1518" t="s">
        <v>37</v>
      </c>
      <c r="G1518" t="s">
        <v>56</v>
      </c>
      <c r="H1518" t="s">
        <v>39</v>
      </c>
      <c r="I1518" t="s">
        <v>140</v>
      </c>
      <c r="J1518">
        <v>1</v>
      </c>
      <c r="K1518">
        <v>1799</v>
      </c>
      <c r="L1518">
        <f>Table1[[#This Row],[Quantity]] * Table1[[#This Row],[UnitPrice]]</f>
        <v>1799</v>
      </c>
      <c r="M1518" s="25">
        <v>0</v>
      </c>
      <c r="N1518">
        <f>Table1[[#This Row],[Revenue]]*Table1[[#This Row],[Discount%]]/100</f>
        <v>0</v>
      </c>
      <c r="O1518" s="6">
        <f>Table1[[#This Row],[Revenue]]-Table1[[#This Row],[Disc_amount]]</f>
        <v>1799</v>
      </c>
      <c r="P1518" t="s">
        <v>41</v>
      </c>
      <c r="Q1518" t="s">
        <v>34</v>
      </c>
    </row>
    <row r="1519" spans="1:17">
      <c r="A1519" t="s">
        <v>2307</v>
      </c>
      <c r="B1519" s="1" t="s">
        <v>2301</v>
      </c>
      <c r="C1519" s="1" t="s">
        <v>2242</v>
      </c>
      <c r="D1519" s="1" t="s">
        <v>20</v>
      </c>
      <c r="E1519" t="s">
        <v>921</v>
      </c>
      <c r="F1519" t="s">
        <v>104</v>
      </c>
      <c r="G1519" t="s">
        <v>38</v>
      </c>
      <c r="H1519" t="s">
        <v>108</v>
      </c>
      <c r="I1519" t="s">
        <v>109</v>
      </c>
      <c r="J1519">
        <v>1</v>
      </c>
      <c r="K1519">
        <v>1499</v>
      </c>
      <c r="L1519">
        <f>Table1[[#This Row],[Quantity]] * Table1[[#This Row],[UnitPrice]]</f>
        <v>1499</v>
      </c>
      <c r="M1519" s="25">
        <v>5</v>
      </c>
      <c r="N1519">
        <f>Table1[[#This Row],[Revenue]]*Table1[[#This Row],[Discount%]]/100</f>
        <v>74.95</v>
      </c>
      <c r="O1519" s="6">
        <f>Table1[[#This Row],[Revenue]]-Table1[[#This Row],[Disc_amount]]</f>
        <v>1424.05</v>
      </c>
      <c r="P1519" t="s">
        <v>41</v>
      </c>
      <c r="Q1519" t="s">
        <v>27</v>
      </c>
    </row>
    <row r="1520" spans="1:17">
      <c r="A1520" t="s">
        <v>2308</v>
      </c>
      <c r="B1520" s="1" t="s">
        <v>2309</v>
      </c>
      <c r="C1520" s="1" t="s">
        <v>2242</v>
      </c>
      <c r="D1520" s="1" t="s">
        <v>20</v>
      </c>
      <c r="E1520" t="s">
        <v>383</v>
      </c>
      <c r="F1520" t="s">
        <v>384</v>
      </c>
      <c r="G1520" t="s">
        <v>23</v>
      </c>
      <c r="H1520" t="s">
        <v>46</v>
      </c>
      <c r="I1520" t="s">
        <v>47</v>
      </c>
      <c r="J1520">
        <v>1</v>
      </c>
      <c r="K1520">
        <v>249</v>
      </c>
      <c r="L1520">
        <f>Table1[[#This Row],[Quantity]] * Table1[[#This Row],[UnitPrice]]</f>
        <v>249</v>
      </c>
      <c r="M1520" s="25">
        <v>10</v>
      </c>
      <c r="N1520">
        <f>Table1[[#This Row],[Revenue]]*Table1[[#This Row],[Discount%]]/100</f>
        <v>24.9</v>
      </c>
      <c r="O1520" s="6">
        <f>Table1[[#This Row],[Revenue]]-Table1[[#This Row],[Disc_amount]]</f>
        <v>224.1</v>
      </c>
      <c r="P1520" t="s">
        <v>26</v>
      </c>
      <c r="Q1520" t="s">
        <v>34</v>
      </c>
    </row>
    <row r="1521" spans="1:17">
      <c r="A1521" t="s">
        <v>2310</v>
      </c>
      <c r="B1521" s="1" t="s">
        <v>2309</v>
      </c>
      <c r="C1521" s="1" t="s">
        <v>2242</v>
      </c>
      <c r="D1521" s="1" t="s">
        <v>20</v>
      </c>
      <c r="E1521" t="s">
        <v>852</v>
      </c>
      <c r="F1521" t="s">
        <v>853</v>
      </c>
      <c r="G1521" t="s">
        <v>56</v>
      </c>
      <c r="H1521" t="s">
        <v>65</v>
      </c>
      <c r="I1521" t="s">
        <v>94</v>
      </c>
      <c r="J1521">
        <v>2</v>
      </c>
      <c r="K1521">
        <v>899</v>
      </c>
      <c r="L1521">
        <f>Table1[[#This Row],[Quantity]] * Table1[[#This Row],[UnitPrice]]</f>
        <v>1798</v>
      </c>
      <c r="M1521" s="25">
        <v>20</v>
      </c>
      <c r="N1521">
        <f>Table1[[#This Row],[Revenue]]*Table1[[#This Row],[Discount%]]/100</f>
        <v>359.6</v>
      </c>
      <c r="O1521" s="6">
        <f>Table1[[#This Row],[Revenue]]-Table1[[#This Row],[Disc_amount]]</f>
        <v>1438.4</v>
      </c>
      <c r="P1521" t="s">
        <v>26</v>
      </c>
      <c r="Q1521" t="s">
        <v>27</v>
      </c>
    </row>
    <row r="1522" spans="1:17">
      <c r="A1522" t="s">
        <v>2311</v>
      </c>
      <c r="B1522" s="1" t="s">
        <v>2309</v>
      </c>
      <c r="C1522" s="1" t="s">
        <v>2242</v>
      </c>
      <c r="D1522" s="1" t="s">
        <v>20</v>
      </c>
      <c r="E1522" t="s">
        <v>2061</v>
      </c>
      <c r="F1522" t="s">
        <v>2062</v>
      </c>
      <c r="G1522" t="s">
        <v>38</v>
      </c>
      <c r="H1522" t="s">
        <v>39</v>
      </c>
      <c r="I1522" t="s">
        <v>40</v>
      </c>
      <c r="J1522">
        <v>1</v>
      </c>
      <c r="K1522">
        <v>599</v>
      </c>
      <c r="L1522">
        <f>Table1[[#This Row],[Quantity]] * Table1[[#This Row],[UnitPrice]]</f>
        <v>599</v>
      </c>
      <c r="M1522" s="25">
        <v>10</v>
      </c>
      <c r="N1522">
        <f>Table1[[#This Row],[Revenue]]*Table1[[#This Row],[Discount%]]/100</f>
        <v>59.9</v>
      </c>
      <c r="O1522" s="6">
        <f>Table1[[#This Row],[Revenue]]-Table1[[#This Row],[Disc_amount]]</f>
        <v>539.1</v>
      </c>
      <c r="P1522" t="s">
        <v>41</v>
      </c>
      <c r="Q1522" t="s">
        <v>34</v>
      </c>
    </row>
    <row r="1523" spans="1:17">
      <c r="A1523" t="s">
        <v>2312</v>
      </c>
      <c r="B1523" s="1" t="s">
        <v>2309</v>
      </c>
      <c r="C1523" s="1" t="s">
        <v>2242</v>
      </c>
      <c r="D1523" s="1" t="s">
        <v>20</v>
      </c>
      <c r="E1523" t="s">
        <v>795</v>
      </c>
      <c r="F1523" t="s">
        <v>796</v>
      </c>
      <c r="G1523" t="s">
        <v>56</v>
      </c>
      <c r="H1523" t="s">
        <v>65</v>
      </c>
      <c r="I1523" t="s">
        <v>94</v>
      </c>
      <c r="J1523">
        <v>2</v>
      </c>
      <c r="K1523">
        <v>899</v>
      </c>
      <c r="L1523">
        <f>Table1[[#This Row],[Quantity]] * Table1[[#This Row],[UnitPrice]]</f>
        <v>1798</v>
      </c>
      <c r="M1523" s="25">
        <v>0</v>
      </c>
      <c r="N1523">
        <f>Table1[[#This Row],[Revenue]]*Table1[[#This Row],[Discount%]]/100</f>
        <v>0</v>
      </c>
      <c r="O1523" s="6">
        <f>Table1[[#This Row],[Revenue]]-Table1[[#This Row],[Disc_amount]]</f>
        <v>1798</v>
      </c>
      <c r="P1523" t="s">
        <v>26</v>
      </c>
      <c r="Q1523" t="s">
        <v>27</v>
      </c>
    </row>
    <row r="1524" spans="1:17">
      <c r="A1524" t="s">
        <v>2313</v>
      </c>
      <c r="B1524" s="1" t="s">
        <v>2309</v>
      </c>
      <c r="C1524" s="1" t="s">
        <v>2242</v>
      </c>
      <c r="D1524" s="1" t="s">
        <v>20</v>
      </c>
      <c r="E1524" t="s">
        <v>1019</v>
      </c>
      <c r="F1524" t="s">
        <v>1020</v>
      </c>
      <c r="G1524" t="s">
        <v>45</v>
      </c>
      <c r="H1524" t="s">
        <v>70</v>
      </c>
      <c r="I1524" t="s">
        <v>71</v>
      </c>
      <c r="J1524">
        <v>2</v>
      </c>
      <c r="K1524">
        <v>349</v>
      </c>
      <c r="L1524">
        <f>Table1[[#This Row],[Quantity]] * Table1[[#This Row],[UnitPrice]]</f>
        <v>698</v>
      </c>
      <c r="M1524" s="25">
        <v>5</v>
      </c>
      <c r="N1524">
        <f>Table1[[#This Row],[Revenue]]*Table1[[#This Row],[Discount%]]/100</f>
        <v>34.9</v>
      </c>
      <c r="O1524" s="6">
        <f>Table1[[#This Row],[Revenue]]-Table1[[#This Row],[Disc_amount]]</f>
        <v>663.1</v>
      </c>
      <c r="P1524" t="s">
        <v>33</v>
      </c>
      <c r="Q1524" t="s">
        <v>27</v>
      </c>
    </row>
    <row r="1525" spans="1:17">
      <c r="A1525" t="s">
        <v>2314</v>
      </c>
      <c r="B1525" s="1" t="s">
        <v>2309</v>
      </c>
      <c r="C1525" s="1" t="s">
        <v>2242</v>
      </c>
      <c r="D1525" s="1" t="s">
        <v>20</v>
      </c>
      <c r="E1525" t="s">
        <v>282</v>
      </c>
      <c r="F1525" t="s">
        <v>283</v>
      </c>
      <c r="G1525" t="s">
        <v>31</v>
      </c>
      <c r="H1525" t="s">
        <v>39</v>
      </c>
      <c r="I1525" t="s">
        <v>140</v>
      </c>
      <c r="J1525">
        <v>2</v>
      </c>
      <c r="K1525">
        <v>1799</v>
      </c>
      <c r="L1525">
        <f>Table1[[#This Row],[Quantity]] * Table1[[#This Row],[UnitPrice]]</f>
        <v>3598</v>
      </c>
      <c r="M1525" s="25">
        <v>5</v>
      </c>
      <c r="N1525">
        <f>Table1[[#This Row],[Revenue]]*Table1[[#This Row],[Discount%]]/100</f>
        <v>179.9</v>
      </c>
      <c r="O1525" s="6">
        <f>Table1[[#This Row],[Revenue]]-Table1[[#This Row],[Disc_amount]]</f>
        <v>3418.1</v>
      </c>
      <c r="P1525" t="s">
        <v>41</v>
      </c>
      <c r="Q1525" t="s">
        <v>34</v>
      </c>
    </row>
    <row r="1526" spans="1:17">
      <c r="A1526" t="s">
        <v>2315</v>
      </c>
      <c r="B1526" s="1" t="s">
        <v>2316</v>
      </c>
      <c r="C1526" s="1" t="s">
        <v>2242</v>
      </c>
      <c r="D1526" s="1" t="s">
        <v>20</v>
      </c>
      <c r="E1526" t="s">
        <v>197</v>
      </c>
      <c r="F1526" t="s">
        <v>198</v>
      </c>
      <c r="G1526" t="s">
        <v>56</v>
      </c>
      <c r="H1526" t="s">
        <v>65</v>
      </c>
      <c r="I1526" t="s">
        <v>66</v>
      </c>
      <c r="J1526">
        <v>3</v>
      </c>
      <c r="K1526">
        <v>1999</v>
      </c>
      <c r="L1526">
        <f>Table1[[#This Row],[Quantity]] * Table1[[#This Row],[UnitPrice]]</f>
        <v>5997</v>
      </c>
      <c r="M1526" s="25">
        <v>0</v>
      </c>
      <c r="N1526">
        <f>Table1[[#This Row],[Revenue]]*Table1[[#This Row],[Discount%]]/100</f>
        <v>0</v>
      </c>
      <c r="O1526" s="6">
        <f>Table1[[#This Row],[Revenue]]-Table1[[#This Row],[Disc_amount]]</f>
        <v>5997</v>
      </c>
      <c r="P1526" t="s">
        <v>33</v>
      </c>
      <c r="Q1526" t="s">
        <v>34</v>
      </c>
    </row>
    <row r="1527" spans="1:17">
      <c r="A1527" t="s">
        <v>2317</v>
      </c>
      <c r="B1527" s="1" t="s">
        <v>2316</v>
      </c>
      <c r="C1527" s="1" t="s">
        <v>2242</v>
      </c>
      <c r="D1527" s="1" t="s">
        <v>20</v>
      </c>
      <c r="E1527" t="s">
        <v>43</v>
      </c>
      <c r="F1527" t="s">
        <v>44</v>
      </c>
      <c r="G1527" t="s">
        <v>56</v>
      </c>
      <c r="H1527" t="s">
        <v>39</v>
      </c>
      <c r="I1527" t="s">
        <v>40</v>
      </c>
      <c r="J1527">
        <v>3</v>
      </c>
      <c r="K1527">
        <v>599</v>
      </c>
      <c r="L1527">
        <f>Table1[[#This Row],[Quantity]] * Table1[[#This Row],[UnitPrice]]</f>
        <v>1797</v>
      </c>
      <c r="M1527" s="25">
        <v>10</v>
      </c>
      <c r="N1527">
        <f>Table1[[#This Row],[Revenue]]*Table1[[#This Row],[Discount%]]/100</f>
        <v>179.7</v>
      </c>
      <c r="O1527" s="6">
        <f>Table1[[#This Row],[Revenue]]-Table1[[#This Row],[Disc_amount]]</f>
        <v>1617.3</v>
      </c>
      <c r="P1527" t="s">
        <v>33</v>
      </c>
      <c r="Q1527" t="s">
        <v>34</v>
      </c>
    </row>
    <row r="1528" spans="1:17">
      <c r="A1528" t="s">
        <v>2318</v>
      </c>
      <c r="B1528" s="1" t="s">
        <v>2316</v>
      </c>
      <c r="C1528" s="1" t="s">
        <v>2242</v>
      </c>
      <c r="D1528" s="1" t="s">
        <v>20</v>
      </c>
      <c r="E1528" t="s">
        <v>1116</v>
      </c>
      <c r="F1528" t="s">
        <v>694</v>
      </c>
      <c r="G1528" t="s">
        <v>31</v>
      </c>
      <c r="H1528" t="s">
        <v>46</v>
      </c>
      <c r="I1528" t="s">
        <v>47</v>
      </c>
      <c r="J1528">
        <v>3</v>
      </c>
      <c r="K1528">
        <v>249</v>
      </c>
      <c r="L1528">
        <f>Table1[[#This Row],[Quantity]] * Table1[[#This Row],[UnitPrice]]</f>
        <v>747</v>
      </c>
      <c r="M1528" s="25">
        <v>0</v>
      </c>
      <c r="N1528">
        <f>Table1[[#This Row],[Revenue]]*Table1[[#This Row],[Discount%]]/100</f>
        <v>0</v>
      </c>
      <c r="O1528" s="6">
        <f>Table1[[#This Row],[Revenue]]-Table1[[#This Row],[Disc_amount]]</f>
        <v>747</v>
      </c>
      <c r="P1528" t="s">
        <v>26</v>
      </c>
      <c r="Q1528" t="s">
        <v>27</v>
      </c>
    </row>
    <row r="1529" spans="1:17">
      <c r="A1529" t="s">
        <v>2319</v>
      </c>
      <c r="B1529" s="1" t="s">
        <v>2316</v>
      </c>
      <c r="C1529" s="1" t="s">
        <v>2242</v>
      </c>
      <c r="D1529" s="1" t="s">
        <v>20</v>
      </c>
      <c r="E1529" t="s">
        <v>1116</v>
      </c>
      <c r="F1529" t="s">
        <v>694</v>
      </c>
      <c r="G1529" t="s">
        <v>38</v>
      </c>
      <c r="H1529" t="s">
        <v>39</v>
      </c>
      <c r="I1529" t="s">
        <v>40</v>
      </c>
      <c r="J1529">
        <v>2</v>
      </c>
      <c r="K1529">
        <v>599</v>
      </c>
      <c r="L1529">
        <f>Table1[[#This Row],[Quantity]] * Table1[[#This Row],[UnitPrice]]</f>
        <v>1198</v>
      </c>
      <c r="M1529" s="25">
        <v>0</v>
      </c>
      <c r="N1529">
        <f>Table1[[#This Row],[Revenue]]*Table1[[#This Row],[Discount%]]/100</f>
        <v>0</v>
      </c>
      <c r="O1529" s="6">
        <f>Table1[[#This Row],[Revenue]]-Table1[[#This Row],[Disc_amount]]</f>
        <v>1198</v>
      </c>
      <c r="P1529" t="s">
        <v>26</v>
      </c>
      <c r="Q1529" t="s">
        <v>27</v>
      </c>
    </row>
    <row r="1530" spans="1:17">
      <c r="A1530" t="s">
        <v>2320</v>
      </c>
      <c r="B1530" s="1" t="s">
        <v>2316</v>
      </c>
      <c r="C1530" s="1" t="s">
        <v>2242</v>
      </c>
      <c r="D1530" s="1" t="s">
        <v>20</v>
      </c>
      <c r="E1530" t="s">
        <v>1069</v>
      </c>
      <c r="F1530" t="s">
        <v>338</v>
      </c>
      <c r="G1530" t="s">
        <v>56</v>
      </c>
      <c r="H1530" t="s">
        <v>57</v>
      </c>
      <c r="I1530" t="s">
        <v>62</v>
      </c>
      <c r="J1530">
        <v>1</v>
      </c>
      <c r="K1530">
        <v>799</v>
      </c>
      <c r="L1530">
        <f>Table1[[#This Row],[Quantity]] * Table1[[#This Row],[UnitPrice]]</f>
        <v>799</v>
      </c>
      <c r="M1530" s="25">
        <v>0</v>
      </c>
      <c r="N1530">
        <f>Table1[[#This Row],[Revenue]]*Table1[[#This Row],[Discount%]]/100</f>
        <v>0</v>
      </c>
      <c r="O1530" s="6">
        <f>Table1[[#This Row],[Revenue]]-Table1[[#This Row],[Disc_amount]]</f>
        <v>799</v>
      </c>
      <c r="P1530" t="s">
        <v>33</v>
      </c>
      <c r="Q1530" t="s">
        <v>34</v>
      </c>
    </row>
    <row r="1531" spans="1:17">
      <c r="A1531" t="s">
        <v>2321</v>
      </c>
      <c r="B1531" s="1" t="s">
        <v>2316</v>
      </c>
      <c r="C1531" s="1" t="s">
        <v>2242</v>
      </c>
      <c r="D1531" s="1" t="s">
        <v>20</v>
      </c>
      <c r="E1531" t="s">
        <v>442</v>
      </c>
      <c r="F1531" t="s">
        <v>443</v>
      </c>
      <c r="G1531" t="s">
        <v>56</v>
      </c>
      <c r="H1531" t="s">
        <v>108</v>
      </c>
      <c r="I1531" t="s">
        <v>109</v>
      </c>
      <c r="J1531">
        <v>1</v>
      </c>
      <c r="K1531">
        <v>1499</v>
      </c>
      <c r="L1531">
        <f>Table1[[#This Row],[Quantity]] * Table1[[#This Row],[UnitPrice]]</f>
        <v>1499</v>
      </c>
      <c r="M1531" s="25">
        <v>5</v>
      </c>
      <c r="N1531">
        <f>Table1[[#This Row],[Revenue]]*Table1[[#This Row],[Discount%]]/100</f>
        <v>74.95</v>
      </c>
      <c r="O1531" s="6">
        <f>Table1[[#This Row],[Revenue]]-Table1[[#This Row],[Disc_amount]]</f>
        <v>1424.05</v>
      </c>
      <c r="P1531" t="s">
        <v>41</v>
      </c>
      <c r="Q1531" t="s">
        <v>27</v>
      </c>
    </row>
    <row r="1532" spans="1:17">
      <c r="A1532" t="s">
        <v>2322</v>
      </c>
      <c r="B1532" s="1" t="s">
        <v>2316</v>
      </c>
      <c r="C1532" s="1" t="s">
        <v>2242</v>
      </c>
      <c r="D1532" s="1" t="s">
        <v>20</v>
      </c>
      <c r="E1532" t="s">
        <v>512</v>
      </c>
      <c r="F1532" t="s">
        <v>513</v>
      </c>
      <c r="G1532" t="s">
        <v>31</v>
      </c>
      <c r="H1532" t="s">
        <v>46</v>
      </c>
      <c r="I1532" t="s">
        <v>47</v>
      </c>
      <c r="J1532">
        <v>5</v>
      </c>
      <c r="K1532">
        <v>249</v>
      </c>
      <c r="L1532">
        <f>Table1[[#This Row],[Quantity]] * Table1[[#This Row],[UnitPrice]]</f>
        <v>1245</v>
      </c>
      <c r="M1532" s="25">
        <v>0</v>
      </c>
      <c r="N1532">
        <f>Table1[[#This Row],[Revenue]]*Table1[[#This Row],[Discount%]]/100</f>
        <v>0</v>
      </c>
      <c r="O1532" s="6">
        <f>Table1[[#This Row],[Revenue]]-Table1[[#This Row],[Disc_amount]]</f>
        <v>1245</v>
      </c>
      <c r="P1532" t="s">
        <v>86</v>
      </c>
      <c r="Q1532" t="s">
        <v>27</v>
      </c>
    </row>
    <row r="1533" spans="1:17">
      <c r="A1533" t="s">
        <v>2323</v>
      </c>
      <c r="B1533" s="1" t="s">
        <v>2316</v>
      </c>
      <c r="C1533" s="1" t="s">
        <v>2242</v>
      </c>
      <c r="D1533" s="1" t="s">
        <v>20</v>
      </c>
      <c r="E1533" t="s">
        <v>103</v>
      </c>
      <c r="F1533" t="s">
        <v>104</v>
      </c>
      <c r="G1533" t="s">
        <v>56</v>
      </c>
      <c r="H1533" t="s">
        <v>24</v>
      </c>
      <c r="I1533" t="s">
        <v>32</v>
      </c>
      <c r="J1533">
        <v>1</v>
      </c>
      <c r="K1533">
        <v>199</v>
      </c>
      <c r="L1533">
        <f>Table1[[#This Row],[Quantity]] * Table1[[#This Row],[UnitPrice]]</f>
        <v>199</v>
      </c>
      <c r="M1533" s="25">
        <v>20</v>
      </c>
      <c r="N1533">
        <f>Table1[[#This Row],[Revenue]]*Table1[[#This Row],[Discount%]]/100</f>
        <v>39.799999999999997</v>
      </c>
      <c r="O1533" s="6">
        <f>Table1[[#This Row],[Revenue]]-Table1[[#This Row],[Disc_amount]]</f>
        <v>159.19999999999999</v>
      </c>
      <c r="P1533" t="s">
        <v>86</v>
      </c>
      <c r="Q1533" t="s">
        <v>34</v>
      </c>
    </row>
    <row r="1534" spans="1:17">
      <c r="A1534" t="s">
        <v>2324</v>
      </c>
      <c r="B1534" s="1" t="s">
        <v>2316</v>
      </c>
      <c r="C1534" s="1" t="s">
        <v>2242</v>
      </c>
      <c r="D1534" s="1" t="s">
        <v>20</v>
      </c>
      <c r="E1534" t="s">
        <v>220</v>
      </c>
      <c r="F1534" t="s">
        <v>153</v>
      </c>
      <c r="G1534" t="s">
        <v>45</v>
      </c>
      <c r="H1534" t="s">
        <v>57</v>
      </c>
      <c r="I1534" t="s">
        <v>58</v>
      </c>
      <c r="J1534">
        <v>3</v>
      </c>
      <c r="K1534">
        <v>1299</v>
      </c>
      <c r="L1534">
        <f>Table1[[#This Row],[Quantity]] * Table1[[#This Row],[UnitPrice]]</f>
        <v>3897</v>
      </c>
      <c r="M1534" s="25">
        <v>15</v>
      </c>
      <c r="N1534">
        <f>Table1[[#This Row],[Revenue]]*Table1[[#This Row],[Discount%]]/100</f>
        <v>584.54999999999995</v>
      </c>
      <c r="O1534" s="6">
        <f>Table1[[#This Row],[Revenue]]-Table1[[#This Row],[Disc_amount]]</f>
        <v>3312.45</v>
      </c>
      <c r="P1534" t="s">
        <v>41</v>
      </c>
      <c r="Q1534" t="s">
        <v>34</v>
      </c>
    </row>
    <row r="1535" spans="1:17">
      <c r="A1535" t="s">
        <v>2325</v>
      </c>
      <c r="B1535" s="1" t="s">
        <v>2316</v>
      </c>
      <c r="C1535" s="1" t="s">
        <v>2242</v>
      </c>
      <c r="D1535" s="1" t="s">
        <v>20</v>
      </c>
      <c r="E1535" t="s">
        <v>2326</v>
      </c>
      <c r="F1535" t="s">
        <v>129</v>
      </c>
      <c r="G1535" t="s">
        <v>23</v>
      </c>
      <c r="H1535" t="s">
        <v>46</v>
      </c>
      <c r="I1535" t="s">
        <v>154</v>
      </c>
      <c r="J1535">
        <v>4</v>
      </c>
      <c r="K1535">
        <v>299</v>
      </c>
      <c r="L1535">
        <f>Table1[[#This Row],[Quantity]] * Table1[[#This Row],[UnitPrice]]</f>
        <v>1196</v>
      </c>
      <c r="M1535" s="25">
        <v>0</v>
      </c>
      <c r="N1535">
        <f>Table1[[#This Row],[Revenue]]*Table1[[#This Row],[Discount%]]/100</f>
        <v>0</v>
      </c>
      <c r="O1535" s="6">
        <f>Table1[[#This Row],[Revenue]]-Table1[[#This Row],[Disc_amount]]</f>
        <v>1196</v>
      </c>
      <c r="P1535" t="s">
        <v>33</v>
      </c>
      <c r="Q1535" t="s">
        <v>27</v>
      </c>
    </row>
    <row r="1536" spans="1:17">
      <c r="A1536" t="s">
        <v>2327</v>
      </c>
      <c r="B1536" s="1" t="s">
        <v>2316</v>
      </c>
      <c r="C1536" s="1" t="s">
        <v>2242</v>
      </c>
      <c r="D1536" s="1" t="s">
        <v>20</v>
      </c>
      <c r="E1536" t="s">
        <v>811</v>
      </c>
      <c r="F1536" t="s">
        <v>166</v>
      </c>
      <c r="G1536" t="s">
        <v>56</v>
      </c>
      <c r="H1536" t="s">
        <v>70</v>
      </c>
      <c r="I1536" t="s">
        <v>91</v>
      </c>
      <c r="J1536">
        <v>2</v>
      </c>
      <c r="K1536">
        <v>549</v>
      </c>
      <c r="L1536">
        <f>Table1[[#This Row],[Quantity]] * Table1[[#This Row],[UnitPrice]]</f>
        <v>1098</v>
      </c>
      <c r="M1536" s="25">
        <v>10</v>
      </c>
      <c r="N1536">
        <f>Table1[[#This Row],[Revenue]]*Table1[[#This Row],[Discount%]]/100</f>
        <v>109.8</v>
      </c>
      <c r="O1536" s="6">
        <f>Table1[[#This Row],[Revenue]]-Table1[[#This Row],[Disc_amount]]</f>
        <v>988.2</v>
      </c>
      <c r="P1536" t="s">
        <v>41</v>
      </c>
      <c r="Q1536" t="s">
        <v>34</v>
      </c>
    </row>
    <row r="1537" spans="1:17">
      <c r="A1537" t="s">
        <v>2328</v>
      </c>
      <c r="B1537" s="1" t="s">
        <v>2316</v>
      </c>
      <c r="C1537" s="1" t="s">
        <v>2242</v>
      </c>
      <c r="D1537" s="1" t="s">
        <v>20</v>
      </c>
      <c r="E1537" t="s">
        <v>1129</v>
      </c>
      <c r="F1537" t="s">
        <v>345</v>
      </c>
      <c r="G1537" t="s">
        <v>56</v>
      </c>
      <c r="H1537" t="s">
        <v>24</v>
      </c>
      <c r="I1537" t="s">
        <v>32</v>
      </c>
      <c r="J1537">
        <v>1</v>
      </c>
      <c r="K1537">
        <v>199</v>
      </c>
      <c r="L1537">
        <f>Table1[[#This Row],[Quantity]] * Table1[[#This Row],[UnitPrice]]</f>
        <v>199</v>
      </c>
      <c r="M1537" s="25">
        <v>5</v>
      </c>
      <c r="N1537">
        <f>Table1[[#This Row],[Revenue]]*Table1[[#This Row],[Discount%]]/100</f>
        <v>9.9499999999999993</v>
      </c>
      <c r="O1537" s="6">
        <f>Table1[[#This Row],[Revenue]]-Table1[[#This Row],[Disc_amount]]</f>
        <v>189.05</v>
      </c>
      <c r="P1537" t="s">
        <v>52</v>
      </c>
      <c r="Q1537" t="s">
        <v>27</v>
      </c>
    </row>
    <row r="1538" spans="1:17">
      <c r="A1538" t="s">
        <v>2329</v>
      </c>
      <c r="B1538" s="1" t="s">
        <v>2316</v>
      </c>
      <c r="C1538" s="1" t="s">
        <v>2242</v>
      </c>
      <c r="D1538" s="1" t="s">
        <v>20</v>
      </c>
      <c r="E1538" t="s">
        <v>146</v>
      </c>
      <c r="F1538" t="s">
        <v>147</v>
      </c>
      <c r="G1538" t="s">
        <v>31</v>
      </c>
      <c r="H1538" t="s">
        <v>70</v>
      </c>
      <c r="I1538" t="s">
        <v>91</v>
      </c>
      <c r="J1538">
        <v>1</v>
      </c>
      <c r="K1538">
        <v>549</v>
      </c>
      <c r="L1538">
        <f>Table1[[#This Row],[Quantity]] * Table1[[#This Row],[UnitPrice]]</f>
        <v>549</v>
      </c>
      <c r="M1538" s="25">
        <v>15</v>
      </c>
      <c r="N1538">
        <f>Table1[[#This Row],[Revenue]]*Table1[[#This Row],[Discount%]]/100</f>
        <v>82.35</v>
      </c>
      <c r="O1538" s="6">
        <f>Table1[[#This Row],[Revenue]]-Table1[[#This Row],[Disc_amount]]</f>
        <v>466.65</v>
      </c>
      <c r="P1538" t="s">
        <v>26</v>
      </c>
      <c r="Q1538" t="s">
        <v>27</v>
      </c>
    </row>
    <row r="1539" spans="1:17">
      <c r="A1539" t="s">
        <v>2330</v>
      </c>
      <c r="B1539" s="1" t="s">
        <v>2316</v>
      </c>
      <c r="C1539" s="1" t="s">
        <v>2242</v>
      </c>
      <c r="D1539" s="1" t="s">
        <v>20</v>
      </c>
      <c r="E1539" t="s">
        <v>1019</v>
      </c>
      <c r="F1539" t="s">
        <v>1020</v>
      </c>
      <c r="G1539" t="s">
        <v>38</v>
      </c>
      <c r="H1539" t="s">
        <v>108</v>
      </c>
      <c r="I1539" t="s">
        <v>130</v>
      </c>
      <c r="J1539">
        <v>1</v>
      </c>
      <c r="K1539">
        <v>699</v>
      </c>
      <c r="L1539">
        <f>Table1[[#This Row],[Quantity]] * Table1[[#This Row],[UnitPrice]]</f>
        <v>699</v>
      </c>
      <c r="M1539" s="25">
        <v>0</v>
      </c>
      <c r="N1539">
        <f>Table1[[#This Row],[Revenue]]*Table1[[#This Row],[Discount%]]/100</f>
        <v>0</v>
      </c>
      <c r="O1539" s="6">
        <f>Table1[[#This Row],[Revenue]]-Table1[[#This Row],[Disc_amount]]</f>
        <v>699</v>
      </c>
      <c r="P1539" t="s">
        <v>41</v>
      </c>
      <c r="Q1539" t="s">
        <v>34</v>
      </c>
    </row>
    <row r="1540" spans="1:17">
      <c r="A1540" t="s">
        <v>2331</v>
      </c>
      <c r="B1540" s="1" t="s">
        <v>2332</v>
      </c>
      <c r="C1540" s="1" t="s">
        <v>2242</v>
      </c>
      <c r="D1540" s="1" t="s">
        <v>20</v>
      </c>
      <c r="E1540" t="s">
        <v>21</v>
      </c>
      <c r="F1540" t="s">
        <v>22</v>
      </c>
      <c r="G1540" t="s">
        <v>31</v>
      </c>
      <c r="H1540" t="s">
        <v>57</v>
      </c>
      <c r="I1540" t="s">
        <v>58</v>
      </c>
      <c r="J1540">
        <v>1</v>
      </c>
      <c r="K1540">
        <v>1299</v>
      </c>
      <c r="L1540">
        <f>Table1[[#This Row],[Quantity]] * Table1[[#This Row],[UnitPrice]]</f>
        <v>1299</v>
      </c>
      <c r="M1540" s="25">
        <v>10</v>
      </c>
      <c r="N1540">
        <f>Table1[[#This Row],[Revenue]]*Table1[[#This Row],[Discount%]]/100</f>
        <v>129.9</v>
      </c>
      <c r="O1540" s="6">
        <f>Table1[[#This Row],[Revenue]]-Table1[[#This Row],[Disc_amount]]</f>
        <v>1169.0999999999999</v>
      </c>
      <c r="P1540" t="s">
        <v>52</v>
      </c>
      <c r="Q1540" t="s">
        <v>27</v>
      </c>
    </row>
    <row r="1541" spans="1:17">
      <c r="A1541" t="s">
        <v>2333</v>
      </c>
      <c r="B1541" s="1" t="s">
        <v>2332</v>
      </c>
      <c r="C1541" s="1" t="s">
        <v>2242</v>
      </c>
      <c r="D1541" s="1" t="s">
        <v>20</v>
      </c>
      <c r="E1541" t="s">
        <v>200</v>
      </c>
      <c r="F1541" t="s">
        <v>22</v>
      </c>
      <c r="G1541" t="s">
        <v>23</v>
      </c>
      <c r="H1541" t="s">
        <v>65</v>
      </c>
      <c r="I1541" t="s">
        <v>94</v>
      </c>
      <c r="J1541">
        <v>1</v>
      </c>
      <c r="K1541">
        <v>899</v>
      </c>
      <c r="L1541">
        <f>Table1[[#This Row],[Quantity]] * Table1[[#This Row],[UnitPrice]]</f>
        <v>899</v>
      </c>
      <c r="M1541" s="25">
        <v>20</v>
      </c>
      <c r="N1541">
        <f>Table1[[#This Row],[Revenue]]*Table1[[#This Row],[Discount%]]/100</f>
        <v>179.8</v>
      </c>
      <c r="O1541" s="6">
        <f>Table1[[#This Row],[Revenue]]-Table1[[#This Row],[Disc_amount]]</f>
        <v>719.2</v>
      </c>
      <c r="P1541" t="s">
        <v>86</v>
      </c>
      <c r="Q1541" t="s">
        <v>34</v>
      </c>
    </row>
    <row r="1542" spans="1:17">
      <c r="A1542" t="s">
        <v>2334</v>
      </c>
      <c r="B1542" s="1" t="s">
        <v>2332</v>
      </c>
      <c r="C1542" s="1" t="s">
        <v>2242</v>
      </c>
      <c r="D1542" s="1" t="s">
        <v>20</v>
      </c>
      <c r="E1542" t="s">
        <v>1312</v>
      </c>
      <c r="F1542" t="s">
        <v>465</v>
      </c>
      <c r="G1542" t="s">
        <v>23</v>
      </c>
      <c r="H1542" t="s">
        <v>65</v>
      </c>
      <c r="I1542" t="s">
        <v>66</v>
      </c>
      <c r="J1542">
        <v>4</v>
      </c>
      <c r="K1542">
        <v>1999</v>
      </c>
      <c r="L1542">
        <f>Table1[[#This Row],[Quantity]] * Table1[[#This Row],[UnitPrice]]</f>
        <v>7996</v>
      </c>
      <c r="M1542" s="25">
        <v>0</v>
      </c>
      <c r="N1542">
        <f>Table1[[#This Row],[Revenue]]*Table1[[#This Row],[Discount%]]/100</f>
        <v>0</v>
      </c>
      <c r="O1542" s="6">
        <f>Table1[[#This Row],[Revenue]]-Table1[[#This Row],[Disc_amount]]</f>
        <v>7996</v>
      </c>
      <c r="P1542" t="s">
        <v>33</v>
      </c>
      <c r="Q1542" t="s">
        <v>34</v>
      </c>
    </row>
    <row r="1543" spans="1:17">
      <c r="A1543" t="s">
        <v>2335</v>
      </c>
      <c r="B1543" s="1" t="s">
        <v>2336</v>
      </c>
      <c r="C1543" s="1" t="s">
        <v>2242</v>
      </c>
      <c r="D1543" s="1" t="s">
        <v>20</v>
      </c>
      <c r="E1543" t="s">
        <v>286</v>
      </c>
      <c r="F1543" t="s">
        <v>287</v>
      </c>
      <c r="G1543" t="s">
        <v>45</v>
      </c>
      <c r="H1543" t="s">
        <v>24</v>
      </c>
      <c r="I1543" t="s">
        <v>32</v>
      </c>
      <c r="J1543">
        <v>5</v>
      </c>
      <c r="K1543">
        <v>199</v>
      </c>
      <c r="L1543">
        <f>Table1[[#This Row],[Quantity]] * Table1[[#This Row],[UnitPrice]]</f>
        <v>995</v>
      </c>
      <c r="M1543" s="25">
        <v>15</v>
      </c>
      <c r="N1543">
        <f>Table1[[#This Row],[Revenue]]*Table1[[#This Row],[Discount%]]/100</f>
        <v>149.25</v>
      </c>
      <c r="O1543" s="6">
        <f>Table1[[#This Row],[Revenue]]-Table1[[#This Row],[Disc_amount]]</f>
        <v>845.75</v>
      </c>
      <c r="P1543" t="s">
        <v>33</v>
      </c>
      <c r="Q1543" t="s">
        <v>27</v>
      </c>
    </row>
    <row r="1544" spans="1:17">
      <c r="A1544" t="s">
        <v>2337</v>
      </c>
      <c r="B1544" s="1" t="s">
        <v>2336</v>
      </c>
      <c r="C1544" s="1" t="s">
        <v>2242</v>
      </c>
      <c r="D1544" s="1" t="s">
        <v>20</v>
      </c>
      <c r="E1544" t="s">
        <v>1156</v>
      </c>
      <c r="F1544" t="s">
        <v>345</v>
      </c>
      <c r="G1544" t="s">
        <v>31</v>
      </c>
      <c r="H1544" t="s">
        <v>57</v>
      </c>
      <c r="I1544" t="s">
        <v>62</v>
      </c>
      <c r="J1544">
        <v>1</v>
      </c>
      <c r="K1544">
        <v>799</v>
      </c>
      <c r="L1544">
        <f>Table1[[#This Row],[Quantity]] * Table1[[#This Row],[UnitPrice]]</f>
        <v>799</v>
      </c>
      <c r="M1544" s="25">
        <v>15</v>
      </c>
      <c r="N1544">
        <f>Table1[[#This Row],[Revenue]]*Table1[[#This Row],[Discount%]]/100</f>
        <v>119.85</v>
      </c>
      <c r="O1544" s="6">
        <f>Table1[[#This Row],[Revenue]]-Table1[[#This Row],[Disc_amount]]</f>
        <v>679.15</v>
      </c>
      <c r="P1544" t="s">
        <v>41</v>
      </c>
      <c r="Q1544" t="s">
        <v>27</v>
      </c>
    </row>
    <row r="1545" spans="1:17">
      <c r="A1545" t="s">
        <v>2338</v>
      </c>
      <c r="B1545" s="1" t="s">
        <v>2336</v>
      </c>
      <c r="C1545" s="1" t="s">
        <v>2242</v>
      </c>
      <c r="D1545" s="1" t="s">
        <v>20</v>
      </c>
      <c r="E1545" t="s">
        <v>1038</v>
      </c>
      <c r="F1545" t="s">
        <v>245</v>
      </c>
      <c r="G1545" t="s">
        <v>38</v>
      </c>
      <c r="H1545" t="s">
        <v>65</v>
      </c>
      <c r="I1545" t="s">
        <v>98</v>
      </c>
      <c r="J1545">
        <v>1</v>
      </c>
      <c r="K1545">
        <v>499</v>
      </c>
      <c r="L1545">
        <f>Table1[[#This Row],[Quantity]] * Table1[[#This Row],[UnitPrice]]</f>
        <v>499</v>
      </c>
      <c r="M1545" s="25">
        <v>10</v>
      </c>
      <c r="N1545">
        <f>Table1[[#This Row],[Revenue]]*Table1[[#This Row],[Discount%]]/100</f>
        <v>49.9</v>
      </c>
      <c r="O1545" s="6">
        <f>Table1[[#This Row],[Revenue]]-Table1[[#This Row],[Disc_amount]]</f>
        <v>449.1</v>
      </c>
      <c r="P1545" t="s">
        <v>33</v>
      </c>
      <c r="Q1545" t="s">
        <v>27</v>
      </c>
    </row>
    <row r="1546" spans="1:17">
      <c r="A1546" t="s">
        <v>2339</v>
      </c>
      <c r="B1546" s="1" t="s">
        <v>2336</v>
      </c>
      <c r="C1546" s="1" t="s">
        <v>2242</v>
      </c>
      <c r="D1546" s="1" t="s">
        <v>20</v>
      </c>
      <c r="E1546" t="s">
        <v>1298</v>
      </c>
      <c r="F1546" t="s">
        <v>384</v>
      </c>
      <c r="G1546" t="s">
        <v>45</v>
      </c>
      <c r="H1546" t="s">
        <v>65</v>
      </c>
      <c r="I1546" t="s">
        <v>94</v>
      </c>
      <c r="J1546">
        <v>1</v>
      </c>
      <c r="K1546">
        <v>899</v>
      </c>
      <c r="L1546">
        <f>Table1[[#This Row],[Quantity]] * Table1[[#This Row],[UnitPrice]]</f>
        <v>899</v>
      </c>
      <c r="M1546" s="25">
        <v>10</v>
      </c>
      <c r="N1546">
        <f>Table1[[#This Row],[Revenue]]*Table1[[#This Row],[Discount%]]/100</f>
        <v>89.9</v>
      </c>
      <c r="O1546" s="6">
        <f>Table1[[#This Row],[Revenue]]-Table1[[#This Row],[Disc_amount]]</f>
        <v>809.1</v>
      </c>
      <c r="P1546" t="s">
        <v>26</v>
      </c>
      <c r="Q1546" t="s">
        <v>27</v>
      </c>
    </row>
    <row r="1547" spans="1:17">
      <c r="A1547" t="s">
        <v>2340</v>
      </c>
      <c r="B1547" s="1" t="s">
        <v>2336</v>
      </c>
      <c r="C1547" s="1" t="s">
        <v>2242</v>
      </c>
      <c r="D1547" s="1" t="s">
        <v>20</v>
      </c>
      <c r="E1547" t="s">
        <v>525</v>
      </c>
      <c r="F1547" t="s">
        <v>470</v>
      </c>
      <c r="G1547" t="s">
        <v>31</v>
      </c>
      <c r="H1547" t="s">
        <v>108</v>
      </c>
      <c r="I1547" t="s">
        <v>109</v>
      </c>
      <c r="J1547">
        <v>2</v>
      </c>
      <c r="K1547">
        <v>1499</v>
      </c>
      <c r="L1547">
        <f>Table1[[#This Row],[Quantity]] * Table1[[#This Row],[UnitPrice]]</f>
        <v>2998</v>
      </c>
      <c r="M1547" s="25">
        <v>5</v>
      </c>
      <c r="N1547">
        <f>Table1[[#This Row],[Revenue]]*Table1[[#This Row],[Discount%]]/100</f>
        <v>149.9</v>
      </c>
      <c r="O1547" s="6">
        <f>Table1[[#This Row],[Revenue]]-Table1[[#This Row],[Disc_amount]]</f>
        <v>2848.1</v>
      </c>
      <c r="P1547" t="s">
        <v>33</v>
      </c>
      <c r="Q1547" t="s">
        <v>27</v>
      </c>
    </row>
    <row r="1548" spans="1:17">
      <c r="A1548" t="s">
        <v>2341</v>
      </c>
      <c r="B1548" s="1" t="s">
        <v>2336</v>
      </c>
      <c r="C1548" s="1" t="s">
        <v>2242</v>
      </c>
      <c r="D1548" s="1" t="s">
        <v>20</v>
      </c>
      <c r="E1548" t="s">
        <v>847</v>
      </c>
      <c r="F1548" t="s">
        <v>675</v>
      </c>
      <c r="G1548" t="s">
        <v>23</v>
      </c>
      <c r="H1548" t="s">
        <v>70</v>
      </c>
      <c r="I1548" t="s">
        <v>91</v>
      </c>
      <c r="J1548">
        <v>1</v>
      </c>
      <c r="K1548">
        <v>549</v>
      </c>
      <c r="L1548">
        <f>Table1[[#This Row],[Quantity]] * Table1[[#This Row],[UnitPrice]]</f>
        <v>549</v>
      </c>
      <c r="M1548" s="25">
        <v>0</v>
      </c>
      <c r="N1548">
        <f>Table1[[#This Row],[Revenue]]*Table1[[#This Row],[Discount%]]/100</f>
        <v>0</v>
      </c>
      <c r="O1548" s="6">
        <f>Table1[[#This Row],[Revenue]]-Table1[[#This Row],[Disc_amount]]</f>
        <v>549</v>
      </c>
      <c r="P1548" t="s">
        <v>52</v>
      </c>
      <c r="Q1548" t="s">
        <v>27</v>
      </c>
    </row>
    <row r="1549" spans="1:17">
      <c r="A1549" t="s">
        <v>2342</v>
      </c>
      <c r="B1549" s="1" t="s">
        <v>2336</v>
      </c>
      <c r="C1549" s="1" t="s">
        <v>2242</v>
      </c>
      <c r="D1549" s="1" t="s">
        <v>20</v>
      </c>
      <c r="E1549" t="s">
        <v>208</v>
      </c>
      <c r="F1549" t="s">
        <v>209</v>
      </c>
      <c r="G1549" t="s">
        <v>45</v>
      </c>
      <c r="H1549" t="s">
        <v>108</v>
      </c>
      <c r="I1549" t="s">
        <v>109</v>
      </c>
      <c r="J1549">
        <v>3</v>
      </c>
      <c r="K1549">
        <v>1499</v>
      </c>
      <c r="L1549">
        <f>Table1[[#This Row],[Quantity]] * Table1[[#This Row],[UnitPrice]]</f>
        <v>4497</v>
      </c>
      <c r="M1549" s="25">
        <v>20</v>
      </c>
      <c r="N1549">
        <f>Table1[[#This Row],[Revenue]]*Table1[[#This Row],[Discount%]]/100</f>
        <v>899.4</v>
      </c>
      <c r="O1549" s="6">
        <f>Table1[[#This Row],[Revenue]]-Table1[[#This Row],[Disc_amount]]</f>
        <v>3597.6</v>
      </c>
      <c r="P1549" t="s">
        <v>41</v>
      </c>
      <c r="Q1549" t="s">
        <v>27</v>
      </c>
    </row>
    <row r="1550" spans="1:17">
      <c r="A1550" t="s">
        <v>2343</v>
      </c>
      <c r="B1550" s="1" t="s">
        <v>2336</v>
      </c>
      <c r="C1550" s="1" t="s">
        <v>2242</v>
      </c>
      <c r="D1550" s="1" t="s">
        <v>20</v>
      </c>
      <c r="E1550" t="s">
        <v>1270</v>
      </c>
      <c r="F1550" t="s">
        <v>90</v>
      </c>
      <c r="G1550" t="s">
        <v>31</v>
      </c>
      <c r="H1550" t="s">
        <v>39</v>
      </c>
      <c r="I1550" t="s">
        <v>140</v>
      </c>
      <c r="J1550">
        <v>2</v>
      </c>
      <c r="K1550">
        <v>1799</v>
      </c>
      <c r="L1550">
        <f>Table1[[#This Row],[Quantity]] * Table1[[#This Row],[UnitPrice]]</f>
        <v>3598</v>
      </c>
      <c r="M1550" s="25">
        <v>20</v>
      </c>
      <c r="N1550">
        <f>Table1[[#This Row],[Revenue]]*Table1[[#This Row],[Discount%]]/100</f>
        <v>719.6</v>
      </c>
      <c r="O1550" s="6">
        <f>Table1[[#This Row],[Revenue]]-Table1[[#This Row],[Disc_amount]]</f>
        <v>2878.4</v>
      </c>
      <c r="P1550" t="s">
        <v>33</v>
      </c>
      <c r="Q1550" t="s">
        <v>27</v>
      </c>
    </row>
    <row r="1551" spans="1:17">
      <c r="A1551" t="s">
        <v>2344</v>
      </c>
      <c r="B1551" s="1" t="s">
        <v>2336</v>
      </c>
      <c r="C1551" s="1" t="s">
        <v>2242</v>
      </c>
      <c r="D1551" s="1" t="s">
        <v>20</v>
      </c>
      <c r="E1551" t="s">
        <v>1051</v>
      </c>
      <c r="F1551" t="s">
        <v>462</v>
      </c>
      <c r="G1551" t="s">
        <v>56</v>
      </c>
      <c r="H1551" t="s">
        <v>65</v>
      </c>
      <c r="I1551" t="s">
        <v>98</v>
      </c>
      <c r="J1551">
        <v>1</v>
      </c>
      <c r="K1551">
        <v>499</v>
      </c>
      <c r="L1551">
        <f>Table1[[#This Row],[Quantity]] * Table1[[#This Row],[UnitPrice]]</f>
        <v>499</v>
      </c>
      <c r="M1551" s="25">
        <v>0</v>
      </c>
      <c r="N1551">
        <f>Table1[[#This Row],[Revenue]]*Table1[[#This Row],[Discount%]]/100</f>
        <v>0</v>
      </c>
      <c r="O1551" s="6">
        <f>Table1[[#This Row],[Revenue]]-Table1[[#This Row],[Disc_amount]]</f>
        <v>499</v>
      </c>
      <c r="P1551" t="s">
        <v>52</v>
      </c>
      <c r="Q1551" t="s">
        <v>27</v>
      </c>
    </row>
    <row r="1552" spans="1:17">
      <c r="A1552" t="s">
        <v>2345</v>
      </c>
      <c r="B1552" s="1" t="s">
        <v>2346</v>
      </c>
      <c r="C1552" s="1" t="s">
        <v>2242</v>
      </c>
      <c r="D1552" s="1" t="s">
        <v>20</v>
      </c>
      <c r="E1552" t="s">
        <v>1709</v>
      </c>
      <c r="F1552" t="s">
        <v>989</v>
      </c>
      <c r="G1552" t="s">
        <v>38</v>
      </c>
      <c r="H1552" t="s">
        <v>39</v>
      </c>
      <c r="I1552" t="s">
        <v>51</v>
      </c>
      <c r="J1552">
        <v>4</v>
      </c>
      <c r="K1552">
        <v>2999</v>
      </c>
      <c r="L1552">
        <f>Table1[[#This Row],[Quantity]] * Table1[[#This Row],[UnitPrice]]</f>
        <v>11996</v>
      </c>
      <c r="M1552" s="25">
        <v>5</v>
      </c>
      <c r="N1552">
        <f>Table1[[#This Row],[Revenue]]*Table1[[#This Row],[Discount%]]/100</f>
        <v>599.79999999999995</v>
      </c>
      <c r="O1552" s="6">
        <f>Table1[[#This Row],[Revenue]]-Table1[[#This Row],[Disc_amount]]</f>
        <v>11396.2</v>
      </c>
      <c r="P1552" t="s">
        <v>41</v>
      </c>
      <c r="Q1552" t="s">
        <v>27</v>
      </c>
    </row>
    <row r="1553" spans="1:17">
      <c r="A1553" t="s">
        <v>2347</v>
      </c>
      <c r="B1553" s="1" t="s">
        <v>2346</v>
      </c>
      <c r="C1553" s="1" t="s">
        <v>2242</v>
      </c>
      <c r="D1553" s="1" t="s">
        <v>20</v>
      </c>
      <c r="E1553" t="s">
        <v>2024</v>
      </c>
      <c r="F1553" t="s">
        <v>2025</v>
      </c>
      <c r="G1553" t="s">
        <v>56</v>
      </c>
      <c r="H1553" t="s">
        <v>70</v>
      </c>
      <c r="I1553" t="s">
        <v>91</v>
      </c>
      <c r="J1553">
        <v>3</v>
      </c>
      <c r="K1553">
        <v>549</v>
      </c>
      <c r="L1553">
        <f>Table1[[#This Row],[Quantity]] * Table1[[#This Row],[UnitPrice]]</f>
        <v>1647</v>
      </c>
      <c r="M1553" s="25">
        <v>20</v>
      </c>
      <c r="N1553">
        <f>Table1[[#This Row],[Revenue]]*Table1[[#This Row],[Discount%]]/100</f>
        <v>329.4</v>
      </c>
      <c r="O1553" s="6">
        <f>Table1[[#This Row],[Revenue]]-Table1[[#This Row],[Disc_amount]]</f>
        <v>1317.6</v>
      </c>
      <c r="P1553" t="s">
        <v>33</v>
      </c>
      <c r="Q1553" t="s">
        <v>27</v>
      </c>
    </row>
    <row r="1554" spans="1:17">
      <c r="A1554" t="s">
        <v>2348</v>
      </c>
      <c r="B1554" s="1" t="s">
        <v>2346</v>
      </c>
      <c r="C1554" s="1" t="s">
        <v>2242</v>
      </c>
      <c r="D1554" s="1" t="s">
        <v>20</v>
      </c>
      <c r="E1554" t="s">
        <v>959</v>
      </c>
      <c r="F1554" t="s">
        <v>960</v>
      </c>
      <c r="G1554" t="s">
        <v>38</v>
      </c>
      <c r="H1554" t="s">
        <v>46</v>
      </c>
      <c r="I1554" t="s">
        <v>154</v>
      </c>
      <c r="J1554">
        <v>1</v>
      </c>
      <c r="K1554">
        <v>299</v>
      </c>
      <c r="L1554">
        <f>Table1[[#This Row],[Quantity]] * Table1[[#This Row],[UnitPrice]]</f>
        <v>299</v>
      </c>
      <c r="M1554" s="25">
        <v>0</v>
      </c>
      <c r="N1554">
        <f>Table1[[#This Row],[Revenue]]*Table1[[#This Row],[Discount%]]/100</f>
        <v>0</v>
      </c>
      <c r="O1554" s="6">
        <f>Table1[[#This Row],[Revenue]]-Table1[[#This Row],[Disc_amount]]</f>
        <v>299</v>
      </c>
      <c r="P1554" t="s">
        <v>41</v>
      </c>
      <c r="Q1554" t="s">
        <v>34</v>
      </c>
    </row>
    <row r="1555" spans="1:17">
      <c r="A1555" t="s">
        <v>2349</v>
      </c>
      <c r="B1555" s="1" t="s">
        <v>2346</v>
      </c>
      <c r="C1555" s="1" t="s">
        <v>2242</v>
      </c>
      <c r="D1555" s="1" t="s">
        <v>20</v>
      </c>
      <c r="E1555" t="s">
        <v>29</v>
      </c>
      <c r="F1555" t="s">
        <v>30</v>
      </c>
      <c r="G1555" t="s">
        <v>56</v>
      </c>
      <c r="H1555" t="s">
        <v>39</v>
      </c>
      <c r="I1555" t="s">
        <v>40</v>
      </c>
      <c r="J1555">
        <v>2</v>
      </c>
      <c r="K1555">
        <v>599</v>
      </c>
      <c r="L1555">
        <f>Table1[[#This Row],[Quantity]] * Table1[[#This Row],[UnitPrice]]</f>
        <v>1198</v>
      </c>
      <c r="M1555" s="25">
        <v>15</v>
      </c>
      <c r="N1555">
        <f>Table1[[#This Row],[Revenue]]*Table1[[#This Row],[Discount%]]/100</f>
        <v>179.7</v>
      </c>
      <c r="O1555" s="6">
        <f>Table1[[#This Row],[Revenue]]-Table1[[#This Row],[Disc_amount]]</f>
        <v>1018.3</v>
      </c>
      <c r="P1555" t="s">
        <v>41</v>
      </c>
      <c r="Q1555" t="s">
        <v>34</v>
      </c>
    </row>
    <row r="1556" spans="1:17">
      <c r="A1556" t="s">
        <v>2350</v>
      </c>
      <c r="B1556" s="1" t="s">
        <v>2346</v>
      </c>
      <c r="C1556" s="1" t="s">
        <v>2242</v>
      </c>
      <c r="D1556" s="1" t="s">
        <v>20</v>
      </c>
      <c r="E1556" t="s">
        <v>974</v>
      </c>
      <c r="F1556" t="s">
        <v>879</v>
      </c>
      <c r="G1556" t="s">
        <v>31</v>
      </c>
      <c r="H1556" t="s">
        <v>108</v>
      </c>
      <c r="I1556" t="s">
        <v>130</v>
      </c>
      <c r="J1556">
        <v>1</v>
      </c>
      <c r="K1556">
        <v>699</v>
      </c>
      <c r="L1556">
        <f>Table1[[#This Row],[Quantity]] * Table1[[#This Row],[UnitPrice]]</f>
        <v>699</v>
      </c>
      <c r="M1556" s="25">
        <v>0</v>
      </c>
      <c r="N1556">
        <f>Table1[[#This Row],[Revenue]]*Table1[[#This Row],[Discount%]]/100</f>
        <v>0</v>
      </c>
      <c r="O1556" s="6">
        <f>Table1[[#This Row],[Revenue]]-Table1[[#This Row],[Disc_amount]]</f>
        <v>699</v>
      </c>
      <c r="P1556" t="s">
        <v>33</v>
      </c>
      <c r="Q1556" t="s">
        <v>34</v>
      </c>
    </row>
    <row r="1557" spans="1:17">
      <c r="A1557" t="s">
        <v>2351</v>
      </c>
      <c r="B1557" s="1" t="s">
        <v>2346</v>
      </c>
      <c r="C1557" s="1" t="s">
        <v>2242</v>
      </c>
      <c r="D1557" s="1" t="s">
        <v>20</v>
      </c>
      <c r="E1557" t="s">
        <v>1056</v>
      </c>
      <c r="F1557" t="s">
        <v>61</v>
      </c>
      <c r="G1557" t="s">
        <v>38</v>
      </c>
      <c r="H1557" t="s">
        <v>24</v>
      </c>
      <c r="I1557" t="s">
        <v>32</v>
      </c>
      <c r="J1557">
        <v>1</v>
      </c>
      <c r="K1557">
        <v>199</v>
      </c>
      <c r="L1557">
        <f>Table1[[#This Row],[Quantity]] * Table1[[#This Row],[UnitPrice]]</f>
        <v>199</v>
      </c>
      <c r="M1557" s="25">
        <v>20</v>
      </c>
      <c r="N1557">
        <f>Table1[[#This Row],[Revenue]]*Table1[[#This Row],[Discount%]]/100</f>
        <v>39.799999999999997</v>
      </c>
      <c r="O1557" s="6">
        <f>Table1[[#This Row],[Revenue]]-Table1[[#This Row],[Disc_amount]]</f>
        <v>159.19999999999999</v>
      </c>
      <c r="P1557" t="s">
        <v>33</v>
      </c>
      <c r="Q1557" t="s">
        <v>34</v>
      </c>
    </row>
    <row r="1558" spans="1:17">
      <c r="A1558" t="s">
        <v>2352</v>
      </c>
      <c r="B1558" s="1" t="s">
        <v>2346</v>
      </c>
      <c r="C1558" s="1" t="s">
        <v>2242</v>
      </c>
      <c r="D1558" s="1" t="s">
        <v>20</v>
      </c>
      <c r="E1558" t="s">
        <v>133</v>
      </c>
      <c r="F1558" t="s">
        <v>134</v>
      </c>
      <c r="G1558" t="s">
        <v>23</v>
      </c>
      <c r="H1558" t="s">
        <v>39</v>
      </c>
      <c r="I1558" t="s">
        <v>51</v>
      </c>
      <c r="J1558">
        <v>1</v>
      </c>
      <c r="K1558">
        <v>2999</v>
      </c>
      <c r="L1558">
        <f>Table1[[#This Row],[Quantity]] * Table1[[#This Row],[UnitPrice]]</f>
        <v>2999</v>
      </c>
      <c r="M1558" s="25">
        <v>0</v>
      </c>
      <c r="N1558">
        <f>Table1[[#This Row],[Revenue]]*Table1[[#This Row],[Discount%]]/100</f>
        <v>0</v>
      </c>
      <c r="O1558" s="6">
        <f>Table1[[#This Row],[Revenue]]-Table1[[#This Row],[Disc_amount]]</f>
        <v>2999</v>
      </c>
      <c r="P1558" t="s">
        <v>41</v>
      </c>
      <c r="Q1558" t="s">
        <v>27</v>
      </c>
    </row>
    <row r="1559" spans="1:17">
      <c r="A1559" t="s">
        <v>2353</v>
      </c>
      <c r="B1559" s="1" t="s">
        <v>2346</v>
      </c>
      <c r="C1559" s="1" t="s">
        <v>2242</v>
      </c>
      <c r="D1559" s="1" t="s">
        <v>20</v>
      </c>
      <c r="E1559" t="s">
        <v>1783</v>
      </c>
      <c r="F1559" t="s">
        <v>623</v>
      </c>
      <c r="G1559" t="s">
        <v>31</v>
      </c>
      <c r="H1559" t="s">
        <v>39</v>
      </c>
      <c r="I1559" t="s">
        <v>51</v>
      </c>
      <c r="J1559">
        <v>1</v>
      </c>
      <c r="K1559">
        <v>2999</v>
      </c>
      <c r="L1559">
        <f>Table1[[#This Row],[Quantity]] * Table1[[#This Row],[UnitPrice]]</f>
        <v>2999</v>
      </c>
      <c r="M1559" s="25">
        <v>0</v>
      </c>
      <c r="N1559">
        <f>Table1[[#This Row],[Revenue]]*Table1[[#This Row],[Discount%]]/100</f>
        <v>0</v>
      </c>
      <c r="O1559" s="6">
        <f>Table1[[#This Row],[Revenue]]-Table1[[#This Row],[Disc_amount]]</f>
        <v>2999</v>
      </c>
      <c r="P1559" t="s">
        <v>41</v>
      </c>
      <c r="Q1559" t="s">
        <v>34</v>
      </c>
    </row>
    <row r="1560" spans="1:17">
      <c r="A1560" t="s">
        <v>2354</v>
      </c>
      <c r="B1560" s="1" t="s">
        <v>2346</v>
      </c>
      <c r="C1560" s="1" t="s">
        <v>2242</v>
      </c>
      <c r="D1560" s="1" t="s">
        <v>20</v>
      </c>
      <c r="E1560" t="s">
        <v>840</v>
      </c>
      <c r="F1560" t="s">
        <v>462</v>
      </c>
      <c r="G1560" t="s">
        <v>23</v>
      </c>
      <c r="H1560" t="s">
        <v>65</v>
      </c>
      <c r="I1560" t="s">
        <v>94</v>
      </c>
      <c r="J1560">
        <v>3</v>
      </c>
      <c r="K1560">
        <v>899</v>
      </c>
      <c r="L1560">
        <f>Table1[[#This Row],[Quantity]] * Table1[[#This Row],[UnitPrice]]</f>
        <v>2697</v>
      </c>
      <c r="M1560" s="25">
        <v>10</v>
      </c>
      <c r="N1560">
        <f>Table1[[#This Row],[Revenue]]*Table1[[#This Row],[Discount%]]/100</f>
        <v>269.7</v>
      </c>
      <c r="O1560" s="6">
        <f>Table1[[#This Row],[Revenue]]-Table1[[#This Row],[Disc_amount]]</f>
        <v>2427.3000000000002</v>
      </c>
      <c r="P1560" t="s">
        <v>33</v>
      </c>
      <c r="Q1560" t="s">
        <v>34</v>
      </c>
    </row>
    <row r="1561" spans="1:17">
      <c r="A1561" t="s">
        <v>2355</v>
      </c>
      <c r="B1561" s="1" t="s">
        <v>2346</v>
      </c>
      <c r="C1561" s="1" t="s">
        <v>2242</v>
      </c>
      <c r="D1561" s="1" t="s">
        <v>20</v>
      </c>
      <c r="E1561" t="s">
        <v>594</v>
      </c>
      <c r="F1561" t="s">
        <v>546</v>
      </c>
      <c r="G1561" t="s">
        <v>45</v>
      </c>
      <c r="H1561" t="s">
        <v>24</v>
      </c>
      <c r="I1561" t="s">
        <v>32</v>
      </c>
      <c r="J1561">
        <v>3</v>
      </c>
      <c r="K1561">
        <v>199</v>
      </c>
      <c r="L1561">
        <f>Table1[[#This Row],[Quantity]] * Table1[[#This Row],[UnitPrice]]</f>
        <v>597</v>
      </c>
      <c r="M1561" s="25">
        <v>10</v>
      </c>
      <c r="N1561">
        <f>Table1[[#This Row],[Revenue]]*Table1[[#This Row],[Discount%]]/100</f>
        <v>59.7</v>
      </c>
      <c r="O1561" s="6">
        <f>Table1[[#This Row],[Revenue]]-Table1[[#This Row],[Disc_amount]]</f>
        <v>537.29999999999995</v>
      </c>
      <c r="P1561" t="s">
        <v>26</v>
      </c>
      <c r="Q1561" t="s">
        <v>27</v>
      </c>
    </row>
    <row r="1562" spans="1:17">
      <c r="A1562" t="s">
        <v>2356</v>
      </c>
      <c r="B1562" s="1" t="s">
        <v>2346</v>
      </c>
      <c r="C1562" s="1" t="s">
        <v>2242</v>
      </c>
      <c r="D1562" s="1" t="s">
        <v>20</v>
      </c>
      <c r="E1562" t="s">
        <v>238</v>
      </c>
      <c r="F1562" t="s">
        <v>239</v>
      </c>
      <c r="G1562" t="s">
        <v>38</v>
      </c>
      <c r="H1562" t="s">
        <v>70</v>
      </c>
      <c r="I1562" t="s">
        <v>71</v>
      </c>
      <c r="J1562">
        <v>1</v>
      </c>
      <c r="K1562">
        <v>349</v>
      </c>
      <c r="L1562">
        <f>Table1[[#This Row],[Quantity]] * Table1[[#This Row],[UnitPrice]]</f>
        <v>349</v>
      </c>
      <c r="M1562" s="25">
        <v>15</v>
      </c>
      <c r="N1562">
        <f>Table1[[#This Row],[Revenue]]*Table1[[#This Row],[Discount%]]/100</f>
        <v>52.35</v>
      </c>
      <c r="O1562" s="6">
        <f>Table1[[#This Row],[Revenue]]-Table1[[#This Row],[Disc_amount]]</f>
        <v>296.64999999999998</v>
      </c>
      <c r="P1562" t="s">
        <v>33</v>
      </c>
      <c r="Q1562" t="s">
        <v>27</v>
      </c>
    </row>
    <row r="1563" spans="1:17">
      <c r="A1563" t="s">
        <v>2357</v>
      </c>
      <c r="B1563" s="1" t="s">
        <v>2346</v>
      </c>
      <c r="C1563" s="1" t="s">
        <v>2242</v>
      </c>
      <c r="D1563" s="1" t="s">
        <v>20</v>
      </c>
      <c r="E1563" t="s">
        <v>275</v>
      </c>
      <c r="F1563" t="s">
        <v>276</v>
      </c>
      <c r="G1563" t="s">
        <v>45</v>
      </c>
      <c r="H1563" t="s">
        <v>39</v>
      </c>
      <c r="I1563" t="s">
        <v>40</v>
      </c>
      <c r="J1563">
        <v>3</v>
      </c>
      <c r="K1563">
        <v>599</v>
      </c>
      <c r="L1563">
        <f>Table1[[#This Row],[Quantity]] * Table1[[#This Row],[UnitPrice]]</f>
        <v>1797</v>
      </c>
      <c r="M1563" s="25">
        <v>15</v>
      </c>
      <c r="N1563">
        <f>Table1[[#This Row],[Revenue]]*Table1[[#This Row],[Discount%]]/100</f>
        <v>269.55</v>
      </c>
      <c r="O1563" s="6">
        <f>Table1[[#This Row],[Revenue]]-Table1[[#This Row],[Disc_amount]]</f>
        <v>1527.45</v>
      </c>
      <c r="P1563" t="s">
        <v>33</v>
      </c>
      <c r="Q1563" t="s">
        <v>34</v>
      </c>
    </row>
    <row r="1564" spans="1:17">
      <c r="A1564" t="s">
        <v>2358</v>
      </c>
      <c r="B1564" s="1" t="s">
        <v>2359</v>
      </c>
      <c r="C1564" s="1" t="s">
        <v>2242</v>
      </c>
      <c r="D1564" s="1" t="s">
        <v>20</v>
      </c>
      <c r="E1564" t="s">
        <v>946</v>
      </c>
      <c r="F1564" t="s">
        <v>947</v>
      </c>
      <c r="G1564" t="s">
        <v>38</v>
      </c>
      <c r="H1564" t="s">
        <v>65</v>
      </c>
      <c r="I1564" t="s">
        <v>94</v>
      </c>
      <c r="J1564">
        <v>3</v>
      </c>
      <c r="K1564">
        <v>899</v>
      </c>
      <c r="L1564">
        <f>Table1[[#This Row],[Quantity]] * Table1[[#This Row],[UnitPrice]]</f>
        <v>2697</v>
      </c>
      <c r="M1564" s="25">
        <v>10</v>
      </c>
      <c r="N1564">
        <f>Table1[[#This Row],[Revenue]]*Table1[[#This Row],[Discount%]]/100</f>
        <v>269.7</v>
      </c>
      <c r="O1564" s="6">
        <f>Table1[[#This Row],[Revenue]]-Table1[[#This Row],[Disc_amount]]</f>
        <v>2427.3000000000002</v>
      </c>
      <c r="P1564" t="s">
        <v>26</v>
      </c>
      <c r="Q1564" t="s">
        <v>34</v>
      </c>
    </row>
    <row r="1565" spans="1:17">
      <c r="A1565" t="s">
        <v>2360</v>
      </c>
      <c r="B1565" s="1" t="s">
        <v>2359</v>
      </c>
      <c r="C1565" s="1" t="s">
        <v>2242</v>
      </c>
      <c r="D1565" s="1" t="s">
        <v>20</v>
      </c>
      <c r="E1565" t="s">
        <v>798</v>
      </c>
      <c r="F1565" t="s">
        <v>157</v>
      </c>
      <c r="G1565" t="s">
        <v>56</v>
      </c>
      <c r="H1565" t="s">
        <v>46</v>
      </c>
      <c r="I1565" t="s">
        <v>154</v>
      </c>
      <c r="J1565">
        <v>1</v>
      </c>
      <c r="K1565">
        <v>299</v>
      </c>
      <c r="L1565">
        <f>Table1[[#This Row],[Quantity]] * Table1[[#This Row],[UnitPrice]]</f>
        <v>299</v>
      </c>
      <c r="M1565" s="25">
        <v>20</v>
      </c>
      <c r="N1565">
        <f>Table1[[#This Row],[Revenue]]*Table1[[#This Row],[Discount%]]/100</f>
        <v>59.8</v>
      </c>
      <c r="O1565" s="6">
        <f>Table1[[#This Row],[Revenue]]-Table1[[#This Row],[Disc_amount]]</f>
        <v>239.2</v>
      </c>
      <c r="P1565" t="s">
        <v>41</v>
      </c>
      <c r="Q1565" t="s">
        <v>34</v>
      </c>
    </row>
    <row r="1566" spans="1:17">
      <c r="A1566" t="s">
        <v>2361</v>
      </c>
      <c r="B1566" s="1" t="s">
        <v>2359</v>
      </c>
      <c r="C1566" s="1" t="s">
        <v>2242</v>
      </c>
      <c r="D1566" s="1" t="s">
        <v>20</v>
      </c>
      <c r="E1566" t="s">
        <v>1099</v>
      </c>
      <c r="F1566" t="s">
        <v>465</v>
      </c>
      <c r="G1566" t="s">
        <v>45</v>
      </c>
      <c r="H1566" t="s">
        <v>24</v>
      </c>
      <c r="I1566" t="s">
        <v>32</v>
      </c>
      <c r="J1566">
        <v>2</v>
      </c>
      <c r="K1566">
        <v>199</v>
      </c>
      <c r="L1566">
        <f>Table1[[#This Row],[Quantity]] * Table1[[#This Row],[UnitPrice]]</f>
        <v>398</v>
      </c>
      <c r="M1566" s="25">
        <v>15</v>
      </c>
      <c r="N1566">
        <f>Table1[[#This Row],[Revenue]]*Table1[[#This Row],[Discount%]]/100</f>
        <v>59.7</v>
      </c>
      <c r="O1566" s="6">
        <f>Table1[[#This Row],[Revenue]]-Table1[[#This Row],[Disc_amount]]</f>
        <v>338.3</v>
      </c>
      <c r="P1566" t="s">
        <v>26</v>
      </c>
      <c r="Q1566" t="s">
        <v>34</v>
      </c>
    </row>
    <row r="1567" spans="1:17">
      <c r="A1567" t="s">
        <v>2362</v>
      </c>
      <c r="B1567" s="1" t="s">
        <v>2359</v>
      </c>
      <c r="C1567" s="1" t="s">
        <v>2242</v>
      </c>
      <c r="D1567" s="1" t="s">
        <v>20</v>
      </c>
      <c r="E1567" t="s">
        <v>453</v>
      </c>
      <c r="F1567" t="s">
        <v>454</v>
      </c>
      <c r="G1567" t="s">
        <v>31</v>
      </c>
      <c r="H1567" t="s">
        <v>70</v>
      </c>
      <c r="I1567" t="s">
        <v>91</v>
      </c>
      <c r="J1567">
        <v>2</v>
      </c>
      <c r="K1567">
        <v>549</v>
      </c>
      <c r="L1567">
        <f>Table1[[#This Row],[Quantity]] * Table1[[#This Row],[UnitPrice]]</f>
        <v>1098</v>
      </c>
      <c r="M1567" s="25">
        <v>10</v>
      </c>
      <c r="N1567">
        <f>Table1[[#This Row],[Revenue]]*Table1[[#This Row],[Discount%]]/100</f>
        <v>109.8</v>
      </c>
      <c r="O1567" s="6">
        <f>Table1[[#This Row],[Revenue]]-Table1[[#This Row],[Disc_amount]]</f>
        <v>988.2</v>
      </c>
      <c r="P1567" t="s">
        <v>33</v>
      </c>
      <c r="Q1567" t="s">
        <v>34</v>
      </c>
    </row>
    <row r="1568" spans="1:17">
      <c r="A1568" t="s">
        <v>2363</v>
      </c>
      <c r="B1568" s="1" t="s">
        <v>2359</v>
      </c>
      <c r="C1568" s="1" t="s">
        <v>2242</v>
      </c>
      <c r="D1568" s="1" t="s">
        <v>20</v>
      </c>
      <c r="E1568" t="s">
        <v>583</v>
      </c>
      <c r="F1568" t="s">
        <v>584</v>
      </c>
      <c r="G1568" t="s">
        <v>38</v>
      </c>
      <c r="H1568" t="s">
        <v>39</v>
      </c>
      <c r="I1568" t="s">
        <v>40</v>
      </c>
      <c r="J1568">
        <v>2</v>
      </c>
      <c r="K1568">
        <v>599</v>
      </c>
      <c r="L1568">
        <f>Table1[[#This Row],[Quantity]] * Table1[[#This Row],[UnitPrice]]</f>
        <v>1198</v>
      </c>
      <c r="M1568" s="25">
        <v>20</v>
      </c>
      <c r="N1568">
        <f>Table1[[#This Row],[Revenue]]*Table1[[#This Row],[Discount%]]/100</f>
        <v>239.6</v>
      </c>
      <c r="O1568" s="6">
        <f>Table1[[#This Row],[Revenue]]-Table1[[#This Row],[Disc_amount]]</f>
        <v>958.4</v>
      </c>
      <c r="P1568" t="s">
        <v>41</v>
      </c>
      <c r="Q1568" t="s">
        <v>34</v>
      </c>
    </row>
    <row r="1569" spans="1:17">
      <c r="A1569" t="s">
        <v>2364</v>
      </c>
      <c r="B1569" s="1" t="s">
        <v>2359</v>
      </c>
      <c r="C1569" s="1" t="s">
        <v>2242</v>
      </c>
      <c r="D1569" s="1" t="s">
        <v>20</v>
      </c>
      <c r="E1569" t="s">
        <v>533</v>
      </c>
      <c r="F1569" t="s">
        <v>534</v>
      </c>
      <c r="G1569" t="s">
        <v>38</v>
      </c>
      <c r="H1569" t="s">
        <v>39</v>
      </c>
      <c r="I1569" t="s">
        <v>140</v>
      </c>
      <c r="J1569">
        <v>2</v>
      </c>
      <c r="K1569">
        <v>1799</v>
      </c>
      <c r="L1569">
        <f>Table1[[#This Row],[Quantity]] * Table1[[#This Row],[UnitPrice]]</f>
        <v>3598</v>
      </c>
      <c r="M1569" s="25">
        <v>0</v>
      </c>
      <c r="N1569">
        <f>Table1[[#This Row],[Revenue]]*Table1[[#This Row],[Discount%]]/100</f>
        <v>0</v>
      </c>
      <c r="O1569" s="6">
        <f>Table1[[#This Row],[Revenue]]-Table1[[#This Row],[Disc_amount]]</f>
        <v>3598</v>
      </c>
      <c r="P1569" t="s">
        <v>41</v>
      </c>
      <c r="Q1569" t="s">
        <v>34</v>
      </c>
    </row>
    <row r="1570" spans="1:17">
      <c r="A1570" t="s">
        <v>2365</v>
      </c>
      <c r="B1570" s="1" t="s">
        <v>2366</v>
      </c>
      <c r="C1570" s="1" t="s">
        <v>2242</v>
      </c>
      <c r="D1570" s="1" t="s">
        <v>20</v>
      </c>
      <c r="E1570" t="s">
        <v>954</v>
      </c>
      <c r="F1570" t="s">
        <v>569</v>
      </c>
      <c r="G1570" t="s">
        <v>38</v>
      </c>
      <c r="H1570" t="s">
        <v>70</v>
      </c>
      <c r="I1570" t="s">
        <v>91</v>
      </c>
      <c r="J1570">
        <v>3</v>
      </c>
      <c r="K1570">
        <v>549</v>
      </c>
      <c r="L1570">
        <f>Table1[[#This Row],[Quantity]] * Table1[[#This Row],[UnitPrice]]</f>
        <v>1647</v>
      </c>
      <c r="M1570" s="25">
        <v>20</v>
      </c>
      <c r="N1570">
        <f>Table1[[#This Row],[Revenue]]*Table1[[#This Row],[Discount%]]/100</f>
        <v>329.4</v>
      </c>
      <c r="O1570" s="6">
        <f>Table1[[#This Row],[Revenue]]-Table1[[#This Row],[Disc_amount]]</f>
        <v>1317.6</v>
      </c>
      <c r="P1570" t="s">
        <v>41</v>
      </c>
      <c r="Q1570" t="s">
        <v>34</v>
      </c>
    </row>
    <row r="1571" spans="1:17">
      <c r="A1571" t="s">
        <v>2367</v>
      </c>
      <c r="B1571" s="1" t="s">
        <v>2366</v>
      </c>
      <c r="C1571" s="1" t="s">
        <v>2242</v>
      </c>
      <c r="D1571" s="1" t="s">
        <v>20</v>
      </c>
      <c r="E1571" t="s">
        <v>933</v>
      </c>
      <c r="F1571" t="s">
        <v>853</v>
      </c>
      <c r="G1571" t="s">
        <v>56</v>
      </c>
      <c r="H1571" t="s">
        <v>65</v>
      </c>
      <c r="I1571" t="s">
        <v>66</v>
      </c>
      <c r="J1571">
        <v>1</v>
      </c>
      <c r="K1571">
        <v>1999</v>
      </c>
      <c r="L1571">
        <f>Table1[[#This Row],[Quantity]] * Table1[[#This Row],[UnitPrice]]</f>
        <v>1999</v>
      </c>
      <c r="M1571" s="25">
        <v>0</v>
      </c>
      <c r="N1571">
        <f>Table1[[#This Row],[Revenue]]*Table1[[#This Row],[Discount%]]/100</f>
        <v>0</v>
      </c>
      <c r="O1571" s="6">
        <f>Table1[[#This Row],[Revenue]]-Table1[[#This Row],[Disc_amount]]</f>
        <v>1999</v>
      </c>
      <c r="P1571" t="s">
        <v>41</v>
      </c>
      <c r="Q1571" t="s">
        <v>27</v>
      </c>
    </row>
    <row r="1572" spans="1:17">
      <c r="A1572" t="s">
        <v>2368</v>
      </c>
      <c r="B1572" s="1" t="s">
        <v>2366</v>
      </c>
      <c r="C1572" s="1" t="s">
        <v>2242</v>
      </c>
      <c r="D1572" s="1" t="s">
        <v>20</v>
      </c>
      <c r="E1572" t="s">
        <v>1913</v>
      </c>
      <c r="F1572" t="s">
        <v>462</v>
      </c>
      <c r="G1572" t="s">
        <v>23</v>
      </c>
      <c r="H1572" t="s">
        <v>46</v>
      </c>
      <c r="I1572" t="s">
        <v>154</v>
      </c>
      <c r="J1572">
        <v>2</v>
      </c>
      <c r="K1572">
        <v>299</v>
      </c>
      <c r="L1572">
        <f>Table1[[#This Row],[Quantity]] * Table1[[#This Row],[UnitPrice]]</f>
        <v>598</v>
      </c>
      <c r="M1572" s="25">
        <v>20</v>
      </c>
      <c r="N1572">
        <f>Table1[[#This Row],[Revenue]]*Table1[[#This Row],[Discount%]]/100</f>
        <v>119.6</v>
      </c>
      <c r="O1572" s="6">
        <f>Table1[[#This Row],[Revenue]]-Table1[[#This Row],[Disc_amount]]</f>
        <v>478.4</v>
      </c>
      <c r="P1572" t="s">
        <v>26</v>
      </c>
      <c r="Q1572" t="s">
        <v>27</v>
      </c>
    </row>
    <row r="1573" spans="1:17">
      <c r="A1573" t="s">
        <v>2369</v>
      </c>
      <c r="B1573" s="1" t="s">
        <v>2366</v>
      </c>
      <c r="C1573" s="1" t="s">
        <v>2242</v>
      </c>
      <c r="D1573" s="1" t="s">
        <v>20</v>
      </c>
      <c r="E1573" t="s">
        <v>1640</v>
      </c>
      <c r="F1573" t="s">
        <v>37</v>
      </c>
      <c r="G1573" t="s">
        <v>45</v>
      </c>
      <c r="H1573" t="s">
        <v>39</v>
      </c>
      <c r="I1573" t="s">
        <v>51</v>
      </c>
      <c r="J1573">
        <v>3</v>
      </c>
      <c r="K1573">
        <v>2999</v>
      </c>
      <c r="L1573">
        <f>Table1[[#This Row],[Quantity]] * Table1[[#This Row],[UnitPrice]]</f>
        <v>8997</v>
      </c>
      <c r="M1573" s="25">
        <v>20</v>
      </c>
      <c r="N1573">
        <f>Table1[[#This Row],[Revenue]]*Table1[[#This Row],[Discount%]]/100</f>
        <v>1799.4</v>
      </c>
      <c r="O1573" s="6">
        <f>Table1[[#This Row],[Revenue]]-Table1[[#This Row],[Disc_amount]]</f>
        <v>7197.6</v>
      </c>
      <c r="P1573" t="s">
        <v>41</v>
      </c>
      <c r="Q1573" t="s">
        <v>34</v>
      </c>
    </row>
    <row r="1574" spans="1:17">
      <c r="A1574" t="s">
        <v>2370</v>
      </c>
      <c r="B1574" s="1" t="s">
        <v>2366</v>
      </c>
      <c r="C1574" s="1" t="s">
        <v>2242</v>
      </c>
      <c r="D1574" s="1" t="s">
        <v>20</v>
      </c>
      <c r="E1574" t="s">
        <v>701</v>
      </c>
      <c r="F1574" t="s">
        <v>379</v>
      </c>
      <c r="G1574" t="s">
        <v>31</v>
      </c>
      <c r="H1574" t="s">
        <v>108</v>
      </c>
      <c r="I1574" t="s">
        <v>130</v>
      </c>
      <c r="J1574">
        <v>1</v>
      </c>
      <c r="K1574">
        <v>699</v>
      </c>
      <c r="L1574">
        <f>Table1[[#This Row],[Quantity]] * Table1[[#This Row],[UnitPrice]]</f>
        <v>699</v>
      </c>
      <c r="M1574" s="25">
        <v>0</v>
      </c>
      <c r="N1574">
        <f>Table1[[#This Row],[Revenue]]*Table1[[#This Row],[Discount%]]/100</f>
        <v>0</v>
      </c>
      <c r="O1574" s="6">
        <f>Table1[[#This Row],[Revenue]]-Table1[[#This Row],[Disc_amount]]</f>
        <v>699</v>
      </c>
      <c r="P1574" t="s">
        <v>52</v>
      </c>
      <c r="Q1574" t="s">
        <v>34</v>
      </c>
    </row>
    <row r="1575" spans="1:17">
      <c r="A1575" t="s">
        <v>2371</v>
      </c>
      <c r="B1575" s="1" t="s">
        <v>2366</v>
      </c>
      <c r="C1575" s="1" t="s">
        <v>2242</v>
      </c>
      <c r="D1575" s="1" t="s">
        <v>20</v>
      </c>
      <c r="E1575" t="s">
        <v>1655</v>
      </c>
      <c r="F1575" t="s">
        <v>384</v>
      </c>
      <c r="G1575" t="s">
        <v>45</v>
      </c>
      <c r="H1575" t="s">
        <v>46</v>
      </c>
      <c r="I1575" t="s">
        <v>47</v>
      </c>
      <c r="J1575">
        <v>2</v>
      </c>
      <c r="K1575">
        <v>249</v>
      </c>
      <c r="L1575">
        <f>Table1[[#This Row],[Quantity]] * Table1[[#This Row],[UnitPrice]]</f>
        <v>498</v>
      </c>
      <c r="M1575" s="25">
        <v>15</v>
      </c>
      <c r="N1575">
        <f>Table1[[#This Row],[Revenue]]*Table1[[#This Row],[Discount%]]/100</f>
        <v>74.7</v>
      </c>
      <c r="O1575" s="6">
        <f>Table1[[#This Row],[Revenue]]-Table1[[#This Row],[Disc_amount]]</f>
        <v>423.3</v>
      </c>
      <c r="P1575" t="s">
        <v>33</v>
      </c>
      <c r="Q1575" t="s">
        <v>27</v>
      </c>
    </row>
    <row r="1576" spans="1:17">
      <c r="A1576" t="s">
        <v>2372</v>
      </c>
      <c r="B1576" s="1" t="s">
        <v>2366</v>
      </c>
      <c r="C1576" s="1" t="s">
        <v>2242</v>
      </c>
      <c r="D1576" s="1" t="s">
        <v>20</v>
      </c>
      <c r="E1576" t="s">
        <v>1264</v>
      </c>
      <c r="F1576" t="s">
        <v>462</v>
      </c>
      <c r="G1576" t="s">
        <v>45</v>
      </c>
      <c r="H1576" t="s">
        <v>57</v>
      </c>
      <c r="I1576" t="s">
        <v>62</v>
      </c>
      <c r="J1576">
        <v>1</v>
      </c>
      <c r="K1576">
        <v>799</v>
      </c>
      <c r="L1576">
        <f>Table1[[#This Row],[Quantity]] * Table1[[#This Row],[UnitPrice]]</f>
        <v>799</v>
      </c>
      <c r="M1576" s="25">
        <v>0</v>
      </c>
      <c r="N1576">
        <f>Table1[[#This Row],[Revenue]]*Table1[[#This Row],[Discount%]]/100</f>
        <v>0</v>
      </c>
      <c r="O1576" s="6">
        <f>Table1[[#This Row],[Revenue]]-Table1[[#This Row],[Disc_amount]]</f>
        <v>799</v>
      </c>
      <c r="P1576" t="s">
        <v>41</v>
      </c>
      <c r="Q1576" t="s">
        <v>27</v>
      </c>
    </row>
    <row r="1577" spans="1:17">
      <c r="A1577" t="s">
        <v>2373</v>
      </c>
      <c r="B1577" s="1" t="s">
        <v>2366</v>
      </c>
      <c r="C1577" s="1" t="s">
        <v>2242</v>
      </c>
      <c r="D1577" s="1" t="s">
        <v>20</v>
      </c>
      <c r="E1577" t="s">
        <v>1744</v>
      </c>
      <c r="F1577" t="s">
        <v>546</v>
      </c>
      <c r="G1577" t="s">
        <v>56</v>
      </c>
      <c r="H1577" t="s">
        <v>65</v>
      </c>
      <c r="I1577" t="s">
        <v>94</v>
      </c>
      <c r="J1577">
        <v>2</v>
      </c>
      <c r="K1577">
        <v>899</v>
      </c>
      <c r="L1577">
        <f>Table1[[#This Row],[Quantity]] * Table1[[#This Row],[UnitPrice]]</f>
        <v>1798</v>
      </c>
      <c r="M1577" s="25">
        <v>0</v>
      </c>
      <c r="N1577">
        <f>Table1[[#This Row],[Revenue]]*Table1[[#This Row],[Discount%]]/100</f>
        <v>0</v>
      </c>
      <c r="O1577" s="6">
        <f>Table1[[#This Row],[Revenue]]-Table1[[#This Row],[Disc_amount]]</f>
        <v>1798</v>
      </c>
      <c r="P1577" t="s">
        <v>26</v>
      </c>
      <c r="Q1577" t="s">
        <v>34</v>
      </c>
    </row>
    <row r="1578" spans="1:17">
      <c r="A1578" t="s">
        <v>2374</v>
      </c>
      <c r="B1578" s="1" t="s">
        <v>2366</v>
      </c>
      <c r="C1578" s="1" t="s">
        <v>2242</v>
      </c>
      <c r="D1578" s="1" t="s">
        <v>20</v>
      </c>
      <c r="E1578" t="s">
        <v>1259</v>
      </c>
      <c r="F1578" t="s">
        <v>1260</v>
      </c>
      <c r="G1578" t="s">
        <v>56</v>
      </c>
      <c r="H1578" t="s">
        <v>70</v>
      </c>
      <c r="I1578" t="s">
        <v>91</v>
      </c>
      <c r="J1578">
        <v>2</v>
      </c>
      <c r="K1578">
        <v>549</v>
      </c>
      <c r="L1578">
        <f>Table1[[#This Row],[Quantity]] * Table1[[#This Row],[UnitPrice]]</f>
        <v>1098</v>
      </c>
      <c r="M1578" s="25">
        <v>0</v>
      </c>
      <c r="N1578">
        <f>Table1[[#This Row],[Revenue]]*Table1[[#This Row],[Discount%]]/100</f>
        <v>0</v>
      </c>
      <c r="O1578" s="6">
        <f>Table1[[#This Row],[Revenue]]-Table1[[#This Row],[Disc_amount]]</f>
        <v>1098</v>
      </c>
      <c r="P1578" t="s">
        <v>41</v>
      </c>
      <c r="Q1578" t="s">
        <v>27</v>
      </c>
    </row>
    <row r="1579" spans="1:17">
      <c r="A1579" t="s">
        <v>2375</v>
      </c>
      <c r="B1579" s="1" t="s">
        <v>2366</v>
      </c>
      <c r="C1579" s="1" t="s">
        <v>2242</v>
      </c>
      <c r="D1579" s="1" t="s">
        <v>20</v>
      </c>
      <c r="E1579" t="s">
        <v>928</v>
      </c>
      <c r="F1579" t="s">
        <v>147</v>
      </c>
      <c r="G1579" t="s">
        <v>56</v>
      </c>
      <c r="H1579" t="s">
        <v>57</v>
      </c>
      <c r="I1579" t="s">
        <v>62</v>
      </c>
      <c r="J1579">
        <v>1</v>
      </c>
      <c r="K1579">
        <v>799</v>
      </c>
      <c r="L1579">
        <f>Table1[[#This Row],[Quantity]] * Table1[[#This Row],[UnitPrice]]</f>
        <v>799</v>
      </c>
      <c r="M1579" s="25">
        <v>0</v>
      </c>
      <c r="N1579">
        <f>Table1[[#This Row],[Revenue]]*Table1[[#This Row],[Discount%]]/100</f>
        <v>0</v>
      </c>
      <c r="O1579" s="6">
        <f>Table1[[#This Row],[Revenue]]-Table1[[#This Row],[Disc_amount]]</f>
        <v>799</v>
      </c>
      <c r="P1579" t="s">
        <v>41</v>
      </c>
      <c r="Q1579" t="s">
        <v>27</v>
      </c>
    </row>
    <row r="1580" spans="1:17">
      <c r="A1580" t="s">
        <v>2376</v>
      </c>
      <c r="B1580" s="1" t="s">
        <v>2366</v>
      </c>
      <c r="C1580" s="1" t="s">
        <v>2242</v>
      </c>
      <c r="D1580" s="1" t="s">
        <v>20</v>
      </c>
      <c r="E1580" t="s">
        <v>1637</v>
      </c>
      <c r="F1580" t="s">
        <v>209</v>
      </c>
      <c r="G1580" t="s">
        <v>56</v>
      </c>
      <c r="H1580" t="s">
        <v>108</v>
      </c>
      <c r="I1580" t="s">
        <v>130</v>
      </c>
      <c r="J1580">
        <v>1</v>
      </c>
      <c r="K1580">
        <v>699</v>
      </c>
      <c r="L1580">
        <f>Table1[[#This Row],[Quantity]] * Table1[[#This Row],[UnitPrice]]</f>
        <v>699</v>
      </c>
      <c r="M1580" s="25">
        <v>5</v>
      </c>
      <c r="N1580">
        <f>Table1[[#This Row],[Revenue]]*Table1[[#This Row],[Discount%]]/100</f>
        <v>34.950000000000003</v>
      </c>
      <c r="O1580" s="6">
        <f>Table1[[#This Row],[Revenue]]-Table1[[#This Row],[Disc_amount]]</f>
        <v>664.05</v>
      </c>
      <c r="P1580" t="s">
        <v>52</v>
      </c>
      <c r="Q1580" t="s">
        <v>34</v>
      </c>
    </row>
    <row r="1581" spans="1:17">
      <c r="A1581" t="s">
        <v>2377</v>
      </c>
      <c r="B1581" s="1" t="s">
        <v>2378</v>
      </c>
      <c r="C1581" s="1" t="s">
        <v>2242</v>
      </c>
      <c r="D1581" s="1" t="s">
        <v>20</v>
      </c>
      <c r="E1581" t="s">
        <v>275</v>
      </c>
      <c r="F1581" t="s">
        <v>276</v>
      </c>
      <c r="G1581" t="s">
        <v>45</v>
      </c>
      <c r="H1581" t="s">
        <v>39</v>
      </c>
      <c r="I1581" t="s">
        <v>40</v>
      </c>
      <c r="J1581">
        <v>1</v>
      </c>
      <c r="K1581">
        <v>599</v>
      </c>
      <c r="L1581">
        <f>Table1[[#This Row],[Quantity]] * Table1[[#This Row],[UnitPrice]]</f>
        <v>599</v>
      </c>
      <c r="M1581" s="25">
        <v>0</v>
      </c>
      <c r="N1581">
        <f>Table1[[#This Row],[Revenue]]*Table1[[#This Row],[Discount%]]/100</f>
        <v>0</v>
      </c>
      <c r="O1581" s="6">
        <f>Table1[[#This Row],[Revenue]]-Table1[[#This Row],[Disc_amount]]</f>
        <v>599</v>
      </c>
      <c r="P1581" t="s">
        <v>86</v>
      </c>
      <c r="Q1581" t="s">
        <v>27</v>
      </c>
    </row>
    <row r="1582" spans="1:17">
      <c r="A1582" t="s">
        <v>2379</v>
      </c>
      <c r="B1582" s="1" t="s">
        <v>2378</v>
      </c>
      <c r="C1582" s="1" t="s">
        <v>2242</v>
      </c>
      <c r="D1582" s="1" t="s">
        <v>20</v>
      </c>
      <c r="E1582" t="s">
        <v>1567</v>
      </c>
      <c r="F1582" t="s">
        <v>143</v>
      </c>
      <c r="G1582" t="s">
        <v>45</v>
      </c>
      <c r="H1582" t="s">
        <v>57</v>
      </c>
      <c r="I1582" t="s">
        <v>58</v>
      </c>
      <c r="J1582">
        <v>1</v>
      </c>
      <c r="K1582">
        <v>1299</v>
      </c>
      <c r="L1582">
        <f>Table1[[#This Row],[Quantity]] * Table1[[#This Row],[UnitPrice]]</f>
        <v>1299</v>
      </c>
      <c r="M1582" s="25">
        <v>20</v>
      </c>
      <c r="N1582">
        <f>Table1[[#This Row],[Revenue]]*Table1[[#This Row],[Discount%]]/100</f>
        <v>259.8</v>
      </c>
      <c r="O1582" s="6">
        <f>Table1[[#This Row],[Revenue]]-Table1[[#This Row],[Disc_amount]]</f>
        <v>1039.2</v>
      </c>
      <c r="P1582" t="s">
        <v>33</v>
      </c>
      <c r="Q1582" t="s">
        <v>27</v>
      </c>
    </row>
    <row r="1583" spans="1:17">
      <c r="A1583" t="s">
        <v>2380</v>
      </c>
      <c r="B1583" s="1" t="s">
        <v>2378</v>
      </c>
      <c r="C1583" s="1" t="s">
        <v>2242</v>
      </c>
      <c r="D1583" s="1" t="s">
        <v>20</v>
      </c>
      <c r="E1583" t="s">
        <v>1064</v>
      </c>
      <c r="F1583" t="s">
        <v>183</v>
      </c>
      <c r="G1583" t="s">
        <v>38</v>
      </c>
      <c r="H1583" t="s">
        <v>39</v>
      </c>
      <c r="I1583" t="s">
        <v>51</v>
      </c>
      <c r="J1583">
        <v>1</v>
      </c>
      <c r="K1583">
        <v>2999</v>
      </c>
      <c r="L1583">
        <f>Table1[[#This Row],[Quantity]] * Table1[[#This Row],[UnitPrice]]</f>
        <v>2999</v>
      </c>
      <c r="M1583" s="25">
        <v>0</v>
      </c>
      <c r="N1583">
        <f>Table1[[#This Row],[Revenue]]*Table1[[#This Row],[Discount%]]/100</f>
        <v>0</v>
      </c>
      <c r="O1583" s="6">
        <f>Table1[[#This Row],[Revenue]]-Table1[[#This Row],[Disc_amount]]</f>
        <v>2999</v>
      </c>
      <c r="P1583" t="s">
        <v>26</v>
      </c>
      <c r="Q1583" t="s">
        <v>34</v>
      </c>
    </row>
    <row r="1584" spans="1:17">
      <c r="A1584" t="s">
        <v>2381</v>
      </c>
      <c r="B1584" s="1" t="s">
        <v>2378</v>
      </c>
      <c r="C1584" s="1" t="s">
        <v>2242</v>
      </c>
      <c r="D1584" s="1" t="s">
        <v>20</v>
      </c>
      <c r="E1584" t="s">
        <v>801</v>
      </c>
      <c r="F1584" t="s">
        <v>802</v>
      </c>
      <c r="G1584" t="s">
        <v>56</v>
      </c>
      <c r="H1584" t="s">
        <v>57</v>
      </c>
      <c r="I1584" t="s">
        <v>58</v>
      </c>
      <c r="J1584">
        <v>5</v>
      </c>
      <c r="K1584">
        <v>1299</v>
      </c>
      <c r="L1584">
        <f>Table1[[#This Row],[Quantity]] * Table1[[#This Row],[UnitPrice]]</f>
        <v>6495</v>
      </c>
      <c r="M1584" s="25">
        <v>0</v>
      </c>
      <c r="N1584">
        <f>Table1[[#This Row],[Revenue]]*Table1[[#This Row],[Discount%]]/100</f>
        <v>0</v>
      </c>
      <c r="O1584" s="6">
        <f>Table1[[#This Row],[Revenue]]-Table1[[#This Row],[Disc_amount]]</f>
        <v>6495</v>
      </c>
      <c r="P1584" t="s">
        <v>41</v>
      </c>
      <c r="Q1584" t="s">
        <v>27</v>
      </c>
    </row>
    <row r="1585" spans="1:17">
      <c r="A1585" t="s">
        <v>2382</v>
      </c>
      <c r="B1585" s="1" t="s">
        <v>2378</v>
      </c>
      <c r="C1585" s="1" t="s">
        <v>2242</v>
      </c>
      <c r="D1585" s="1" t="s">
        <v>20</v>
      </c>
      <c r="E1585" t="s">
        <v>1291</v>
      </c>
      <c r="F1585" t="s">
        <v>1292</v>
      </c>
      <c r="G1585" t="s">
        <v>31</v>
      </c>
      <c r="H1585" t="s">
        <v>46</v>
      </c>
      <c r="I1585" t="s">
        <v>154</v>
      </c>
      <c r="J1585">
        <v>2</v>
      </c>
      <c r="K1585">
        <v>299</v>
      </c>
      <c r="L1585">
        <f>Table1[[#This Row],[Quantity]] * Table1[[#This Row],[UnitPrice]]</f>
        <v>598</v>
      </c>
      <c r="M1585" s="25">
        <v>0</v>
      </c>
      <c r="N1585">
        <f>Table1[[#This Row],[Revenue]]*Table1[[#This Row],[Discount%]]/100</f>
        <v>0</v>
      </c>
      <c r="O1585" s="6">
        <f>Table1[[#This Row],[Revenue]]-Table1[[#This Row],[Disc_amount]]</f>
        <v>598</v>
      </c>
      <c r="P1585" t="s">
        <v>41</v>
      </c>
      <c r="Q1585" t="s">
        <v>27</v>
      </c>
    </row>
    <row r="1586" spans="1:17">
      <c r="A1586" t="s">
        <v>2383</v>
      </c>
      <c r="B1586" s="1" t="s">
        <v>2378</v>
      </c>
      <c r="C1586" s="1" t="s">
        <v>2242</v>
      </c>
      <c r="D1586" s="1" t="s">
        <v>20</v>
      </c>
      <c r="E1586" t="s">
        <v>761</v>
      </c>
      <c r="F1586" t="s">
        <v>44</v>
      </c>
      <c r="G1586" t="s">
        <v>38</v>
      </c>
      <c r="H1586" t="s">
        <v>65</v>
      </c>
      <c r="I1586" t="s">
        <v>98</v>
      </c>
      <c r="J1586">
        <v>1</v>
      </c>
      <c r="K1586">
        <v>499</v>
      </c>
      <c r="L1586">
        <f>Table1[[#This Row],[Quantity]] * Table1[[#This Row],[UnitPrice]]</f>
        <v>499</v>
      </c>
      <c r="M1586" s="25">
        <v>0</v>
      </c>
      <c r="N1586">
        <f>Table1[[#This Row],[Revenue]]*Table1[[#This Row],[Discount%]]/100</f>
        <v>0</v>
      </c>
      <c r="O1586" s="6">
        <f>Table1[[#This Row],[Revenue]]-Table1[[#This Row],[Disc_amount]]</f>
        <v>499</v>
      </c>
      <c r="P1586" t="s">
        <v>26</v>
      </c>
      <c r="Q1586" t="s">
        <v>34</v>
      </c>
    </row>
    <row r="1587" spans="1:17">
      <c r="A1587" t="s">
        <v>2384</v>
      </c>
      <c r="B1587" s="1" t="s">
        <v>2378</v>
      </c>
      <c r="C1587" s="1" t="s">
        <v>2242</v>
      </c>
      <c r="D1587" s="1" t="s">
        <v>20</v>
      </c>
      <c r="E1587" t="s">
        <v>175</v>
      </c>
      <c r="F1587" t="s">
        <v>176</v>
      </c>
      <c r="G1587" t="s">
        <v>45</v>
      </c>
      <c r="H1587" t="s">
        <v>70</v>
      </c>
      <c r="I1587" t="s">
        <v>71</v>
      </c>
      <c r="J1587">
        <v>2</v>
      </c>
      <c r="K1587">
        <v>349</v>
      </c>
      <c r="L1587">
        <f>Table1[[#This Row],[Quantity]] * Table1[[#This Row],[UnitPrice]]</f>
        <v>698</v>
      </c>
      <c r="M1587" s="25">
        <v>5</v>
      </c>
      <c r="N1587">
        <f>Table1[[#This Row],[Revenue]]*Table1[[#This Row],[Discount%]]/100</f>
        <v>34.9</v>
      </c>
      <c r="O1587" s="6">
        <f>Table1[[#This Row],[Revenue]]-Table1[[#This Row],[Disc_amount]]</f>
        <v>663.1</v>
      </c>
      <c r="P1587" t="s">
        <v>41</v>
      </c>
      <c r="Q1587" t="s">
        <v>34</v>
      </c>
    </row>
    <row r="1588" spans="1:17">
      <c r="A1588" t="s">
        <v>2385</v>
      </c>
      <c r="B1588" s="1" t="s">
        <v>2378</v>
      </c>
      <c r="C1588" s="1" t="s">
        <v>2242</v>
      </c>
      <c r="D1588" s="1" t="s">
        <v>20</v>
      </c>
      <c r="E1588" t="s">
        <v>2326</v>
      </c>
      <c r="F1588" t="s">
        <v>129</v>
      </c>
      <c r="G1588" t="s">
        <v>56</v>
      </c>
      <c r="H1588" t="s">
        <v>39</v>
      </c>
      <c r="I1588" t="s">
        <v>40</v>
      </c>
      <c r="J1588">
        <v>1</v>
      </c>
      <c r="K1588">
        <v>599</v>
      </c>
      <c r="L1588">
        <f>Table1[[#This Row],[Quantity]] * Table1[[#This Row],[UnitPrice]]</f>
        <v>599</v>
      </c>
      <c r="M1588" s="25">
        <v>20</v>
      </c>
      <c r="N1588">
        <f>Table1[[#This Row],[Revenue]]*Table1[[#This Row],[Discount%]]/100</f>
        <v>119.8</v>
      </c>
      <c r="O1588" s="6">
        <f>Table1[[#This Row],[Revenue]]-Table1[[#This Row],[Disc_amount]]</f>
        <v>479.2</v>
      </c>
      <c r="P1588" t="s">
        <v>26</v>
      </c>
      <c r="Q1588" t="s">
        <v>34</v>
      </c>
    </row>
    <row r="1589" spans="1:17">
      <c r="A1589" t="s">
        <v>2386</v>
      </c>
      <c r="B1589" s="1" t="s">
        <v>2378</v>
      </c>
      <c r="C1589" s="1" t="s">
        <v>2242</v>
      </c>
      <c r="D1589" s="1" t="s">
        <v>20</v>
      </c>
      <c r="E1589" t="s">
        <v>970</v>
      </c>
      <c r="F1589" t="s">
        <v>971</v>
      </c>
      <c r="G1589" t="s">
        <v>31</v>
      </c>
      <c r="H1589" t="s">
        <v>108</v>
      </c>
      <c r="I1589" t="s">
        <v>109</v>
      </c>
      <c r="J1589">
        <v>1</v>
      </c>
      <c r="K1589">
        <v>1499</v>
      </c>
      <c r="L1589">
        <f>Table1[[#This Row],[Quantity]] * Table1[[#This Row],[UnitPrice]]</f>
        <v>1499</v>
      </c>
      <c r="M1589" s="25">
        <v>0</v>
      </c>
      <c r="N1589">
        <f>Table1[[#This Row],[Revenue]]*Table1[[#This Row],[Discount%]]/100</f>
        <v>0</v>
      </c>
      <c r="O1589" s="6">
        <f>Table1[[#This Row],[Revenue]]-Table1[[#This Row],[Disc_amount]]</f>
        <v>1499</v>
      </c>
      <c r="P1589" t="s">
        <v>86</v>
      </c>
      <c r="Q1589" t="s">
        <v>27</v>
      </c>
    </row>
    <row r="1590" spans="1:17">
      <c r="A1590" t="s">
        <v>2387</v>
      </c>
      <c r="B1590" s="1" t="s">
        <v>2388</v>
      </c>
      <c r="C1590" s="1" t="s">
        <v>2242</v>
      </c>
      <c r="D1590" s="1" t="s">
        <v>20</v>
      </c>
      <c r="E1590" t="s">
        <v>943</v>
      </c>
      <c r="F1590" t="s">
        <v>944</v>
      </c>
      <c r="G1590" t="s">
        <v>23</v>
      </c>
      <c r="H1590" t="s">
        <v>46</v>
      </c>
      <c r="I1590" t="s">
        <v>47</v>
      </c>
      <c r="J1590">
        <v>1</v>
      </c>
      <c r="K1590">
        <v>249</v>
      </c>
      <c r="L1590">
        <f>Table1[[#This Row],[Quantity]] * Table1[[#This Row],[UnitPrice]]</f>
        <v>249</v>
      </c>
      <c r="M1590" s="25">
        <v>0</v>
      </c>
      <c r="N1590">
        <f>Table1[[#This Row],[Revenue]]*Table1[[#This Row],[Discount%]]/100</f>
        <v>0</v>
      </c>
      <c r="O1590" s="6">
        <f>Table1[[#This Row],[Revenue]]-Table1[[#This Row],[Disc_amount]]</f>
        <v>249</v>
      </c>
      <c r="P1590" t="s">
        <v>86</v>
      </c>
      <c r="Q1590" t="s">
        <v>34</v>
      </c>
    </row>
    <row r="1591" spans="1:17">
      <c r="A1591" t="s">
        <v>2389</v>
      </c>
      <c r="B1591" s="1" t="s">
        <v>2388</v>
      </c>
      <c r="C1591" s="1" t="s">
        <v>2242</v>
      </c>
      <c r="D1591" s="1" t="s">
        <v>20</v>
      </c>
      <c r="E1591" t="s">
        <v>43</v>
      </c>
      <c r="F1591" t="s">
        <v>44</v>
      </c>
      <c r="G1591" t="s">
        <v>56</v>
      </c>
      <c r="H1591" t="s">
        <v>46</v>
      </c>
      <c r="I1591" t="s">
        <v>47</v>
      </c>
      <c r="J1591">
        <v>4</v>
      </c>
      <c r="K1591">
        <v>249</v>
      </c>
      <c r="L1591">
        <f>Table1[[#This Row],[Quantity]] * Table1[[#This Row],[UnitPrice]]</f>
        <v>996</v>
      </c>
      <c r="M1591" s="25">
        <v>0</v>
      </c>
      <c r="N1591">
        <f>Table1[[#This Row],[Revenue]]*Table1[[#This Row],[Discount%]]/100</f>
        <v>0</v>
      </c>
      <c r="O1591" s="6">
        <f>Table1[[#This Row],[Revenue]]-Table1[[#This Row],[Disc_amount]]</f>
        <v>996</v>
      </c>
      <c r="P1591" t="s">
        <v>41</v>
      </c>
      <c r="Q1591" t="s">
        <v>34</v>
      </c>
    </row>
    <row r="1592" spans="1:17">
      <c r="A1592" t="s">
        <v>2390</v>
      </c>
      <c r="B1592" s="1" t="s">
        <v>2388</v>
      </c>
      <c r="C1592" s="1" t="s">
        <v>2242</v>
      </c>
      <c r="D1592" s="1" t="s">
        <v>20</v>
      </c>
      <c r="E1592" t="s">
        <v>758</v>
      </c>
      <c r="F1592" t="s">
        <v>759</v>
      </c>
      <c r="G1592" t="s">
        <v>38</v>
      </c>
      <c r="H1592" t="s">
        <v>70</v>
      </c>
      <c r="I1592" t="s">
        <v>91</v>
      </c>
      <c r="J1592">
        <v>1</v>
      </c>
      <c r="K1592">
        <v>549</v>
      </c>
      <c r="L1592">
        <f>Table1[[#This Row],[Quantity]] * Table1[[#This Row],[UnitPrice]]</f>
        <v>549</v>
      </c>
      <c r="M1592" s="25">
        <v>10</v>
      </c>
      <c r="N1592">
        <f>Table1[[#This Row],[Revenue]]*Table1[[#This Row],[Discount%]]/100</f>
        <v>54.9</v>
      </c>
      <c r="O1592" s="6">
        <f>Table1[[#This Row],[Revenue]]-Table1[[#This Row],[Disc_amount]]</f>
        <v>494.1</v>
      </c>
      <c r="P1592" t="s">
        <v>26</v>
      </c>
      <c r="Q1592" t="s">
        <v>27</v>
      </c>
    </row>
    <row r="1593" spans="1:17">
      <c r="A1593" t="s">
        <v>2391</v>
      </c>
      <c r="B1593" s="1" t="s">
        <v>2388</v>
      </c>
      <c r="C1593" s="1" t="s">
        <v>2242</v>
      </c>
      <c r="D1593" s="1" t="s">
        <v>20</v>
      </c>
      <c r="E1593" t="s">
        <v>282</v>
      </c>
      <c r="F1593" t="s">
        <v>283</v>
      </c>
      <c r="G1593" t="s">
        <v>31</v>
      </c>
      <c r="H1593" t="s">
        <v>65</v>
      </c>
      <c r="I1593" t="s">
        <v>66</v>
      </c>
      <c r="J1593">
        <v>1</v>
      </c>
      <c r="K1593">
        <v>1999</v>
      </c>
      <c r="L1593">
        <f>Table1[[#This Row],[Quantity]] * Table1[[#This Row],[UnitPrice]]</f>
        <v>1999</v>
      </c>
      <c r="M1593" s="25">
        <v>15</v>
      </c>
      <c r="N1593">
        <f>Table1[[#This Row],[Revenue]]*Table1[[#This Row],[Discount%]]/100</f>
        <v>299.85000000000002</v>
      </c>
      <c r="O1593" s="6">
        <f>Table1[[#This Row],[Revenue]]-Table1[[#This Row],[Disc_amount]]</f>
        <v>1699.15</v>
      </c>
      <c r="P1593" t="s">
        <v>52</v>
      </c>
      <c r="Q1593" t="s">
        <v>34</v>
      </c>
    </row>
    <row r="1594" spans="1:17">
      <c r="A1594" t="s">
        <v>2392</v>
      </c>
      <c r="B1594" s="1" t="s">
        <v>2388</v>
      </c>
      <c r="C1594" s="1" t="s">
        <v>2242</v>
      </c>
      <c r="D1594" s="1" t="s">
        <v>20</v>
      </c>
      <c r="E1594" t="s">
        <v>921</v>
      </c>
      <c r="F1594" t="s">
        <v>104</v>
      </c>
      <c r="G1594" t="s">
        <v>56</v>
      </c>
      <c r="H1594" t="s">
        <v>39</v>
      </c>
      <c r="I1594" t="s">
        <v>140</v>
      </c>
      <c r="J1594">
        <v>4</v>
      </c>
      <c r="K1594">
        <v>1799</v>
      </c>
      <c r="L1594">
        <f>Table1[[#This Row],[Quantity]] * Table1[[#This Row],[UnitPrice]]</f>
        <v>7196</v>
      </c>
      <c r="M1594" s="25">
        <v>10</v>
      </c>
      <c r="N1594">
        <f>Table1[[#This Row],[Revenue]]*Table1[[#This Row],[Discount%]]/100</f>
        <v>719.6</v>
      </c>
      <c r="O1594" s="6">
        <f>Table1[[#This Row],[Revenue]]-Table1[[#This Row],[Disc_amount]]</f>
        <v>6476.4</v>
      </c>
      <c r="P1594" t="s">
        <v>86</v>
      </c>
      <c r="Q1594" t="s">
        <v>34</v>
      </c>
    </row>
    <row r="1595" spans="1:17">
      <c r="A1595" t="s">
        <v>2393</v>
      </c>
      <c r="B1595" s="1" t="s">
        <v>2394</v>
      </c>
      <c r="C1595" s="1" t="s">
        <v>2242</v>
      </c>
      <c r="D1595" s="1" t="s">
        <v>20</v>
      </c>
      <c r="E1595" t="s">
        <v>1575</v>
      </c>
      <c r="F1595" t="s">
        <v>311</v>
      </c>
      <c r="G1595" t="s">
        <v>23</v>
      </c>
      <c r="H1595" t="s">
        <v>108</v>
      </c>
      <c r="I1595" t="s">
        <v>109</v>
      </c>
      <c r="J1595">
        <v>2</v>
      </c>
      <c r="K1595">
        <v>1499</v>
      </c>
      <c r="L1595">
        <f>Table1[[#This Row],[Quantity]] * Table1[[#This Row],[UnitPrice]]</f>
        <v>2998</v>
      </c>
      <c r="M1595" s="25">
        <v>0</v>
      </c>
      <c r="N1595">
        <f>Table1[[#This Row],[Revenue]]*Table1[[#This Row],[Discount%]]/100</f>
        <v>0</v>
      </c>
      <c r="O1595" s="6">
        <f>Table1[[#This Row],[Revenue]]-Table1[[#This Row],[Disc_amount]]</f>
        <v>2998</v>
      </c>
      <c r="P1595" t="s">
        <v>41</v>
      </c>
      <c r="Q1595" t="s">
        <v>27</v>
      </c>
    </row>
    <row r="1596" spans="1:17">
      <c r="A1596" t="s">
        <v>2395</v>
      </c>
      <c r="B1596" s="1" t="s">
        <v>2394</v>
      </c>
      <c r="C1596" s="1" t="s">
        <v>2242</v>
      </c>
      <c r="D1596" s="1" t="s">
        <v>20</v>
      </c>
      <c r="E1596" t="s">
        <v>817</v>
      </c>
      <c r="F1596" t="s">
        <v>150</v>
      </c>
      <c r="G1596" t="s">
        <v>56</v>
      </c>
      <c r="H1596" t="s">
        <v>57</v>
      </c>
      <c r="I1596" t="s">
        <v>62</v>
      </c>
      <c r="J1596">
        <v>1</v>
      </c>
      <c r="K1596">
        <v>799</v>
      </c>
      <c r="L1596">
        <f>Table1[[#This Row],[Quantity]] * Table1[[#This Row],[UnitPrice]]</f>
        <v>799</v>
      </c>
      <c r="M1596" s="25">
        <v>0</v>
      </c>
      <c r="N1596">
        <f>Table1[[#This Row],[Revenue]]*Table1[[#This Row],[Discount%]]/100</f>
        <v>0</v>
      </c>
      <c r="O1596" s="6">
        <f>Table1[[#This Row],[Revenue]]-Table1[[#This Row],[Disc_amount]]</f>
        <v>799</v>
      </c>
      <c r="P1596" t="s">
        <v>26</v>
      </c>
      <c r="Q1596" t="s">
        <v>27</v>
      </c>
    </row>
    <row r="1597" spans="1:17">
      <c r="A1597" t="s">
        <v>2396</v>
      </c>
      <c r="B1597" s="1" t="s">
        <v>2394</v>
      </c>
      <c r="C1597" s="1" t="s">
        <v>2242</v>
      </c>
      <c r="D1597" s="1" t="s">
        <v>20</v>
      </c>
      <c r="E1597" t="s">
        <v>1382</v>
      </c>
      <c r="F1597" t="s">
        <v>173</v>
      </c>
      <c r="G1597" t="s">
        <v>38</v>
      </c>
      <c r="H1597" t="s">
        <v>65</v>
      </c>
      <c r="I1597" t="s">
        <v>66</v>
      </c>
      <c r="J1597">
        <v>4</v>
      </c>
      <c r="K1597">
        <v>1999</v>
      </c>
      <c r="L1597">
        <f>Table1[[#This Row],[Quantity]] * Table1[[#This Row],[UnitPrice]]</f>
        <v>7996</v>
      </c>
      <c r="M1597" s="25">
        <v>5</v>
      </c>
      <c r="N1597">
        <f>Table1[[#This Row],[Revenue]]*Table1[[#This Row],[Discount%]]/100</f>
        <v>399.8</v>
      </c>
      <c r="O1597" s="6">
        <f>Table1[[#This Row],[Revenue]]-Table1[[#This Row],[Disc_amount]]</f>
        <v>7596.2</v>
      </c>
      <c r="P1597" t="s">
        <v>33</v>
      </c>
      <c r="Q1597" t="s">
        <v>34</v>
      </c>
    </row>
    <row r="1598" spans="1:17">
      <c r="A1598" t="s">
        <v>2397</v>
      </c>
      <c r="B1598" s="1" t="s">
        <v>2394</v>
      </c>
      <c r="C1598" s="1" t="s">
        <v>2242</v>
      </c>
      <c r="D1598" s="1" t="s">
        <v>20</v>
      </c>
      <c r="E1598" t="s">
        <v>378</v>
      </c>
      <c r="F1598" t="s">
        <v>379</v>
      </c>
      <c r="G1598" t="s">
        <v>23</v>
      </c>
      <c r="H1598" t="s">
        <v>24</v>
      </c>
      <c r="I1598" t="s">
        <v>25</v>
      </c>
      <c r="J1598">
        <v>3</v>
      </c>
      <c r="K1598">
        <v>99</v>
      </c>
      <c r="L1598">
        <f>Table1[[#This Row],[Quantity]] * Table1[[#This Row],[UnitPrice]]</f>
        <v>297</v>
      </c>
      <c r="M1598" s="25">
        <v>0</v>
      </c>
      <c r="N1598">
        <f>Table1[[#This Row],[Revenue]]*Table1[[#This Row],[Discount%]]/100</f>
        <v>0</v>
      </c>
      <c r="O1598" s="6">
        <f>Table1[[#This Row],[Revenue]]-Table1[[#This Row],[Disc_amount]]</f>
        <v>297</v>
      </c>
      <c r="P1598" t="s">
        <v>33</v>
      </c>
      <c r="Q1598" t="s">
        <v>27</v>
      </c>
    </row>
    <row r="1599" spans="1:17">
      <c r="A1599" t="s">
        <v>2398</v>
      </c>
      <c r="B1599" s="1" t="s">
        <v>2394</v>
      </c>
      <c r="C1599" s="1" t="s">
        <v>2242</v>
      </c>
      <c r="D1599" s="1" t="s">
        <v>20</v>
      </c>
      <c r="E1599" t="s">
        <v>297</v>
      </c>
      <c r="F1599" t="s">
        <v>298</v>
      </c>
      <c r="G1599" t="s">
        <v>45</v>
      </c>
      <c r="H1599" t="s">
        <v>46</v>
      </c>
      <c r="I1599" t="s">
        <v>154</v>
      </c>
      <c r="J1599">
        <v>2</v>
      </c>
      <c r="K1599">
        <v>299</v>
      </c>
      <c r="L1599">
        <f>Table1[[#This Row],[Quantity]] * Table1[[#This Row],[UnitPrice]]</f>
        <v>598</v>
      </c>
      <c r="M1599" s="25">
        <v>10</v>
      </c>
      <c r="N1599">
        <f>Table1[[#This Row],[Revenue]]*Table1[[#This Row],[Discount%]]/100</f>
        <v>59.8</v>
      </c>
      <c r="O1599" s="6">
        <f>Table1[[#This Row],[Revenue]]-Table1[[#This Row],[Disc_amount]]</f>
        <v>538.20000000000005</v>
      </c>
      <c r="P1599" t="s">
        <v>41</v>
      </c>
      <c r="Q1599" t="s">
        <v>27</v>
      </c>
    </row>
    <row r="1600" spans="1:17">
      <c r="A1600" t="s">
        <v>2399</v>
      </c>
      <c r="B1600" s="1" t="s">
        <v>2400</v>
      </c>
      <c r="C1600" s="1" t="s">
        <v>2242</v>
      </c>
      <c r="D1600" s="1" t="s">
        <v>20</v>
      </c>
      <c r="E1600" t="s">
        <v>186</v>
      </c>
      <c r="F1600" t="s">
        <v>187</v>
      </c>
      <c r="G1600" t="s">
        <v>45</v>
      </c>
      <c r="H1600" t="s">
        <v>39</v>
      </c>
      <c r="I1600" t="s">
        <v>40</v>
      </c>
      <c r="J1600">
        <v>3</v>
      </c>
      <c r="K1600">
        <v>599</v>
      </c>
      <c r="L1600">
        <f>Table1[[#This Row],[Quantity]] * Table1[[#This Row],[UnitPrice]]</f>
        <v>1797</v>
      </c>
      <c r="M1600" s="25">
        <v>10</v>
      </c>
      <c r="N1600">
        <f>Table1[[#This Row],[Revenue]]*Table1[[#This Row],[Discount%]]/100</f>
        <v>179.7</v>
      </c>
      <c r="O1600" s="6">
        <f>Table1[[#This Row],[Revenue]]-Table1[[#This Row],[Disc_amount]]</f>
        <v>1617.3</v>
      </c>
      <c r="P1600" t="s">
        <v>33</v>
      </c>
      <c r="Q1600" t="s">
        <v>34</v>
      </c>
    </row>
    <row r="1601" spans="1:17">
      <c r="A1601" t="s">
        <v>2401</v>
      </c>
      <c r="B1601" s="1" t="s">
        <v>2400</v>
      </c>
      <c r="C1601" s="1" t="s">
        <v>2242</v>
      </c>
      <c r="D1601" s="1" t="s">
        <v>20</v>
      </c>
      <c r="E1601" t="s">
        <v>1585</v>
      </c>
      <c r="F1601" t="s">
        <v>298</v>
      </c>
      <c r="G1601" t="s">
        <v>45</v>
      </c>
      <c r="H1601" t="s">
        <v>39</v>
      </c>
      <c r="I1601" t="s">
        <v>51</v>
      </c>
      <c r="J1601">
        <v>1</v>
      </c>
      <c r="K1601">
        <v>2999</v>
      </c>
      <c r="L1601">
        <f>Table1[[#This Row],[Quantity]] * Table1[[#This Row],[UnitPrice]]</f>
        <v>2999</v>
      </c>
      <c r="M1601" s="25">
        <v>5</v>
      </c>
      <c r="N1601">
        <f>Table1[[#This Row],[Revenue]]*Table1[[#This Row],[Discount%]]/100</f>
        <v>149.94999999999999</v>
      </c>
      <c r="O1601" s="6">
        <f>Table1[[#This Row],[Revenue]]-Table1[[#This Row],[Disc_amount]]</f>
        <v>2849.05</v>
      </c>
      <c r="P1601" t="s">
        <v>33</v>
      </c>
      <c r="Q1601" t="s">
        <v>34</v>
      </c>
    </row>
    <row r="1602" spans="1:17">
      <c r="A1602" t="s">
        <v>2402</v>
      </c>
      <c r="B1602" s="1" t="s">
        <v>2400</v>
      </c>
      <c r="C1602" s="1" t="s">
        <v>2242</v>
      </c>
      <c r="D1602" s="1" t="s">
        <v>20</v>
      </c>
      <c r="E1602" t="s">
        <v>850</v>
      </c>
      <c r="F1602" t="s">
        <v>759</v>
      </c>
      <c r="G1602" t="s">
        <v>56</v>
      </c>
      <c r="H1602" t="s">
        <v>39</v>
      </c>
      <c r="I1602" t="s">
        <v>40</v>
      </c>
      <c r="J1602">
        <v>2</v>
      </c>
      <c r="K1602">
        <v>599</v>
      </c>
      <c r="L1602">
        <f>Table1[[#This Row],[Quantity]] * Table1[[#This Row],[UnitPrice]]</f>
        <v>1198</v>
      </c>
      <c r="M1602" s="25">
        <v>20</v>
      </c>
      <c r="N1602">
        <f>Table1[[#This Row],[Revenue]]*Table1[[#This Row],[Discount%]]/100</f>
        <v>239.6</v>
      </c>
      <c r="O1602" s="6">
        <f>Table1[[#This Row],[Revenue]]-Table1[[#This Row],[Disc_amount]]</f>
        <v>958.4</v>
      </c>
      <c r="P1602" t="s">
        <v>52</v>
      </c>
      <c r="Q1602" t="s">
        <v>27</v>
      </c>
    </row>
    <row r="1603" spans="1:17">
      <c r="A1603" t="s">
        <v>2403</v>
      </c>
      <c r="B1603" s="1" t="s">
        <v>2400</v>
      </c>
      <c r="C1603" s="1" t="s">
        <v>2242</v>
      </c>
      <c r="D1603" s="1" t="s">
        <v>20</v>
      </c>
      <c r="E1603" t="s">
        <v>1465</v>
      </c>
      <c r="F1603" t="s">
        <v>1466</v>
      </c>
      <c r="G1603" t="s">
        <v>45</v>
      </c>
      <c r="H1603" t="s">
        <v>57</v>
      </c>
      <c r="I1603" t="s">
        <v>58</v>
      </c>
      <c r="J1603">
        <v>2</v>
      </c>
      <c r="K1603">
        <v>1299</v>
      </c>
      <c r="L1603">
        <f>Table1[[#This Row],[Quantity]] * Table1[[#This Row],[UnitPrice]]</f>
        <v>2598</v>
      </c>
      <c r="M1603" s="25">
        <v>0</v>
      </c>
      <c r="N1603">
        <f>Table1[[#This Row],[Revenue]]*Table1[[#This Row],[Discount%]]/100</f>
        <v>0</v>
      </c>
      <c r="O1603" s="6">
        <f>Table1[[#This Row],[Revenue]]-Table1[[#This Row],[Disc_amount]]</f>
        <v>2598</v>
      </c>
      <c r="P1603" t="s">
        <v>41</v>
      </c>
      <c r="Q1603" t="s">
        <v>34</v>
      </c>
    </row>
    <row r="1604" spans="1:17">
      <c r="A1604" t="s">
        <v>2404</v>
      </c>
      <c r="B1604" s="1" t="s">
        <v>2400</v>
      </c>
      <c r="C1604" s="1" t="s">
        <v>2242</v>
      </c>
      <c r="D1604" s="1" t="s">
        <v>20</v>
      </c>
      <c r="E1604" t="s">
        <v>2039</v>
      </c>
      <c r="F1604" t="s">
        <v>358</v>
      </c>
      <c r="G1604" t="s">
        <v>23</v>
      </c>
      <c r="H1604" t="s">
        <v>24</v>
      </c>
      <c r="I1604" t="s">
        <v>25</v>
      </c>
      <c r="J1604">
        <v>1</v>
      </c>
      <c r="K1604">
        <v>99</v>
      </c>
      <c r="L1604">
        <f>Table1[[#This Row],[Quantity]] * Table1[[#This Row],[UnitPrice]]</f>
        <v>99</v>
      </c>
      <c r="M1604" s="25">
        <v>5</v>
      </c>
      <c r="N1604">
        <f>Table1[[#This Row],[Revenue]]*Table1[[#This Row],[Discount%]]/100</f>
        <v>4.95</v>
      </c>
      <c r="O1604" s="6">
        <f>Table1[[#This Row],[Revenue]]-Table1[[#This Row],[Disc_amount]]</f>
        <v>94.05</v>
      </c>
      <c r="P1604" t="s">
        <v>52</v>
      </c>
      <c r="Q1604" t="s">
        <v>34</v>
      </c>
    </row>
    <row r="1605" spans="1:17">
      <c r="A1605" t="s">
        <v>2405</v>
      </c>
      <c r="B1605" s="1" t="s">
        <v>2400</v>
      </c>
      <c r="C1605" s="1" t="s">
        <v>2242</v>
      </c>
      <c r="D1605" s="1" t="s">
        <v>20</v>
      </c>
      <c r="E1605" t="s">
        <v>1963</v>
      </c>
      <c r="F1605" t="s">
        <v>1292</v>
      </c>
      <c r="G1605" t="s">
        <v>31</v>
      </c>
      <c r="H1605" t="s">
        <v>65</v>
      </c>
      <c r="I1605" t="s">
        <v>66</v>
      </c>
      <c r="J1605">
        <v>1</v>
      </c>
      <c r="K1605">
        <v>1999</v>
      </c>
      <c r="L1605">
        <f>Table1[[#This Row],[Quantity]] * Table1[[#This Row],[UnitPrice]]</f>
        <v>1999</v>
      </c>
      <c r="M1605" s="25">
        <v>0</v>
      </c>
      <c r="N1605">
        <f>Table1[[#This Row],[Revenue]]*Table1[[#This Row],[Discount%]]/100</f>
        <v>0</v>
      </c>
      <c r="O1605" s="6">
        <f>Table1[[#This Row],[Revenue]]-Table1[[#This Row],[Disc_amount]]</f>
        <v>1999</v>
      </c>
      <c r="P1605" t="s">
        <v>33</v>
      </c>
      <c r="Q1605" t="s">
        <v>27</v>
      </c>
    </row>
    <row r="1606" spans="1:17">
      <c r="A1606" t="s">
        <v>2406</v>
      </c>
      <c r="B1606" s="1" t="s">
        <v>2407</v>
      </c>
      <c r="C1606" s="1" t="s">
        <v>2242</v>
      </c>
      <c r="D1606" s="1" t="s">
        <v>20</v>
      </c>
      <c r="E1606" t="s">
        <v>596</v>
      </c>
      <c r="F1606" t="s">
        <v>597</v>
      </c>
      <c r="G1606" t="s">
        <v>56</v>
      </c>
      <c r="H1606" t="s">
        <v>39</v>
      </c>
      <c r="I1606" t="s">
        <v>51</v>
      </c>
      <c r="J1606">
        <v>2</v>
      </c>
      <c r="K1606">
        <v>2999</v>
      </c>
      <c r="L1606">
        <f>Table1[[#This Row],[Quantity]] * Table1[[#This Row],[UnitPrice]]</f>
        <v>5998</v>
      </c>
      <c r="M1606" s="25">
        <v>0</v>
      </c>
      <c r="N1606">
        <f>Table1[[#This Row],[Revenue]]*Table1[[#This Row],[Discount%]]/100</f>
        <v>0</v>
      </c>
      <c r="O1606" s="6">
        <f>Table1[[#This Row],[Revenue]]-Table1[[#This Row],[Disc_amount]]</f>
        <v>5998</v>
      </c>
      <c r="P1606" t="s">
        <v>41</v>
      </c>
      <c r="Q1606" t="s">
        <v>27</v>
      </c>
    </row>
    <row r="1607" spans="1:17">
      <c r="A1607" t="s">
        <v>2408</v>
      </c>
      <c r="B1607" s="1" t="s">
        <v>2407</v>
      </c>
      <c r="C1607" s="1" t="s">
        <v>2242</v>
      </c>
      <c r="D1607" s="1" t="s">
        <v>20</v>
      </c>
      <c r="E1607" t="s">
        <v>533</v>
      </c>
      <c r="F1607" t="s">
        <v>534</v>
      </c>
      <c r="G1607" t="s">
        <v>56</v>
      </c>
      <c r="H1607" t="s">
        <v>39</v>
      </c>
      <c r="I1607" t="s">
        <v>140</v>
      </c>
      <c r="J1607">
        <v>1</v>
      </c>
      <c r="K1607">
        <v>1799</v>
      </c>
      <c r="L1607">
        <f>Table1[[#This Row],[Quantity]] * Table1[[#This Row],[UnitPrice]]</f>
        <v>1799</v>
      </c>
      <c r="M1607" s="25">
        <v>15</v>
      </c>
      <c r="N1607">
        <f>Table1[[#This Row],[Revenue]]*Table1[[#This Row],[Discount%]]/100</f>
        <v>269.85000000000002</v>
      </c>
      <c r="O1607" s="6">
        <f>Table1[[#This Row],[Revenue]]-Table1[[#This Row],[Disc_amount]]</f>
        <v>1529.15</v>
      </c>
      <c r="P1607" t="s">
        <v>33</v>
      </c>
      <c r="Q1607" t="s">
        <v>27</v>
      </c>
    </row>
    <row r="1608" spans="1:17">
      <c r="A1608" t="s">
        <v>2409</v>
      </c>
      <c r="B1608" s="1" t="s">
        <v>2407</v>
      </c>
      <c r="C1608" s="1" t="s">
        <v>2242</v>
      </c>
      <c r="D1608" s="1" t="s">
        <v>20</v>
      </c>
      <c r="E1608" t="s">
        <v>840</v>
      </c>
      <c r="F1608" t="s">
        <v>462</v>
      </c>
      <c r="G1608" t="s">
        <v>56</v>
      </c>
      <c r="H1608" t="s">
        <v>57</v>
      </c>
      <c r="I1608" t="s">
        <v>62</v>
      </c>
      <c r="J1608">
        <v>2</v>
      </c>
      <c r="K1608">
        <v>799</v>
      </c>
      <c r="L1608">
        <f>Table1[[#This Row],[Quantity]] * Table1[[#This Row],[UnitPrice]]</f>
        <v>1598</v>
      </c>
      <c r="M1608" s="25">
        <v>0</v>
      </c>
      <c r="N1608">
        <f>Table1[[#This Row],[Revenue]]*Table1[[#This Row],[Discount%]]/100</f>
        <v>0</v>
      </c>
      <c r="O1608" s="6">
        <f>Table1[[#This Row],[Revenue]]-Table1[[#This Row],[Disc_amount]]</f>
        <v>1598</v>
      </c>
      <c r="P1608" t="s">
        <v>52</v>
      </c>
      <c r="Q1608" t="s">
        <v>27</v>
      </c>
    </row>
    <row r="1609" spans="1:17">
      <c r="A1609" t="s">
        <v>2410</v>
      </c>
      <c r="B1609" s="1" t="s">
        <v>2407</v>
      </c>
      <c r="C1609" s="1" t="s">
        <v>2242</v>
      </c>
      <c r="D1609" s="1" t="s">
        <v>20</v>
      </c>
      <c r="E1609" t="s">
        <v>89</v>
      </c>
      <c r="F1609" t="s">
        <v>90</v>
      </c>
      <c r="G1609" t="s">
        <v>23</v>
      </c>
      <c r="H1609" t="s">
        <v>39</v>
      </c>
      <c r="I1609" t="s">
        <v>140</v>
      </c>
      <c r="J1609">
        <v>4</v>
      </c>
      <c r="K1609">
        <v>1799</v>
      </c>
      <c r="L1609">
        <f>Table1[[#This Row],[Quantity]] * Table1[[#This Row],[UnitPrice]]</f>
        <v>7196</v>
      </c>
      <c r="M1609" s="25">
        <v>20</v>
      </c>
      <c r="N1609">
        <f>Table1[[#This Row],[Revenue]]*Table1[[#This Row],[Discount%]]/100</f>
        <v>1439.2</v>
      </c>
      <c r="O1609" s="6">
        <f>Table1[[#This Row],[Revenue]]-Table1[[#This Row],[Disc_amount]]</f>
        <v>5756.8</v>
      </c>
      <c r="P1609" t="s">
        <v>33</v>
      </c>
      <c r="Q1609" t="s">
        <v>34</v>
      </c>
    </row>
    <row r="1610" spans="1:17">
      <c r="A1610" t="s">
        <v>2411</v>
      </c>
      <c r="B1610" s="1" t="s">
        <v>2407</v>
      </c>
      <c r="C1610" s="1" t="s">
        <v>2242</v>
      </c>
      <c r="D1610" s="1" t="s">
        <v>20</v>
      </c>
      <c r="E1610" t="s">
        <v>495</v>
      </c>
      <c r="F1610" t="s">
        <v>187</v>
      </c>
      <c r="G1610" t="s">
        <v>38</v>
      </c>
      <c r="H1610" t="s">
        <v>108</v>
      </c>
      <c r="I1610" t="s">
        <v>130</v>
      </c>
      <c r="J1610">
        <v>2</v>
      </c>
      <c r="K1610">
        <v>699</v>
      </c>
      <c r="L1610">
        <f>Table1[[#This Row],[Quantity]] * Table1[[#This Row],[UnitPrice]]</f>
        <v>1398</v>
      </c>
      <c r="M1610" s="25">
        <v>5</v>
      </c>
      <c r="N1610">
        <f>Table1[[#This Row],[Revenue]]*Table1[[#This Row],[Discount%]]/100</f>
        <v>69.900000000000006</v>
      </c>
      <c r="O1610" s="6">
        <f>Table1[[#This Row],[Revenue]]-Table1[[#This Row],[Disc_amount]]</f>
        <v>1328.1</v>
      </c>
      <c r="P1610" t="s">
        <v>33</v>
      </c>
      <c r="Q1610" t="s">
        <v>27</v>
      </c>
    </row>
    <row r="1611" spans="1:17">
      <c r="A1611" t="s">
        <v>2412</v>
      </c>
      <c r="B1611" s="1" t="s">
        <v>2413</v>
      </c>
      <c r="C1611" s="1" t="s">
        <v>2242</v>
      </c>
      <c r="D1611" s="1" t="s">
        <v>20</v>
      </c>
      <c r="E1611" t="s">
        <v>713</v>
      </c>
      <c r="F1611" t="s">
        <v>714</v>
      </c>
      <c r="G1611" t="s">
        <v>38</v>
      </c>
      <c r="H1611" t="s">
        <v>24</v>
      </c>
      <c r="I1611" t="s">
        <v>25</v>
      </c>
      <c r="J1611">
        <v>4</v>
      </c>
      <c r="K1611">
        <v>99</v>
      </c>
      <c r="L1611">
        <f>Table1[[#This Row],[Quantity]] * Table1[[#This Row],[UnitPrice]]</f>
        <v>396</v>
      </c>
      <c r="M1611" s="25">
        <v>20</v>
      </c>
      <c r="N1611">
        <f>Table1[[#This Row],[Revenue]]*Table1[[#This Row],[Discount%]]/100</f>
        <v>79.2</v>
      </c>
      <c r="O1611" s="6">
        <f>Table1[[#This Row],[Revenue]]-Table1[[#This Row],[Disc_amount]]</f>
        <v>316.8</v>
      </c>
      <c r="P1611" t="s">
        <v>33</v>
      </c>
      <c r="Q1611" t="s">
        <v>34</v>
      </c>
    </row>
    <row r="1612" spans="1:17">
      <c r="A1612" t="s">
        <v>2414</v>
      </c>
      <c r="B1612" s="1" t="s">
        <v>2413</v>
      </c>
      <c r="C1612" s="1" t="s">
        <v>2242</v>
      </c>
      <c r="D1612" s="1" t="s">
        <v>20</v>
      </c>
      <c r="E1612" t="s">
        <v>1044</v>
      </c>
      <c r="F1612" t="s">
        <v>587</v>
      </c>
      <c r="G1612" t="s">
        <v>31</v>
      </c>
      <c r="H1612" t="s">
        <v>57</v>
      </c>
      <c r="I1612" t="s">
        <v>62</v>
      </c>
      <c r="J1612">
        <v>3</v>
      </c>
      <c r="K1612">
        <v>799</v>
      </c>
      <c r="L1612">
        <f>Table1[[#This Row],[Quantity]] * Table1[[#This Row],[UnitPrice]]</f>
        <v>2397</v>
      </c>
      <c r="M1612" s="25">
        <v>0</v>
      </c>
      <c r="N1612">
        <f>Table1[[#This Row],[Revenue]]*Table1[[#This Row],[Discount%]]/100</f>
        <v>0</v>
      </c>
      <c r="O1612" s="6">
        <f>Table1[[#This Row],[Revenue]]-Table1[[#This Row],[Disc_amount]]</f>
        <v>2397</v>
      </c>
      <c r="P1612" t="s">
        <v>26</v>
      </c>
      <c r="Q1612" t="s">
        <v>34</v>
      </c>
    </row>
    <row r="1613" spans="1:17">
      <c r="A1613" t="s">
        <v>2415</v>
      </c>
      <c r="B1613" s="1" t="s">
        <v>2413</v>
      </c>
      <c r="C1613" s="1" t="s">
        <v>2242</v>
      </c>
      <c r="D1613" s="1" t="s">
        <v>20</v>
      </c>
      <c r="E1613" t="s">
        <v>375</v>
      </c>
      <c r="F1613" t="s">
        <v>376</v>
      </c>
      <c r="G1613" t="s">
        <v>45</v>
      </c>
      <c r="H1613" t="s">
        <v>24</v>
      </c>
      <c r="I1613" t="s">
        <v>32</v>
      </c>
      <c r="J1613">
        <v>1</v>
      </c>
      <c r="K1613">
        <v>199</v>
      </c>
      <c r="L1613">
        <f>Table1[[#This Row],[Quantity]] * Table1[[#This Row],[UnitPrice]]</f>
        <v>199</v>
      </c>
      <c r="M1613" s="25">
        <v>10</v>
      </c>
      <c r="N1613">
        <f>Table1[[#This Row],[Revenue]]*Table1[[#This Row],[Discount%]]/100</f>
        <v>19.899999999999999</v>
      </c>
      <c r="O1613" s="6">
        <f>Table1[[#This Row],[Revenue]]-Table1[[#This Row],[Disc_amount]]</f>
        <v>179.1</v>
      </c>
      <c r="P1613" t="s">
        <v>52</v>
      </c>
      <c r="Q1613" t="s">
        <v>27</v>
      </c>
    </row>
    <row r="1614" spans="1:17">
      <c r="A1614" t="s">
        <v>2416</v>
      </c>
      <c r="B1614" s="1" t="s">
        <v>2413</v>
      </c>
      <c r="C1614" s="1" t="s">
        <v>2242</v>
      </c>
      <c r="D1614" s="1" t="s">
        <v>20</v>
      </c>
      <c r="E1614" t="s">
        <v>1044</v>
      </c>
      <c r="F1614" t="s">
        <v>587</v>
      </c>
      <c r="G1614" t="s">
        <v>23</v>
      </c>
      <c r="H1614" t="s">
        <v>108</v>
      </c>
      <c r="I1614" t="s">
        <v>109</v>
      </c>
      <c r="J1614">
        <v>1</v>
      </c>
      <c r="K1614">
        <v>1499</v>
      </c>
      <c r="L1614">
        <f>Table1[[#This Row],[Quantity]] * Table1[[#This Row],[UnitPrice]]</f>
        <v>1499</v>
      </c>
      <c r="M1614" s="25">
        <v>20</v>
      </c>
      <c r="N1614">
        <f>Table1[[#This Row],[Revenue]]*Table1[[#This Row],[Discount%]]/100</f>
        <v>299.8</v>
      </c>
      <c r="O1614" s="6">
        <f>Table1[[#This Row],[Revenue]]-Table1[[#This Row],[Disc_amount]]</f>
        <v>1199.2</v>
      </c>
      <c r="P1614" t="s">
        <v>41</v>
      </c>
      <c r="Q1614" t="s">
        <v>27</v>
      </c>
    </row>
    <row r="1615" spans="1:17">
      <c r="A1615" t="s">
        <v>2417</v>
      </c>
      <c r="B1615" s="1" t="s">
        <v>2413</v>
      </c>
      <c r="C1615" s="1" t="s">
        <v>2242</v>
      </c>
      <c r="D1615" s="1" t="s">
        <v>20</v>
      </c>
      <c r="E1615" t="s">
        <v>665</v>
      </c>
      <c r="F1615" t="s">
        <v>666</v>
      </c>
      <c r="G1615" t="s">
        <v>23</v>
      </c>
      <c r="H1615" t="s">
        <v>39</v>
      </c>
      <c r="I1615" t="s">
        <v>40</v>
      </c>
      <c r="J1615">
        <v>2</v>
      </c>
      <c r="K1615">
        <v>599</v>
      </c>
      <c r="L1615">
        <f>Table1[[#This Row],[Quantity]] * Table1[[#This Row],[UnitPrice]]</f>
        <v>1198</v>
      </c>
      <c r="M1615" s="25">
        <v>0</v>
      </c>
      <c r="N1615">
        <f>Table1[[#This Row],[Revenue]]*Table1[[#This Row],[Discount%]]/100</f>
        <v>0</v>
      </c>
      <c r="O1615" s="6">
        <f>Table1[[#This Row],[Revenue]]-Table1[[#This Row],[Disc_amount]]</f>
        <v>1198</v>
      </c>
      <c r="P1615" t="s">
        <v>41</v>
      </c>
      <c r="Q1615" t="s">
        <v>34</v>
      </c>
    </row>
    <row r="1616" spans="1:17">
      <c r="A1616" t="s">
        <v>2418</v>
      </c>
      <c r="B1616" s="1" t="s">
        <v>2413</v>
      </c>
      <c r="C1616" s="1" t="s">
        <v>2242</v>
      </c>
      <c r="D1616" s="1" t="s">
        <v>20</v>
      </c>
      <c r="E1616" t="s">
        <v>1071</v>
      </c>
      <c r="F1616" t="s">
        <v>118</v>
      </c>
      <c r="G1616" t="s">
        <v>56</v>
      </c>
      <c r="H1616" t="s">
        <v>57</v>
      </c>
      <c r="I1616" t="s">
        <v>58</v>
      </c>
      <c r="J1616">
        <v>1</v>
      </c>
      <c r="K1616">
        <v>1299</v>
      </c>
      <c r="L1616">
        <f>Table1[[#This Row],[Quantity]] * Table1[[#This Row],[UnitPrice]]</f>
        <v>1299</v>
      </c>
      <c r="M1616" s="25">
        <v>0</v>
      </c>
      <c r="N1616">
        <f>Table1[[#This Row],[Revenue]]*Table1[[#This Row],[Discount%]]/100</f>
        <v>0</v>
      </c>
      <c r="O1616" s="6">
        <f>Table1[[#This Row],[Revenue]]-Table1[[#This Row],[Disc_amount]]</f>
        <v>1299</v>
      </c>
      <c r="P1616" t="s">
        <v>26</v>
      </c>
      <c r="Q1616" t="s">
        <v>34</v>
      </c>
    </row>
    <row r="1617" spans="1:17">
      <c r="A1617" t="s">
        <v>2419</v>
      </c>
      <c r="B1617" s="1" t="s">
        <v>2413</v>
      </c>
      <c r="C1617" s="1" t="s">
        <v>2242</v>
      </c>
      <c r="D1617" s="1" t="s">
        <v>20</v>
      </c>
      <c r="E1617" t="s">
        <v>469</v>
      </c>
      <c r="F1617" t="s">
        <v>470</v>
      </c>
      <c r="G1617" t="s">
        <v>31</v>
      </c>
      <c r="H1617" t="s">
        <v>65</v>
      </c>
      <c r="I1617" t="s">
        <v>98</v>
      </c>
      <c r="J1617">
        <v>1</v>
      </c>
      <c r="K1617">
        <v>499</v>
      </c>
      <c r="L1617">
        <f>Table1[[#This Row],[Quantity]] * Table1[[#This Row],[UnitPrice]]</f>
        <v>499</v>
      </c>
      <c r="M1617" s="25">
        <v>0</v>
      </c>
      <c r="N1617">
        <f>Table1[[#This Row],[Revenue]]*Table1[[#This Row],[Discount%]]/100</f>
        <v>0</v>
      </c>
      <c r="O1617" s="6">
        <f>Table1[[#This Row],[Revenue]]-Table1[[#This Row],[Disc_amount]]</f>
        <v>499</v>
      </c>
      <c r="P1617" t="s">
        <v>41</v>
      </c>
      <c r="Q1617" t="s">
        <v>27</v>
      </c>
    </row>
    <row r="1618" spans="1:17">
      <c r="A1618" t="s">
        <v>2420</v>
      </c>
      <c r="B1618" s="1" t="s">
        <v>2413</v>
      </c>
      <c r="C1618" s="1" t="s">
        <v>2242</v>
      </c>
      <c r="D1618" s="1" t="s">
        <v>20</v>
      </c>
      <c r="E1618" t="s">
        <v>733</v>
      </c>
      <c r="F1618" t="s">
        <v>734</v>
      </c>
      <c r="G1618" t="s">
        <v>56</v>
      </c>
      <c r="H1618" t="s">
        <v>108</v>
      </c>
      <c r="I1618" t="s">
        <v>109</v>
      </c>
      <c r="J1618">
        <v>2</v>
      </c>
      <c r="K1618">
        <v>1499</v>
      </c>
      <c r="L1618">
        <f>Table1[[#This Row],[Quantity]] * Table1[[#This Row],[UnitPrice]]</f>
        <v>2998</v>
      </c>
      <c r="M1618" s="25">
        <v>0</v>
      </c>
      <c r="N1618">
        <f>Table1[[#This Row],[Revenue]]*Table1[[#This Row],[Discount%]]/100</f>
        <v>0</v>
      </c>
      <c r="O1618" s="6">
        <f>Table1[[#This Row],[Revenue]]-Table1[[#This Row],[Disc_amount]]</f>
        <v>2998</v>
      </c>
      <c r="P1618" t="s">
        <v>26</v>
      </c>
      <c r="Q1618" t="s">
        <v>27</v>
      </c>
    </row>
    <row r="1619" spans="1:17">
      <c r="A1619" t="s">
        <v>2421</v>
      </c>
      <c r="B1619" s="1" t="s">
        <v>2413</v>
      </c>
      <c r="C1619" s="1" t="s">
        <v>2242</v>
      </c>
      <c r="D1619" s="1" t="s">
        <v>20</v>
      </c>
      <c r="E1619" t="s">
        <v>197</v>
      </c>
      <c r="F1619" t="s">
        <v>198</v>
      </c>
      <c r="G1619" t="s">
        <v>23</v>
      </c>
      <c r="H1619" t="s">
        <v>108</v>
      </c>
      <c r="I1619" t="s">
        <v>130</v>
      </c>
      <c r="J1619">
        <v>2</v>
      </c>
      <c r="K1619">
        <v>699</v>
      </c>
      <c r="L1619">
        <f>Table1[[#This Row],[Quantity]] * Table1[[#This Row],[UnitPrice]]</f>
        <v>1398</v>
      </c>
      <c r="M1619" s="25">
        <v>0</v>
      </c>
      <c r="N1619">
        <f>Table1[[#This Row],[Revenue]]*Table1[[#This Row],[Discount%]]/100</f>
        <v>0</v>
      </c>
      <c r="O1619" s="6">
        <f>Table1[[#This Row],[Revenue]]-Table1[[#This Row],[Disc_amount]]</f>
        <v>1398</v>
      </c>
      <c r="P1619" t="s">
        <v>52</v>
      </c>
      <c r="Q1619" t="s">
        <v>27</v>
      </c>
    </row>
    <row r="1620" spans="1:17">
      <c r="A1620" t="s">
        <v>2422</v>
      </c>
      <c r="B1620" s="1" t="s">
        <v>2413</v>
      </c>
      <c r="C1620" s="1" t="s">
        <v>2242</v>
      </c>
      <c r="D1620" s="1" t="s">
        <v>20</v>
      </c>
      <c r="E1620" t="s">
        <v>475</v>
      </c>
      <c r="F1620" t="s">
        <v>80</v>
      </c>
      <c r="G1620" t="s">
        <v>56</v>
      </c>
      <c r="H1620" t="s">
        <v>39</v>
      </c>
      <c r="I1620" t="s">
        <v>40</v>
      </c>
      <c r="J1620">
        <v>2</v>
      </c>
      <c r="K1620">
        <v>599</v>
      </c>
      <c r="L1620">
        <f>Table1[[#This Row],[Quantity]] * Table1[[#This Row],[UnitPrice]]</f>
        <v>1198</v>
      </c>
      <c r="M1620" s="25">
        <v>0</v>
      </c>
      <c r="N1620">
        <f>Table1[[#This Row],[Revenue]]*Table1[[#This Row],[Discount%]]/100</f>
        <v>0</v>
      </c>
      <c r="O1620" s="6">
        <f>Table1[[#This Row],[Revenue]]-Table1[[#This Row],[Disc_amount]]</f>
        <v>1198</v>
      </c>
      <c r="P1620" t="s">
        <v>52</v>
      </c>
      <c r="Q1620" t="s">
        <v>34</v>
      </c>
    </row>
    <row r="1621" spans="1:17">
      <c r="A1621" t="s">
        <v>2423</v>
      </c>
      <c r="B1621" s="1" t="s">
        <v>2413</v>
      </c>
      <c r="C1621" s="1" t="s">
        <v>2242</v>
      </c>
      <c r="D1621" s="1" t="s">
        <v>20</v>
      </c>
      <c r="E1621" t="s">
        <v>2249</v>
      </c>
      <c r="F1621" t="s">
        <v>107</v>
      </c>
      <c r="G1621" t="s">
        <v>31</v>
      </c>
      <c r="H1621" t="s">
        <v>70</v>
      </c>
      <c r="I1621" t="s">
        <v>91</v>
      </c>
      <c r="J1621">
        <v>2</v>
      </c>
      <c r="K1621">
        <v>549</v>
      </c>
      <c r="L1621">
        <f>Table1[[#This Row],[Quantity]] * Table1[[#This Row],[UnitPrice]]</f>
        <v>1098</v>
      </c>
      <c r="M1621" s="25">
        <v>0</v>
      </c>
      <c r="N1621">
        <f>Table1[[#This Row],[Revenue]]*Table1[[#This Row],[Discount%]]/100</f>
        <v>0</v>
      </c>
      <c r="O1621" s="6">
        <f>Table1[[#This Row],[Revenue]]-Table1[[#This Row],[Disc_amount]]</f>
        <v>1098</v>
      </c>
      <c r="P1621" t="s">
        <v>33</v>
      </c>
      <c r="Q1621" t="s">
        <v>27</v>
      </c>
    </row>
    <row r="1622" spans="1:17">
      <c r="A1622" t="s">
        <v>2424</v>
      </c>
      <c r="B1622" s="1" t="s">
        <v>2413</v>
      </c>
      <c r="C1622" s="1" t="s">
        <v>2242</v>
      </c>
      <c r="D1622" s="1" t="s">
        <v>20</v>
      </c>
      <c r="E1622" t="s">
        <v>1205</v>
      </c>
      <c r="F1622" t="s">
        <v>734</v>
      </c>
      <c r="G1622" t="s">
        <v>56</v>
      </c>
      <c r="H1622" t="s">
        <v>65</v>
      </c>
      <c r="I1622" t="s">
        <v>98</v>
      </c>
      <c r="J1622">
        <v>2</v>
      </c>
      <c r="K1622">
        <v>499</v>
      </c>
      <c r="L1622">
        <f>Table1[[#This Row],[Quantity]] * Table1[[#This Row],[UnitPrice]]</f>
        <v>998</v>
      </c>
      <c r="M1622" s="25">
        <v>0</v>
      </c>
      <c r="N1622">
        <f>Table1[[#This Row],[Revenue]]*Table1[[#This Row],[Discount%]]/100</f>
        <v>0</v>
      </c>
      <c r="O1622" s="6">
        <f>Table1[[#This Row],[Revenue]]-Table1[[#This Row],[Disc_amount]]</f>
        <v>998</v>
      </c>
      <c r="P1622" t="s">
        <v>86</v>
      </c>
      <c r="Q1622" t="s">
        <v>34</v>
      </c>
    </row>
    <row r="1623" spans="1:17">
      <c r="A1623" t="s">
        <v>2425</v>
      </c>
      <c r="B1623" s="1" t="s">
        <v>2426</v>
      </c>
      <c r="C1623" s="1" t="s">
        <v>2242</v>
      </c>
      <c r="D1623" s="1" t="s">
        <v>20</v>
      </c>
      <c r="E1623" t="s">
        <v>1044</v>
      </c>
      <c r="F1623" t="s">
        <v>587</v>
      </c>
      <c r="G1623" t="s">
        <v>45</v>
      </c>
      <c r="H1623" t="s">
        <v>24</v>
      </c>
      <c r="I1623" t="s">
        <v>32</v>
      </c>
      <c r="J1623">
        <v>2</v>
      </c>
      <c r="K1623">
        <v>199</v>
      </c>
      <c r="L1623">
        <f>Table1[[#This Row],[Quantity]] * Table1[[#This Row],[UnitPrice]]</f>
        <v>398</v>
      </c>
      <c r="M1623" s="25">
        <v>0</v>
      </c>
      <c r="N1623">
        <f>Table1[[#This Row],[Revenue]]*Table1[[#This Row],[Discount%]]/100</f>
        <v>0</v>
      </c>
      <c r="O1623" s="6">
        <f>Table1[[#This Row],[Revenue]]-Table1[[#This Row],[Disc_amount]]</f>
        <v>398</v>
      </c>
      <c r="P1623" t="s">
        <v>41</v>
      </c>
      <c r="Q1623" t="s">
        <v>27</v>
      </c>
    </row>
    <row r="1624" spans="1:17">
      <c r="A1624" t="s">
        <v>2427</v>
      </c>
      <c r="B1624" s="1" t="s">
        <v>2426</v>
      </c>
      <c r="C1624" s="1" t="s">
        <v>2242</v>
      </c>
      <c r="D1624" s="1" t="s">
        <v>20</v>
      </c>
      <c r="E1624" t="s">
        <v>1110</v>
      </c>
      <c r="F1624" t="s">
        <v>279</v>
      </c>
      <c r="G1624" t="s">
        <v>45</v>
      </c>
      <c r="H1624" t="s">
        <v>39</v>
      </c>
      <c r="I1624" t="s">
        <v>40</v>
      </c>
      <c r="J1624">
        <v>2</v>
      </c>
      <c r="K1624">
        <v>599</v>
      </c>
      <c r="L1624">
        <f>Table1[[#This Row],[Quantity]] * Table1[[#This Row],[UnitPrice]]</f>
        <v>1198</v>
      </c>
      <c r="M1624" s="25">
        <v>15</v>
      </c>
      <c r="N1624">
        <f>Table1[[#This Row],[Revenue]]*Table1[[#This Row],[Discount%]]/100</f>
        <v>179.7</v>
      </c>
      <c r="O1624" s="6">
        <f>Table1[[#This Row],[Revenue]]-Table1[[#This Row],[Disc_amount]]</f>
        <v>1018.3</v>
      </c>
      <c r="P1624" t="s">
        <v>41</v>
      </c>
      <c r="Q1624" t="s">
        <v>34</v>
      </c>
    </row>
    <row r="1625" spans="1:17">
      <c r="A1625" t="s">
        <v>2428</v>
      </c>
      <c r="B1625" s="1" t="s">
        <v>2426</v>
      </c>
      <c r="C1625" s="1" t="s">
        <v>2242</v>
      </c>
      <c r="D1625" s="1" t="s">
        <v>20</v>
      </c>
      <c r="E1625" t="s">
        <v>409</v>
      </c>
      <c r="F1625" t="s">
        <v>410</v>
      </c>
      <c r="G1625" t="s">
        <v>45</v>
      </c>
      <c r="H1625" t="s">
        <v>39</v>
      </c>
      <c r="I1625" t="s">
        <v>40</v>
      </c>
      <c r="J1625">
        <v>1</v>
      </c>
      <c r="K1625">
        <v>599</v>
      </c>
      <c r="L1625">
        <f>Table1[[#This Row],[Quantity]] * Table1[[#This Row],[UnitPrice]]</f>
        <v>599</v>
      </c>
      <c r="M1625" s="25">
        <v>0</v>
      </c>
      <c r="N1625">
        <f>Table1[[#This Row],[Revenue]]*Table1[[#This Row],[Discount%]]/100</f>
        <v>0</v>
      </c>
      <c r="O1625" s="6">
        <f>Table1[[#This Row],[Revenue]]-Table1[[#This Row],[Disc_amount]]</f>
        <v>599</v>
      </c>
      <c r="P1625" t="s">
        <v>33</v>
      </c>
      <c r="Q1625" t="s">
        <v>27</v>
      </c>
    </row>
    <row r="1626" spans="1:17">
      <c r="A1626" t="s">
        <v>2429</v>
      </c>
      <c r="B1626" s="1" t="s">
        <v>2426</v>
      </c>
      <c r="C1626" s="1" t="s">
        <v>2242</v>
      </c>
      <c r="D1626" s="1" t="s">
        <v>20</v>
      </c>
      <c r="E1626" t="s">
        <v>1499</v>
      </c>
      <c r="F1626" t="s">
        <v>730</v>
      </c>
      <c r="G1626" t="s">
        <v>38</v>
      </c>
      <c r="H1626" t="s">
        <v>65</v>
      </c>
      <c r="I1626" t="s">
        <v>94</v>
      </c>
      <c r="J1626">
        <v>3</v>
      </c>
      <c r="K1626">
        <v>899</v>
      </c>
      <c r="L1626">
        <f>Table1[[#This Row],[Quantity]] * Table1[[#This Row],[UnitPrice]]</f>
        <v>2697</v>
      </c>
      <c r="M1626" s="25">
        <v>15</v>
      </c>
      <c r="N1626">
        <f>Table1[[#This Row],[Revenue]]*Table1[[#This Row],[Discount%]]/100</f>
        <v>404.55</v>
      </c>
      <c r="O1626" s="6">
        <f>Table1[[#This Row],[Revenue]]-Table1[[#This Row],[Disc_amount]]</f>
        <v>2292.4499999999998</v>
      </c>
      <c r="P1626" t="s">
        <v>26</v>
      </c>
      <c r="Q1626" t="s">
        <v>34</v>
      </c>
    </row>
    <row r="1627" spans="1:17">
      <c r="A1627" t="s">
        <v>2430</v>
      </c>
      <c r="B1627" s="1" t="s">
        <v>2426</v>
      </c>
      <c r="C1627" s="1" t="s">
        <v>2242</v>
      </c>
      <c r="D1627" s="1" t="s">
        <v>20</v>
      </c>
      <c r="E1627" t="s">
        <v>1623</v>
      </c>
      <c r="F1627" t="s">
        <v>1624</v>
      </c>
      <c r="G1627" t="s">
        <v>31</v>
      </c>
      <c r="H1627" t="s">
        <v>46</v>
      </c>
      <c r="I1627" t="s">
        <v>47</v>
      </c>
      <c r="J1627">
        <v>1</v>
      </c>
      <c r="K1627">
        <v>249</v>
      </c>
      <c r="L1627">
        <f>Table1[[#This Row],[Quantity]] * Table1[[#This Row],[UnitPrice]]</f>
        <v>249</v>
      </c>
      <c r="M1627" s="25">
        <v>10</v>
      </c>
      <c r="N1627">
        <f>Table1[[#This Row],[Revenue]]*Table1[[#This Row],[Discount%]]/100</f>
        <v>24.9</v>
      </c>
      <c r="O1627" s="6">
        <f>Table1[[#This Row],[Revenue]]-Table1[[#This Row],[Disc_amount]]</f>
        <v>224.1</v>
      </c>
      <c r="P1627" t="s">
        <v>26</v>
      </c>
      <c r="Q1627" t="s">
        <v>27</v>
      </c>
    </row>
    <row r="1628" spans="1:17">
      <c r="A1628" t="s">
        <v>2431</v>
      </c>
      <c r="B1628" s="1" t="s">
        <v>2426</v>
      </c>
      <c r="C1628" s="1" t="s">
        <v>2242</v>
      </c>
      <c r="D1628" s="1" t="s">
        <v>20</v>
      </c>
      <c r="E1628" t="s">
        <v>1554</v>
      </c>
      <c r="F1628" t="s">
        <v>268</v>
      </c>
      <c r="G1628" t="s">
        <v>38</v>
      </c>
      <c r="H1628" t="s">
        <v>65</v>
      </c>
      <c r="I1628" t="s">
        <v>94</v>
      </c>
      <c r="J1628">
        <v>2</v>
      </c>
      <c r="K1628">
        <v>899</v>
      </c>
      <c r="L1628">
        <f>Table1[[#This Row],[Quantity]] * Table1[[#This Row],[UnitPrice]]</f>
        <v>1798</v>
      </c>
      <c r="M1628" s="25">
        <v>20</v>
      </c>
      <c r="N1628">
        <f>Table1[[#This Row],[Revenue]]*Table1[[#This Row],[Discount%]]/100</f>
        <v>359.6</v>
      </c>
      <c r="O1628" s="6">
        <f>Table1[[#This Row],[Revenue]]-Table1[[#This Row],[Disc_amount]]</f>
        <v>1438.4</v>
      </c>
      <c r="P1628" t="s">
        <v>26</v>
      </c>
      <c r="Q1628" t="s">
        <v>27</v>
      </c>
    </row>
    <row r="1629" spans="1:17">
      <c r="A1629" t="s">
        <v>2432</v>
      </c>
      <c r="B1629" s="1" t="s">
        <v>2426</v>
      </c>
      <c r="C1629" s="1" t="s">
        <v>2242</v>
      </c>
      <c r="D1629" s="1" t="s">
        <v>20</v>
      </c>
      <c r="E1629" t="s">
        <v>264</v>
      </c>
      <c r="F1629" t="s">
        <v>265</v>
      </c>
      <c r="G1629" t="s">
        <v>56</v>
      </c>
      <c r="H1629" t="s">
        <v>70</v>
      </c>
      <c r="I1629" t="s">
        <v>91</v>
      </c>
      <c r="J1629">
        <v>1</v>
      </c>
      <c r="K1629">
        <v>549</v>
      </c>
      <c r="L1629">
        <f>Table1[[#This Row],[Quantity]] * Table1[[#This Row],[UnitPrice]]</f>
        <v>549</v>
      </c>
      <c r="M1629" s="25">
        <v>0</v>
      </c>
      <c r="N1629">
        <f>Table1[[#This Row],[Revenue]]*Table1[[#This Row],[Discount%]]/100</f>
        <v>0</v>
      </c>
      <c r="O1629" s="6">
        <f>Table1[[#This Row],[Revenue]]-Table1[[#This Row],[Disc_amount]]</f>
        <v>549</v>
      </c>
      <c r="P1629" t="s">
        <v>26</v>
      </c>
      <c r="Q1629" t="s">
        <v>34</v>
      </c>
    </row>
    <row r="1630" spans="1:17">
      <c r="A1630" t="s">
        <v>2433</v>
      </c>
      <c r="B1630" s="1" t="s">
        <v>2426</v>
      </c>
      <c r="C1630" s="1" t="s">
        <v>2242</v>
      </c>
      <c r="D1630" s="1" t="s">
        <v>20</v>
      </c>
      <c r="E1630" t="s">
        <v>1172</v>
      </c>
      <c r="F1630" t="s">
        <v>248</v>
      </c>
      <c r="G1630" t="s">
        <v>31</v>
      </c>
      <c r="H1630" t="s">
        <v>65</v>
      </c>
      <c r="I1630" t="s">
        <v>98</v>
      </c>
      <c r="J1630">
        <v>1</v>
      </c>
      <c r="K1630">
        <v>499</v>
      </c>
      <c r="L1630">
        <f>Table1[[#This Row],[Quantity]] * Table1[[#This Row],[UnitPrice]]</f>
        <v>499</v>
      </c>
      <c r="M1630" s="25">
        <v>10</v>
      </c>
      <c r="N1630">
        <f>Table1[[#This Row],[Revenue]]*Table1[[#This Row],[Discount%]]/100</f>
        <v>49.9</v>
      </c>
      <c r="O1630" s="6">
        <f>Table1[[#This Row],[Revenue]]-Table1[[#This Row],[Disc_amount]]</f>
        <v>449.1</v>
      </c>
      <c r="P1630" t="s">
        <v>33</v>
      </c>
      <c r="Q1630" t="s">
        <v>27</v>
      </c>
    </row>
    <row r="1631" spans="1:17">
      <c r="A1631" t="s">
        <v>2434</v>
      </c>
      <c r="B1631" s="1" t="s">
        <v>2426</v>
      </c>
      <c r="C1631" s="1" t="s">
        <v>2242</v>
      </c>
      <c r="D1631" s="1" t="s">
        <v>20</v>
      </c>
      <c r="E1631" t="s">
        <v>325</v>
      </c>
      <c r="F1631" t="s">
        <v>326</v>
      </c>
      <c r="G1631" t="s">
        <v>56</v>
      </c>
      <c r="H1631" t="s">
        <v>108</v>
      </c>
      <c r="I1631" t="s">
        <v>109</v>
      </c>
      <c r="J1631">
        <v>2</v>
      </c>
      <c r="K1631">
        <v>1499</v>
      </c>
      <c r="L1631">
        <f>Table1[[#This Row],[Quantity]] * Table1[[#This Row],[UnitPrice]]</f>
        <v>2998</v>
      </c>
      <c r="M1631" s="25">
        <v>0</v>
      </c>
      <c r="N1631">
        <f>Table1[[#This Row],[Revenue]]*Table1[[#This Row],[Discount%]]/100</f>
        <v>0</v>
      </c>
      <c r="O1631" s="6">
        <f>Table1[[#This Row],[Revenue]]-Table1[[#This Row],[Disc_amount]]</f>
        <v>2998</v>
      </c>
      <c r="P1631" t="s">
        <v>41</v>
      </c>
      <c r="Q1631" t="s">
        <v>34</v>
      </c>
    </row>
    <row r="1632" spans="1:17">
      <c r="A1632" t="s">
        <v>2435</v>
      </c>
      <c r="B1632" s="1" t="s">
        <v>2426</v>
      </c>
      <c r="C1632" s="1" t="s">
        <v>2242</v>
      </c>
      <c r="D1632" s="1" t="s">
        <v>20</v>
      </c>
      <c r="E1632" t="s">
        <v>1382</v>
      </c>
      <c r="F1632" t="s">
        <v>173</v>
      </c>
      <c r="G1632" t="s">
        <v>31</v>
      </c>
      <c r="H1632" t="s">
        <v>39</v>
      </c>
      <c r="I1632" t="s">
        <v>51</v>
      </c>
      <c r="J1632">
        <v>4</v>
      </c>
      <c r="K1632">
        <v>2999</v>
      </c>
      <c r="L1632">
        <f>Table1[[#This Row],[Quantity]] * Table1[[#This Row],[UnitPrice]]</f>
        <v>11996</v>
      </c>
      <c r="M1632" s="25">
        <v>0</v>
      </c>
      <c r="N1632">
        <f>Table1[[#This Row],[Revenue]]*Table1[[#This Row],[Discount%]]/100</f>
        <v>0</v>
      </c>
      <c r="O1632" s="6">
        <f>Table1[[#This Row],[Revenue]]-Table1[[#This Row],[Disc_amount]]</f>
        <v>11996</v>
      </c>
      <c r="P1632" t="s">
        <v>41</v>
      </c>
      <c r="Q1632" t="s">
        <v>34</v>
      </c>
    </row>
    <row r="1633" spans="1:17">
      <c r="A1633" t="s">
        <v>2436</v>
      </c>
      <c r="B1633" s="1" t="s">
        <v>2426</v>
      </c>
      <c r="C1633" s="1" t="s">
        <v>2242</v>
      </c>
      <c r="D1633" s="1" t="s">
        <v>20</v>
      </c>
      <c r="E1633" t="s">
        <v>1734</v>
      </c>
      <c r="F1633" t="s">
        <v>1735</v>
      </c>
      <c r="G1633" t="s">
        <v>23</v>
      </c>
      <c r="H1633" t="s">
        <v>39</v>
      </c>
      <c r="I1633" t="s">
        <v>40</v>
      </c>
      <c r="J1633">
        <v>2</v>
      </c>
      <c r="K1633">
        <v>599</v>
      </c>
      <c r="L1633">
        <f>Table1[[#This Row],[Quantity]] * Table1[[#This Row],[UnitPrice]]</f>
        <v>1198</v>
      </c>
      <c r="M1633" s="25">
        <v>10</v>
      </c>
      <c r="N1633">
        <f>Table1[[#This Row],[Revenue]]*Table1[[#This Row],[Discount%]]/100</f>
        <v>119.8</v>
      </c>
      <c r="O1633" s="6">
        <f>Table1[[#This Row],[Revenue]]-Table1[[#This Row],[Disc_amount]]</f>
        <v>1078.2</v>
      </c>
      <c r="P1633" t="s">
        <v>33</v>
      </c>
      <c r="Q1633" t="s">
        <v>34</v>
      </c>
    </row>
    <row r="1634" spans="1:17">
      <c r="A1634" t="s">
        <v>2437</v>
      </c>
      <c r="B1634" s="1" t="s">
        <v>2426</v>
      </c>
      <c r="C1634" s="1" t="s">
        <v>2242</v>
      </c>
      <c r="D1634" s="1" t="s">
        <v>20</v>
      </c>
      <c r="E1634" t="s">
        <v>959</v>
      </c>
      <c r="F1634" t="s">
        <v>960</v>
      </c>
      <c r="G1634" t="s">
        <v>31</v>
      </c>
      <c r="H1634" t="s">
        <v>46</v>
      </c>
      <c r="I1634" t="s">
        <v>154</v>
      </c>
      <c r="J1634">
        <v>1</v>
      </c>
      <c r="K1634">
        <v>299</v>
      </c>
      <c r="L1634">
        <f>Table1[[#This Row],[Quantity]] * Table1[[#This Row],[UnitPrice]]</f>
        <v>299</v>
      </c>
      <c r="M1634" s="25">
        <v>10</v>
      </c>
      <c r="N1634">
        <f>Table1[[#This Row],[Revenue]]*Table1[[#This Row],[Discount%]]/100</f>
        <v>29.9</v>
      </c>
      <c r="O1634" s="6">
        <f>Table1[[#This Row],[Revenue]]-Table1[[#This Row],[Disc_amount]]</f>
        <v>269.10000000000002</v>
      </c>
      <c r="P1634" t="s">
        <v>41</v>
      </c>
      <c r="Q1634" t="s">
        <v>27</v>
      </c>
    </row>
    <row r="1635" spans="1:17">
      <c r="A1635" t="s">
        <v>2438</v>
      </c>
      <c r="B1635" s="1" t="s">
        <v>2426</v>
      </c>
      <c r="C1635" s="1" t="s">
        <v>2242</v>
      </c>
      <c r="D1635" s="1" t="s">
        <v>20</v>
      </c>
      <c r="E1635" t="s">
        <v>1176</v>
      </c>
      <c r="F1635" t="s">
        <v>173</v>
      </c>
      <c r="G1635" t="s">
        <v>45</v>
      </c>
      <c r="H1635" t="s">
        <v>46</v>
      </c>
      <c r="I1635" t="s">
        <v>154</v>
      </c>
      <c r="J1635">
        <v>1</v>
      </c>
      <c r="K1635">
        <v>299</v>
      </c>
      <c r="L1635">
        <f>Table1[[#This Row],[Quantity]] * Table1[[#This Row],[UnitPrice]]</f>
        <v>299</v>
      </c>
      <c r="M1635" s="25">
        <v>15</v>
      </c>
      <c r="N1635">
        <f>Table1[[#This Row],[Revenue]]*Table1[[#This Row],[Discount%]]/100</f>
        <v>44.85</v>
      </c>
      <c r="O1635" s="6">
        <f>Table1[[#This Row],[Revenue]]-Table1[[#This Row],[Disc_amount]]</f>
        <v>254.15</v>
      </c>
      <c r="P1635" t="s">
        <v>52</v>
      </c>
      <c r="Q1635" t="s">
        <v>27</v>
      </c>
    </row>
    <row r="1636" spans="1:17">
      <c r="A1636" t="s">
        <v>2439</v>
      </c>
      <c r="B1636" s="1" t="s">
        <v>2440</v>
      </c>
      <c r="C1636" s="1" t="s">
        <v>2242</v>
      </c>
      <c r="D1636" s="1" t="s">
        <v>20</v>
      </c>
      <c r="E1636" t="s">
        <v>758</v>
      </c>
      <c r="F1636" t="s">
        <v>759</v>
      </c>
      <c r="G1636" t="s">
        <v>23</v>
      </c>
      <c r="H1636" t="s">
        <v>108</v>
      </c>
      <c r="I1636" t="s">
        <v>109</v>
      </c>
      <c r="J1636">
        <v>1</v>
      </c>
      <c r="K1636">
        <v>1499</v>
      </c>
      <c r="L1636">
        <f>Table1[[#This Row],[Quantity]] * Table1[[#This Row],[UnitPrice]]</f>
        <v>1499</v>
      </c>
      <c r="M1636" s="25">
        <v>5</v>
      </c>
      <c r="N1636">
        <f>Table1[[#This Row],[Revenue]]*Table1[[#This Row],[Discount%]]/100</f>
        <v>74.95</v>
      </c>
      <c r="O1636" s="6">
        <f>Table1[[#This Row],[Revenue]]-Table1[[#This Row],[Disc_amount]]</f>
        <v>1424.05</v>
      </c>
      <c r="P1636" t="s">
        <v>41</v>
      </c>
      <c r="Q1636" t="s">
        <v>27</v>
      </c>
    </row>
    <row r="1637" spans="1:17">
      <c r="A1637" t="s">
        <v>2441</v>
      </c>
      <c r="B1637" s="1" t="s">
        <v>2440</v>
      </c>
      <c r="C1637" s="1" t="s">
        <v>2242</v>
      </c>
      <c r="D1637" s="1" t="s">
        <v>20</v>
      </c>
      <c r="E1637" t="s">
        <v>1186</v>
      </c>
      <c r="F1637" t="s">
        <v>1187</v>
      </c>
      <c r="G1637" t="s">
        <v>31</v>
      </c>
      <c r="H1637" t="s">
        <v>108</v>
      </c>
      <c r="I1637" t="s">
        <v>109</v>
      </c>
      <c r="J1637">
        <v>1</v>
      </c>
      <c r="K1637">
        <v>1499</v>
      </c>
      <c r="L1637">
        <f>Table1[[#This Row],[Quantity]] * Table1[[#This Row],[UnitPrice]]</f>
        <v>1499</v>
      </c>
      <c r="M1637" s="25">
        <v>15</v>
      </c>
      <c r="N1637">
        <f>Table1[[#This Row],[Revenue]]*Table1[[#This Row],[Discount%]]/100</f>
        <v>224.85</v>
      </c>
      <c r="O1637" s="6">
        <f>Table1[[#This Row],[Revenue]]-Table1[[#This Row],[Disc_amount]]</f>
        <v>1274.1500000000001</v>
      </c>
      <c r="P1637" t="s">
        <v>26</v>
      </c>
      <c r="Q1637" t="s">
        <v>34</v>
      </c>
    </row>
    <row r="1638" spans="1:17">
      <c r="A1638" t="s">
        <v>2442</v>
      </c>
      <c r="B1638" s="1" t="s">
        <v>2440</v>
      </c>
      <c r="C1638" s="1" t="s">
        <v>2242</v>
      </c>
      <c r="D1638" s="1" t="s">
        <v>20</v>
      </c>
      <c r="E1638" t="s">
        <v>60</v>
      </c>
      <c r="F1638" t="s">
        <v>61</v>
      </c>
      <c r="G1638" t="s">
        <v>45</v>
      </c>
      <c r="H1638" t="s">
        <v>46</v>
      </c>
      <c r="I1638" t="s">
        <v>154</v>
      </c>
      <c r="J1638">
        <v>1</v>
      </c>
      <c r="K1638">
        <v>299</v>
      </c>
      <c r="L1638">
        <f>Table1[[#This Row],[Quantity]] * Table1[[#This Row],[UnitPrice]]</f>
        <v>299</v>
      </c>
      <c r="M1638" s="25">
        <v>10</v>
      </c>
      <c r="N1638">
        <f>Table1[[#This Row],[Revenue]]*Table1[[#This Row],[Discount%]]/100</f>
        <v>29.9</v>
      </c>
      <c r="O1638" s="6">
        <f>Table1[[#This Row],[Revenue]]-Table1[[#This Row],[Disc_amount]]</f>
        <v>269.10000000000002</v>
      </c>
      <c r="P1638" t="s">
        <v>33</v>
      </c>
      <c r="Q1638" t="s">
        <v>27</v>
      </c>
    </row>
    <row r="1639" spans="1:17">
      <c r="A1639" t="s">
        <v>2443</v>
      </c>
      <c r="B1639" s="1" t="s">
        <v>2444</v>
      </c>
      <c r="C1639" s="1" t="s">
        <v>2242</v>
      </c>
      <c r="D1639" s="1" t="s">
        <v>20</v>
      </c>
      <c r="E1639" t="s">
        <v>512</v>
      </c>
      <c r="F1639" t="s">
        <v>513</v>
      </c>
      <c r="G1639" t="s">
        <v>23</v>
      </c>
      <c r="H1639" t="s">
        <v>24</v>
      </c>
      <c r="I1639" t="s">
        <v>25</v>
      </c>
      <c r="J1639">
        <v>2</v>
      </c>
      <c r="K1639">
        <v>99</v>
      </c>
      <c r="L1639">
        <f>Table1[[#This Row],[Quantity]] * Table1[[#This Row],[UnitPrice]]</f>
        <v>198</v>
      </c>
      <c r="M1639" s="25">
        <v>20</v>
      </c>
      <c r="N1639">
        <f>Table1[[#This Row],[Revenue]]*Table1[[#This Row],[Discount%]]/100</f>
        <v>39.6</v>
      </c>
      <c r="O1639" s="6">
        <f>Table1[[#This Row],[Revenue]]-Table1[[#This Row],[Disc_amount]]</f>
        <v>158.4</v>
      </c>
      <c r="P1639" t="s">
        <v>26</v>
      </c>
      <c r="Q1639" t="s">
        <v>27</v>
      </c>
    </row>
    <row r="1640" spans="1:17">
      <c r="A1640" t="s">
        <v>2445</v>
      </c>
      <c r="B1640" s="1" t="s">
        <v>2446</v>
      </c>
      <c r="C1640" s="1" t="s">
        <v>2242</v>
      </c>
      <c r="D1640" s="1" t="s">
        <v>20</v>
      </c>
      <c r="E1640" t="s">
        <v>1176</v>
      </c>
      <c r="F1640" t="s">
        <v>173</v>
      </c>
      <c r="G1640" t="s">
        <v>38</v>
      </c>
      <c r="H1640" t="s">
        <v>65</v>
      </c>
      <c r="I1640" t="s">
        <v>94</v>
      </c>
      <c r="J1640">
        <v>1</v>
      </c>
      <c r="K1640">
        <v>899</v>
      </c>
      <c r="L1640">
        <f>Table1[[#This Row],[Quantity]] * Table1[[#This Row],[UnitPrice]]</f>
        <v>899</v>
      </c>
      <c r="M1640" s="25">
        <v>15</v>
      </c>
      <c r="N1640">
        <f>Table1[[#This Row],[Revenue]]*Table1[[#This Row],[Discount%]]/100</f>
        <v>134.85</v>
      </c>
      <c r="O1640" s="6">
        <f>Table1[[#This Row],[Revenue]]-Table1[[#This Row],[Disc_amount]]</f>
        <v>764.15</v>
      </c>
      <c r="P1640" t="s">
        <v>33</v>
      </c>
      <c r="Q1640" t="s">
        <v>34</v>
      </c>
    </row>
    <row r="1641" spans="1:17">
      <c r="A1641" t="s">
        <v>2447</v>
      </c>
      <c r="B1641" s="1" t="s">
        <v>2446</v>
      </c>
      <c r="C1641" s="1" t="s">
        <v>2242</v>
      </c>
      <c r="D1641" s="1" t="s">
        <v>20</v>
      </c>
      <c r="E1641" t="s">
        <v>264</v>
      </c>
      <c r="F1641" t="s">
        <v>265</v>
      </c>
      <c r="G1641" t="s">
        <v>56</v>
      </c>
      <c r="H1641" t="s">
        <v>39</v>
      </c>
      <c r="I1641" t="s">
        <v>40</v>
      </c>
      <c r="J1641">
        <v>2</v>
      </c>
      <c r="K1641">
        <v>599</v>
      </c>
      <c r="L1641">
        <f>Table1[[#This Row],[Quantity]] * Table1[[#This Row],[UnitPrice]]</f>
        <v>1198</v>
      </c>
      <c r="M1641" s="25">
        <v>20</v>
      </c>
      <c r="N1641">
        <f>Table1[[#This Row],[Revenue]]*Table1[[#This Row],[Discount%]]/100</f>
        <v>239.6</v>
      </c>
      <c r="O1641" s="6">
        <f>Table1[[#This Row],[Revenue]]-Table1[[#This Row],[Disc_amount]]</f>
        <v>958.4</v>
      </c>
      <c r="P1641" t="s">
        <v>26</v>
      </c>
      <c r="Q1641" t="s">
        <v>27</v>
      </c>
    </row>
    <row r="1642" spans="1:17">
      <c r="A1642" t="s">
        <v>2448</v>
      </c>
      <c r="B1642" s="1" t="s">
        <v>2446</v>
      </c>
      <c r="C1642" s="1" t="s">
        <v>2242</v>
      </c>
      <c r="D1642" s="1" t="s">
        <v>20</v>
      </c>
      <c r="E1642" t="s">
        <v>964</v>
      </c>
      <c r="F1642" t="s">
        <v>265</v>
      </c>
      <c r="G1642" t="s">
        <v>56</v>
      </c>
      <c r="H1642" t="s">
        <v>46</v>
      </c>
      <c r="I1642" t="s">
        <v>154</v>
      </c>
      <c r="J1642">
        <v>1</v>
      </c>
      <c r="K1642">
        <v>299</v>
      </c>
      <c r="L1642">
        <f>Table1[[#This Row],[Quantity]] * Table1[[#This Row],[UnitPrice]]</f>
        <v>299</v>
      </c>
      <c r="M1642" s="25">
        <v>15</v>
      </c>
      <c r="N1642">
        <f>Table1[[#This Row],[Revenue]]*Table1[[#This Row],[Discount%]]/100</f>
        <v>44.85</v>
      </c>
      <c r="O1642" s="6">
        <f>Table1[[#This Row],[Revenue]]-Table1[[#This Row],[Disc_amount]]</f>
        <v>254.15</v>
      </c>
      <c r="P1642" t="s">
        <v>52</v>
      </c>
      <c r="Q1642" t="s">
        <v>34</v>
      </c>
    </row>
    <row r="1643" spans="1:17">
      <c r="A1643" t="s">
        <v>2449</v>
      </c>
      <c r="B1643" s="1" t="s">
        <v>2446</v>
      </c>
      <c r="C1643" s="1" t="s">
        <v>2242</v>
      </c>
      <c r="D1643" s="1" t="s">
        <v>20</v>
      </c>
      <c r="E1643" t="s">
        <v>220</v>
      </c>
      <c r="F1643" t="s">
        <v>153</v>
      </c>
      <c r="G1643" t="s">
        <v>56</v>
      </c>
      <c r="H1643" t="s">
        <v>39</v>
      </c>
      <c r="I1643" t="s">
        <v>40</v>
      </c>
      <c r="J1643">
        <v>4</v>
      </c>
      <c r="K1643">
        <v>599</v>
      </c>
      <c r="L1643">
        <f>Table1[[#This Row],[Quantity]] * Table1[[#This Row],[UnitPrice]]</f>
        <v>2396</v>
      </c>
      <c r="M1643" s="25">
        <v>15</v>
      </c>
      <c r="N1643">
        <f>Table1[[#This Row],[Revenue]]*Table1[[#This Row],[Discount%]]/100</f>
        <v>359.4</v>
      </c>
      <c r="O1643" s="6">
        <f>Table1[[#This Row],[Revenue]]-Table1[[#This Row],[Disc_amount]]</f>
        <v>2036.6</v>
      </c>
      <c r="P1643" t="s">
        <v>86</v>
      </c>
      <c r="Q1643" t="s">
        <v>27</v>
      </c>
    </row>
    <row r="1644" spans="1:17">
      <c r="A1644" t="s">
        <v>2450</v>
      </c>
      <c r="B1644" s="1" t="s">
        <v>2446</v>
      </c>
      <c r="C1644" s="1" t="s">
        <v>2242</v>
      </c>
      <c r="D1644" s="1" t="s">
        <v>20</v>
      </c>
      <c r="E1644" t="s">
        <v>337</v>
      </c>
      <c r="F1644" t="s">
        <v>338</v>
      </c>
      <c r="G1644" t="s">
        <v>38</v>
      </c>
      <c r="H1644" t="s">
        <v>108</v>
      </c>
      <c r="I1644" t="s">
        <v>109</v>
      </c>
      <c r="J1644">
        <v>2</v>
      </c>
      <c r="K1644">
        <v>1499</v>
      </c>
      <c r="L1644">
        <f>Table1[[#This Row],[Quantity]] * Table1[[#This Row],[UnitPrice]]</f>
        <v>2998</v>
      </c>
      <c r="M1644" s="25">
        <v>0</v>
      </c>
      <c r="N1644">
        <f>Table1[[#This Row],[Revenue]]*Table1[[#This Row],[Discount%]]/100</f>
        <v>0</v>
      </c>
      <c r="O1644" s="6">
        <f>Table1[[#This Row],[Revenue]]-Table1[[#This Row],[Disc_amount]]</f>
        <v>2998</v>
      </c>
      <c r="P1644" t="s">
        <v>26</v>
      </c>
      <c r="Q1644" t="s">
        <v>34</v>
      </c>
    </row>
    <row r="1645" spans="1:17">
      <c r="A1645" t="s">
        <v>2451</v>
      </c>
      <c r="B1645" s="1" t="s">
        <v>2446</v>
      </c>
      <c r="C1645" s="1" t="s">
        <v>2242</v>
      </c>
      <c r="D1645" s="1" t="s">
        <v>20</v>
      </c>
      <c r="E1645" t="s">
        <v>414</v>
      </c>
      <c r="F1645" t="s">
        <v>415</v>
      </c>
      <c r="G1645" t="s">
        <v>45</v>
      </c>
      <c r="H1645" t="s">
        <v>39</v>
      </c>
      <c r="I1645" t="s">
        <v>51</v>
      </c>
      <c r="J1645">
        <v>3</v>
      </c>
      <c r="K1645">
        <v>2999</v>
      </c>
      <c r="L1645">
        <f>Table1[[#This Row],[Quantity]] * Table1[[#This Row],[UnitPrice]]</f>
        <v>8997</v>
      </c>
      <c r="M1645" s="25">
        <v>0</v>
      </c>
      <c r="N1645">
        <f>Table1[[#This Row],[Revenue]]*Table1[[#This Row],[Discount%]]/100</f>
        <v>0</v>
      </c>
      <c r="O1645" s="6">
        <f>Table1[[#This Row],[Revenue]]-Table1[[#This Row],[Disc_amount]]</f>
        <v>8997</v>
      </c>
      <c r="P1645" t="s">
        <v>33</v>
      </c>
      <c r="Q1645" t="s">
        <v>34</v>
      </c>
    </row>
    <row r="1646" spans="1:17">
      <c r="A1646" t="s">
        <v>2452</v>
      </c>
      <c r="B1646" s="1" t="s">
        <v>2446</v>
      </c>
      <c r="C1646" s="1" t="s">
        <v>2242</v>
      </c>
      <c r="D1646" s="1" t="s">
        <v>20</v>
      </c>
      <c r="E1646" t="s">
        <v>1040</v>
      </c>
      <c r="F1646" t="s">
        <v>307</v>
      </c>
      <c r="G1646" t="s">
        <v>31</v>
      </c>
      <c r="H1646" t="s">
        <v>39</v>
      </c>
      <c r="I1646" t="s">
        <v>140</v>
      </c>
      <c r="J1646">
        <v>4</v>
      </c>
      <c r="K1646">
        <v>1799</v>
      </c>
      <c r="L1646">
        <f>Table1[[#This Row],[Quantity]] * Table1[[#This Row],[UnitPrice]]</f>
        <v>7196</v>
      </c>
      <c r="M1646" s="25">
        <v>15</v>
      </c>
      <c r="N1646">
        <f>Table1[[#This Row],[Revenue]]*Table1[[#This Row],[Discount%]]/100</f>
        <v>1079.4000000000001</v>
      </c>
      <c r="O1646" s="6">
        <f>Table1[[#This Row],[Revenue]]-Table1[[#This Row],[Disc_amount]]</f>
        <v>6116.6</v>
      </c>
      <c r="P1646" t="s">
        <v>52</v>
      </c>
      <c r="Q1646" t="s">
        <v>27</v>
      </c>
    </row>
    <row r="1647" spans="1:17">
      <c r="A1647" t="s">
        <v>2453</v>
      </c>
      <c r="B1647" s="1" t="s">
        <v>2446</v>
      </c>
      <c r="C1647" s="1" t="s">
        <v>2242</v>
      </c>
      <c r="D1647" s="1" t="s">
        <v>20</v>
      </c>
      <c r="E1647" t="s">
        <v>1420</v>
      </c>
      <c r="F1647" t="s">
        <v>1396</v>
      </c>
      <c r="G1647" t="s">
        <v>23</v>
      </c>
      <c r="H1647" t="s">
        <v>24</v>
      </c>
      <c r="I1647" t="s">
        <v>32</v>
      </c>
      <c r="J1647">
        <v>1</v>
      </c>
      <c r="K1647">
        <v>199</v>
      </c>
      <c r="L1647">
        <f>Table1[[#This Row],[Quantity]] * Table1[[#This Row],[UnitPrice]]</f>
        <v>199</v>
      </c>
      <c r="M1647" s="25">
        <v>5</v>
      </c>
      <c r="N1647">
        <f>Table1[[#This Row],[Revenue]]*Table1[[#This Row],[Discount%]]/100</f>
        <v>9.9499999999999993</v>
      </c>
      <c r="O1647" s="6">
        <f>Table1[[#This Row],[Revenue]]-Table1[[#This Row],[Disc_amount]]</f>
        <v>189.05</v>
      </c>
      <c r="P1647" t="s">
        <v>52</v>
      </c>
      <c r="Q1647" t="s">
        <v>34</v>
      </c>
    </row>
    <row r="1648" spans="1:17">
      <c r="A1648" t="s">
        <v>2454</v>
      </c>
      <c r="B1648" s="1" t="s">
        <v>2446</v>
      </c>
      <c r="C1648" s="1" t="s">
        <v>2242</v>
      </c>
      <c r="D1648" s="1" t="s">
        <v>20</v>
      </c>
      <c r="E1648" t="s">
        <v>758</v>
      </c>
      <c r="F1648" t="s">
        <v>759</v>
      </c>
      <c r="G1648" t="s">
        <v>45</v>
      </c>
      <c r="H1648" t="s">
        <v>57</v>
      </c>
      <c r="I1648" t="s">
        <v>58</v>
      </c>
      <c r="J1648">
        <v>2</v>
      </c>
      <c r="K1648">
        <v>1299</v>
      </c>
      <c r="L1648">
        <f>Table1[[#This Row],[Quantity]] * Table1[[#This Row],[UnitPrice]]</f>
        <v>2598</v>
      </c>
      <c r="M1648" s="25">
        <v>0</v>
      </c>
      <c r="N1648">
        <f>Table1[[#This Row],[Revenue]]*Table1[[#This Row],[Discount%]]/100</f>
        <v>0</v>
      </c>
      <c r="O1648" s="6">
        <f>Table1[[#This Row],[Revenue]]-Table1[[#This Row],[Disc_amount]]</f>
        <v>2598</v>
      </c>
      <c r="P1648" t="s">
        <v>26</v>
      </c>
      <c r="Q1648" t="s">
        <v>27</v>
      </c>
    </row>
    <row r="1649" spans="1:17">
      <c r="A1649" t="s">
        <v>2455</v>
      </c>
      <c r="B1649" s="1" t="s">
        <v>2456</v>
      </c>
      <c r="C1649" s="1" t="s">
        <v>2242</v>
      </c>
      <c r="D1649" s="1" t="s">
        <v>20</v>
      </c>
      <c r="E1649" t="s">
        <v>111</v>
      </c>
      <c r="F1649" t="s">
        <v>107</v>
      </c>
      <c r="G1649" t="s">
        <v>38</v>
      </c>
      <c r="H1649" t="s">
        <v>39</v>
      </c>
      <c r="I1649" t="s">
        <v>51</v>
      </c>
      <c r="J1649">
        <v>1</v>
      </c>
      <c r="K1649">
        <v>2999</v>
      </c>
      <c r="L1649">
        <f>Table1[[#This Row],[Quantity]] * Table1[[#This Row],[UnitPrice]]</f>
        <v>2999</v>
      </c>
      <c r="M1649" s="25">
        <v>20</v>
      </c>
      <c r="N1649">
        <f>Table1[[#This Row],[Revenue]]*Table1[[#This Row],[Discount%]]/100</f>
        <v>599.79999999999995</v>
      </c>
      <c r="O1649" s="6">
        <f>Table1[[#This Row],[Revenue]]-Table1[[#This Row],[Disc_amount]]</f>
        <v>2399.1999999999998</v>
      </c>
      <c r="P1649" t="s">
        <v>41</v>
      </c>
      <c r="Q1649" t="s">
        <v>27</v>
      </c>
    </row>
    <row r="1650" spans="1:17">
      <c r="A1650" t="s">
        <v>2457</v>
      </c>
      <c r="B1650" s="1" t="s">
        <v>2456</v>
      </c>
      <c r="C1650" s="1" t="s">
        <v>2242</v>
      </c>
      <c r="D1650" s="1" t="s">
        <v>20</v>
      </c>
      <c r="E1650" t="s">
        <v>389</v>
      </c>
      <c r="F1650" t="s">
        <v>390</v>
      </c>
      <c r="G1650" t="s">
        <v>45</v>
      </c>
      <c r="H1650" t="s">
        <v>39</v>
      </c>
      <c r="I1650" t="s">
        <v>51</v>
      </c>
      <c r="J1650">
        <v>1</v>
      </c>
      <c r="K1650">
        <v>2999</v>
      </c>
      <c r="L1650">
        <f>Table1[[#This Row],[Quantity]] * Table1[[#This Row],[UnitPrice]]</f>
        <v>2999</v>
      </c>
      <c r="M1650" s="25">
        <v>20</v>
      </c>
      <c r="N1650">
        <f>Table1[[#This Row],[Revenue]]*Table1[[#This Row],[Discount%]]/100</f>
        <v>599.79999999999995</v>
      </c>
      <c r="O1650" s="6">
        <f>Table1[[#This Row],[Revenue]]-Table1[[#This Row],[Disc_amount]]</f>
        <v>2399.1999999999998</v>
      </c>
      <c r="P1650" t="s">
        <v>86</v>
      </c>
      <c r="Q1650" t="s">
        <v>27</v>
      </c>
    </row>
    <row r="1651" spans="1:17">
      <c r="A1651" t="s">
        <v>2458</v>
      </c>
      <c r="B1651" s="1" t="s">
        <v>2456</v>
      </c>
      <c r="C1651" s="1" t="s">
        <v>2242</v>
      </c>
      <c r="D1651" s="1" t="s">
        <v>20</v>
      </c>
      <c r="E1651" t="s">
        <v>1069</v>
      </c>
      <c r="F1651" t="s">
        <v>338</v>
      </c>
      <c r="G1651" t="s">
        <v>45</v>
      </c>
      <c r="H1651" t="s">
        <v>39</v>
      </c>
      <c r="I1651" t="s">
        <v>40</v>
      </c>
      <c r="J1651">
        <v>1</v>
      </c>
      <c r="K1651">
        <v>599</v>
      </c>
      <c r="L1651">
        <f>Table1[[#This Row],[Quantity]] * Table1[[#This Row],[UnitPrice]]</f>
        <v>599</v>
      </c>
      <c r="M1651" s="25">
        <v>20</v>
      </c>
      <c r="N1651">
        <f>Table1[[#This Row],[Revenue]]*Table1[[#This Row],[Discount%]]/100</f>
        <v>119.8</v>
      </c>
      <c r="O1651" s="6">
        <f>Table1[[#This Row],[Revenue]]-Table1[[#This Row],[Disc_amount]]</f>
        <v>479.2</v>
      </c>
      <c r="P1651" t="s">
        <v>41</v>
      </c>
      <c r="Q1651" t="s">
        <v>27</v>
      </c>
    </row>
    <row r="1652" spans="1:17">
      <c r="A1652" t="s">
        <v>2459</v>
      </c>
      <c r="B1652" s="1" t="s">
        <v>2456</v>
      </c>
      <c r="C1652" s="1" t="s">
        <v>2242</v>
      </c>
      <c r="D1652" s="1" t="s">
        <v>20</v>
      </c>
      <c r="E1652" t="s">
        <v>806</v>
      </c>
      <c r="F1652" t="s">
        <v>139</v>
      </c>
      <c r="G1652" t="s">
        <v>23</v>
      </c>
      <c r="H1652" t="s">
        <v>65</v>
      </c>
      <c r="I1652" t="s">
        <v>94</v>
      </c>
      <c r="J1652">
        <v>1</v>
      </c>
      <c r="K1652">
        <v>899</v>
      </c>
      <c r="L1652">
        <f>Table1[[#This Row],[Quantity]] * Table1[[#This Row],[UnitPrice]]</f>
        <v>899</v>
      </c>
      <c r="M1652" s="25">
        <v>0</v>
      </c>
      <c r="N1652">
        <f>Table1[[#This Row],[Revenue]]*Table1[[#This Row],[Discount%]]/100</f>
        <v>0</v>
      </c>
      <c r="O1652" s="6">
        <f>Table1[[#This Row],[Revenue]]-Table1[[#This Row],[Disc_amount]]</f>
        <v>899</v>
      </c>
      <c r="P1652" t="s">
        <v>26</v>
      </c>
      <c r="Q1652" t="s">
        <v>27</v>
      </c>
    </row>
    <row r="1653" spans="1:17">
      <c r="A1653" t="s">
        <v>2460</v>
      </c>
      <c r="B1653" s="1" t="s">
        <v>2456</v>
      </c>
      <c r="C1653" s="1" t="s">
        <v>2242</v>
      </c>
      <c r="D1653" s="1" t="s">
        <v>20</v>
      </c>
      <c r="E1653" t="s">
        <v>54</v>
      </c>
      <c r="F1653" t="s">
        <v>55</v>
      </c>
      <c r="G1653" t="s">
        <v>23</v>
      </c>
      <c r="H1653" t="s">
        <v>65</v>
      </c>
      <c r="I1653" t="s">
        <v>98</v>
      </c>
      <c r="J1653">
        <v>2</v>
      </c>
      <c r="K1653">
        <v>499</v>
      </c>
      <c r="L1653">
        <f>Table1[[#This Row],[Quantity]] * Table1[[#This Row],[UnitPrice]]</f>
        <v>998</v>
      </c>
      <c r="M1653" s="25">
        <v>10</v>
      </c>
      <c r="N1653">
        <f>Table1[[#This Row],[Revenue]]*Table1[[#This Row],[Discount%]]/100</f>
        <v>99.8</v>
      </c>
      <c r="O1653" s="6">
        <f>Table1[[#This Row],[Revenue]]-Table1[[#This Row],[Disc_amount]]</f>
        <v>898.2</v>
      </c>
      <c r="P1653" t="s">
        <v>33</v>
      </c>
      <c r="Q1653" t="s">
        <v>27</v>
      </c>
    </row>
    <row r="1654" spans="1:17">
      <c r="A1654" t="s">
        <v>2461</v>
      </c>
      <c r="B1654" s="1" t="s">
        <v>2456</v>
      </c>
      <c r="C1654" s="1" t="s">
        <v>2242</v>
      </c>
      <c r="D1654" s="1" t="s">
        <v>20</v>
      </c>
      <c r="E1654" t="s">
        <v>258</v>
      </c>
      <c r="F1654" t="s">
        <v>259</v>
      </c>
      <c r="G1654" t="s">
        <v>38</v>
      </c>
      <c r="H1654" t="s">
        <v>70</v>
      </c>
      <c r="I1654" t="s">
        <v>71</v>
      </c>
      <c r="J1654">
        <v>3</v>
      </c>
      <c r="K1654">
        <v>349</v>
      </c>
      <c r="L1654">
        <f>Table1[[#This Row],[Quantity]] * Table1[[#This Row],[UnitPrice]]</f>
        <v>1047</v>
      </c>
      <c r="M1654" s="25">
        <v>0</v>
      </c>
      <c r="N1654">
        <f>Table1[[#This Row],[Revenue]]*Table1[[#This Row],[Discount%]]/100</f>
        <v>0</v>
      </c>
      <c r="O1654" s="6">
        <f>Table1[[#This Row],[Revenue]]-Table1[[#This Row],[Disc_amount]]</f>
        <v>1047</v>
      </c>
      <c r="P1654" t="s">
        <v>33</v>
      </c>
      <c r="Q1654" t="s">
        <v>34</v>
      </c>
    </row>
    <row r="1655" spans="1:17">
      <c r="A1655" t="s">
        <v>2462</v>
      </c>
      <c r="B1655" s="1" t="s">
        <v>2463</v>
      </c>
      <c r="C1655" s="1" t="s">
        <v>2242</v>
      </c>
      <c r="D1655" s="1" t="s">
        <v>20</v>
      </c>
      <c r="E1655" t="s">
        <v>1803</v>
      </c>
      <c r="F1655" t="s">
        <v>1463</v>
      </c>
      <c r="G1655" t="s">
        <v>45</v>
      </c>
      <c r="H1655" t="s">
        <v>65</v>
      </c>
      <c r="I1655" t="s">
        <v>94</v>
      </c>
      <c r="J1655">
        <v>2</v>
      </c>
      <c r="K1655">
        <v>899</v>
      </c>
      <c r="L1655">
        <f>Table1[[#This Row],[Quantity]] * Table1[[#This Row],[UnitPrice]]</f>
        <v>1798</v>
      </c>
      <c r="M1655" s="25">
        <v>0</v>
      </c>
      <c r="N1655">
        <f>Table1[[#This Row],[Revenue]]*Table1[[#This Row],[Discount%]]/100</f>
        <v>0</v>
      </c>
      <c r="O1655" s="6">
        <f>Table1[[#This Row],[Revenue]]-Table1[[#This Row],[Disc_amount]]</f>
        <v>1798</v>
      </c>
      <c r="P1655" t="s">
        <v>26</v>
      </c>
      <c r="Q1655" t="s">
        <v>34</v>
      </c>
    </row>
    <row r="1656" spans="1:17">
      <c r="A1656" t="s">
        <v>2464</v>
      </c>
      <c r="B1656" s="1" t="s">
        <v>2463</v>
      </c>
      <c r="C1656" s="1" t="s">
        <v>2242</v>
      </c>
      <c r="D1656" s="1" t="s">
        <v>20</v>
      </c>
      <c r="E1656" t="s">
        <v>832</v>
      </c>
      <c r="F1656" t="s">
        <v>166</v>
      </c>
      <c r="G1656" t="s">
        <v>31</v>
      </c>
      <c r="H1656" t="s">
        <v>46</v>
      </c>
      <c r="I1656" t="s">
        <v>47</v>
      </c>
      <c r="J1656">
        <v>2</v>
      </c>
      <c r="K1656">
        <v>249</v>
      </c>
      <c r="L1656">
        <f>Table1[[#This Row],[Quantity]] * Table1[[#This Row],[UnitPrice]]</f>
        <v>498</v>
      </c>
      <c r="M1656" s="25">
        <v>10</v>
      </c>
      <c r="N1656">
        <f>Table1[[#This Row],[Revenue]]*Table1[[#This Row],[Discount%]]/100</f>
        <v>49.8</v>
      </c>
      <c r="O1656" s="6">
        <f>Table1[[#This Row],[Revenue]]-Table1[[#This Row],[Disc_amount]]</f>
        <v>448.2</v>
      </c>
      <c r="P1656" t="s">
        <v>26</v>
      </c>
      <c r="Q1656" t="s">
        <v>34</v>
      </c>
    </row>
    <row r="1657" spans="1:17">
      <c r="A1657" t="s">
        <v>2465</v>
      </c>
      <c r="B1657" s="1" t="s">
        <v>2463</v>
      </c>
      <c r="C1657" s="1" t="s">
        <v>2242</v>
      </c>
      <c r="D1657" s="1" t="s">
        <v>20</v>
      </c>
      <c r="E1657" t="s">
        <v>1913</v>
      </c>
      <c r="F1657" t="s">
        <v>462</v>
      </c>
      <c r="G1657" t="s">
        <v>56</v>
      </c>
      <c r="H1657" t="s">
        <v>24</v>
      </c>
      <c r="I1657" t="s">
        <v>32</v>
      </c>
      <c r="J1657">
        <v>1</v>
      </c>
      <c r="K1657">
        <v>199</v>
      </c>
      <c r="L1657">
        <f>Table1[[#This Row],[Quantity]] * Table1[[#This Row],[UnitPrice]]</f>
        <v>199</v>
      </c>
      <c r="M1657" s="25">
        <v>0</v>
      </c>
      <c r="N1657">
        <f>Table1[[#This Row],[Revenue]]*Table1[[#This Row],[Discount%]]/100</f>
        <v>0</v>
      </c>
      <c r="O1657" s="6">
        <f>Table1[[#This Row],[Revenue]]-Table1[[#This Row],[Disc_amount]]</f>
        <v>199</v>
      </c>
      <c r="P1657" t="s">
        <v>26</v>
      </c>
      <c r="Q1657" t="s">
        <v>27</v>
      </c>
    </row>
    <row r="1658" spans="1:17">
      <c r="A1658" t="s">
        <v>2466</v>
      </c>
      <c r="B1658" s="1" t="s">
        <v>2467</v>
      </c>
      <c r="C1658" s="1" t="s">
        <v>2242</v>
      </c>
      <c r="D1658" s="1" t="s">
        <v>20</v>
      </c>
      <c r="E1658" t="s">
        <v>300</v>
      </c>
      <c r="F1658" t="s">
        <v>301</v>
      </c>
      <c r="G1658" t="s">
        <v>31</v>
      </c>
      <c r="H1658" t="s">
        <v>70</v>
      </c>
      <c r="I1658" t="s">
        <v>71</v>
      </c>
      <c r="J1658">
        <v>1</v>
      </c>
      <c r="K1658">
        <v>349</v>
      </c>
      <c r="L1658">
        <f>Table1[[#This Row],[Quantity]] * Table1[[#This Row],[UnitPrice]]</f>
        <v>349</v>
      </c>
      <c r="M1658" s="25">
        <v>5</v>
      </c>
      <c r="N1658">
        <f>Table1[[#This Row],[Revenue]]*Table1[[#This Row],[Discount%]]/100</f>
        <v>17.45</v>
      </c>
      <c r="O1658" s="6">
        <f>Table1[[#This Row],[Revenue]]-Table1[[#This Row],[Disc_amount]]</f>
        <v>331.55</v>
      </c>
      <c r="P1658" t="s">
        <v>41</v>
      </c>
      <c r="Q1658" t="s">
        <v>27</v>
      </c>
    </row>
    <row r="1659" spans="1:17">
      <c r="A1659" t="s">
        <v>2468</v>
      </c>
      <c r="B1659" s="1" t="s">
        <v>2467</v>
      </c>
      <c r="C1659" s="1" t="s">
        <v>2242</v>
      </c>
      <c r="D1659" s="1" t="s">
        <v>20</v>
      </c>
      <c r="E1659" t="s">
        <v>594</v>
      </c>
      <c r="F1659" t="s">
        <v>546</v>
      </c>
      <c r="G1659" t="s">
        <v>56</v>
      </c>
      <c r="H1659" t="s">
        <v>24</v>
      </c>
      <c r="I1659" t="s">
        <v>32</v>
      </c>
      <c r="J1659">
        <v>2</v>
      </c>
      <c r="K1659">
        <v>199</v>
      </c>
      <c r="L1659">
        <f>Table1[[#This Row],[Quantity]] * Table1[[#This Row],[UnitPrice]]</f>
        <v>398</v>
      </c>
      <c r="M1659" s="25">
        <v>20</v>
      </c>
      <c r="N1659">
        <f>Table1[[#This Row],[Revenue]]*Table1[[#This Row],[Discount%]]/100</f>
        <v>79.599999999999994</v>
      </c>
      <c r="O1659" s="6">
        <f>Table1[[#This Row],[Revenue]]-Table1[[#This Row],[Disc_amount]]</f>
        <v>318.39999999999998</v>
      </c>
      <c r="P1659" t="s">
        <v>26</v>
      </c>
      <c r="Q1659" t="s">
        <v>34</v>
      </c>
    </row>
    <row r="1660" spans="1:17">
      <c r="A1660" t="s">
        <v>2469</v>
      </c>
      <c r="B1660" s="1" t="s">
        <v>2467</v>
      </c>
      <c r="C1660" s="1" t="s">
        <v>2242</v>
      </c>
      <c r="D1660" s="1" t="s">
        <v>20</v>
      </c>
      <c r="E1660" t="s">
        <v>182</v>
      </c>
      <c r="F1660" t="s">
        <v>183</v>
      </c>
      <c r="G1660" t="s">
        <v>23</v>
      </c>
      <c r="H1660" t="s">
        <v>24</v>
      </c>
      <c r="I1660" t="s">
        <v>32</v>
      </c>
      <c r="J1660">
        <v>1</v>
      </c>
      <c r="K1660">
        <v>199</v>
      </c>
      <c r="L1660">
        <f>Table1[[#This Row],[Quantity]] * Table1[[#This Row],[UnitPrice]]</f>
        <v>199</v>
      </c>
      <c r="M1660" s="25">
        <v>0</v>
      </c>
      <c r="N1660">
        <f>Table1[[#This Row],[Revenue]]*Table1[[#This Row],[Discount%]]/100</f>
        <v>0</v>
      </c>
      <c r="O1660" s="6">
        <f>Table1[[#This Row],[Revenue]]-Table1[[#This Row],[Disc_amount]]</f>
        <v>199</v>
      </c>
      <c r="P1660" t="s">
        <v>86</v>
      </c>
      <c r="Q1660" t="s">
        <v>34</v>
      </c>
    </row>
    <row r="1661" spans="1:17">
      <c r="A1661" t="s">
        <v>2470</v>
      </c>
      <c r="B1661" s="1" t="s">
        <v>2467</v>
      </c>
      <c r="C1661" s="1" t="s">
        <v>2242</v>
      </c>
      <c r="D1661" s="1" t="s">
        <v>20</v>
      </c>
      <c r="E1661" t="s">
        <v>117</v>
      </c>
      <c r="F1661" t="s">
        <v>118</v>
      </c>
      <c r="G1661" t="s">
        <v>38</v>
      </c>
      <c r="H1661" t="s">
        <v>39</v>
      </c>
      <c r="I1661" t="s">
        <v>51</v>
      </c>
      <c r="J1661">
        <v>2</v>
      </c>
      <c r="K1661">
        <v>2999</v>
      </c>
      <c r="L1661">
        <f>Table1[[#This Row],[Quantity]] * Table1[[#This Row],[UnitPrice]]</f>
        <v>5998</v>
      </c>
      <c r="M1661" s="25">
        <v>20</v>
      </c>
      <c r="N1661">
        <f>Table1[[#This Row],[Revenue]]*Table1[[#This Row],[Discount%]]/100</f>
        <v>1199.5999999999999</v>
      </c>
      <c r="O1661" s="6">
        <f>Table1[[#This Row],[Revenue]]-Table1[[#This Row],[Disc_amount]]</f>
        <v>4798.3999999999996</v>
      </c>
      <c r="P1661" t="s">
        <v>33</v>
      </c>
      <c r="Q1661" t="s">
        <v>34</v>
      </c>
    </row>
    <row r="1662" spans="1:17">
      <c r="A1662" t="s">
        <v>2471</v>
      </c>
      <c r="B1662" s="1" t="s">
        <v>2467</v>
      </c>
      <c r="C1662" s="1" t="s">
        <v>2242</v>
      </c>
      <c r="D1662" s="1" t="s">
        <v>20</v>
      </c>
      <c r="E1662" t="s">
        <v>2326</v>
      </c>
      <c r="F1662" t="s">
        <v>129</v>
      </c>
      <c r="G1662" t="s">
        <v>56</v>
      </c>
      <c r="H1662" t="s">
        <v>57</v>
      </c>
      <c r="I1662" t="s">
        <v>58</v>
      </c>
      <c r="J1662">
        <v>1</v>
      </c>
      <c r="K1662">
        <v>1299</v>
      </c>
      <c r="L1662">
        <f>Table1[[#This Row],[Quantity]] * Table1[[#This Row],[UnitPrice]]</f>
        <v>1299</v>
      </c>
      <c r="M1662" s="25">
        <v>0</v>
      </c>
      <c r="N1662">
        <f>Table1[[#This Row],[Revenue]]*Table1[[#This Row],[Discount%]]/100</f>
        <v>0</v>
      </c>
      <c r="O1662" s="6">
        <f>Table1[[#This Row],[Revenue]]-Table1[[#This Row],[Disc_amount]]</f>
        <v>1299</v>
      </c>
      <c r="P1662" t="s">
        <v>26</v>
      </c>
      <c r="Q1662" t="s">
        <v>27</v>
      </c>
    </row>
    <row r="1663" spans="1:17">
      <c r="A1663" t="s">
        <v>2472</v>
      </c>
      <c r="B1663" s="1" t="s">
        <v>2473</v>
      </c>
      <c r="C1663" s="1" t="s">
        <v>2242</v>
      </c>
      <c r="D1663" s="1" t="s">
        <v>20</v>
      </c>
      <c r="E1663" t="s">
        <v>747</v>
      </c>
      <c r="F1663" t="s">
        <v>748</v>
      </c>
      <c r="G1663" t="s">
        <v>56</v>
      </c>
      <c r="H1663" t="s">
        <v>108</v>
      </c>
      <c r="I1663" t="s">
        <v>109</v>
      </c>
      <c r="J1663">
        <v>2</v>
      </c>
      <c r="K1663">
        <v>1499</v>
      </c>
      <c r="L1663">
        <f>Table1[[#This Row],[Quantity]] * Table1[[#This Row],[UnitPrice]]</f>
        <v>2998</v>
      </c>
      <c r="M1663" s="25">
        <v>10</v>
      </c>
      <c r="N1663">
        <f>Table1[[#This Row],[Revenue]]*Table1[[#This Row],[Discount%]]/100</f>
        <v>299.8</v>
      </c>
      <c r="O1663" s="6">
        <f>Table1[[#This Row],[Revenue]]-Table1[[#This Row],[Disc_amount]]</f>
        <v>2698.2</v>
      </c>
      <c r="P1663" t="s">
        <v>86</v>
      </c>
      <c r="Q1663" t="s">
        <v>27</v>
      </c>
    </row>
    <row r="1664" spans="1:17">
      <c r="A1664" t="s">
        <v>2474</v>
      </c>
      <c r="B1664" s="1" t="s">
        <v>2473</v>
      </c>
      <c r="C1664" s="1" t="s">
        <v>2242</v>
      </c>
      <c r="D1664" s="1" t="s">
        <v>20</v>
      </c>
      <c r="E1664" t="s">
        <v>521</v>
      </c>
      <c r="F1664" t="s">
        <v>143</v>
      </c>
      <c r="G1664" t="s">
        <v>45</v>
      </c>
      <c r="H1664" t="s">
        <v>24</v>
      </c>
      <c r="I1664" t="s">
        <v>32</v>
      </c>
      <c r="J1664">
        <v>1</v>
      </c>
      <c r="K1664">
        <v>199</v>
      </c>
      <c r="L1664">
        <f>Table1[[#This Row],[Quantity]] * Table1[[#This Row],[UnitPrice]]</f>
        <v>199</v>
      </c>
      <c r="M1664" s="25">
        <v>0</v>
      </c>
      <c r="N1664">
        <f>Table1[[#This Row],[Revenue]]*Table1[[#This Row],[Discount%]]/100</f>
        <v>0</v>
      </c>
      <c r="O1664" s="6">
        <f>Table1[[#This Row],[Revenue]]-Table1[[#This Row],[Disc_amount]]</f>
        <v>199</v>
      </c>
      <c r="P1664" t="s">
        <v>86</v>
      </c>
      <c r="Q1664" t="s">
        <v>27</v>
      </c>
    </row>
    <row r="1665" spans="1:17">
      <c r="A1665" t="s">
        <v>2475</v>
      </c>
      <c r="B1665" s="1" t="s">
        <v>2473</v>
      </c>
      <c r="C1665" s="1" t="s">
        <v>2242</v>
      </c>
      <c r="D1665" s="1" t="s">
        <v>20</v>
      </c>
      <c r="E1665" t="s">
        <v>368</v>
      </c>
      <c r="F1665" t="s">
        <v>369</v>
      </c>
      <c r="G1665" t="s">
        <v>38</v>
      </c>
      <c r="H1665" t="s">
        <v>46</v>
      </c>
      <c r="I1665" t="s">
        <v>47</v>
      </c>
      <c r="J1665">
        <v>2</v>
      </c>
      <c r="K1665">
        <v>249</v>
      </c>
      <c r="L1665">
        <f>Table1[[#This Row],[Quantity]] * Table1[[#This Row],[UnitPrice]]</f>
        <v>498</v>
      </c>
      <c r="M1665" s="25">
        <v>0</v>
      </c>
      <c r="N1665">
        <f>Table1[[#This Row],[Revenue]]*Table1[[#This Row],[Discount%]]/100</f>
        <v>0</v>
      </c>
      <c r="O1665" s="6">
        <f>Table1[[#This Row],[Revenue]]-Table1[[#This Row],[Disc_amount]]</f>
        <v>498</v>
      </c>
      <c r="P1665" t="s">
        <v>26</v>
      </c>
      <c r="Q1665" t="s">
        <v>27</v>
      </c>
    </row>
    <row r="1666" spans="1:17">
      <c r="A1666" t="s">
        <v>2476</v>
      </c>
      <c r="B1666" s="1" t="s">
        <v>2473</v>
      </c>
      <c r="C1666" s="1" t="s">
        <v>2242</v>
      </c>
      <c r="D1666" s="1" t="s">
        <v>20</v>
      </c>
      <c r="E1666" t="s">
        <v>626</v>
      </c>
      <c r="F1666" t="s">
        <v>376</v>
      </c>
      <c r="G1666" t="s">
        <v>45</v>
      </c>
      <c r="H1666" t="s">
        <v>46</v>
      </c>
      <c r="I1666" t="s">
        <v>154</v>
      </c>
      <c r="J1666">
        <v>3</v>
      </c>
      <c r="K1666">
        <v>299</v>
      </c>
      <c r="L1666">
        <f>Table1[[#This Row],[Quantity]] * Table1[[#This Row],[UnitPrice]]</f>
        <v>897</v>
      </c>
      <c r="M1666" s="25">
        <v>15</v>
      </c>
      <c r="N1666">
        <f>Table1[[#This Row],[Revenue]]*Table1[[#This Row],[Discount%]]/100</f>
        <v>134.55000000000001</v>
      </c>
      <c r="O1666" s="6">
        <f>Table1[[#This Row],[Revenue]]-Table1[[#This Row],[Disc_amount]]</f>
        <v>762.45</v>
      </c>
      <c r="P1666" t="s">
        <v>26</v>
      </c>
      <c r="Q1666" t="s">
        <v>27</v>
      </c>
    </row>
    <row r="1667" spans="1:17">
      <c r="A1667" t="s">
        <v>2477</v>
      </c>
      <c r="B1667" s="1" t="s">
        <v>2473</v>
      </c>
      <c r="C1667" s="1" t="s">
        <v>2242</v>
      </c>
      <c r="D1667" s="1" t="s">
        <v>20</v>
      </c>
      <c r="E1667" t="s">
        <v>2177</v>
      </c>
      <c r="F1667" t="s">
        <v>203</v>
      </c>
      <c r="G1667" t="s">
        <v>38</v>
      </c>
      <c r="H1667" t="s">
        <v>70</v>
      </c>
      <c r="I1667" t="s">
        <v>71</v>
      </c>
      <c r="J1667">
        <v>1</v>
      </c>
      <c r="K1667">
        <v>349</v>
      </c>
      <c r="L1667">
        <f>Table1[[#This Row],[Quantity]] * Table1[[#This Row],[UnitPrice]]</f>
        <v>349</v>
      </c>
      <c r="M1667" s="25">
        <v>20</v>
      </c>
      <c r="N1667">
        <f>Table1[[#This Row],[Revenue]]*Table1[[#This Row],[Discount%]]/100</f>
        <v>69.8</v>
      </c>
      <c r="O1667" s="6">
        <f>Table1[[#This Row],[Revenue]]-Table1[[#This Row],[Disc_amount]]</f>
        <v>279.2</v>
      </c>
      <c r="P1667" t="s">
        <v>52</v>
      </c>
      <c r="Q1667" t="s">
        <v>27</v>
      </c>
    </row>
    <row r="1668" spans="1:17">
      <c r="A1668" t="s">
        <v>2478</v>
      </c>
      <c r="B1668" s="1" t="s">
        <v>2479</v>
      </c>
      <c r="C1668" s="1" t="s">
        <v>2480</v>
      </c>
      <c r="D1668" s="1" t="s">
        <v>20</v>
      </c>
      <c r="E1668" t="s">
        <v>933</v>
      </c>
      <c r="F1668" t="s">
        <v>853</v>
      </c>
      <c r="G1668" t="s">
        <v>31</v>
      </c>
      <c r="H1668" t="s">
        <v>65</v>
      </c>
      <c r="I1668" t="s">
        <v>66</v>
      </c>
      <c r="J1668">
        <v>2</v>
      </c>
      <c r="K1668">
        <v>1999</v>
      </c>
      <c r="L1668">
        <f>Table1[[#This Row],[Quantity]] * Table1[[#This Row],[UnitPrice]]</f>
        <v>3998</v>
      </c>
      <c r="M1668" s="25">
        <v>15</v>
      </c>
      <c r="N1668">
        <f>Table1[[#This Row],[Revenue]]*Table1[[#This Row],[Discount%]]/100</f>
        <v>599.70000000000005</v>
      </c>
      <c r="O1668" s="6">
        <f>Table1[[#This Row],[Revenue]]-Table1[[#This Row],[Disc_amount]]</f>
        <v>3398.3</v>
      </c>
      <c r="P1668" t="s">
        <v>52</v>
      </c>
      <c r="Q1668" t="s">
        <v>27</v>
      </c>
    </row>
    <row r="1669" spans="1:17">
      <c r="A1669" t="s">
        <v>2481</v>
      </c>
      <c r="B1669" s="1" t="s">
        <v>2479</v>
      </c>
      <c r="C1669" s="1" t="s">
        <v>2480</v>
      </c>
      <c r="D1669" s="1" t="s">
        <v>20</v>
      </c>
      <c r="E1669" t="s">
        <v>1172</v>
      </c>
      <c r="F1669" t="s">
        <v>248</v>
      </c>
      <c r="G1669" t="s">
        <v>23</v>
      </c>
      <c r="H1669" t="s">
        <v>57</v>
      </c>
      <c r="I1669" t="s">
        <v>62</v>
      </c>
      <c r="J1669">
        <v>1</v>
      </c>
      <c r="K1669">
        <v>799</v>
      </c>
      <c r="L1669">
        <f>Table1[[#This Row],[Quantity]] * Table1[[#This Row],[UnitPrice]]</f>
        <v>799</v>
      </c>
      <c r="M1669" s="25">
        <v>5</v>
      </c>
      <c r="N1669">
        <f>Table1[[#This Row],[Revenue]]*Table1[[#This Row],[Discount%]]/100</f>
        <v>39.950000000000003</v>
      </c>
      <c r="O1669" s="6">
        <f>Table1[[#This Row],[Revenue]]-Table1[[#This Row],[Disc_amount]]</f>
        <v>759.05</v>
      </c>
      <c r="P1669" t="s">
        <v>41</v>
      </c>
      <c r="Q1669" t="s">
        <v>27</v>
      </c>
    </row>
    <row r="1670" spans="1:17">
      <c r="A1670" t="s">
        <v>2482</v>
      </c>
      <c r="B1670" s="1" t="s">
        <v>2483</v>
      </c>
      <c r="C1670" s="1" t="s">
        <v>2480</v>
      </c>
      <c r="D1670" s="1" t="s">
        <v>20</v>
      </c>
      <c r="E1670" t="s">
        <v>840</v>
      </c>
      <c r="F1670" t="s">
        <v>462</v>
      </c>
      <c r="G1670" t="s">
        <v>23</v>
      </c>
      <c r="H1670" t="s">
        <v>108</v>
      </c>
      <c r="I1670" t="s">
        <v>109</v>
      </c>
      <c r="J1670">
        <v>2</v>
      </c>
      <c r="K1670">
        <v>1499</v>
      </c>
      <c r="L1670">
        <f>Table1[[#This Row],[Quantity]] * Table1[[#This Row],[UnitPrice]]</f>
        <v>2998</v>
      </c>
      <c r="M1670" s="25">
        <v>15</v>
      </c>
      <c r="N1670">
        <f>Table1[[#This Row],[Revenue]]*Table1[[#This Row],[Discount%]]/100</f>
        <v>449.7</v>
      </c>
      <c r="O1670" s="6">
        <f>Table1[[#This Row],[Revenue]]-Table1[[#This Row],[Disc_amount]]</f>
        <v>2548.3000000000002</v>
      </c>
      <c r="P1670" t="s">
        <v>41</v>
      </c>
      <c r="Q1670" t="s">
        <v>34</v>
      </c>
    </row>
    <row r="1671" spans="1:17">
      <c r="A1671" t="s">
        <v>2484</v>
      </c>
      <c r="B1671" s="1" t="s">
        <v>2483</v>
      </c>
      <c r="C1671" s="1" t="s">
        <v>2480</v>
      </c>
      <c r="D1671" s="1" t="s">
        <v>20</v>
      </c>
      <c r="E1671" t="s">
        <v>1741</v>
      </c>
      <c r="F1671" t="s">
        <v>239</v>
      </c>
      <c r="G1671" t="s">
        <v>23</v>
      </c>
      <c r="H1671" t="s">
        <v>65</v>
      </c>
      <c r="I1671" t="s">
        <v>94</v>
      </c>
      <c r="J1671">
        <v>2</v>
      </c>
      <c r="K1671">
        <v>899</v>
      </c>
      <c r="L1671">
        <f>Table1[[#This Row],[Quantity]] * Table1[[#This Row],[UnitPrice]]</f>
        <v>1798</v>
      </c>
      <c r="M1671" s="25">
        <v>5</v>
      </c>
      <c r="N1671">
        <f>Table1[[#This Row],[Revenue]]*Table1[[#This Row],[Discount%]]/100</f>
        <v>89.9</v>
      </c>
      <c r="O1671" s="6">
        <f>Table1[[#This Row],[Revenue]]-Table1[[#This Row],[Disc_amount]]</f>
        <v>1708.1</v>
      </c>
      <c r="P1671" t="s">
        <v>52</v>
      </c>
      <c r="Q1671" t="s">
        <v>27</v>
      </c>
    </row>
    <row r="1672" spans="1:17">
      <c r="A1672" t="s">
        <v>2485</v>
      </c>
      <c r="B1672" s="1" t="s">
        <v>2483</v>
      </c>
      <c r="C1672" s="1" t="s">
        <v>2480</v>
      </c>
      <c r="D1672" s="1" t="s">
        <v>20</v>
      </c>
      <c r="E1672" t="s">
        <v>122</v>
      </c>
      <c r="F1672" t="s">
        <v>123</v>
      </c>
      <c r="G1672" t="s">
        <v>31</v>
      </c>
      <c r="H1672" t="s">
        <v>46</v>
      </c>
      <c r="I1672" t="s">
        <v>154</v>
      </c>
      <c r="J1672">
        <v>1</v>
      </c>
      <c r="K1672">
        <v>299</v>
      </c>
      <c r="L1672">
        <f>Table1[[#This Row],[Quantity]] * Table1[[#This Row],[UnitPrice]]</f>
        <v>299</v>
      </c>
      <c r="M1672" s="25">
        <v>15</v>
      </c>
      <c r="N1672">
        <f>Table1[[#This Row],[Revenue]]*Table1[[#This Row],[Discount%]]/100</f>
        <v>44.85</v>
      </c>
      <c r="O1672" s="6">
        <f>Table1[[#This Row],[Revenue]]-Table1[[#This Row],[Disc_amount]]</f>
        <v>254.15</v>
      </c>
      <c r="P1672" t="s">
        <v>52</v>
      </c>
      <c r="Q1672" t="s">
        <v>27</v>
      </c>
    </row>
    <row r="1673" spans="1:17">
      <c r="A1673" t="s">
        <v>2486</v>
      </c>
      <c r="B1673" s="1" t="s">
        <v>2483</v>
      </c>
      <c r="C1673" s="1" t="s">
        <v>2480</v>
      </c>
      <c r="D1673" s="1" t="s">
        <v>20</v>
      </c>
      <c r="E1673" t="s">
        <v>2207</v>
      </c>
      <c r="F1673" t="s">
        <v>2208</v>
      </c>
      <c r="G1673" t="s">
        <v>45</v>
      </c>
      <c r="H1673" t="s">
        <v>65</v>
      </c>
      <c r="I1673" t="s">
        <v>98</v>
      </c>
      <c r="J1673">
        <v>4</v>
      </c>
      <c r="K1673">
        <v>499</v>
      </c>
      <c r="L1673">
        <f>Table1[[#This Row],[Quantity]] * Table1[[#This Row],[UnitPrice]]</f>
        <v>1996</v>
      </c>
      <c r="M1673" s="25">
        <v>10</v>
      </c>
      <c r="N1673">
        <f>Table1[[#This Row],[Revenue]]*Table1[[#This Row],[Discount%]]/100</f>
        <v>199.6</v>
      </c>
      <c r="O1673" s="6">
        <f>Table1[[#This Row],[Revenue]]-Table1[[#This Row],[Disc_amount]]</f>
        <v>1796.4</v>
      </c>
      <c r="P1673" t="s">
        <v>33</v>
      </c>
      <c r="Q1673" t="s">
        <v>34</v>
      </c>
    </row>
    <row r="1674" spans="1:17">
      <c r="A1674" t="s">
        <v>2487</v>
      </c>
      <c r="B1674" s="1" t="s">
        <v>2488</v>
      </c>
      <c r="C1674" s="1" t="s">
        <v>2480</v>
      </c>
      <c r="D1674" s="1" t="s">
        <v>20</v>
      </c>
      <c r="E1674" t="s">
        <v>1240</v>
      </c>
      <c r="F1674" t="s">
        <v>115</v>
      </c>
      <c r="G1674" t="s">
        <v>31</v>
      </c>
      <c r="H1674" t="s">
        <v>65</v>
      </c>
      <c r="I1674" t="s">
        <v>94</v>
      </c>
      <c r="J1674">
        <v>1</v>
      </c>
      <c r="K1674">
        <v>899</v>
      </c>
      <c r="L1674">
        <f>Table1[[#This Row],[Quantity]] * Table1[[#This Row],[UnitPrice]]</f>
        <v>899</v>
      </c>
      <c r="M1674" s="25">
        <v>15</v>
      </c>
      <c r="N1674">
        <f>Table1[[#This Row],[Revenue]]*Table1[[#This Row],[Discount%]]/100</f>
        <v>134.85</v>
      </c>
      <c r="O1674" s="6">
        <f>Table1[[#This Row],[Revenue]]-Table1[[#This Row],[Disc_amount]]</f>
        <v>764.15</v>
      </c>
      <c r="P1674" t="s">
        <v>33</v>
      </c>
      <c r="Q1674" t="s">
        <v>27</v>
      </c>
    </row>
    <row r="1675" spans="1:17">
      <c r="A1675" t="s">
        <v>2489</v>
      </c>
      <c r="B1675" s="1" t="s">
        <v>2488</v>
      </c>
      <c r="C1675" s="1" t="s">
        <v>2480</v>
      </c>
      <c r="D1675" s="1" t="s">
        <v>20</v>
      </c>
      <c r="E1675" t="s">
        <v>1803</v>
      </c>
      <c r="F1675" t="s">
        <v>1463</v>
      </c>
      <c r="G1675" t="s">
        <v>45</v>
      </c>
      <c r="H1675" t="s">
        <v>46</v>
      </c>
      <c r="I1675" t="s">
        <v>47</v>
      </c>
      <c r="J1675">
        <v>1</v>
      </c>
      <c r="K1675">
        <v>249</v>
      </c>
      <c r="L1675">
        <f>Table1[[#This Row],[Quantity]] * Table1[[#This Row],[UnitPrice]]</f>
        <v>249</v>
      </c>
      <c r="M1675" s="25">
        <v>0</v>
      </c>
      <c r="N1675">
        <f>Table1[[#This Row],[Revenue]]*Table1[[#This Row],[Discount%]]/100</f>
        <v>0</v>
      </c>
      <c r="O1675" s="6">
        <f>Table1[[#This Row],[Revenue]]-Table1[[#This Row],[Disc_amount]]</f>
        <v>249</v>
      </c>
      <c r="P1675" t="s">
        <v>86</v>
      </c>
      <c r="Q1675" t="s">
        <v>27</v>
      </c>
    </row>
    <row r="1676" spans="1:17">
      <c r="A1676" t="s">
        <v>2490</v>
      </c>
      <c r="B1676" s="1" t="s">
        <v>2488</v>
      </c>
      <c r="C1676" s="1" t="s">
        <v>2480</v>
      </c>
      <c r="D1676" s="1" t="s">
        <v>20</v>
      </c>
      <c r="E1676" t="s">
        <v>278</v>
      </c>
      <c r="F1676" t="s">
        <v>279</v>
      </c>
      <c r="G1676" t="s">
        <v>38</v>
      </c>
      <c r="H1676" t="s">
        <v>65</v>
      </c>
      <c r="I1676" t="s">
        <v>66</v>
      </c>
      <c r="J1676">
        <v>2</v>
      </c>
      <c r="K1676">
        <v>1999</v>
      </c>
      <c r="L1676">
        <f>Table1[[#This Row],[Quantity]] * Table1[[#This Row],[UnitPrice]]</f>
        <v>3998</v>
      </c>
      <c r="M1676" s="25">
        <v>0</v>
      </c>
      <c r="N1676">
        <f>Table1[[#This Row],[Revenue]]*Table1[[#This Row],[Discount%]]/100</f>
        <v>0</v>
      </c>
      <c r="O1676" s="6">
        <f>Table1[[#This Row],[Revenue]]-Table1[[#This Row],[Disc_amount]]</f>
        <v>3998</v>
      </c>
      <c r="P1676" t="s">
        <v>33</v>
      </c>
      <c r="Q1676" t="s">
        <v>27</v>
      </c>
    </row>
    <row r="1677" spans="1:17">
      <c r="A1677" t="s">
        <v>2491</v>
      </c>
      <c r="B1677" s="1" t="s">
        <v>2488</v>
      </c>
      <c r="C1677" s="1" t="s">
        <v>2480</v>
      </c>
      <c r="D1677" s="1" t="s">
        <v>20</v>
      </c>
      <c r="E1677" t="s">
        <v>1049</v>
      </c>
      <c r="F1677" t="s">
        <v>415</v>
      </c>
      <c r="G1677" t="s">
        <v>23</v>
      </c>
      <c r="H1677" t="s">
        <v>108</v>
      </c>
      <c r="I1677" t="s">
        <v>109</v>
      </c>
      <c r="J1677">
        <v>2</v>
      </c>
      <c r="K1677">
        <v>1499</v>
      </c>
      <c r="L1677">
        <f>Table1[[#This Row],[Quantity]] * Table1[[#This Row],[UnitPrice]]</f>
        <v>2998</v>
      </c>
      <c r="M1677" s="25">
        <v>0</v>
      </c>
      <c r="N1677">
        <f>Table1[[#This Row],[Revenue]]*Table1[[#This Row],[Discount%]]/100</f>
        <v>0</v>
      </c>
      <c r="O1677" s="6">
        <f>Table1[[#This Row],[Revenue]]-Table1[[#This Row],[Disc_amount]]</f>
        <v>2998</v>
      </c>
      <c r="P1677" t="s">
        <v>26</v>
      </c>
      <c r="Q1677" t="s">
        <v>34</v>
      </c>
    </row>
    <row r="1678" spans="1:17">
      <c r="A1678" t="s">
        <v>2492</v>
      </c>
      <c r="B1678" s="1" t="s">
        <v>2488</v>
      </c>
      <c r="C1678" s="1" t="s">
        <v>2480</v>
      </c>
      <c r="D1678" s="1" t="s">
        <v>20</v>
      </c>
      <c r="E1678" t="s">
        <v>409</v>
      </c>
      <c r="F1678" t="s">
        <v>410</v>
      </c>
      <c r="G1678" t="s">
        <v>38</v>
      </c>
      <c r="H1678" t="s">
        <v>65</v>
      </c>
      <c r="I1678" t="s">
        <v>94</v>
      </c>
      <c r="J1678">
        <v>1</v>
      </c>
      <c r="K1678">
        <v>899</v>
      </c>
      <c r="L1678">
        <f>Table1[[#This Row],[Quantity]] * Table1[[#This Row],[UnitPrice]]</f>
        <v>899</v>
      </c>
      <c r="M1678" s="25">
        <v>5</v>
      </c>
      <c r="N1678">
        <f>Table1[[#This Row],[Revenue]]*Table1[[#This Row],[Discount%]]/100</f>
        <v>44.95</v>
      </c>
      <c r="O1678" s="6">
        <f>Table1[[#This Row],[Revenue]]-Table1[[#This Row],[Disc_amount]]</f>
        <v>854.05</v>
      </c>
      <c r="P1678" t="s">
        <v>33</v>
      </c>
      <c r="Q1678" t="s">
        <v>34</v>
      </c>
    </row>
    <row r="1679" spans="1:17">
      <c r="A1679" t="s">
        <v>2493</v>
      </c>
      <c r="B1679" s="1" t="s">
        <v>2488</v>
      </c>
      <c r="C1679" s="1" t="s">
        <v>2480</v>
      </c>
      <c r="D1679" s="1" t="s">
        <v>20</v>
      </c>
      <c r="E1679" t="s">
        <v>262</v>
      </c>
      <c r="F1679" t="s">
        <v>77</v>
      </c>
      <c r="G1679" t="s">
        <v>38</v>
      </c>
      <c r="H1679" t="s">
        <v>46</v>
      </c>
      <c r="I1679" t="s">
        <v>47</v>
      </c>
      <c r="J1679">
        <v>2</v>
      </c>
      <c r="K1679">
        <v>249</v>
      </c>
      <c r="L1679">
        <f>Table1[[#This Row],[Quantity]] * Table1[[#This Row],[UnitPrice]]</f>
        <v>498</v>
      </c>
      <c r="M1679" s="25">
        <v>5</v>
      </c>
      <c r="N1679">
        <f>Table1[[#This Row],[Revenue]]*Table1[[#This Row],[Discount%]]/100</f>
        <v>24.9</v>
      </c>
      <c r="O1679" s="6">
        <f>Table1[[#This Row],[Revenue]]-Table1[[#This Row],[Disc_amount]]</f>
        <v>473.1</v>
      </c>
      <c r="P1679" t="s">
        <v>33</v>
      </c>
      <c r="Q1679" t="s">
        <v>27</v>
      </c>
    </row>
    <row r="1680" spans="1:17">
      <c r="A1680" t="s">
        <v>2494</v>
      </c>
      <c r="B1680" s="1" t="s">
        <v>2488</v>
      </c>
      <c r="C1680" s="1" t="s">
        <v>2480</v>
      </c>
      <c r="D1680" s="1" t="s">
        <v>20</v>
      </c>
      <c r="E1680" t="s">
        <v>357</v>
      </c>
      <c r="F1680" t="s">
        <v>358</v>
      </c>
      <c r="G1680" t="s">
        <v>23</v>
      </c>
      <c r="H1680" t="s">
        <v>46</v>
      </c>
      <c r="I1680" t="s">
        <v>47</v>
      </c>
      <c r="J1680">
        <v>1</v>
      </c>
      <c r="K1680">
        <v>249</v>
      </c>
      <c r="L1680">
        <f>Table1[[#This Row],[Quantity]] * Table1[[#This Row],[UnitPrice]]</f>
        <v>249</v>
      </c>
      <c r="M1680" s="25">
        <v>0</v>
      </c>
      <c r="N1680">
        <f>Table1[[#This Row],[Revenue]]*Table1[[#This Row],[Discount%]]/100</f>
        <v>0</v>
      </c>
      <c r="O1680" s="6">
        <f>Table1[[#This Row],[Revenue]]-Table1[[#This Row],[Disc_amount]]</f>
        <v>249</v>
      </c>
      <c r="P1680" t="s">
        <v>52</v>
      </c>
      <c r="Q1680" t="s">
        <v>27</v>
      </c>
    </row>
    <row r="1681" spans="1:17">
      <c r="A1681" t="s">
        <v>2495</v>
      </c>
      <c r="B1681" s="1" t="s">
        <v>2488</v>
      </c>
      <c r="C1681" s="1" t="s">
        <v>2480</v>
      </c>
      <c r="D1681" s="1" t="s">
        <v>20</v>
      </c>
      <c r="E1681" t="s">
        <v>755</v>
      </c>
      <c r="F1681" t="s">
        <v>756</v>
      </c>
      <c r="G1681" t="s">
        <v>23</v>
      </c>
      <c r="H1681" t="s">
        <v>39</v>
      </c>
      <c r="I1681" t="s">
        <v>51</v>
      </c>
      <c r="J1681">
        <v>1</v>
      </c>
      <c r="K1681">
        <v>2999</v>
      </c>
      <c r="L1681">
        <f>Table1[[#This Row],[Quantity]] * Table1[[#This Row],[UnitPrice]]</f>
        <v>2999</v>
      </c>
      <c r="M1681" s="25">
        <v>20</v>
      </c>
      <c r="N1681">
        <f>Table1[[#This Row],[Revenue]]*Table1[[#This Row],[Discount%]]/100</f>
        <v>599.79999999999995</v>
      </c>
      <c r="O1681" s="6">
        <f>Table1[[#This Row],[Revenue]]-Table1[[#This Row],[Disc_amount]]</f>
        <v>2399.1999999999998</v>
      </c>
      <c r="P1681" t="s">
        <v>86</v>
      </c>
      <c r="Q1681" t="s">
        <v>34</v>
      </c>
    </row>
    <row r="1682" spans="1:17">
      <c r="A1682" t="s">
        <v>2496</v>
      </c>
      <c r="B1682" s="1" t="s">
        <v>2497</v>
      </c>
      <c r="C1682" s="1" t="s">
        <v>2480</v>
      </c>
      <c r="D1682" s="1" t="s">
        <v>20</v>
      </c>
      <c r="E1682" t="s">
        <v>886</v>
      </c>
      <c r="F1682" t="s">
        <v>74</v>
      </c>
      <c r="G1682" t="s">
        <v>23</v>
      </c>
      <c r="H1682" t="s">
        <v>57</v>
      </c>
      <c r="I1682" t="s">
        <v>58</v>
      </c>
      <c r="J1682">
        <v>3</v>
      </c>
      <c r="K1682">
        <v>1299</v>
      </c>
      <c r="L1682">
        <f>Table1[[#This Row],[Quantity]] * Table1[[#This Row],[UnitPrice]]</f>
        <v>3897</v>
      </c>
      <c r="M1682" s="25">
        <v>0</v>
      </c>
      <c r="N1682">
        <f>Table1[[#This Row],[Revenue]]*Table1[[#This Row],[Discount%]]/100</f>
        <v>0</v>
      </c>
      <c r="O1682" s="6">
        <f>Table1[[#This Row],[Revenue]]-Table1[[#This Row],[Disc_amount]]</f>
        <v>3897</v>
      </c>
      <c r="P1682" t="s">
        <v>26</v>
      </c>
      <c r="Q1682" t="s">
        <v>34</v>
      </c>
    </row>
    <row r="1683" spans="1:17">
      <c r="A1683" t="s">
        <v>2498</v>
      </c>
      <c r="B1683" s="1" t="s">
        <v>2497</v>
      </c>
      <c r="C1683" s="1" t="s">
        <v>2480</v>
      </c>
      <c r="D1683" s="1" t="s">
        <v>20</v>
      </c>
      <c r="E1683" t="s">
        <v>1434</v>
      </c>
      <c r="F1683" t="s">
        <v>326</v>
      </c>
      <c r="G1683" t="s">
        <v>31</v>
      </c>
      <c r="H1683" t="s">
        <v>57</v>
      </c>
      <c r="I1683" t="s">
        <v>62</v>
      </c>
      <c r="J1683">
        <v>1</v>
      </c>
      <c r="K1683">
        <v>799</v>
      </c>
      <c r="L1683">
        <f>Table1[[#This Row],[Quantity]] * Table1[[#This Row],[UnitPrice]]</f>
        <v>799</v>
      </c>
      <c r="M1683" s="25">
        <v>20</v>
      </c>
      <c r="N1683">
        <f>Table1[[#This Row],[Revenue]]*Table1[[#This Row],[Discount%]]/100</f>
        <v>159.80000000000001</v>
      </c>
      <c r="O1683" s="6">
        <f>Table1[[#This Row],[Revenue]]-Table1[[#This Row],[Disc_amount]]</f>
        <v>639.20000000000005</v>
      </c>
      <c r="P1683" t="s">
        <v>26</v>
      </c>
      <c r="Q1683" t="s">
        <v>27</v>
      </c>
    </row>
    <row r="1684" spans="1:17">
      <c r="A1684" t="s">
        <v>2499</v>
      </c>
      <c r="B1684" s="1" t="s">
        <v>2497</v>
      </c>
      <c r="C1684" s="1" t="s">
        <v>2480</v>
      </c>
      <c r="D1684" s="1" t="s">
        <v>20</v>
      </c>
      <c r="E1684" t="s">
        <v>383</v>
      </c>
      <c r="F1684" t="s">
        <v>384</v>
      </c>
      <c r="G1684" t="s">
        <v>45</v>
      </c>
      <c r="H1684" t="s">
        <v>70</v>
      </c>
      <c r="I1684" t="s">
        <v>71</v>
      </c>
      <c r="J1684">
        <v>1</v>
      </c>
      <c r="K1684">
        <v>349</v>
      </c>
      <c r="L1684">
        <f>Table1[[#This Row],[Quantity]] * Table1[[#This Row],[UnitPrice]]</f>
        <v>349</v>
      </c>
      <c r="M1684" s="25">
        <v>15</v>
      </c>
      <c r="N1684">
        <f>Table1[[#This Row],[Revenue]]*Table1[[#This Row],[Discount%]]/100</f>
        <v>52.35</v>
      </c>
      <c r="O1684" s="6">
        <f>Table1[[#This Row],[Revenue]]-Table1[[#This Row],[Disc_amount]]</f>
        <v>296.64999999999998</v>
      </c>
      <c r="P1684" t="s">
        <v>41</v>
      </c>
      <c r="Q1684" t="s">
        <v>34</v>
      </c>
    </row>
    <row r="1685" spans="1:17">
      <c r="A1685" t="s">
        <v>2500</v>
      </c>
      <c r="B1685" s="1" t="s">
        <v>2497</v>
      </c>
      <c r="C1685" s="1" t="s">
        <v>2480</v>
      </c>
      <c r="D1685" s="1" t="s">
        <v>20</v>
      </c>
      <c r="E1685" t="s">
        <v>561</v>
      </c>
      <c r="F1685" t="s">
        <v>562</v>
      </c>
      <c r="G1685" t="s">
        <v>23</v>
      </c>
      <c r="H1685" t="s">
        <v>108</v>
      </c>
      <c r="I1685" t="s">
        <v>130</v>
      </c>
      <c r="J1685">
        <v>1</v>
      </c>
      <c r="K1685">
        <v>699</v>
      </c>
      <c r="L1685">
        <f>Table1[[#This Row],[Quantity]] * Table1[[#This Row],[UnitPrice]]</f>
        <v>699</v>
      </c>
      <c r="M1685" s="25">
        <v>0</v>
      </c>
      <c r="N1685">
        <f>Table1[[#This Row],[Revenue]]*Table1[[#This Row],[Discount%]]/100</f>
        <v>0</v>
      </c>
      <c r="O1685" s="6">
        <f>Table1[[#This Row],[Revenue]]-Table1[[#This Row],[Disc_amount]]</f>
        <v>699</v>
      </c>
      <c r="P1685" t="s">
        <v>26</v>
      </c>
      <c r="Q1685" t="s">
        <v>34</v>
      </c>
    </row>
    <row r="1686" spans="1:17">
      <c r="A1686" t="s">
        <v>2501</v>
      </c>
      <c r="B1686" s="1" t="s">
        <v>2497</v>
      </c>
      <c r="C1686" s="1" t="s">
        <v>2480</v>
      </c>
      <c r="D1686" s="1" t="s">
        <v>20</v>
      </c>
      <c r="E1686" t="s">
        <v>449</v>
      </c>
      <c r="F1686" t="s">
        <v>450</v>
      </c>
      <c r="G1686" t="s">
        <v>31</v>
      </c>
      <c r="H1686" t="s">
        <v>46</v>
      </c>
      <c r="I1686" t="s">
        <v>154</v>
      </c>
      <c r="J1686">
        <v>1</v>
      </c>
      <c r="K1686">
        <v>299</v>
      </c>
      <c r="L1686">
        <f>Table1[[#This Row],[Quantity]] * Table1[[#This Row],[UnitPrice]]</f>
        <v>299</v>
      </c>
      <c r="M1686" s="25">
        <v>15</v>
      </c>
      <c r="N1686">
        <f>Table1[[#This Row],[Revenue]]*Table1[[#This Row],[Discount%]]/100</f>
        <v>44.85</v>
      </c>
      <c r="O1686" s="6">
        <f>Table1[[#This Row],[Revenue]]-Table1[[#This Row],[Disc_amount]]</f>
        <v>254.15</v>
      </c>
      <c r="P1686" t="s">
        <v>33</v>
      </c>
      <c r="Q1686" t="s">
        <v>27</v>
      </c>
    </row>
    <row r="1687" spans="1:17">
      <c r="A1687" t="s">
        <v>2502</v>
      </c>
      <c r="B1687" s="1" t="s">
        <v>2497</v>
      </c>
      <c r="C1687" s="1" t="s">
        <v>2480</v>
      </c>
      <c r="D1687" s="1" t="s">
        <v>20</v>
      </c>
      <c r="E1687" t="s">
        <v>573</v>
      </c>
      <c r="F1687" t="s">
        <v>574</v>
      </c>
      <c r="G1687" t="s">
        <v>38</v>
      </c>
      <c r="H1687" t="s">
        <v>65</v>
      </c>
      <c r="I1687" t="s">
        <v>98</v>
      </c>
      <c r="J1687">
        <v>1</v>
      </c>
      <c r="K1687">
        <v>499</v>
      </c>
      <c r="L1687">
        <f>Table1[[#This Row],[Quantity]] * Table1[[#This Row],[UnitPrice]]</f>
        <v>499</v>
      </c>
      <c r="M1687" s="25">
        <v>0</v>
      </c>
      <c r="N1687">
        <f>Table1[[#This Row],[Revenue]]*Table1[[#This Row],[Discount%]]/100</f>
        <v>0</v>
      </c>
      <c r="O1687" s="6">
        <f>Table1[[#This Row],[Revenue]]-Table1[[#This Row],[Disc_amount]]</f>
        <v>499</v>
      </c>
      <c r="P1687" t="s">
        <v>26</v>
      </c>
      <c r="Q1687" t="s">
        <v>27</v>
      </c>
    </row>
    <row r="1688" spans="1:17">
      <c r="A1688" t="s">
        <v>2503</v>
      </c>
      <c r="B1688" s="1" t="s">
        <v>2497</v>
      </c>
      <c r="C1688" s="1" t="s">
        <v>2480</v>
      </c>
      <c r="D1688" s="1" t="s">
        <v>20</v>
      </c>
      <c r="E1688" t="s">
        <v>224</v>
      </c>
      <c r="F1688" t="s">
        <v>225</v>
      </c>
      <c r="G1688" t="s">
        <v>31</v>
      </c>
      <c r="H1688" t="s">
        <v>65</v>
      </c>
      <c r="I1688" t="s">
        <v>98</v>
      </c>
      <c r="J1688">
        <v>1</v>
      </c>
      <c r="K1688">
        <v>499</v>
      </c>
      <c r="L1688">
        <f>Table1[[#This Row],[Quantity]] * Table1[[#This Row],[UnitPrice]]</f>
        <v>499</v>
      </c>
      <c r="M1688" s="25">
        <v>15</v>
      </c>
      <c r="N1688">
        <f>Table1[[#This Row],[Revenue]]*Table1[[#This Row],[Discount%]]/100</f>
        <v>74.849999999999994</v>
      </c>
      <c r="O1688" s="6">
        <f>Table1[[#This Row],[Revenue]]-Table1[[#This Row],[Disc_amount]]</f>
        <v>424.15</v>
      </c>
      <c r="P1688" t="s">
        <v>33</v>
      </c>
      <c r="Q1688" t="s">
        <v>27</v>
      </c>
    </row>
    <row r="1689" spans="1:17">
      <c r="A1689" t="s">
        <v>2504</v>
      </c>
      <c r="B1689" s="1" t="s">
        <v>2497</v>
      </c>
      <c r="C1689" s="1" t="s">
        <v>2480</v>
      </c>
      <c r="D1689" s="1" t="s">
        <v>20</v>
      </c>
      <c r="E1689" t="s">
        <v>405</v>
      </c>
      <c r="F1689" t="s">
        <v>248</v>
      </c>
      <c r="G1689" t="s">
        <v>23</v>
      </c>
      <c r="H1689" t="s">
        <v>108</v>
      </c>
      <c r="I1689" t="s">
        <v>109</v>
      </c>
      <c r="J1689">
        <v>1</v>
      </c>
      <c r="K1689">
        <v>1499</v>
      </c>
      <c r="L1689">
        <f>Table1[[#This Row],[Quantity]] * Table1[[#This Row],[UnitPrice]]</f>
        <v>1499</v>
      </c>
      <c r="M1689" s="25">
        <v>20</v>
      </c>
      <c r="N1689">
        <f>Table1[[#This Row],[Revenue]]*Table1[[#This Row],[Discount%]]/100</f>
        <v>299.8</v>
      </c>
      <c r="O1689" s="6">
        <f>Table1[[#This Row],[Revenue]]-Table1[[#This Row],[Disc_amount]]</f>
        <v>1199.2</v>
      </c>
      <c r="P1689" t="s">
        <v>33</v>
      </c>
      <c r="Q1689" t="s">
        <v>27</v>
      </c>
    </row>
    <row r="1690" spans="1:17">
      <c r="A1690" t="s">
        <v>2505</v>
      </c>
      <c r="B1690" s="1" t="s">
        <v>2506</v>
      </c>
      <c r="C1690" s="1" t="s">
        <v>2480</v>
      </c>
      <c r="D1690" s="1" t="s">
        <v>20</v>
      </c>
      <c r="E1690" t="s">
        <v>205</v>
      </c>
      <c r="F1690" t="s">
        <v>206</v>
      </c>
      <c r="G1690" t="s">
        <v>56</v>
      </c>
      <c r="H1690" t="s">
        <v>70</v>
      </c>
      <c r="I1690" t="s">
        <v>91</v>
      </c>
      <c r="J1690">
        <v>1</v>
      </c>
      <c r="K1690">
        <v>549</v>
      </c>
      <c r="L1690">
        <f>Table1[[#This Row],[Quantity]] * Table1[[#This Row],[UnitPrice]]</f>
        <v>549</v>
      </c>
      <c r="M1690" s="25">
        <v>0</v>
      </c>
      <c r="N1690">
        <f>Table1[[#This Row],[Revenue]]*Table1[[#This Row],[Discount%]]/100</f>
        <v>0</v>
      </c>
      <c r="O1690" s="6">
        <f>Table1[[#This Row],[Revenue]]-Table1[[#This Row],[Disc_amount]]</f>
        <v>549</v>
      </c>
      <c r="P1690" t="s">
        <v>33</v>
      </c>
      <c r="Q1690" t="s">
        <v>34</v>
      </c>
    </row>
    <row r="1691" spans="1:17">
      <c r="A1691" t="s">
        <v>2507</v>
      </c>
      <c r="B1691" s="1" t="s">
        <v>2506</v>
      </c>
      <c r="C1691" s="1" t="s">
        <v>2480</v>
      </c>
      <c r="D1691" s="1" t="s">
        <v>20</v>
      </c>
      <c r="E1691" t="s">
        <v>1071</v>
      </c>
      <c r="F1691" t="s">
        <v>118</v>
      </c>
      <c r="G1691" t="s">
        <v>56</v>
      </c>
      <c r="H1691" t="s">
        <v>65</v>
      </c>
      <c r="I1691" t="s">
        <v>94</v>
      </c>
      <c r="J1691">
        <v>1</v>
      </c>
      <c r="K1691">
        <v>899</v>
      </c>
      <c r="L1691">
        <f>Table1[[#This Row],[Quantity]] * Table1[[#This Row],[UnitPrice]]</f>
        <v>899</v>
      </c>
      <c r="M1691" s="25">
        <v>5</v>
      </c>
      <c r="N1691">
        <f>Table1[[#This Row],[Revenue]]*Table1[[#This Row],[Discount%]]/100</f>
        <v>44.95</v>
      </c>
      <c r="O1691" s="6">
        <f>Table1[[#This Row],[Revenue]]-Table1[[#This Row],[Disc_amount]]</f>
        <v>854.05</v>
      </c>
      <c r="P1691" t="s">
        <v>41</v>
      </c>
      <c r="Q1691" t="s">
        <v>27</v>
      </c>
    </row>
    <row r="1692" spans="1:17">
      <c r="A1692" t="s">
        <v>2508</v>
      </c>
      <c r="B1692" s="1" t="s">
        <v>2506</v>
      </c>
      <c r="C1692" s="1" t="s">
        <v>2480</v>
      </c>
      <c r="D1692" s="1" t="s">
        <v>20</v>
      </c>
      <c r="E1692" t="s">
        <v>578</v>
      </c>
      <c r="F1692" t="s">
        <v>579</v>
      </c>
      <c r="G1692" t="s">
        <v>45</v>
      </c>
      <c r="H1692" t="s">
        <v>65</v>
      </c>
      <c r="I1692" t="s">
        <v>66</v>
      </c>
      <c r="J1692">
        <v>1</v>
      </c>
      <c r="K1692">
        <v>1999</v>
      </c>
      <c r="L1692">
        <f>Table1[[#This Row],[Quantity]] * Table1[[#This Row],[UnitPrice]]</f>
        <v>1999</v>
      </c>
      <c r="M1692" s="25">
        <v>0</v>
      </c>
      <c r="N1692">
        <f>Table1[[#This Row],[Revenue]]*Table1[[#This Row],[Discount%]]/100</f>
        <v>0</v>
      </c>
      <c r="O1692" s="6">
        <f>Table1[[#This Row],[Revenue]]-Table1[[#This Row],[Disc_amount]]</f>
        <v>1999</v>
      </c>
      <c r="P1692" t="s">
        <v>41</v>
      </c>
      <c r="Q1692" t="s">
        <v>27</v>
      </c>
    </row>
    <row r="1693" spans="1:17">
      <c r="A1693" t="s">
        <v>2509</v>
      </c>
      <c r="B1693" s="1" t="s">
        <v>2506</v>
      </c>
      <c r="C1693" s="1" t="s">
        <v>2480</v>
      </c>
      <c r="D1693" s="1" t="s">
        <v>20</v>
      </c>
      <c r="E1693" t="s">
        <v>1685</v>
      </c>
      <c r="F1693" t="s">
        <v>784</v>
      </c>
      <c r="G1693" t="s">
        <v>23</v>
      </c>
      <c r="H1693" t="s">
        <v>39</v>
      </c>
      <c r="I1693" t="s">
        <v>40</v>
      </c>
      <c r="J1693">
        <v>1</v>
      </c>
      <c r="K1693">
        <v>599</v>
      </c>
      <c r="L1693">
        <f>Table1[[#This Row],[Quantity]] * Table1[[#This Row],[UnitPrice]]</f>
        <v>599</v>
      </c>
      <c r="M1693" s="25">
        <v>0</v>
      </c>
      <c r="N1693">
        <f>Table1[[#This Row],[Revenue]]*Table1[[#This Row],[Discount%]]/100</f>
        <v>0</v>
      </c>
      <c r="O1693" s="6">
        <f>Table1[[#This Row],[Revenue]]-Table1[[#This Row],[Disc_amount]]</f>
        <v>599</v>
      </c>
      <c r="P1693" t="s">
        <v>41</v>
      </c>
      <c r="Q1693" t="s">
        <v>27</v>
      </c>
    </row>
    <row r="1694" spans="1:17">
      <c r="A1694" t="s">
        <v>2510</v>
      </c>
      <c r="B1694" s="1" t="s">
        <v>2506</v>
      </c>
      <c r="C1694" s="1" t="s">
        <v>2480</v>
      </c>
      <c r="D1694" s="1" t="s">
        <v>20</v>
      </c>
      <c r="E1694" t="s">
        <v>469</v>
      </c>
      <c r="F1694" t="s">
        <v>470</v>
      </c>
      <c r="G1694" t="s">
        <v>45</v>
      </c>
      <c r="H1694" t="s">
        <v>39</v>
      </c>
      <c r="I1694" t="s">
        <v>40</v>
      </c>
      <c r="J1694">
        <v>1</v>
      </c>
      <c r="K1694">
        <v>599</v>
      </c>
      <c r="L1694">
        <f>Table1[[#This Row],[Quantity]] * Table1[[#This Row],[UnitPrice]]</f>
        <v>599</v>
      </c>
      <c r="M1694" s="25">
        <v>0</v>
      </c>
      <c r="N1694">
        <f>Table1[[#This Row],[Revenue]]*Table1[[#This Row],[Discount%]]/100</f>
        <v>0</v>
      </c>
      <c r="O1694" s="6">
        <f>Table1[[#This Row],[Revenue]]-Table1[[#This Row],[Disc_amount]]</f>
        <v>599</v>
      </c>
      <c r="P1694" t="s">
        <v>33</v>
      </c>
      <c r="Q1694" t="s">
        <v>27</v>
      </c>
    </row>
    <row r="1695" spans="1:17">
      <c r="A1695" t="s">
        <v>2511</v>
      </c>
      <c r="B1695" s="1" t="s">
        <v>2506</v>
      </c>
      <c r="C1695" s="1" t="s">
        <v>2480</v>
      </c>
      <c r="D1695" s="1" t="s">
        <v>20</v>
      </c>
      <c r="E1695" t="s">
        <v>578</v>
      </c>
      <c r="F1695" t="s">
        <v>579</v>
      </c>
      <c r="G1695" t="s">
        <v>31</v>
      </c>
      <c r="H1695" t="s">
        <v>65</v>
      </c>
      <c r="I1695" t="s">
        <v>66</v>
      </c>
      <c r="J1695">
        <v>1</v>
      </c>
      <c r="K1695">
        <v>1999</v>
      </c>
      <c r="L1695">
        <f>Table1[[#This Row],[Quantity]] * Table1[[#This Row],[UnitPrice]]</f>
        <v>1999</v>
      </c>
      <c r="M1695" s="25">
        <v>15</v>
      </c>
      <c r="N1695">
        <f>Table1[[#This Row],[Revenue]]*Table1[[#This Row],[Discount%]]/100</f>
        <v>299.85000000000002</v>
      </c>
      <c r="O1695" s="6">
        <f>Table1[[#This Row],[Revenue]]-Table1[[#This Row],[Disc_amount]]</f>
        <v>1699.15</v>
      </c>
      <c r="P1695" t="s">
        <v>52</v>
      </c>
      <c r="Q1695" t="s">
        <v>34</v>
      </c>
    </row>
    <row r="1696" spans="1:17">
      <c r="A1696" t="s">
        <v>2512</v>
      </c>
      <c r="B1696" s="1" t="s">
        <v>2506</v>
      </c>
      <c r="C1696" s="1" t="s">
        <v>2480</v>
      </c>
      <c r="D1696" s="1" t="s">
        <v>20</v>
      </c>
      <c r="E1696" t="s">
        <v>536</v>
      </c>
      <c r="F1696" t="s">
        <v>295</v>
      </c>
      <c r="G1696" t="s">
        <v>31</v>
      </c>
      <c r="H1696" t="s">
        <v>39</v>
      </c>
      <c r="I1696" t="s">
        <v>51</v>
      </c>
      <c r="J1696">
        <v>1</v>
      </c>
      <c r="K1696">
        <v>2999</v>
      </c>
      <c r="L1696">
        <f>Table1[[#This Row],[Quantity]] * Table1[[#This Row],[UnitPrice]]</f>
        <v>2999</v>
      </c>
      <c r="M1696" s="25">
        <v>0</v>
      </c>
      <c r="N1696">
        <f>Table1[[#This Row],[Revenue]]*Table1[[#This Row],[Discount%]]/100</f>
        <v>0</v>
      </c>
      <c r="O1696" s="6">
        <f>Table1[[#This Row],[Revenue]]-Table1[[#This Row],[Disc_amount]]</f>
        <v>2999</v>
      </c>
      <c r="P1696" t="s">
        <v>41</v>
      </c>
      <c r="Q1696" t="s">
        <v>34</v>
      </c>
    </row>
    <row r="1697" spans="1:17">
      <c r="A1697" t="s">
        <v>2513</v>
      </c>
      <c r="B1697" s="1" t="s">
        <v>2514</v>
      </c>
      <c r="C1697" s="1" t="s">
        <v>2480</v>
      </c>
      <c r="D1697" s="1" t="s">
        <v>20</v>
      </c>
      <c r="E1697" t="s">
        <v>96</v>
      </c>
      <c r="F1697" t="s">
        <v>97</v>
      </c>
      <c r="G1697" t="s">
        <v>38</v>
      </c>
      <c r="H1697" t="s">
        <v>24</v>
      </c>
      <c r="I1697" t="s">
        <v>32</v>
      </c>
      <c r="J1697">
        <v>2</v>
      </c>
      <c r="K1697">
        <v>199</v>
      </c>
      <c r="L1697">
        <f>Table1[[#This Row],[Quantity]] * Table1[[#This Row],[UnitPrice]]</f>
        <v>398</v>
      </c>
      <c r="M1697" s="25">
        <v>0</v>
      </c>
      <c r="N1697">
        <f>Table1[[#This Row],[Revenue]]*Table1[[#This Row],[Discount%]]/100</f>
        <v>0</v>
      </c>
      <c r="O1697" s="6">
        <f>Table1[[#This Row],[Revenue]]-Table1[[#This Row],[Disc_amount]]</f>
        <v>398</v>
      </c>
      <c r="P1697" t="s">
        <v>86</v>
      </c>
      <c r="Q1697" t="s">
        <v>27</v>
      </c>
    </row>
    <row r="1698" spans="1:17">
      <c r="A1698" t="s">
        <v>2515</v>
      </c>
      <c r="B1698" s="1" t="s">
        <v>2514</v>
      </c>
      <c r="C1698" s="1" t="s">
        <v>2480</v>
      </c>
      <c r="D1698" s="1" t="s">
        <v>20</v>
      </c>
      <c r="E1698" t="s">
        <v>778</v>
      </c>
      <c r="F1698" t="s">
        <v>287</v>
      </c>
      <c r="G1698" t="s">
        <v>23</v>
      </c>
      <c r="H1698" t="s">
        <v>65</v>
      </c>
      <c r="I1698" t="s">
        <v>66</v>
      </c>
      <c r="J1698">
        <v>1</v>
      </c>
      <c r="K1698">
        <v>1999</v>
      </c>
      <c r="L1698">
        <f>Table1[[#This Row],[Quantity]] * Table1[[#This Row],[UnitPrice]]</f>
        <v>1999</v>
      </c>
      <c r="M1698" s="25">
        <v>0</v>
      </c>
      <c r="N1698">
        <f>Table1[[#This Row],[Revenue]]*Table1[[#This Row],[Discount%]]/100</f>
        <v>0</v>
      </c>
      <c r="O1698" s="6">
        <f>Table1[[#This Row],[Revenue]]-Table1[[#This Row],[Disc_amount]]</f>
        <v>1999</v>
      </c>
      <c r="P1698" t="s">
        <v>52</v>
      </c>
      <c r="Q1698" t="s">
        <v>27</v>
      </c>
    </row>
    <row r="1699" spans="1:17">
      <c r="A1699" t="s">
        <v>2516</v>
      </c>
      <c r="B1699" s="1" t="s">
        <v>2514</v>
      </c>
      <c r="C1699" s="1" t="s">
        <v>2480</v>
      </c>
      <c r="D1699" s="1" t="s">
        <v>20</v>
      </c>
      <c r="E1699" t="s">
        <v>262</v>
      </c>
      <c r="F1699" t="s">
        <v>77</v>
      </c>
      <c r="G1699" t="s">
        <v>38</v>
      </c>
      <c r="H1699" t="s">
        <v>65</v>
      </c>
      <c r="I1699" t="s">
        <v>94</v>
      </c>
      <c r="J1699">
        <v>3</v>
      </c>
      <c r="K1699">
        <v>899</v>
      </c>
      <c r="L1699">
        <f>Table1[[#This Row],[Quantity]] * Table1[[#This Row],[UnitPrice]]</f>
        <v>2697</v>
      </c>
      <c r="M1699" s="25">
        <v>0</v>
      </c>
      <c r="N1699">
        <f>Table1[[#This Row],[Revenue]]*Table1[[#This Row],[Discount%]]/100</f>
        <v>0</v>
      </c>
      <c r="O1699" s="6">
        <f>Table1[[#This Row],[Revenue]]-Table1[[#This Row],[Disc_amount]]</f>
        <v>2697</v>
      </c>
      <c r="P1699" t="s">
        <v>52</v>
      </c>
      <c r="Q1699" t="s">
        <v>27</v>
      </c>
    </row>
    <row r="1700" spans="1:17">
      <c r="A1700" t="s">
        <v>2517</v>
      </c>
      <c r="B1700" s="1" t="s">
        <v>2514</v>
      </c>
      <c r="C1700" s="1" t="s">
        <v>2480</v>
      </c>
      <c r="D1700" s="1" t="s">
        <v>20</v>
      </c>
      <c r="E1700" t="s">
        <v>2518</v>
      </c>
      <c r="F1700" t="s">
        <v>767</v>
      </c>
      <c r="G1700" t="s">
        <v>56</v>
      </c>
      <c r="H1700" t="s">
        <v>65</v>
      </c>
      <c r="I1700" t="s">
        <v>98</v>
      </c>
      <c r="J1700">
        <v>3</v>
      </c>
      <c r="K1700">
        <v>499</v>
      </c>
      <c r="L1700">
        <f>Table1[[#This Row],[Quantity]] * Table1[[#This Row],[UnitPrice]]</f>
        <v>1497</v>
      </c>
      <c r="M1700" s="25">
        <v>20</v>
      </c>
      <c r="N1700">
        <f>Table1[[#This Row],[Revenue]]*Table1[[#This Row],[Discount%]]/100</f>
        <v>299.39999999999998</v>
      </c>
      <c r="O1700" s="6">
        <f>Table1[[#This Row],[Revenue]]-Table1[[#This Row],[Disc_amount]]</f>
        <v>1197.5999999999999</v>
      </c>
      <c r="P1700" t="s">
        <v>33</v>
      </c>
      <c r="Q1700" t="s">
        <v>27</v>
      </c>
    </row>
    <row r="1701" spans="1:17">
      <c r="A1701" t="s">
        <v>2519</v>
      </c>
      <c r="B1701" s="1" t="s">
        <v>2514</v>
      </c>
      <c r="C1701" s="1" t="s">
        <v>2480</v>
      </c>
      <c r="D1701" s="1" t="s">
        <v>20</v>
      </c>
      <c r="E1701" t="s">
        <v>1147</v>
      </c>
      <c r="F1701" t="s">
        <v>788</v>
      </c>
      <c r="G1701" t="s">
        <v>38</v>
      </c>
      <c r="H1701" t="s">
        <v>57</v>
      </c>
      <c r="I1701" t="s">
        <v>58</v>
      </c>
      <c r="J1701">
        <v>1</v>
      </c>
      <c r="K1701">
        <v>1299</v>
      </c>
      <c r="L1701">
        <f>Table1[[#This Row],[Quantity]] * Table1[[#This Row],[UnitPrice]]</f>
        <v>1299</v>
      </c>
      <c r="M1701" s="25">
        <v>15</v>
      </c>
      <c r="N1701">
        <f>Table1[[#This Row],[Revenue]]*Table1[[#This Row],[Discount%]]/100</f>
        <v>194.85</v>
      </c>
      <c r="O1701" s="6">
        <f>Table1[[#This Row],[Revenue]]-Table1[[#This Row],[Disc_amount]]</f>
        <v>1104.1500000000001</v>
      </c>
      <c r="P1701" t="s">
        <v>41</v>
      </c>
      <c r="Q1701" t="s">
        <v>27</v>
      </c>
    </row>
    <row r="1702" spans="1:17">
      <c r="A1702" t="s">
        <v>2520</v>
      </c>
      <c r="B1702" s="1" t="s">
        <v>2514</v>
      </c>
      <c r="C1702" s="1" t="s">
        <v>2480</v>
      </c>
      <c r="D1702" s="1" t="s">
        <v>20</v>
      </c>
      <c r="E1702" t="s">
        <v>1783</v>
      </c>
      <c r="F1702" t="s">
        <v>623</v>
      </c>
      <c r="G1702" t="s">
        <v>38</v>
      </c>
      <c r="H1702" t="s">
        <v>39</v>
      </c>
      <c r="I1702" t="s">
        <v>51</v>
      </c>
      <c r="J1702">
        <v>3</v>
      </c>
      <c r="K1702">
        <v>2999</v>
      </c>
      <c r="L1702">
        <f>Table1[[#This Row],[Quantity]] * Table1[[#This Row],[UnitPrice]]</f>
        <v>8997</v>
      </c>
      <c r="M1702" s="25">
        <v>5</v>
      </c>
      <c r="N1702">
        <f>Table1[[#This Row],[Revenue]]*Table1[[#This Row],[Discount%]]/100</f>
        <v>449.85</v>
      </c>
      <c r="O1702" s="6">
        <f>Table1[[#This Row],[Revenue]]-Table1[[#This Row],[Disc_amount]]</f>
        <v>8547.15</v>
      </c>
      <c r="P1702" t="s">
        <v>86</v>
      </c>
      <c r="Q1702" t="s">
        <v>27</v>
      </c>
    </row>
    <row r="1703" spans="1:17">
      <c r="A1703" t="s">
        <v>2521</v>
      </c>
      <c r="B1703" s="1" t="s">
        <v>2514</v>
      </c>
      <c r="C1703" s="1" t="s">
        <v>2480</v>
      </c>
      <c r="D1703" s="1" t="s">
        <v>20</v>
      </c>
      <c r="E1703" t="s">
        <v>200</v>
      </c>
      <c r="F1703" t="s">
        <v>22</v>
      </c>
      <c r="G1703" t="s">
        <v>56</v>
      </c>
      <c r="H1703" t="s">
        <v>24</v>
      </c>
      <c r="I1703" t="s">
        <v>25</v>
      </c>
      <c r="J1703">
        <v>4</v>
      </c>
      <c r="K1703">
        <v>99</v>
      </c>
      <c r="L1703">
        <f>Table1[[#This Row],[Quantity]] * Table1[[#This Row],[UnitPrice]]</f>
        <v>396</v>
      </c>
      <c r="M1703" s="25">
        <v>0</v>
      </c>
      <c r="N1703">
        <f>Table1[[#This Row],[Revenue]]*Table1[[#This Row],[Discount%]]/100</f>
        <v>0</v>
      </c>
      <c r="O1703" s="6">
        <f>Table1[[#This Row],[Revenue]]-Table1[[#This Row],[Disc_amount]]</f>
        <v>396</v>
      </c>
      <c r="P1703" t="s">
        <v>33</v>
      </c>
      <c r="Q1703" t="s">
        <v>27</v>
      </c>
    </row>
    <row r="1704" spans="1:17">
      <c r="A1704" t="s">
        <v>2522</v>
      </c>
      <c r="B1704" s="1" t="s">
        <v>2523</v>
      </c>
      <c r="C1704" s="1" t="s">
        <v>2480</v>
      </c>
      <c r="D1704" s="1" t="s">
        <v>20</v>
      </c>
      <c r="E1704" t="s">
        <v>212</v>
      </c>
      <c r="F1704" t="s">
        <v>213</v>
      </c>
      <c r="G1704" t="s">
        <v>56</v>
      </c>
      <c r="H1704" t="s">
        <v>108</v>
      </c>
      <c r="I1704" t="s">
        <v>130</v>
      </c>
      <c r="J1704">
        <v>2</v>
      </c>
      <c r="K1704">
        <v>699</v>
      </c>
      <c r="L1704">
        <f>Table1[[#This Row],[Quantity]] * Table1[[#This Row],[UnitPrice]]</f>
        <v>1398</v>
      </c>
      <c r="M1704" s="25">
        <v>0</v>
      </c>
      <c r="N1704">
        <f>Table1[[#This Row],[Revenue]]*Table1[[#This Row],[Discount%]]/100</f>
        <v>0</v>
      </c>
      <c r="O1704" s="6">
        <f>Table1[[#This Row],[Revenue]]-Table1[[#This Row],[Disc_amount]]</f>
        <v>1398</v>
      </c>
      <c r="P1704" t="s">
        <v>26</v>
      </c>
      <c r="Q1704" t="s">
        <v>27</v>
      </c>
    </row>
    <row r="1705" spans="1:17">
      <c r="A1705" t="s">
        <v>2524</v>
      </c>
      <c r="B1705" s="1" t="s">
        <v>2523</v>
      </c>
      <c r="C1705" s="1" t="s">
        <v>2480</v>
      </c>
      <c r="D1705" s="1" t="s">
        <v>20</v>
      </c>
      <c r="E1705" t="s">
        <v>1038</v>
      </c>
      <c r="F1705" t="s">
        <v>245</v>
      </c>
      <c r="G1705" t="s">
        <v>38</v>
      </c>
      <c r="H1705" t="s">
        <v>65</v>
      </c>
      <c r="I1705" t="s">
        <v>66</v>
      </c>
      <c r="J1705">
        <v>3</v>
      </c>
      <c r="K1705">
        <v>1999</v>
      </c>
      <c r="L1705">
        <f>Table1[[#This Row],[Quantity]] * Table1[[#This Row],[UnitPrice]]</f>
        <v>5997</v>
      </c>
      <c r="M1705" s="25">
        <v>0</v>
      </c>
      <c r="N1705">
        <f>Table1[[#This Row],[Revenue]]*Table1[[#This Row],[Discount%]]/100</f>
        <v>0</v>
      </c>
      <c r="O1705" s="6">
        <f>Table1[[#This Row],[Revenue]]-Table1[[#This Row],[Disc_amount]]</f>
        <v>5997</v>
      </c>
      <c r="P1705" t="s">
        <v>41</v>
      </c>
      <c r="Q1705" t="s">
        <v>27</v>
      </c>
    </row>
    <row r="1706" spans="1:17">
      <c r="A1706" t="s">
        <v>2525</v>
      </c>
      <c r="B1706" s="1" t="s">
        <v>2523</v>
      </c>
      <c r="C1706" s="1" t="s">
        <v>2480</v>
      </c>
      <c r="D1706" s="1" t="s">
        <v>20</v>
      </c>
      <c r="E1706" t="s">
        <v>1147</v>
      </c>
      <c r="F1706" t="s">
        <v>788</v>
      </c>
      <c r="G1706" t="s">
        <v>31</v>
      </c>
      <c r="H1706" t="s">
        <v>70</v>
      </c>
      <c r="I1706" t="s">
        <v>71</v>
      </c>
      <c r="J1706">
        <v>2</v>
      </c>
      <c r="K1706">
        <v>349</v>
      </c>
      <c r="L1706">
        <f>Table1[[#This Row],[Quantity]] * Table1[[#This Row],[UnitPrice]]</f>
        <v>698</v>
      </c>
      <c r="M1706" s="25">
        <v>0</v>
      </c>
      <c r="N1706">
        <f>Table1[[#This Row],[Revenue]]*Table1[[#This Row],[Discount%]]/100</f>
        <v>0</v>
      </c>
      <c r="O1706" s="6">
        <f>Table1[[#This Row],[Revenue]]-Table1[[#This Row],[Disc_amount]]</f>
        <v>698</v>
      </c>
      <c r="P1706" t="s">
        <v>26</v>
      </c>
      <c r="Q1706" t="s">
        <v>27</v>
      </c>
    </row>
    <row r="1707" spans="1:17">
      <c r="A1707" t="s">
        <v>2526</v>
      </c>
      <c r="B1707" s="1" t="s">
        <v>2523</v>
      </c>
      <c r="C1707" s="1" t="s">
        <v>2480</v>
      </c>
      <c r="D1707" s="1" t="s">
        <v>20</v>
      </c>
      <c r="E1707" t="s">
        <v>1075</v>
      </c>
      <c r="F1707" t="s">
        <v>150</v>
      </c>
      <c r="G1707" t="s">
        <v>23</v>
      </c>
      <c r="H1707" t="s">
        <v>39</v>
      </c>
      <c r="I1707" t="s">
        <v>51</v>
      </c>
      <c r="J1707">
        <v>2</v>
      </c>
      <c r="K1707">
        <v>2999</v>
      </c>
      <c r="L1707">
        <f>Table1[[#This Row],[Quantity]] * Table1[[#This Row],[UnitPrice]]</f>
        <v>5998</v>
      </c>
      <c r="M1707" s="25">
        <v>0</v>
      </c>
      <c r="N1707">
        <f>Table1[[#This Row],[Revenue]]*Table1[[#This Row],[Discount%]]/100</f>
        <v>0</v>
      </c>
      <c r="O1707" s="6">
        <f>Table1[[#This Row],[Revenue]]-Table1[[#This Row],[Disc_amount]]</f>
        <v>5998</v>
      </c>
      <c r="P1707" t="s">
        <v>41</v>
      </c>
      <c r="Q1707" t="s">
        <v>27</v>
      </c>
    </row>
    <row r="1708" spans="1:17">
      <c r="A1708" t="s">
        <v>2527</v>
      </c>
      <c r="B1708" s="1" t="s">
        <v>2523</v>
      </c>
      <c r="C1708" s="1" t="s">
        <v>2480</v>
      </c>
      <c r="D1708" s="1" t="s">
        <v>20</v>
      </c>
      <c r="E1708" t="s">
        <v>691</v>
      </c>
      <c r="F1708" t="s">
        <v>338</v>
      </c>
      <c r="G1708" t="s">
        <v>31</v>
      </c>
      <c r="H1708" t="s">
        <v>46</v>
      </c>
      <c r="I1708" t="s">
        <v>47</v>
      </c>
      <c r="J1708">
        <v>1</v>
      </c>
      <c r="K1708">
        <v>249</v>
      </c>
      <c r="L1708">
        <f>Table1[[#This Row],[Quantity]] * Table1[[#This Row],[UnitPrice]]</f>
        <v>249</v>
      </c>
      <c r="M1708" s="25">
        <v>15</v>
      </c>
      <c r="N1708">
        <f>Table1[[#This Row],[Revenue]]*Table1[[#This Row],[Discount%]]/100</f>
        <v>37.35</v>
      </c>
      <c r="O1708" s="6">
        <f>Table1[[#This Row],[Revenue]]-Table1[[#This Row],[Disc_amount]]</f>
        <v>211.65</v>
      </c>
      <c r="P1708" t="s">
        <v>41</v>
      </c>
      <c r="Q1708" t="s">
        <v>34</v>
      </c>
    </row>
    <row r="1709" spans="1:17">
      <c r="A1709" t="s">
        <v>2528</v>
      </c>
      <c r="B1709" s="1" t="s">
        <v>2523</v>
      </c>
      <c r="C1709" s="1" t="s">
        <v>2480</v>
      </c>
      <c r="D1709" s="1" t="s">
        <v>20</v>
      </c>
      <c r="E1709" t="s">
        <v>383</v>
      </c>
      <c r="F1709" t="s">
        <v>384</v>
      </c>
      <c r="G1709" t="s">
        <v>38</v>
      </c>
      <c r="H1709" t="s">
        <v>46</v>
      </c>
      <c r="I1709" t="s">
        <v>47</v>
      </c>
      <c r="J1709">
        <v>1</v>
      </c>
      <c r="K1709">
        <v>249</v>
      </c>
      <c r="L1709">
        <f>Table1[[#This Row],[Quantity]] * Table1[[#This Row],[UnitPrice]]</f>
        <v>249</v>
      </c>
      <c r="M1709" s="25">
        <v>0</v>
      </c>
      <c r="N1709">
        <f>Table1[[#This Row],[Revenue]]*Table1[[#This Row],[Discount%]]/100</f>
        <v>0</v>
      </c>
      <c r="O1709" s="6">
        <f>Table1[[#This Row],[Revenue]]-Table1[[#This Row],[Disc_amount]]</f>
        <v>249</v>
      </c>
      <c r="P1709" t="s">
        <v>33</v>
      </c>
      <c r="Q1709" t="s">
        <v>34</v>
      </c>
    </row>
    <row r="1710" spans="1:17">
      <c r="A1710" t="s">
        <v>2529</v>
      </c>
      <c r="B1710" s="1" t="s">
        <v>2523</v>
      </c>
      <c r="C1710" s="1" t="s">
        <v>2480</v>
      </c>
      <c r="D1710" s="1" t="s">
        <v>20</v>
      </c>
      <c r="E1710" t="s">
        <v>453</v>
      </c>
      <c r="F1710" t="s">
        <v>454</v>
      </c>
      <c r="G1710" t="s">
        <v>23</v>
      </c>
      <c r="H1710" t="s">
        <v>24</v>
      </c>
      <c r="I1710" t="s">
        <v>25</v>
      </c>
      <c r="J1710">
        <v>1</v>
      </c>
      <c r="K1710">
        <v>99</v>
      </c>
      <c r="L1710">
        <f>Table1[[#This Row],[Quantity]] * Table1[[#This Row],[UnitPrice]]</f>
        <v>99</v>
      </c>
      <c r="M1710" s="25">
        <v>15</v>
      </c>
      <c r="N1710">
        <f>Table1[[#This Row],[Revenue]]*Table1[[#This Row],[Discount%]]/100</f>
        <v>14.85</v>
      </c>
      <c r="O1710" s="6">
        <f>Table1[[#This Row],[Revenue]]-Table1[[#This Row],[Disc_amount]]</f>
        <v>84.15</v>
      </c>
      <c r="P1710" t="s">
        <v>26</v>
      </c>
      <c r="Q1710" t="s">
        <v>27</v>
      </c>
    </row>
    <row r="1711" spans="1:17">
      <c r="A1711" t="s">
        <v>2530</v>
      </c>
      <c r="B1711" s="1" t="s">
        <v>2523</v>
      </c>
      <c r="C1711" s="1" t="s">
        <v>2480</v>
      </c>
      <c r="D1711" s="1" t="s">
        <v>20</v>
      </c>
      <c r="E1711" t="s">
        <v>120</v>
      </c>
      <c r="F1711" t="s">
        <v>107</v>
      </c>
      <c r="G1711" t="s">
        <v>38</v>
      </c>
      <c r="H1711" t="s">
        <v>39</v>
      </c>
      <c r="I1711" t="s">
        <v>40</v>
      </c>
      <c r="J1711">
        <v>1</v>
      </c>
      <c r="K1711">
        <v>599</v>
      </c>
      <c r="L1711">
        <f>Table1[[#This Row],[Quantity]] * Table1[[#This Row],[UnitPrice]]</f>
        <v>599</v>
      </c>
      <c r="M1711" s="25">
        <v>0</v>
      </c>
      <c r="N1711">
        <f>Table1[[#This Row],[Revenue]]*Table1[[#This Row],[Discount%]]/100</f>
        <v>0</v>
      </c>
      <c r="O1711" s="6">
        <f>Table1[[#This Row],[Revenue]]-Table1[[#This Row],[Disc_amount]]</f>
        <v>599</v>
      </c>
      <c r="P1711" t="s">
        <v>41</v>
      </c>
      <c r="Q1711" t="s">
        <v>27</v>
      </c>
    </row>
    <row r="1712" spans="1:17">
      <c r="A1712" t="s">
        <v>2531</v>
      </c>
      <c r="B1712" s="1" t="s">
        <v>2523</v>
      </c>
      <c r="C1712" s="1" t="s">
        <v>2480</v>
      </c>
      <c r="D1712" s="1" t="s">
        <v>20</v>
      </c>
      <c r="E1712" t="s">
        <v>668</v>
      </c>
      <c r="F1712" t="s">
        <v>669</v>
      </c>
      <c r="G1712" t="s">
        <v>45</v>
      </c>
      <c r="H1712" t="s">
        <v>108</v>
      </c>
      <c r="I1712" t="s">
        <v>130</v>
      </c>
      <c r="J1712">
        <v>2</v>
      </c>
      <c r="K1712">
        <v>699</v>
      </c>
      <c r="L1712">
        <f>Table1[[#This Row],[Quantity]] * Table1[[#This Row],[UnitPrice]]</f>
        <v>1398</v>
      </c>
      <c r="M1712" s="25">
        <v>5</v>
      </c>
      <c r="N1712">
        <f>Table1[[#This Row],[Revenue]]*Table1[[#This Row],[Discount%]]/100</f>
        <v>69.900000000000006</v>
      </c>
      <c r="O1712" s="6">
        <f>Table1[[#This Row],[Revenue]]-Table1[[#This Row],[Disc_amount]]</f>
        <v>1328.1</v>
      </c>
      <c r="P1712" t="s">
        <v>86</v>
      </c>
      <c r="Q1712" t="s">
        <v>27</v>
      </c>
    </row>
    <row r="1713" spans="1:17">
      <c r="A1713" t="s">
        <v>2532</v>
      </c>
      <c r="B1713" s="1" t="s">
        <v>2523</v>
      </c>
      <c r="C1713" s="1" t="s">
        <v>2480</v>
      </c>
      <c r="D1713" s="1" t="s">
        <v>20</v>
      </c>
      <c r="E1713" t="s">
        <v>1029</v>
      </c>
      <c r="F1713" t="s">
        <v>345</v>
      </c>
      <c r="G1713" t="s">
        <v>38</v>
      </c>
      <c r="H1713" t="s">
        <v>70</v>
      </c>
      <c r="I1713" t="s">
        <v>71</v>
      </c>
      <c r="J1713">
        <v>1</v>
      </c>
      <c r="K1713">
        <v>349</v>
      </c>
      <c r="L1713">
        <f>Table1[[#This Row],[Quantity]] * Table1[[#This Row],[UnitPrice]]</f>
        <v>349</v>
      </c>
      <c r="M1713" s="25">
        <v>5</v>
      </c>
      <c r="N1713">
        <f>Table1[[#This Row],[Revenue]]*Table1[[#This Row],[Discount%]]/100</f>
        <v>17.45</v>
      </c>
      <c r="O1713" s="6">
        <f>Table1[[#This Row],[Revenue]]-Table1[[#This Row],[Disc_amount]]</f>
        <v>331.55</v>
      </c>
      <c r="P1713" t="s">
        <v>41</v>
      </c>
      <c r="Q1713" t="s">
        <v>27</v>
      </c>
    </row>
    <row r="1714" spans="1:17">
      <c r="A1714" t="s">
        <v>2533</v>
      </c>
      <c r="B1714" s="1" t="s">
        <v>2523</v>
      </c>
      <c r="C1714" s="1" t="s">
        <v>2480</v>
      </c>
      <c r="D1714" s="1" t="s">
        <v>20</v>
      </c>
      <c r="E1714" t="s">
        <v>766</v>
      </c>
      <c r="F1714" t="s">
        <v>767</v>
      </c>
      <c r="G1714" t="s">
        <v>45</v>
      </c>
      <c r="H1714" t="s">
        <v>24</v>
      </c>
      <c r="I1714" t="s">
        <v>32</v>
      </c>
      <c r="J1714">
        <v>3</v>
      </c>
      <c r="K1714">
        <v>199</v>
      </c>
      <c r="L1714">
        <f>Table1[[#This Row],[Quantity]] * Table1[[#This Row],[UnitPrice]]</f>
        <v>597</v>
      </c>
      <c r="M1714" s="25">
        <v>0</v>
      </c>
      <c r="N1714">
        <f>Table1[[#This Row],[Revenue]]*Table1[[#This Row],[Discount%]]/100</f>
        <v>0</v>
      </c>
      <c r="O1714" s="6">
        <f>Table1[[#This Row],[Revenue]]-Table1[[#This Row],[Disc_amount]]</f>
        <v>597</v>
      </c>
      <c r="P1714" t="s">
        <v>41</v>
      </c>
      <c r="Q1714" t="s">
        <v>34</v>
      </c>
    </row>
    <row r="1715" spans="1:17">
      <c r="A1715" t="s">
        <v>2534</v>
      </c>
      <c r="B1715" s="1" t="s">
        <v>2523</v>
      </c>
      <c r="C1715" s="1" t="s">
        <v>2480</v>
      </c>
      <c r="D1715" s="1" t="s">
        <v>20</v>
      </c>
      <c r="E1715" t="s">
        <v>968</v>
      </c>
      <c r="F1715" t="s">
        <v>907</v>
      </c>
      <c r="G1715" t="s">
        <v>31</v>
      </c>
      <c r="H1715" t="s">
        <v>39</v>
      </c>
      <c r="I1715" t="s">
        <v>140</v>
      </c>
      <c r="J1715">
        <v>1</v>
      </c>
      <c r="K1715">
        <v>1799</v>
      </c>
      <c r="L1715">
        <f>Table1[[#This Row],[Quantity]] * Table1[[#This Row],[UnitPrice]]</f>
        <v>1799</v>
      </c>
      <c r="M1715" s="25">
        <v>5</v>
      </c>
      <c r="N1715">
        <f>Table1[[#This Row],[Revenue]]*Table1[[#This Row],[Discount%]]/100</f>
        <v>89.95</v>
      </c>
      <c r="O1715" s="6">
        <f>Table1[[#This Row],[Revenue]]-Table1[[#This Row],[Disc_amount]]</f>
        <v>1709.05</v>
      </c>
      <c r="P1715" t="s">
        <v>26</v>
      </c>
      <c r="Q1715" t="s">
        <v>27</v>
      </c>
    </row>
    <row r="1716" spans="1:17">
      <c r="A1716" t="s">
        <v>2535</v>
      </c>
      <c r="B1716" s="1" t="s">
        <v>2536</v>
      </c>
      <c r="C1716" s="1" t="s">
        <v>2480</v>
      </c>
      <c r="D1716" s="1" t="s">
        <v>20</v>
      </c>
      <c r="E1716" t="s">
        <v>289</v>
      </c>
      <c r="F1716" t="s">
        <v>290</v>
      </c>
      <c r="G1716" t="s">
        <v>45</v>
      </c>
      <c r="H1716" t="s">
        <v>39</v>
      </c>
      <c r="I1716" t="s">
        <v>40</v>
      </c>
      <c r="J1716">
        <v>1</v>
      </c>
      <c r="K1716">
        <v>599</v>
      </c>
      <c r="L1716">
        <f>Table1[[#This Row],[Quantity]] * Table1[[#This Row],[UnitPrice]]</f>
        <v>599</v>
      </c>
      <c r="M1716" s="25">
        <v>15</v>
      </c>
      <c r="N1716">
        <f>Table1[[#This Row],[Revenue]]*Table1[[#This Row],[Discount%]]/100</f>
        <v>89.85</v>
      </c>
      <c r="O1716" s="6">
        <f>Table1[[#This Row],[Revenue]]-Table1[[#This Row],[Disc_amount]]</f>
        <v>509.15</v>
      </c>
      <c r="P1716" t="s">
        <v>86</v>
      </c>
      <c r="Q1716" t="s">
        <v>27</v>
      </c>
    </row>
    <row r="1717" spans="1:17">
      <c r="A1717" t="s">
        <v>2537</v>
      </c>
      <c r="B1717" s="1" t="s">
        <v>2536</v>
      </c>
      <c r="C1717" s="1" t="s">
        <v>2480</v>
      </c>
      <c r="D1717" s="1" t="s">
        <v>20</v>
      </c>
      <c r="E1717" t="s">
        <v>1075</v>
      </c>
      <c r="F1717" t="s">
        <v>150</v>
      </c>
      <c r="G1717" t="s">
        <v>31</v>
      </c>
      <c r="H1717" t="s">
        <v>24</v>
      </c>
      <c r="I1717" t="s">
        <v>32</v>
      </c>
      <c r="J1717">
        <v>2</v>
      </c>
      <c r="K1717">
        <v>199</v>
      </c>
      <c r="L1717">
        <f>Table1[[#This Row],[Quantity]] * Table1[[#This Row],[UnitPrice]]</f>
        <v>398</v>
      </c>
      <c r="M1717" s="25">
        <v>0</v>
      </c>
      <c r="N1717">
        <f>Table1[[#This Row],[Revenue]]*Table1[[#This Row],[Discount%]]/100</f>
        <v>0</v>
      </c>
      <c r="O1717" s="6">
        <f>Table1[[#This Row],[Revenue]]-Table1[[#This Row],[Disc_amount]]</f>
        <v>398</v>
      </c>
      <c r="P1717" t="s">
        <v>41</v>
      </c>
      <c r="Q1717" t="s">
        <v>27</v>
      </c>
    </row>
    <row r="1718" spans="1:17">
      <c r="A1718" t="s">
        <v>2538</v>
      </c>
      <c r="B1718" s="1" t="s">
        <v>2536</v>
      </c>
      <c r="C1718" s="1" t="s">
        <v>2480</v>
      </c>
      <c r="D1718" s="1" t="s">
        <v>20</v>
      </c>
      <c r="E1718" t="s">
        <v>1439</v>
      </c>
      <c r="F1718" t="s">
        <v>195</v>
      </c>
      <c r="G1718" t="s">
        <v>31</v>
      </c>
      <c r="H1718" t="s">
        <v>108</v>
      </c>
      <c r="I1718" t="s">
        <v>109</v>
      </c>
      <c r="J1718">
        <v>3</v>
      </c>
      <c r="K1718">
        <v>1499</v>
      </c>
      <c r="L1718">
        <f>Table1[[#This Row],[Quantity]] * Table1[[#This Row],[UnitPrice]]</f>
        <v>4497</v>
      </c>
      <c r="M1718" s="25">
        <v>15</v>
      </c>
      <c r="N1718">
        <f>Table1[[#This Row],[Revenue]]*Table1[[#This Row],[Discount%]]/100</f>
        <v>674.55</v>
      </c>
      <c r="O1718" s="6">
        <f>Table1[[#This Row],[Revenue]]-Table1[[#This Row],[Disc_amount]]</f>
        <v>3822.45</v>
      </c>
      <c r="P1718" t="s">
        <v>33</v>
      </c>
      <c r="Q1718" t="s">
        <v>34</v>
      </c>
    </row>
    <row r="1719" spans="1:17">
      <c r="A1719" t="s">
        <v>2539</v>
      </c>
      <c r="B1719" s="1" t="s">
        <v>2536</v>
      </c>
      <c r="C1719" s="1" t="s">
        <v>2480</v>
      </c>
      <c r="D1719" s="1" t="s">
        <v>20</v>
      </c>
      <c r="E1719" t="s">
        <v>1298</v>
      </c>
      <c r="F1719" t="s">
        <v>384</v>
      </c>
      <c r="G1719" t="s">
        <v>45</v>
      </c>
      <c r="H1719" t="s">
        <v>39</v>
      </c>
      <c r="I1719" t="s">
        <v>51</v>
      </c>
      <c r="J1719">
        <v>1</v>
      </c>
      <c r="K1719">
        <v>2999</v>
      </c>
      <c r="L1719">
        <f>Table1[[#This Row],[Quantity]] * Table1[[#This Row],[UnitPrice]]</f>
        <v>2999</v>
      </c>
      <c r="M1719" s="25">
        <v>0</v>
      </c>
      <c r="N1719">
        <f>Table1[[#This Row],[Revenue]]*Table1[[#This Row],[Discount%]]/100</f>
        <v>0</v>
      </c>
      <c r="O1719" s="6">
        <f>Table1[[#This Row],[Revenue]]-Table1[[#This Row],[Disc_amount]]</f>
        <v>2999</v>
      </c>
      <c r="P1719" t="s">
        <v>26</v>
      </c>
      <c r="Q1719" t="s">
        <v>27</v>
      </c>
    </row>
    <row r="1720" spans="1:17">
      <c r="A1720" t="s">
        <v>2540</v>
      </c>
      <c r="B1720" s="1" t="s">
        <v>2536</v>
      </c>
      <c r="C1720" s="1" t="s">
        <v>2480</v>
      </c>
      <c r="D1720" s="1" t="s">
        <v>20</v>
      </c>
      <c r="E1720" t="s">
        <v>442</v>
      </c>
      <c r="F1720" t="s">
        <v>443</v>
      </c>
      <c r="G1720" t="s">
        <v>31</v>
      </c>
      <c r="H1720" t="s">
        <v>39</v>
      </c>
      <c r="I1720" t="s">
        <v>140</v>
      </c>
      <c r="J1720">
        <v>2</v>
      </c>
      <c r="K1720">
        <v>1799</v>
      </c>
      <c r="L1720">
        <f>Table1[[#This Row],[Quantity]] * Table1[[#This Row],[UnitPrice]]</f>
        <v>3598</v>
      </c>
      <c r="M1720" s="25">
        <v>0</v>
      </c>
      <c r="N1720">
        <f>Table1[[#This Row],[Revenue]]*Table1[[#This Row],[Discount%]]/100</f>
        <v>0</v>
      </c>
      <c r="O1720" s="6">
        <f>Table1[[#This Row],[Revenue]]-Table1[[#This Row],[Disc_amount]]</f>
        <v>3598</v>
      </c>
      <c r="P1720" t="s">
        <v>33</v>
      </c>
      <c r="Q1720" t="s">
        <v>27</v>
      </c>
    </row>
    <row r="1721" spans="1:17">
      <c r="A1721" t="s">
        <v>2541</v>
      </c>
      <c r="B1721" s="1" t="s">
        <v>2536</v>
      </c>
      <c r="C1721" s="1" t="s">
        <v>2480</v>
      </c>
      <c r="D1721" s="1" t="s">
        <v>20</v>
      </c>
      <c r="E1721" t="s">
        <v>1259</v>
      </c>
      <c r="F1721" t="s">
        <v>1260</v>
      </c>
      <c r="G1721" t="s">
        <v>45</v>
      </c>
      <c r="H1721" t="s">
        <v>108</v>
      </c>
      <c r="I1721" t="s">
        <v>130</v>
      </c>
      <c r="J1721">
        <v>2</v>
      </c>
      <c r="K1721">
        <v>699</v>
      </c>
      <c r="L1721">
        <f>Table1[[#This Row],[Quantity]] * Table1[[#This Row],[UnitPrice]]</f>
        <v>1398</v>
      </c>
      <c r="M1721" s="25">
        <v>0</v>
      </c>
      <c r="N1721">
        <f>Table1[[#This Row],[Revenue]]*Table1[[#This Row],[Discount%]]/100</f>
        <v>0</v>
      </c>
      <c r="O1721" s="6">
        <f>Table1[[#This Row],[Revenue]]-Table1[[#This Row],[Disc_amount]]</f>
        <v>1398</v>
      </c>
      <c r="P1721" t="s">
        <v>41</v>
      </c>
      <c r="Q1721" t="s">
        <v>34</v>
      </c>
    </row>
    <row r="1722" spans="1:17">
      <c r="A1722" t="s">
        <v>2542</v>
      </c>
      <c r="B1722" s="1" t="s">
        <v>2543</v>
      </c>
      <c r="C1722" s="1" t="s">
        <v>2480</v>
      </c>
      <c r="D1722" s="1" t="s">
        <v>20</v>
      </c>
      <c r="E1722" t="s">
        <v>1061</v>
      </c>
      <c r="F1722" t="s">
        <v>1062</v>
      </c>
      <c r="G1722" t="s">
        <v>45</v>
      </c>
      <c r="H1722" t="s">
        <v>65</v>
      </c>
      <c r="I1722" t="s">
        <v>94</v>
      </c>
      <c r="J1722">
        <v>1</v>
      </c>
      <c r="K1722">
        <v>899</v>
      </c>
      <c r="L1722">
        <f>Table1[[#This Row],[Quantity]] * Table1[[#This Row],[UnitPrice]]</f>
        <v>899</v>
      </c>
      <c r="M1722" s="25">
        <v>15</v>
      </c>
      <c r="N1722">
        <f>Table1[[#This Row],[Revenue]]*Table1[[#This Row],[Discount%]]/100</f>
        <v>134.85</v>
      </c>
      <c r="O1722" s="6">
        <f>Table1[[#This Row],[Revenue]]-Table1[[#This Row],[Disc_amount]]</f>
        <v>764.15</v>
      </c>
      <c r="P1722" t="s">
        <v>26</v>
      </c>
      <c r="Q1722" t="s">
        <v>27</v>
      </c>
    </row>
    <row r="1723" spans="1:17">
      <c r="A1723" t="s">
        <v>2544</v>
      </c>
      <c r="B1723" s="1" t="s">
        <v>2543</v>
      </c>
      <c r="C1723" s="1" t="s">
        <v>2480</v>
      </c>
      <c r="D1723" s="1" t="s">
        <v>20</v>
      </c>
      <c r="E1723" t="s">
        <v>128</v>
      </c>
      <c r="F1723" t="s">
        <v>129</v>
      </c>
      <c r="G1723" t="s">
        <v>56</v>
      </c>
      <c r="H1723" t="s">
        <v>57</v>
      </c>
      <c r="I1723" t="s">
        <v>58</v>
      </c>
      <c r="J1723">
        <v>1</v>
      </c>
      <c r="K1723">
        <v>1299</v>
      </c>
      <c r="L1723">
        <f>Table1[[#This Row],[Quantity]] * Table1[[#This Row],[UnitPrice]]</f>
        <v>1299</v>
      </c>
      <c r="M1723" s="25">
        <v>20</v>
      </c>
      <c r="N1723">
        <f>Table1[[#This Row],[Revenue]]*Table1[[#This Row],[Discount%]]/100</f>
        <v>259.8</v>
      </c>
      <c r="O1723" s="6">
        <f>Table1[[#This Row],[Revenue]]-Table1[[#This Row],[Disc_amount]]</f>
        <v>1039.2</v>
      </c>
      <c r="P1723" t="s">
        <v>86</v>
      </c>
      <c r="Q1723" t="s">
        <v>34</v>
      </c>
    </row>
    <row r="1724" spans="1:17">
      <c r="A1724" t="s">
        <v>2545</v>
      </c>
      <c r="B1724" s="1" t="s">
        <v>2543</v>
      </c>
      <c r="C1724" s="1" t="s">
        <v>2480</v>
      </c>
      <c r="D1724" s="1" t="s">
        <v>20</v>
      </c>
      <c r="E1724" t="s">
        <v>888</v>
      </c>
      <c r="F1724" t="s">
        <v>698</v>
      </c>
      <c r="G1724" t="s">
        <v>45</v>
      </c>
      <c r="H1724" t="s">
        <v>70</v>
      </c>
      <c r="I1724" t="s">
        <v>91</v>
      </c>
      <c r="J1724">
        <v>1</v>
      </c>
      <c r="K1724">
        <v>549</v>
      </c>
      <c r="L1724">
        <f>Table1[[#This Row],[Quantity]] * Table1[[#This Row],[UnitPrice]]</f>
        <v>549</v>
      </c>
      <c r="M1724" s="25">
        <v>10</v>
      </c>
      <c r="N1724">
        <f>Table1[[#This Row],[Revenue]]*Table1[[#This Row],[Discount%]]/100</f>
        <v>54.9</v>
      </c>
      <c r="O1724" s="6">
        <f>Table1[[#This Row],[Revenue]]-Table1[[#This Row],[Disc_amount]]</f>
        <v>494.1</v>
      </c>
      <c r="P1724" t="s">
        <v>26</v>
      </c>
      <c r="Q1724" t="s">
        <v>27</v>
      </c>
    </row>
    <row r="1725" spans="1:17">
      <c r="A1725" t="s">
        <v>2546</v>
      </c>
      <c r="B1725" s="1" t="s">
        <v>2543</v>
      </c>
      <c r="C1725" s="1" t="s">
        <v>2480</v>
      </c>
      <c r="D1725" s="1" t="s">
        <v>20</v>
      </c>
      <c r="E1725" t="s">
        <v>1655</v>
      </c>
      <c r="F1725" t="s">
        <v>384</v>
      </c>
      <c r="G1725" t="s">
        <v>38</v>
      </c>
      <c r="H1725" t="s">
        <v>108</v>
      </c>
      <c r="I1725" t="s">
        <v>109</v>
      </c>
      <c r="J1725">
        <v>1</v>
      </c>
      <c r="K1725">
        <v>1499</v>
      </c>
      <c r="L1725">
        <f>Table1[[#This Row],[Quantity]] * Table1[[#This Row],[UnitPrice]]</f>
        <v>1499</v>
      </c>
      <c r="M1725" s="25">
        <v>10</v>
      </c>
      <c r="N1725">
        <f>Table1[[#This Row],[Revenue]]*Table1[[#This Row],[Discount%]]/100</f>
        <v>149.9</v>
      </c>
      <c r="O1725" s="6">
        <f>Table1[[#This Row],[Revenue]]-Table1[[#This Row],[Disc_amount]]</f>
        <v>1349.1</v>
      </c>
      <c r="P1725" t="s">
        <v>52</v>
      </c>
      <c r="Q1725" t="s">
        <v>27</v>
      </c>
    </row>
    <row r="1726" spans="1:17">
      <c r="A1726" t="s">
        <v>2547</v>
      </c>
      <c r="B1726" s="1" t="s">
        <v>2543</v>
      </c>
      <c r="C1726" s="1" t="s">
        <v>2480</v>
      </c>
      <c r="D1726" s="1" t="s">
        <v>20</v>
      </c>
      <c r="E1726" t="s">
        <v>776</v>
      </c>
      <c r="F1726" t="s">
        <v>153</v>
      </c>
      <c r="G1726" t="s">
        <v>38</v>
      </c>
      <c r="H1726" t="s">
        <v>70</v>
      </c>
      <c r="I1726" t="s">
        <v>91</v>
      </c>
      <c r="J1726">
        <v>2</v>
      </c>
      <c r="K1726">
        <v>549</v>
      </c>
      <c r="L1726">
        <f>Table1[[#This Row],[Quantity]] * Table1[[#This Row],[UnitPrice]]</f>
        <v>1098</v>
      </c>
      <c r="M1726" s="25">
        <v>0</v>
      </c>
      <c r="N1726">
        <f>Table1[[#This Row],[Revenue]]*Table1[[#This Row],[Discount%]]/100</f>
        <v>0</v>
      </c>
      <c r="O1726" s="6">
        <f>Table1[[#This Row],[Revenue]]-Table1[[#This Row],[Disc_amount]]</f>
        <v>1098</v>
      </c>
      <c r="P1726" t="s">
        <v>26</v>
      </c>
      <c r="Q1726" t="s">
        <v>27</v>
      </c>
    </row>
    <row r="1727" spans="1:17">
      <c r="A1727" t="s">
        <v>2548</v>
      </c>
      <c r="B1727" s="1" t="s">
        <v>2543</v>
      </c>
      <c r="C1727" s="1" t="s">
        <v>2480</v>
      </c>
      <c r="D1727" s="1" t="s">
        <v>20</v>
      </c>
      <c r="E1727" t="s">
        <v>645</v>
      </c>
      <c r="F1727" t="s">
        <v>248</v>
      </c>
      <c r="G1727" t="s">
        <v>38</v>
      </c>
      <c r="H1727" t="s">
        <v>46</v>
      </c>
      <c r="I1727" t="s">
        <v>47</v>
      </c>
      <c r="J1727">
        <v>3</v>
      </c>
      <c r="K1727">
        <v>249</v>
      </c>
      <c r="L1727">
        <f>Table1[[#This Row],[Quantity]] * Table1[[#This Row],[UnitPrice]]</f>
        <v>747</v>
      </c>
      <c r="M1727" s="25">
        <v>5</v>
      </c>
      <c r="N1727">
        <f>Table1[[#This Row],[Revenue]]*Table1[[#This Row],[Discount%]]/100</f>
        <v>37.35</v>
      </c>
      <c r="O1727" s="6">
        <f>Table1[[#This Row],[Revenue]]-Table1[[#This Row],[Disc_amount]]</f>
        <v>709.65</v>
      </c>
      <c r="P1727" t="s">
        <v>26</v>
      </c>
      <c r="Q1727" t="s">
        <v>27</v>
      </c>
    </row>
    <row r="1728" spans="1:17">
      <c r="A1728" t="s">
        <v>2549</v>
      </c>
      <c r="B1728" s="1" t="s">
        <v>2543</v>
      </c>
      <c r="C1728" s="1" t="s">
        <v>2480</v>
      </c>
      <c r="D1728" s="1" t="s">
        <v>20</v>
      </c>
      <c r="E1728" t="s">
        <v>1392</v>
      </c>
      <c r="F1728" t="s">
        <v>97</v>
      </c>
      <c r="G1728" t="s">
        <v>31</v>
      </c>
      <c r="H1728" t="s">
        <v>39</v>
      </c>
      <c r="I1728" t="s">
        <v>40</v>
      </c>
      <c r="J1728">
        <v>4</v>
      </c>
      <c r="K1728">
        <v>599</v>
      </c>
      <c r="L1728">
        <f>Table1[[#This Row],[Quantity]] * Table1[[#This Row],[UnitPrice]]</f>
        <v>2396</v>
      </c>
      <c r="M1728" s="25">
        <v>5</v>
      </c>
      <c r="N1728">
        <f>Table1[[#This Row],[Revenue]]*Table1[[#This Row],[Discount%]]/100</f>
        <v>119.8</v>
      </c>
      <c r="O1728" s="6">
        <f>Table1[[#This Row],[Revenue]]-Table1[[#This Row],[Disc_amount]]</f>
        <v>2276.1999999999998</v>
      </c>
      <c r="P1728" t="s">
        <v>86</v>
      </c>
      <c r="Q1728" t="s">
        <v>34</v>
      </c>
    </row>
    <row r="1729" spans="1:17">
      <c r="A1729" t="s">
        <v>2550</v>
      </c>
      <c r="B1729" s="1" t="s">
        <v>2543</v>
      </c>
      <c r="C1729" s="1" t="s">
        <v>2480</v>
      </c>
      <c r="D1729" s="1" t="s">
        <v>20</v>
      </c>
      <c r="E1729" t="s">
        <v>1344</v>
      </c>
      <c r="F1729" t="s">
        <v>694</v>
      </c>
      <c r="G1729" t="s">
        <v>38</v>
      </c>
      <c r="H1729" t="s">
        <v>24</v>
      </c>
      <c r="I1729" t="s">
        <v>25</v>
      </c>
      <c r="J1729">
        <v>1</v>
      </c>
      <c r="K1729">
        <v>99</v>
      </c>
      <c r="L1729">
        <f>Table1[[#This Row],[Quantity]] * Table1[[#This Row],[UnitPrice]]</f>
        <v>99</v>
      </c>
      <c r="M1729" s="25">
        <v>15</v>
      </c>
      <c r="N1729">
        <f>Table1[[#This Row],[Revenue]]*Table1[[#This Row],[Discount%]]/100</f>
        <v>14.85</v>
      </c>
      <c r="O1729" s="6">
        <f>Table1[[#This Row],[Revenue]]-Table1[[#This Row],[Disc_amount]]</f>
        <v>84.15</v>
      </c>
      <c r="P1729" t="s">
        <v>33</v>
      </c>
      <c r="Q1729" t="s">
        <v>27</v>
      </c>
    </row>
    <row r="1730" spans="1:17">
      <c r="A1730" t="s">
        <v>2551</v>
      </c>
      <c r="B1730" s="1" t="s">
        <v>2543</v>
      </c>
      <c r="C1730" s="1" t="s">
        <v>2480</v>
      </c>
      <c r="D1730" s="1" t="s">
        <v>20</v>
      </c>
      <c r="E1730" t="s">
        <v>247</v>
      </c>
      <c r="F1730" t="s">
        <v>248</v>
      </c>
      <c r="G1730" t="s">
        <v>56</v>
      </c>
      <c r="H1730" t="s">
        <v>46</v>
      </c>
      <c r="I1730" t="s">
        <v>47</v>
      </c>
      <c r="J1730">
        <v>1</v>
      </c>
      <c r="K1730">
        <v>249</v>
      </c>
      <c r="L1730">
        <f>Table1[[#This Row],[Quantity]] * Table1[[#This Row],[UnitPrice]]</f>
        <v>249</v>
      </c>
      <c r="M1730" s="25">
        <v>0</v>
      </c>
      <c r="N1730">
        <f>Table1[[#This Row],[Revenue]]*Table1[[#This Row],[Discount%]]/100</f>
        <v>0</v>
      </c>
      <c r="O1730" s="6">
        <f>Table1[[#This Row],[Revenue]]-Table1[[#This Row],[Disc_amount]]</f>
        <v>249</v>
      </c>
      <c r="P1730" t="s">
        <v>26</v>
      </c>
      <c r="Q1730" t="s">
        <v>27</v>
      </c>
    </row>
    <row r="1731" spans="1:17">
      <c r="A1731" t="s">
        <v>2552</v>
      </c>
      <c r="B1731" s="1" t="s">
        <v>2543</v>
      </c>
      <c r="C1731" s="1" t="s">
        <v>2480</v>
      </c>
      <c r="D1731" s="1" t="s">
        <v>20</v>
      </c>
      <c r="E1731" t="s">
        <v>386</v>
      </c>
      <c r="F1731" t="s">
        <v>183</v>
      </c>
      <c r="G1731" t="s">
        <v>31</v>
      </c>
      <c r="H1731" t="s">
        <v>39</v>
      </c>
      <c r="I1731" t="s">
        <v>140</v>
      </c>
      <c r="J1731">
        <v>1</v>
      </c>
      <c r="K1731">
        <v>1799</v>
      </c>
      <c r="L1731">
        <f>Table1[[#This Row],[Quantity]] * Table1[[#This Row],[UnitPrice]]</f>
        <v>1799</v>
      </c>
      <c r="M1731" s="25">
        <v>10</v>
      </c>
      <c r="N1731">
        <f>Table1[[#This Row],[Revenue]]*Table1[[#This Row],[Discount%]]/100</f>
        <v>179.9</v>
      </c>
      <c r="O1731" s="6">
        <f>Table1[[#This Row],[Revenue]]-Table1[[#This Row],[Disc_amount]]</f>
        <v>1619.1</v>
      </c>
      <c r="P1731" t="s">
        <v>52</v>
      </c>
      <c r="Q1731" t="s">
        <v>34</v>
      </c>
    </row>
    <row r="1732" spans="1:17">
      <c r="A1732" t="s">
        <v>2553</v>
      </c>
      <c r="B1732" s="1" t="s">
        <v>2543</v>
      </c>
      <c r="C1732" s="1" t="s">
        <v>2480</v>
      </c>
      <c r="D1732" s="1" t="s">
        <v>20</v>
      </c>
      <c r="E1732" t="s">
        <v>103</v>
      </c>
      <c r="F1732" t="s">
        <v>104</v>
      </c>
      <c r="G1732" t="s">
        <v>31</v>
      </c>
      <c r="H1732" t="s">
        <v>70</v>
      </c>
      <c r="I1732" t="s">
        <v>91</v>
      </c>
      <c r="J1732">
        <v>1</v>
      </c>
      <c r="K1732">
        <v>549</v>
      </c>
      <c r="L1732">
        <f>Table1[[#This Row],[Quantity]] * Table1[[#This Row],[UnitPrice]]</f>
        <v>549</v>
      </c>
      <c r="M1732" s="25">
        <v>0</v>
      </c>
      <c r="N1732">
        <f>Table1[[#This Row],[Revenue]]*Table1[[#This Row],[Discount%]]/100</f>
        <v>0</v>
      </c>
      <c r="O1732" s="6">
        <f>Table1[[#This Row],[Revenue]]-Table1[[#This Row],[Disc_amount]]</f>
        <v>549</v>
      </c>
      <c r="P1732" t="s">
        <v>41</v>
      </c>
      <c r="Q1732" t="s">
        <v>34</v>
      </c>
    </row>
    <row r="1733" spans="1:17">
      <c r="A1733" t="s">
        <v>2554</v>
      </c>
      <c r="B1733" s="1" t="s">
        <v>2555</v>
      </c>
      <c r="C1733" s="1" t="s">
        <v>2480</v>
      </c>
      <c r="D1733" s="1" t="s">
        <v>20</v>
      </c>
      <c r="E1733" t="s">
        <v>409</v>
      </c>
      <c r="F1733" t="s">
        <v>410</v>
      </c>
      <c r="G1733" t="s">
        <v>31</v>
      </c>
      <c r="H1733" t="s">
        <v>57</v>
      </c>
      <c r="I1733" t="s">
        <v>62</v>
      </c>
      <c r="J1733">
        <v>1</v>
      </c>
      <c r="K1733">
        <v>799</v>
      </c>
      <c r="L1733">
        <f>Table1[[#This Row],[Quantity]] * Table1[[#This Row],[UnitPrice]]</f>
        <v>799</v>
      </c>
      <c r="M1733" s="25">
        <v>20</v>
      </c>
      <c r="N1733">
        <f>Table1[[#This Row],[Revenue]]*Table1[[#This Row],[Discount%]]/100</f>
        <v>159.80000000000001</v>
      </c>
      <c r="O1733" s="6">
        <f>Table1[[#This Row],[Revenue]]-Table1[[#This Row],[Disc_amount]]</f>
        <v>639.20000000000005</v>
      </c>
      <c r="P1733" t="s">
        <v>33</v>
      </c>
      <c r="Q1733" t="s">
        <v>27</v>
      </c>
    </row>
    <row r="1734" spans="1:17">
      <c r="A1734" t="s">
        <v>2556</v>
      </c>
      <c r="B1734" s="1" t="s">
        <v>2555</v>
      </c>
      <c r="C1734" s="1" t="s">
        <v>2480</v>
      </c>
      <c r="D1734" s="1" t="s">
        <v>20</v>
      </c>
      <c r="E1734" t="s">
        <v>289</v>
      </c>
      <c r="F1734" t="s">
        <v>290</v>
      </c>
      <c r="G1734" t="s">
        <v>56</v>
      </c>
      <c r="H1734" t="s">
        <v>24</v>
      </c>
      <c r="I1734" t="s">
        <v>32</v>
      </c>
      <c r="J1734">
        <v>1</v>
      </c>
      <c r="K1734">
        <v>199</v>
      </c>
      <c r="L1734">
        <f>Table1[[#This Row],[Quantity]] * Table1[[#This Row],[UnitPrice]]</f>
        <v>199</v>
      </c>
      <c r="M1734" s="25">
        <v>0</v>
      </c>
      <c r="N1734">
        <f>Table1[[#This Row],[Revenue]]*Table1[[#This Row],[Discount%]]/100</f>
        <v>0</v>
      </c>
      <c r="O1734" s="6">
        <f>Table1[[#This Row],[Revenue]]-Table1[[#This Row],[Disc_amount]]</f>
        <v>199</v>
      </c>
      <c r="P1734" t="s">
        <v>41</v>
      </c>
      <c r="Q1734" t="s">
        <v>27</v>
      </c>
    </row>
    <row r="1735" spans="1:17">
      <c r="A1735" t="s">
        <v>2557</v>
      </c>
      <c r="B1735" s="1" t="s">
        <v>2555</v>
      </c>
      <c r="C1735" s="1" t="s">
        <v>2480</v>
      </c>
      <c r="D1735" s="1" t="s">
        <v>20</v>
      </c>
      <c r="E1735" t="s">
        <v>612</v>
      </c>
      <c r="F1735" t="s">
        <v>613</v>
      </c>
      <c r="G1735" t="s">
        <v>38</v>
      </c>
      <c r="H1735" t="s">
        <v>46</v>
      </c>
      <c r="I1735" t="s">
        <v>154</v>
      </c>
      <c r="J1735">
        <v>2</v>
      </c>
      <c r="K1735">
        <v>299</v>
      </c>
      <c r="L1735">
        <f>Table1[[#This Row],[Quantity]] * Table1[[#This Row],[UnitPrice]]</f>
        <v>598</v>
      </c>
      <c r="M1735" s="25">
        <v>0</v>
      </c>
      <c r="N1735">
        <f>Table1[[#This Row],[Revenue]]*Table1[[#This Row],[Discount%]]/100</f>
        <v>0</v>
      </c>
      <c r="O1735" s="6">
        <f>Table1[[#This Row],[Revenue]]-Table1[[#This Row],[Disc_amount]]</f>
        <v>598</v>
      </c>
      <c r="P1735" t="s">
        <v>52</v>
      </c>
      <c r="Q1735" t="s">
        <v>27</v>
      </c>
    </row>
    <row r="1736" spans="1:17">
      <c r="A1736" t="s">
        <v>2558</v>
      </c>
      <c r="B1736" s="1" t="s">
        <v>2555</v>
      </c>
      <c r="C1736" s="1" t="s">
        <v>2480</v>
      </c>
      <c r="D1736" s="1" t="s">
        <v>20</v>
      </c>
      <c r="E1736" t="s">
        <v>1071</v>
      </c>
      <c r="F1736" t="s">
        <v>118</v>
      </c>
      <c r="G1736" t="s">
        <v>56</v>
      </c>
      <c r="H1736" t="s">
        <v>65</v>
      </c>
      <c r="I1736" t="s">
        <v>94</v>
      </c>
      <c r="J1736">
        <v>1</v>
      </c>
      <c r="K1736">
        <v>899</v>
      </c>
      <c r="L1736">
        <f>Table1[[#This Row],[Quantity]] * Table1[[#This Row],[UnitPrice]]</f>
        <v>899</v>
      </c>
      <c r="M1736" s="25">
        <v>0</v>
      </c>
      <c r="N1736">
        <f>Table1[[#This Row],[Revenue]]*Table1[[#This Row],[Discount%]]/100</f>
        <v>0</v>
      </c>
      <c r="O1736" s="6">
        <f>Table1[[#This Row],[Revenue]]-Table1[[#This Row],[Disc_amount]]</f>
        <v>899</v>
      </c>
      <c r="P1736" t="s">
        <v>33</v>
      </c>
      <c r="Q1736" t="s">
        <v>27</v>
      </c>
    </row>
    <row r="1737" spans="1:17">
      <c r="A1737" t="s">
        <v>2559</v>
      </c>
      <c r="B1737" s="1" t="s">
        <v>2555</v>
      </c>
      <c r="C1737" s="1" t="s">
        <v>2480</v>
      </c>
      <c r="D1737" s="1" t="s">
        <v>20</v>
      </c>
      <c r="E1737" t="s">
        <v>156</v>
      </c>
      <c r="F1737" t="s">
        <v>157</v>
      </c>
      <c r="G1737" t="s">
        <v>23</v>
      </c>
      <c r="H1737" t="s">
        <v>57</v>
      </c>
      <c r="I1737" t="s">
        <v>62</v>
      </c>
      <c r="J1737">
        <v>1</v>
      </c>
      <c r="K1737">
        <v>799</v>
      </c>
      <c r="L1737">
        <f>Table1[[#This Row],[Quantity]] * Table1[[#This Row],[UnitPrice]]</f>
        <v>799</v>
      </c>
      <c r="M1737" s="25">
        <v>0</v>
      </c>
      <c r="N1737">
        <f>Table1[[#This Row],[Revenue]]*Table1[[#This Row],[Discount%]]/100</f>
        <v>0</v>
      </c>
      <c r="O1737" s="6">
        <f>Table1[[#This Row],[Revenue]]-Table1[[#This Row],[Disc_amount]]</f>
        <v>799</v>
      </c>
      <c r="P1737" t="s">
        <v>26</v>
      </c>
      <c r="Q1737" t="s">
        <v>34</v>
      </c>
    </row>
    <row r="1738" spans="1:17">
      <c r="A1738" t="s">
        <v>2560</v>
      </c>
      <c r="B1738" s="1" t="s">
        <v>2555</v>
      </c>
      <c r="C1738" s="1" t="s">
        <v>2480</v>
      </c>
      <c r="D1738" s="1" t="s">
        <v>20</v>
      </c>
      <c r="E1738" t="s">
        <v>2061</v>
      </c>
      <c r="F1738" t="s">
        <v>2062</v>
      </c>
      <c r="G1738" t="s">
        <v>31</v>
      </c>
      <c r="H1738" t="s">
        <v>65</v>
      </c>
      <c r="I1738" t="s">
        <v>98</v>
      </c>
      <c r="J1738">
        <v>2</v>
      </c>
      <c r="K1738">
        <v>499</v>
      </c>
      <c r="L1738">
        <f>Table1[[#This Row],[Quantity]] * Table1[[#This Row],[UnitPrice]]</f>
        <v>998</v>
      </c>
      <c r="M1738" s="25">
        <v>20</v>
      </c>
      <c r="N1738">
        <f>Table1[[#This Row],[Revenue]]*Table1[[#This Row],[Discount%]]/100</f>
        <v>199.6</v>
      </c>
      <c r="O1738" s="6">
        <f>Table1[[#This Row],[Revenue]]-Table1[[#This Row],[Disc_amount]]</f>
        <v>798.4</v>
      </c>
      <c r="P1738" t="s">
        <v>41</v>
      </c>
      <c r="Q1738" t="s">
        <v>27</v>
      </c>
    </row>
    <row r="1739" spans="1:17">
      <c r="A1739" t="s">
        <v>2561</v>
      </c>
      <c r="B1739" s="1" t="s">
        <v>2562</v>
      </c>
      <c r="C1739" s="1" t="s">
        <v>2480</v>
      </c>
      <c r="D1739" s="1" t="s">
        <v>20</v>
      </c>
      <c r="E1739" t="s">
        <v>811</v>
      </c>
      <c r="F1739" t="s">
        <v>166</v>
      </c>
      <c r="G1739" t="s">
        <v>23</v>
      </c>
      <c r="H1739" t="s">
        <v>39</v>
      </c>
      <c r="I1739" t="s">
        <v>140</v>
      </c>
      <c r="J1739">
        <v>1</v>
      </c>
      <c r="K1739">
        <v>1799</v>
      </c>
      <c r="L1739">
        <f>Table1[[#This Row],[Quantity]] * Table1[[#This Row],[UnitPrice]]</f>
        <v>1799</v>
      </c>
      <c r="M1739" s="25">
        <v>5</v>
      </c>
      <c r="N1739">
        <f>Table1[[#This Row],[Revenue]]*Table1[[#This Row],[Discount%]]/100</f>
        <v>89.95</v>
      </c>
      <c r="O1739" s="6">
        <f>Table1[[#This Row],[Revenue]]-Table1[[#This Row],[Disc_amount]]</f>
        <v>1709.05</v>
      </c>
      <c r="P1739" t="s">
        <v>33</v>
      </c>
      <c r="Q1739" t="s">
        <v>27</v>
      </c>
    </row>
    <row r="1740" spans="1:17">
      <c r="A1740" t="s">
        <v>2563</v>
      </c>
      <c r="B1740" s="1" t="s">
        <v>2562</v>
      </c>
      <c r="C1740" s="1" t="s">
        <v>2480</v>
      </c>
      <c r="D1740" s="1" t="s">
        <v>20</v>
      </c>
      <c r="E1740" t="s">
        <v>1399</v>
      </c>
      <c r="F1740" t="s">
        <v>802</v>
      </c>
      <c r="G1740" t="s">
        <v>56</v>
      </c>
      <c r="H1740" t="s">
        <v>65</v>
      </c>
      <c r="I1740" t="s">
        <v>98</v>
      </c>
      <c r="J1740">
        <v>2</v>
      </c>
      <c r="K1740">
        <v>499</v>
      </c>
      <c r="L1740">
        <f>Table1[[#This Row],[Quantity]] * Table1[[#This Row],[UnitPrice]]</f>
        <v>998</v>
      </c>
      <c r="M1740" s="25">
        <v>10</v>
      </c>
      <c r="N1740">
        <f>Table1[[#This Row],[Revenue]]*Table1[[#This Row],[Discount%]]/100</f>
        <v>99.8</v>
      </c>
      <c r="O1740" s="6">
        <f>Table1[[#This Row],[Revenue]]-Table1[[#This Row],[Disc_amount]]</f>
        <v>898.2</v>
      </c>
      <c r="P1740" t="s">
        <v>33</v>
      </c>
      <c r="Q1740" t="s">
        <v>34</v>
      </c>
    </row>
    <row r="1741" spans="1:17">
      <c r="A1741" t="s">
        <v>2564</v>
      </c>
      <c r="B1741" s="1" t="s">
        <v>2562</v>
      </c>
      <c r="C1741" s="1" t="s">
        <v>2480</v>
      </c>
      <c r="D1741" s="1" t="s">
        <v>20</v>
      </c>
      <c r="E1741" t="s">
        <v>169</v>
      </c>
      <c r="F1741" t="s">
        <v>170</v>
      </c>
      <c r="G1741" t="s">
        <v>23</v>
      </c>
      <c r="H1741" t="s">
        <v>39</v>
      </c>
      <c r="I1741" t="s">
        <v>51</v>
      </c>
      <c r="J1741">
        <v>2</v>
      </c>
      <c r="K1741">
        <v>2999</v>
      </c>
      <c r="L1741">
        <f>Table1[[#This Row],[Quantity]] * Table1[[#This Row],[UnitPrice]]</f>
        <v>5998</v>
      </c>
      <c r="M1741" s="25">
        <v>10</v>
      </c>
      <c r="N1741">
        <f>Table1[[#This Row],[Revenue]]*Table1[[#This Row],[Discount%]]/100</f>
        <v>599.79999999999995</v>
      </c>
      <c r="O1741" s="6">
        <f>Table1[[#This Row],[Revenue]]-Table1[[#This Row],[Disc_amount]]</f>
        <v>5398.2</v>
      </c>
      <c r="P1741" t="s">
        <v>41</v>
      </c>
      <c r="Q1741" t="s">
        <v>27</v>
      </c>
    </row>
    <row r="1742" spans="1:17">
      <c r="A1742" t="s">
        <v>2565</v>
      </c>
      <c r="B1742" s="1" t="s">
        <v>2562</v>
      </c>
      <c r="C1742" s="1" t="s">
        <v>2480</v>
      </c>
      <c r="D1742" s="1" t="s">
        <v>20</v>
      </c>
      <c r="E1742" t="s">
        <v>596</v>
      </c>
      <c r="F1742" t="s">
        <v>597</v>
      </c>
      <c r="G1742" t="s">
        <v>31</v>
      </c>
      <c r="H1742" t="s">
        <v>108</v>
      </c>
      <c r="I1742" t="s">
        <v>130</v>
      </c>
      <c r="J1742">
        <v>3</v>
      </c>
      <c r="K1742">
        <v>699</v>
      </c>
      <c r="L1742">
        <f>Table1[[#This Row],[Quantity]] * Table1[[#This Row],[UnitPrice]]</f>
        <v>2097</v>
      </c>
      <c r="M1742" s="25">
        <v>0</v>
      </c>
      <c r="N1742">
        <f>Table1[[#This Row],[Revenue]]*Table1[[#This Row],[Discount%]]/100</f>
        <v>0</v>
      </c>
      <c r="O1742" s="6">
        <f>Table1[[#This Row],[Revenue]]-Table1[[#This Row],[Disc_amount]]</f>
        <v>2097</v>
      </c>
      <c r="P1742" t="s">
        <v>52</v>
      </c>
      <c r="Q1742" t="s">
        <v>27</v>
      </c>
    </row>
    <row r="1743" spans="1:17">
      <c r="A1743" t="s">
        <v>2566</v>
      </c>
      <c r="B1743" s="1" t="s">
        <v>2562</v>
      </c>
      <c r="C1743" s="1" t="s">
        <v>2480</v>
      </c>
      <c r="D1743" s="1" t="s">
        <v>20</v>
      </c>
      <c r="E1743" t="s">
        <v>437</v>
      </c>
      <c r="F1743" t="s">
        <v>438</v>
      </c>
      <c r="G1743" t="s">
        <v>38</v>
      </c>
      <c r="H1743" t="s">
        <v>24</v>
      </c>
      <c r="I1743" t="s">
        <v>32</v>
      </c>
      <c r="J1743">
        <v>1</v>
      </c>
      <c r="K1743">
        <v>199</v>
      </c>
      <c r="L1743">
        <f>Table1[[#This Row],[Quantity]] * Table1[[#This Row],[UnitPrice]]</f>
        <v>199</v>
      </c>
      <c r="M1743" s="25">
        <v>5</v>
      </c>
      <c r="N1743">
        <f>Table1[[#This Row],[Revenue]]*Table1[[#This Row],[Discount%]]/100</f>
        <v>9.9499999999999993</v>
      </c>
      <c r="O1743" s="6">
        <f>Table1[[#This Row],[Revenue]]-Table1[[#This Row],[Disc_amount]]</f>
        <v>189.05</v>
      </c>
      <c r="P1743" t="s">
        <v>33</v>
      </c>
      <c r="Q1743" t="s">
        <v>34</v>
      </c>
    </row>
    <row r="1744" spans="1:17">
      <c r="A1744" t="s">
        <v>2567</v>
      </c>
      <c r="B1744" s="1" t="s">
        <v>2568</v>
      </c>
      <c r="C1744" s="1" t="s">
        <v>2480</v>
      </c>
      <c r="D1744" s="1" t="s">
        <v>20</v>
      </c>
      <c r="E1744" t="s">
        <v>795</v>
      </c>
      <c r="F1744" t="s">
        <v>796</v>
      </c>
      <c r="G1744" t="s">
        <v>23</v>
      </c>
      <c r="H1744" t="s">
        <v>65</v>
      </c>
      <c r="I1744" t="s">
        <v>66</v>
      </c>
      <c r="J1744">
        <v>1</v>
      </c>
      <c r="K1744">
        <v>1999</v>
      </c>
      <c r="L1744">
        <f>Table1[[#This Row],[Quantity]] * Table1[[#This Row],[UnitPrice]]</f>
        <v>1999</v>
      </c>
      <c r="M1744" s="25">
        <v>0</v>
      </c>
      <c r="N1744">
        <f>Table1[[#This Row],[Revenue]]*Table1[[#This Row],[Discount%]]/100</f>
        <v>0</v>
      </c>
      <c r="O1744" s="6">
        <f>Table1[[#This Row],[Revenue]]-Table1[[#This Row],[Disc_amount]]</f>
        <v>1999</v>
      </c>
      <c r="P1744" t="s">
        <v>41</v>
      </c>
      <c r="Q1744" t="s">
        <v>34</v>
      </c>
    </row>
    <row r="1745" spans="1:17">
      <c r="A1745" t="s">
        <v>2569</v>
      </c>
      <c r="B1745" s="1" t="s">
        <v>2568</v>
      </c>
      <c r="C1745" s="1" t="s">
        <v>2480</v>
      </c>
      <c r="D1745" s="1" t="s">
        <v>20</v>
      </c>
      <c r="E1745" t="s">
        <v>616</v>
      </c>
      <c r="F1745" t="s">
        <v>617</v>
      </c>
      <c r="G1745" t="s">
        <v>38</v>
      </c>
      <c r="H1745" t="s">
        <v>108</v>
      </c>
      <c r="I1745" t="s">
        <v>130</v>
      </c>
      <c r="J1745">
        <v>4</v>
      </c>
      <c r="K1745">
        <v>699</v>
      </c>
      <c r="L1745">
        <f>Table1[[#This Row],[Quantity]] * Table1[[#This Row],[UnitPrice]]</f>
        <v>2796</v>
      </c>
      <c r="M1745" s="25">
        <v>0</v>
      </c>
      <c r="N1745">
        <f>Table1[[#This Row],[Revenue]]*Table1[[#This Row],[Discount%]]/100</f>
        <v>0</v>
      </c>
      <c r="O1745" s="6">
        <f>Table1[[#This Row],[Revenue]]-Table1[[#This Row],[Disc_amount]]</f>
        <v>2796</v>
      </c>
      <c r="P1745" t="s">
        <v>33</v>
      </c>
      <c r="Q1745" t="s">
        <v>27</v>
      </c>
    </row>
    <row r="1746" spans="1:17">
      <c r="A1746" t="s">
        <v>2570</v>
      </c>
      <c r="B1746" s="1" t="s">
        <v>2568</v>
      </c>
      <c r="C1746" s="1" t="s">
        <v>2480</v>
      </c>
      <c r="D1746" s="1" t="s">
        <v>20</v>
      </c>
      <c r="E1746" t="s">
        <v>886</v>
      </c>
      <c r="F1746" t="s">
        <v>74</v>
      </c>
      <c r="G1746" t="s">
        <v>56</v>
      </c>
      <c r="H1746" t="s">
        <v>65</v>
      </c>
      <c r="I1746" t="s">
        <v>98</v>
      </c>
      <c r="J1746">
        <v>4</v>
      </c>
      <c r="K1746">
        <v>499</v>
      </c>
      <c r="L1746">
        <f>Table1[[#This Row],[Quantity]] * Table1[[#This Row],[UnitPrice]]</f>
        <v>1996</v>
      </c>
      <c r="M1746" s="25">
        <v>0</v>
      </c>
      <c r="N1746">
        <f>Table1[[#This Row],[Revenue]]*Table1[[#This Row],[Discount%]]/100</f>
        <v>0</v>
      </c>
      <c r="O1746" s="6">
        <f>Table1[[#This Row],[Revenue]]-Table1[[#This Row],[Disc_amount]]</f>
        <v>1996</v>
      </c>
      <c r="P1746" t="s">
        <v>41</v>
      </c>
      <c r="Q1746" t="s">
        <v>27</v>
      </c>
    </row>
    <row r="1747" spans="1:17">
      <c r="A1747" t="s">
        <v>2571</v>
      </c>
      <c r="B1747" s="1" t="s">
        <v>2568</v>
      </c>
      <c r="C1747" s="1" t="s">
        <v>2480</v>
      </c>
      <c r="D1747" s="1" t="s">
        <v>20</v>
      </c>
      <c r="E1747" t="s">
        <v>884</v>
      </c>
      <c r="F1747" t="s">
        <v>160</v>
      </c>
      <c r="G1747" t="s">
        <v>23</v>
      </c>
      <c r="H1747" t="s">
        <v>39</v>
      </c>
      <c r="I1747" t="s">
        <v>40</v>
      </c>
      <c r="J1747">
        <v>3</v>
      </c>
      <c r="K1747">
        <v>599</v>
      </c>
      <c r="L1747">
        <f>Table1[[#This Row],[Quantity]] * Table1[[#This Row],[UnitPrice]]</f>
        <v>1797</v>
      </c>
      <c r="M1747" s="25">
        <v>0</v>
      </c>
      <c r="N1747">
        <f>Table1[[#This Row],[Revenue]]*Table1[[#This Row],[Discount%]]/100</f>
        <v>0</v>
      </c>
      <c r="O1747" s="6">
        <f>Table1[[#This Row],[Revenue]]-Table1[[#This Row],[Disc_amount]]</f>
        <v>1797</v>
      </c>
      <c r="P1747" t="s">
        <v>41</v>
      </c>
      <c r="Q1747" t="s">
        <v>34</v>
      </c>
    </row>
    <row r="1748" spans="1:17">
      <c r="A1748" t="s">
        <v>2572</v>
      </c>
      <c r="B1748" s="1" t="s">
        <v>2573</v>
      </c>
      <c r="C1748" s="1" t="s">
        <v>2480</v>
      </c>
      <c r="D1748" s="1" t="s">
        <v>20</v>
      </c>
      <c r="E1748" t="s">
        <v>21</v>
      </c>
      <c r="F1748" t="s">
        <v>22</v>
      </c>
      <c r="G1748" t="s">
        <v>38</v>
      </c>
      <c r="H1748" t="s">
        <v>46</v>
      </c>
      <c r="I1748" t="s">
        <v>47</v>
      </c>
      <c r="J1748">
        <v>1</v>
      </c>
      <c r="K1748">
        <v>249</v>
      </c>
      <c r="L1748">
        <f>Table1[[#This Row],[Quantity]] * Table1[[#This Row],[UnitPrice]]</f>
        <v>249</v>
      </c>
      <c r="M1748" s="25">
        <v>0</v>
      </c>
      <c r="N1748">
        <f>Table1[[#This Row],[Revenue]]*Table1[[#This Row],[Discount%]]/100</f>
        <v>0</v>
      </c>
      <c r="O1748" s="6">
        <f>Table1[[#This Row],[Revenue]]-Table1[[#This Row],[Disc_amount]]</f>
        <v>249</v>
      </c>
      <c r="P1748" t="s">
        <v>26</v>
      </c>
      <c r="Q1748" t="s">
        <v>27</v>
      </c>
    </row>
    <row r="1749" spans="1:17">
      <c r="A1749" t="s">
        <v>2574</v>
      </c>
      <c r="B1749" s="1" t="s">
        <v>2573</v>
      </c>
      <c r="C1749" s="1" t="s">
        <v>2480</v>
      </c>
      <c r="D1749" s="1" t="s">
        <v>20</v>
      </c>
      <c r="E1749" t="s">
        <v>278</v>
      </c>
      <c r="F1749" t="s">
        <v>279</v>
      </c>
      <c r="G1749" t="s">
        <v>31</v>
      </c>
      <c r="H1749" t="s">
        <v>65</v>
      </c>
      <c r="I1749" t="s">
        <v>66</v>
      </c>
      <c r="J1749">
        <v>1</v>
      </c>
      <c r="K1749">
        <v>1999</v>
      </c>
      <c r="L1749">
        <f>Table1[[#This Row],[Quantity]] * Table1[[#This Row],[UnitPrice]]</f>
        <v>1999</v>
      </c>
      <c r="M1749" s="25">
        <v>0</v>
      </c>
      <c r="N1749">
        <f>Table1[[#This Row],[Revenue]]*Table1[[#This Row],[Discount%]]/100</f>
        <v>0</v>
      </c>
      <c r="O1749" s="6">
        <f>Table1[[#This Row],[Revenue]]-Table1[[#This Row],[Disc_amount]]</f>
        <v>1999</v>
      </c>
      <c r="P1749" t="s">
        <v>41</v>
      </c>
      <c r="Q1749" t="s">
        <v>27</v>
      </c>
    </row>
    <row r="1750" spans="1:17">
      <c r="A1750" t="s">
        <v>2575</v>
      </c>
      <c r="B1750" s="1" t="s">
        <v>2573</v>
      </c>
      <c r="C1750" s="1" t="s">
        <v>2480</v>
      </c>
      <c r="D1750" s="1" t="s">
        <v>20</v>
      </c>
      <c r="E1750" t="s">
        <v>186</v>
      </c>
      <c r="F1750" t="s">
        <v>187</v>
      </c>
      <c r="G1750" t="s">
        <v>56</v>
      </c>
      <c r="H1750" t="s">
        <v>46</v>
      </c>
      <c r="I1750" t="s">
        <v>154</v>
      </c>
      <c r="J1750">
        <v>2</v>
      </c>
      <c r="K1750">
        <v>299</v>
      </c>
      <c r="L1750">
        <f>Table1[[#This Row],[Quantity]] * Table1[[#This Row],[UnitPrice]]</f>
        <v>598</v>
      </c>
      <c r="M1750" s="25">
        <v>5</v>
      </c>
      <c r="N1750">
        <f>Table1[[#This Row],[Revenue]]*Table1[[#This Row],[Discount%]]/100</f>
        <v>29.9</v>
      </c>
      <c r="O1750" s="6">
        <f>Table1[[#This Row],[Revenue]]-Table1[[#This Row],[Disc_amount]]</f>
        <v>568.1</v>
      </c>
      <c r="P1750" t="s">
        <v>26</v>
      </c>
      <c r="Q1750" t="s">
        <v>34</v>
      </c>
    </row>
    <row r="1751" spans="1:17">
      <c r="A1751" t="s">
        <v>2576</v>
      </c>
      <c r="B1751" s="1" t="s">
        <v>2573</v>
      </c>
      <c r="C1751" s="1" t="s">
        <v>2480</v>
      </c>
      <c r="D1751" s="1" t="s">
        <v>20</v>
      </c>
      <c r="E1751" t="s">
        <v>79</v>
      </c>
      <c r="F1751" t="s">
        <v>80</v>
      </c>
      <c r="G1751" t="s">
        <v>45</v>
      </c>
      <c r="H1751" t="s">
        <v>70</v>
      </c>
      <c r="I1751" t="s">
        <v>91</v>
      </c>
      <c r="J1751">
        <v>1</v>
      </c>
      <c r="K1751">
        <v>549</v>
      </c>
      <c r="L1751">
        <f>Table1[[#This Row],[Quantity]] * Table1[[#This Row],[UnitPrice]]</f>
        <v>549</v>
      </c>
      <c r="M1751" s="25">
        <v>0</v>
      </c>
      <c r="N1751">
        <f>Table1[[#This Row],[Revenue]]*Table1[[#This Row],[Discount%]]/100</f>
        <v>0</v>
      </c>
      <c r="O1751" s="6">
        <f>Table1[[#This Row],[Revenue]]-Table1[[#This Row],[Disc_amount]]</f>
        <v>549</v>
      </c>
      <c r="P1751" t="s">
        <v>33</v>
      </c>
      <c r="Q1751" t="s">
        <v>34</v>
      </c>
    </row>
    <row r="1752" spans="1:17">
      <c r="A1752" t="s">
        <v>2577</v>
      </c>
      <c r="B1752" s="1" t="s">
        <v>2573</v>
      </c>
      <c r="C1752" s="1" t="s">
        <v>2480</v>
      </c>
      <c r="D1752" s="1" t="s">
        <v>20</v>
      </c>
      <c r="E1752" t="s">
        <v>1229</v>
      </c>
      <c r="F1752" t="s">
        <v>97</v>
      </c>
      <c r="G1752" t="s">
        <v>23</v>
      </c>
      <c r="H1752" t="s">
        <v>46</v>
      </c>
      <c r="I1752" t="s">
        <v>154</v>
      </c>
      <c r="J1752">
        <v>1</v>
      </c>
      <c r="K1752">
        <v>299</v>
      </c>
      <c r="L1752">
        <f>Table1[[#This Row],[Quantity]] * Table1[[#This Row],[UnitPrice]]</f>
        <v>299</v>
      </c>
      <c r="M1752" s="25">
        <v>5</v>
      </c>
      <c r="N1752">
        <f>Table1[[#This Row],[Revenue]]*Table1[[#This Row],[Discount%]]/100</f>
        <v>14.95</v>
      </c>
      <c r="O1752" s="6">
        <f>Table1[[#This Row],[Revenue]]-Table1[[#This Row],[Disc_amount]]</f>
        <v>284.05</v>
      </c>
      <c r="P1752" t="s">
        <v>33</v>
      </c>
      <c r="Q1752" t="s">
        <v>34</v>
      </c>
    </row>
    <row r="1753" spans="1:17">
      <c r="A1753" t="s">
        <v>2578</v>
      </c>
      <c r="B1753" s="1" t="s">
        <v>2573</v>
      </c>
      <c r="C1753" s="1" t="s">
        <v>2480</v>
      </c>
      <c r="D1753" s="1" t="s">
        <v>20</v>
      </c>
      <c r="E1753" t="s">
        <v>872</v>
      </c>
      <c r="F1753" t="s">
        <v>873</v>
      </c>
      <c r="G1753" t="s">
        <v>38</v>
      </c>
      <c r="H1753" t="s">
        <v>65</v>
      </c>
      <c r="I1753" t="s">
        <v>98</v>
      </c>
      <c r="J1753">
        <v>3</v>
      </c>
      <c r="K1753">
        <v>499</v>
      </c>
      <c r="L1753">
        <f>Table1[[#This Row],[Quantity]] * Table1[[#This Row],[UnitPrice]]</f>
        <v>1497</v>
      </c>
      <c r="M1753" s="25">
        <v>20</v>
      </c>
      <c r="N1753">
        <f>Table1[[#This Row],[Revenue]]*Table1[[#This Row],[Discount%]]/100</f>
        <v>299.39999999999998</v>
      </c>
      <c r="O1753" s="6">
        <f>Table1[[#This Row],[Revenue]]-Table1[[#This Row],[Disc_amount]]</f>
        <v>1197.5999999999999</v>
      </c>
      <c r="P1753" t="s">
        <v>26</v>
      </c>
      <c r="Q1753" t="s">
        <v>27</v>
      </c>
    </row>
    <row r="1754" spans="1:17">
      <c r="A1754" t="s">
        <v>2579</v>
      </c>
      <c r="B1754" s="1" t="s">
        <v>2573</v>
      </c>
      <c r="C1754" s="1" t="s">
        <v>2480</v>
      </c>
      <c r="D1754" s="1" t="s">
        <v>20</v>
      </c>
      <c r="E1754" t="s">
        <v>217</v>
      </c>
      <c r="F1754" t="s">
        <v>218</v>
      </c>
      <c r="G1754" t="s">
        <v>56</v>
      </c>
      <c r="H1754" t="s">
        <v>108</v>
      </c>
      <c r="I1754" t="s">
        <v>109</v>
      </c>
      <c r="J1754">
        <v>2</v>
      </c>
      <c r="K1754">
        <v>1499</v>
      </c>
      <c r="L1754">
        <f>Table1[[#This Row],[Quantity]] * Table1[[#This Row],[UnitPrice]]</f>
        <v>2998</v>
      </c>
      <c r="M1754" s="25">
        <v>0</v>
      </c>
      <c r="N1754">
        <f>Table1[[#This Row],[Revenue]]*Table1[[#This Row],[Discount%]]/100</f>
        <v>0</v>
      </c>
      <c r="O1754" s="6">
        <f>Table1[[#This Row],[Revenue]]-Table1[[#This Row],[Disc_amount]]</f>
        <v>2998</v>
      </c>
      <c r="P1754" t="s">
        <v>41</v>
      </c>
      <c r="Q1754" t="s">
        <v>27</v>
      </c>
    </row>
    <row r="1755" spans="1:17">
      <c r="A1755" t="s">
        <v>2580</v>
      </c>
      <c r="B1755" s="1" t="s">
        <v>2573</v>
      </c>
      <c r="C1755" s="1" t="s">
        <v>2480</v>
      </c>
      <c r="D1755" s="1" t="s">
        <v>20</v>
      </c>
      <c r="E1755" t="s">
        <v>1240</v>
      </c>
      <c r="F1755" t="s">
        <v>115</v>
      </c>
      <c r="G1755" t="s">
        <v>45</v>
      </c>
      <c r="H1755" t="s">
        <v>46</v>
      </c>
      <c r="I1755" t="s">
        <v>47</v>
      </c>
      <c r="J1755">
        <v>2</v>
      </c>
      <c r="K1755">
        <v>249</v>
      </c>
      <c r="L1755">
        <f>Table1[[#This Row],[Quantity]] * Table1[[#This Row],[UnitPrice]]</f>
        <v>498</v>
      </c>
      <c r="M1755" s="25">
        <v>5</v>
      </c>
      <c r="N1755">
        <f>Table1[[#This Row],[Revenue]]*Table1[[#This Row],[Discount%]]/100</f>
        <v>24.9</v>
      </c>
      <c r="O1755" s="6">
        <f>Table1[[#This Row],[Revenue]]-Table1[[#This Row],[Disc_amount]]</f>
        <v>473.1</v>
      </c>
      <c r="P1755" t="s">
        <v>33</v>
      </c>
      <c r="Q1755" t="s">
        <v>34</v>
      </c>
    </row>
    <row r="1756" spans="1:17">
      <c r="A1756" t="s">
        <v>2581</v>
      </c>
      <c r="B1756" s="1" t="s">
        <v>2582</v>
      </c>
      <c r="C1756" s="1" t="s">
        <v>2480</v>
      </c>
      <c r="D1756" s="1" t="s">
        <v>20</v>
      </c>
      <c r="E1756" t="s">
        <v>652</v>
      </c>
      <c r="F1756" t="s">
        <v>443</v>
      </c>
      <c r="G1756" t="s">
        <v>45</v>
      </c>
      <c r="H1756" t="s">
        <v>24</v>
      </c>
      <c r="I1756" t="s">
        <v>25</v>
      </c>
      <c r="J1756">
        <v>3</v>
      </c>
      <c r="K1756">
        <v>99</v>
      </c>
      <c r="L1756">
        <f>Table1[[#This Row],[Quantity]] * Table1[[#This Row],[UnitPrice]]</f>
        <v>297</v>
      </c>
      <c r="M1756" s="25">
        <v>0</v>
      </c>
      <c r="N1756">
        <f>Table1[[#This Row],[Revenue]]*Table1[[#This Row],[Discount%]]/100</f>
        <v>0</v>
      </c>
      <c r="O1756" s="6">
        <f>Table1[[#This Row],[Revenue]]-Table1[[#This Row],[Disc_amount]]</f>
        <v>297</v>
      </c>
      <c r="P1756" t="s">
        <v>41</v>
      </c>
      <c r="Q1756" t="s">
        <v>34</v>
      </c>
    </row>
    <row r="1757" spans="1:17">
      <c r="A1757" t="s">
        <v>2583</v>
      </c>
      <c r="B1757" s="1" t="s">
        <v>2582</v>
      </c>
      <c r="C1757" s="1" t="s">
        <v>2480</v>
      </c>
      <c r="D1757" s="1" t="s">
        <v>20</v>
      </c>
      <c r="E1757" t="s">
        <v>103</v>
      </c>
      <c r="F1757" t="s">
        <v>104</v>
      </c>
      <c r="G1757" t="s">
        <v>38</v>
      </c>
      <c r="H1757" t="s">
        <v>46</v>
      </c>
      <c r="I1757" t="s">
        <v>47</v>
      </c>
      <c r="J1757">
        <v>1</v>
      </c>
      <c r="K1757">
        <v>249</v>
      </c>
      <c r="L1757">
        <f>Table1[[#This Row],[Quantity]] * Table1[[#This Row],[UnitPrice]]</f>
        <v>249</v>
      </c>
      <c r="M1757" s="25">
        <v>10</v>
      </c>
      <c r="N1757">
        <f>Table1[[#This Row],[Revenue]]*Table1[[#This Row],[Discount%]]/100</f>
        <v>24.9</v>
      </c>
      <c r="O1757" s="6">
        <f>Table1[[#This Row],[Revenue]]-Table1[[#This Row],[Disc_amount]]</f>
        <v>224.1</v>
      </c>
      <c r="P1757" t="s">
        <v>52</v>
      </c>
      <c r="Q1757" t="s">
        <v>27</v>
      </c>
    </row>
    <row r="1758" spans="1:17">
      <c r="A1758" t="s">
        <v>2584</v>
      </c>
      <c r="B1758" s="1" t="s">
        <v>2582</v>
      </c>
      <c r="C1758" s="1" t="s">
        <v>2480</v>
      </c>
      <c r="D1758" s="1" t="s">
        <v>20</v>
      </c>
      <c r="E1758" t="s">
        <v>521</v>
      </c>
      <c r="F1758" t="s">
        <v>143</v>
      </c>
      <c r="G1758" t="s">
        <v>38</v>
      </c>
      <c r="H1758" t="s">
        <v>39</v>
      </c>
      <c r="I1758" t="s">
        <v>140</v>
      </c>
      <c r="J1758">
        <v>1</v>
      </c>
      <c r="K1758">
        <v>1799</v>
      </c>
      <c r="L1758">
        <f>Table1[[#This Row],[Quantity]] * Table1[[#This Row],[UnitPrice]]</f>
        <v>1799</v>
      </c>
      <c r="M1758" s="25">
        <v>15</v>
      </c>
      <c r="N1758">
        <f>Table1[[#This Row],[Revenue]]*Table1[[#This Row],[Discount%]]/100</f>
        <v>269.85000000000002</v>
      </c>
      <c r="O1758" s="6">
        <f>Table1[[#This Row],[Revenue]]-Table1[[#This Row],[Disc_amount]]</f>
        <v>1529.15</v>
      </c>
      <c r="P1758" t="s">
        <v>41</v>
      </c>
      <c r="Q1758" t="s">
        <v>27</v>
      </c>
    </row>
    <row r="1759" spans="1:17">
      <c r="A1759" t="s">
        <v>2585</v>
      </c>
      <c r="B1759" s="1" t="s">
        <v>2582</v>
      </c>
      <c r="C1759" s="1" t="s">
        <v>2480</v>
      </c>
      <c r="D1759" s="1" t="s">
        <v>20</v>
      </c>
      <c r="E1759" t="s">
        <v>1734</v>
      </c>
      <c r="F1759" t="s">
        <v>1735</v>
      </c>
      <c r="G1759" t="s">
        <v>56</v>
      </c>
      <c r="H1759" t="s">
        <v>39</v>
      </c>
      <c r="I1759" t="s">
        <v>40</v>
      </c>
      <c r="J1759">
        <v>4</v>
      </c>
      <c r="K1759">
        <v>599</v>
      </c>
      <c r="L1759">
        <f>Table1[[#This Row],[Quantity]] * Table1[[#This Row],[UnitPrice]]</f>
        <v>2396</v>
      </c>
      <c r="M1759" s="25">
        <v>15</v>
      </c>
      <c r="N1759">
        <f>Table1[[#This Row],[Revenue]]*Table1[[#This Row],[Discount%]]/100</f>
        <v>359.4</v>
      </c>
      <c r="O1759" s="6">
        <f>Table1[[#This Row],[Revenue]]-Table1[[#This Row],[Disc_amount]]</f>
        <v>2036.6</v>
      </c>
      <c r="P1759" t="s">
        <v>52</v>
      </c>
      <c r="Q1759" t="s">
        <v>34</v>
      </c>
    </row>
    <row r="1760" spans="1:17">
      <c r="A1760" t="s">
        <v>2586</v>
      </c>
      <c r="B1760" s="1" t="s">
        <v>2582</v>
      </c>
      <c r="C1760" s="1" t="s">
        <v>2480</v>
      </c>
      <c r="D1760" s="1" t="s">
        <v>20</v>
      </c>
      <c r="E1760" t="s">
        <v>862</v>
      </c>
      <c r="F1760" t="s">
        <v>863</v>
      </c>
      <c r="G1760" t="s">
        <v>31</v>
      </c>
      <c r="H1760" t="s">
        <v>39</v>
      </c>
      <c r="I1760" t="s">
        <v>51</v>
      </c>
      <c r="J1760">
        <v>2</v>
      </c>
      <c r="K1760">
        <v>2999</v>
      </c>
      <c r="L1760">
        <f>Table1[[#This Row],[Quantity]] * Table1[[#This Row],[UnitPrice]]</f>
        <v>5998</v>
      </c>
      <c r="M1760" s="25">
        <v>0</v>
      </c>
      <c r="N1760">
        <f>Table1[[#This Row],[Revenue]]*Table1[[#This Row],[Discount%]]/100</f>
        <v>0</v>
      </c>
      <c r="O1760" s="6">
        <f>Table1[[#This Row],[Revenue]]-Table1[[#This Row],[Disc_amount]]</f>
        <v>5998</v>
      </c>
      <c r="P1760" t="s">
        <v>33</v>
      </c>
      <c r="Q1760" t="s">
        <v>27</v>
      </c>
    </row>
    <row r="1761" spans="1:17">
      <c r="A1761" t="s">
        <v>2587</v>
      </c>
      <c r="B1761" s="1" t="s">
        <v>2582</v>
      </c>
      <c r="C1761" s="1" t="s">
        <v>2480</v>
      </c>
      <c r="D1761" s="1" t="s">
        <v>20</v>
      </c>
      <c r="E1761" t="s">
        <v>392</v>
      </c>
      <c r="F1761" t="s">
        <v>236</v>
      </c>
      <c r="G1761" t="s">
        <v>31</v>
      </c>
      <c r="H1761" t="s">
        <v>65</v>
      </c>
      <c r="I1761" t="s">
        <v>94</v>
      </c>
      <c r="J1761">
        <v>1</v>
      </c>
      <c r="K1761">
        <v>899</v>
      </c>
      <c r="L1761">
        <f>Table1[[#This Row],[Quantity]] * Table1[[#This Row],[UnitPrice]]</f>
        <v>899</v>
      </c>
      <c r="M1761" s="25">
        <v>0</v>
      </c>
      <c r="N1761">
        <f>Table1[[#This Row],[Revenue]]*Table1[[#This Row],[Discount%]]/100</f>
        <v>0</v>
      </c>
      <c r="O1761" s="6">
        <f>Table1[[#This Row],[Revenue]]-Table1[[#This Row],[Disc_amount]]</f>
        <v>899</v>
      </c>
      <c r="P1761" t="s">
        <v>86</v>
      </c>
      <c r="Q1761" t="s">
        <v>34</v>
      </c>
    </row>
    <row r="1762" spans="1:17">
      <c r="A1762" t="s">
        <v>2588</v>
      </c>
      <c r="B1762" s="1" t="s">
        <v>2582</v>
      </c>
      <c r="C1762" s="1" t="s">
        <v>2480</v>
      </c>
      <c r="D1762" s="1" t="s">
        <v>20</v>
      </c>
      <c r="E1762" t="s">
        <v>981</v>
      </c>
      <c r="F1762" t="s">
        <v>694</v>
      </c>
      <c r="G1762" t="s">
        <v>38</v>
      </c>
      <c r="H1762" t="s">
        <v>108</v>
      </c>
      <c r="I1762" t="s">
        <v>130</v>
      </c>
      <c r="J1762">
        <v>1</v>
      </c>
      <c r="K1762">
        <v>699</v>
      </c>
      <c r="L1762">
        <f>Table1[[#This Row],[Quantity]] * Table1[[#This Row],[UnitPrice]]</f>
        <v>699</v>
      </c>
      <c r="M1762" s="25">
        <v>0</v>
      </c>
      <c r="N1762">
        <f>Table1[[#This Row],[Revenue]]*Table1[[#This Row],[Discount%]]/100</f>
        <v>0</v>
      </c>
      <c r="O1762" s="6">
        <f>Table1[[#This Row],[Revenue]]-Table1[[#This Row],[Disc_amount]]</f>
        <v>699</v>
      </c>
      <c r="P1762" t="s">
        <v>33</v>
      </c>
      <c r="Q1762" t="s">
        <v>27</v>
      </c>
    </row>
    <row r="1763" spans="1:17">
      <c r="A1763" t="s">
        <v>2589</v>
      </c>
      <c r="B1763" s="1" t="s">
        <v>2590</v>
      </c>
      <c r="C1763" s="1" t="s">
        <v>2480</v>
      </c>
      <c r="D1763" s="1" t="s">
        <v>20</v>
      </c>
      <c r="E1763" t="s">
        <v>970</v>
      </c>
      <c r="F1763" t="s">
        <v>971</v>
      </c>
      <c r="G1763" t="s">
        <v>45</v>
      </c>
      <c r="H1763" t="s">
        <v>108</v>
      </c>
      <c r="I1763" t="s">
        <v>130</v>
      </c>
      <c r="J1763">
        <v>3</v>
      </c>
      <c r="K1763">
        <v>699</v>
      </c>
      <c r="L1763">
        <f>Table1[[#This Row],[Quantity]] * Table1[[#This Row],[UnitPrice]]</f>
        <v>2097</v>
      </c>
      <c r="M1763" s="25">
        <v>10</v>
      </c>
      <c r="N1763">
        <f>Table1[[#This Row],[Revenue]]*Table1[[#This Row],[Discount%]]/100</f>
        <v>209.7</v>
      </c>
      <c r="O1763" s="6">
        <f>Table1[[#This Row],[Revenue]]-Table1[[#This Row],[Disc_amount]]</f>
        <v>1887.3</v>
      </c>
      <c r="P1763" t="s">
        <v>33</v>
      </c>
      <c r="Q1763" t="s">
        <v>27</v>
      </c>
    </row>
    <row r="1764" spans="1:17">
      <c r="A1764" t="s">
        <v>2591</v>
      </c>
      <c r="B1764" s="1" t="s">
        <v>2590</v>
      </c>
      <c r="C1764" s="1" t="s">
        <v>2480</v>
      </c>
      <c r="D1764" s="1" t="s">
        <v>20</v>
      </c>
      <c r="E1764" t="s">
        <v>449</v>
      </c>
      <c r="F1764" t="s">
        <v>450</v>
      </c>
      <c r="G1764" t="s">
        <v>45</v>
      </c>
      <c r="H1764" t="s">
        <v>24</v>
      </c>
      <c r="I1764" t="s">
        <v>25</v>
      </c>
      <c r="J1764">
        <v>2</v>
      </c>
      <c r="K1764">
        <v>99</v>
      </c>
      <c r="L1764">
        <f>Table1[[#This Row],[Quantity]] * Table1[[#This Row],[UnitPrice]]</f>
        <v>198</v>
      </c>
      <c r="M1764" s="25">
        <v>10</v>
      </c>
      <c r="N1764">
        <f>Table1[[#This Row],[Revenue]]*Table1[[#This Row],[Discount%]]/100</f>
        <v>19.8</v>
      </c>
      <c r="O1764" s="6">
        <f>Table1[[#This Row],[Revenue]]-Table1[[#This Row],[Disc_amount]]</f>
        <v>178.2</v>
      </c>
      <c r="P1764" t="s">
        <v>26</v>
      </c>
      <c r="Q1764" t="s">
        <v>34</v>
      </c>
    </row>
    <row r="1765" spans="1:17">
      <c r="A1765" t="s">
        <v>2592</v>
      </c>
      <c r="B1765" s="1" t="s">
        <v>2590</v>
      </c>
      <c r="C1765" s="1" t="s">
        <v>2480</v>
      </c>
      <c r="D1765" s="1" t="s">
        <v>20</v>
      </c>
      <c r="E1765" t="s">
        <v>931</v>
      </c>
      <c r="F1765" t="s">
        <v>115</v>
      </c>
      <c r="G1765" t="s">
        <v>38</v>
      </c>
      <c r="H1765" t="s">
        <v>108</v>
      </c>
      <c r="I1765" t="s">
        <v>109</v>
      </c>
      <c r="J1765">
        <v>1</v>
      </c>
      <c r="K1765">
        <v>1499</v>
      </c>
      <c r="L1765">
        <f>Table1[[#This Row],[Quantity]] * Table1[[#This Row],[UnitPrice]]</f>
        <v>1499</v>
      </c>
      <c r="M1765" s="25">
        <v>5</v>
      </c>
      <c r="N1765">
        <f>Table1[[#This Row],[Revenue]]*Table1[[#This Row],[Discount%]]/100</f>
        <v>74.95</v>
      </c>
      <c r="O1765" s="6">
        <f>Table1[[#This Row],[Revenue]]-Table1[[#This Row],[Disc_amount]]</f>
        <v>1424.05</v>
      </c>
      <c r="P1765" t="s">
        <v>52</v>
      </c>
      <c r="Q1765" t="s">
        <v>27</v>
      </c>
    </row>
    <row r="1766" spans="1:17">
      <c r="A1766" t="s">
        <v>2593</v>
      </c>
      <c r="B1766" s="1" t="s">
        <v>2590</v>
      </c>
      <c r="C1766" s="1" t="s">
        <v>2480</v>
      </c>
      <c r="D1766" s="1" t="s">
        <v>20</v>
      </c>
      <c r="E1766" t="s">
        <v>2061</v>
      </c>
      <c r="F1766" t="s">
        <v>2062</v>
      </c>
      <c r="G1766" t="s">
        <v>23</v>
      </c>
      <c r="H1766" t="s">
        <v>46</v>
      </c>
      <c r="I1766" t="s">
        <v>154</v>
      </c>
      <c r="J1766">
        <v>1</v>
      </c>
      <c r="K1766">
        <v>299</v>
      </c>
      <c r="L1766">
        <f>Table1[[#This Row],[Quantity]] * Table1[[#This Row],[UnitPrice]]</f>
        <v>299</v>
      </c>
      <c r="M1766" s="25">
        <v>15</v>
      </c>
      <c r="N1766">
        <f>Table1[[#This Row],[Revenue]]*Table1[[#This Row],[Discount%]]/100</f>
        <v>44.85</v>
      </c>
      <c r="O1766" s="6">
        <f>Table1[[#This Row],[Revenue]]-Table1[[#This Row],[Disc_amount]]</f>
        <v>254.15</v>
      </c>
      <c r="P1766" t="s">
        <v>41</v>
      </c>
      <c r="Q1766" t="s">
        <v>34</v>
      </c>
    </row>
    <row r="1767" spans="1:17">
      <c r="A1767" t="s">
        <v>2594</v>
      </c>
      <c r="B1767" s="1" t="s">
        <v>2590</v>
      </c>
      <c r="C1767" s="1" t="s">
        <v>2480</v>
      </c>
      <c r="D1767" s="1" t="s">
        <v>20</v>
      </c>
      <c r="E1767" t="s">
        <v>1165</v>
      </c>
      <c r="F1767" t="s">
        <v>272</v>
      </c>
      <c r="G1767" t="s">
        <v>45</v>
      </c>
      <c r="H1767" t="s">
        <v>65</v>
      </c>
      <c r="I1767" t="s">
        <v>66</v>
      </c>
      <c r="J1767">
        <v>1</v>
      </c>
      <c r="K1767">
        <v>1999</v>
      </c>
      <c r="L1767">
        <f>Table1[[#This Row],[Quantity]] * Table1[[#This Row],[UnitPrice]]</f>
        <v>1999</v>
      </c>
      <c r="M1767" s="25">
        <v>0</v>
      </c>
      <c r="N1767">
        <f>Table1[[#This Row],[Revenue]]*Table1[[#This Row],[Discount%]]/100</f>
        <v>0</v>
      </c>
      <c r="O1767" s="6">
        <f>Table1[[#This Row],[Revenue]]-Table1[[#This Row],[Disc_amount]]</f>
        <v>1999</v>
      </c>
      <c r="P1767" t="s">
        <v>52</v>
      </c>
      <c r="Q1767" t="s">
        <v>27</v>
      </c>
    </row>
    <row r="1768" spans="1:17">
      <c r="A1768" t="s">
        <v>2595</v>
      </c>
      <c r="B1768" s="1" t="s">
        <v>2590</v>
      </c>
      <c r="C1768" s="1" t="s">
        <v>2480</v>
      </c>
      <c r="D1768" s="1" t="s">
        <v>20</v>
      </c>
      <c r="E1768" t="s">
        <v>938</v>
      </c>
      <c r="F1768" t="s">
        <v>187</v>
      </c>
      <c r="G1768" t="s">
        <v>45</v>
      </c>
      <c r="H1768" t="s">
        <v>46</v>
      </c>
      <c r="I1768" t="s">
        <v>47</v>
      </c>
      <c r="J1768">
        <v>3</v>
      </c>
      <c r="K1768">
        <v>249</v>
      </c>
      <c r="L1768">
        <f>Table1[[#This Row],[Quantity]] * Table1[[#This Row],[UnitPrice]]</f>
        <v>747</v>
      </c>
      <c r="M1768" s="25">
        <v>10</v>
      </c>
      <c r="N1768">
        <f>Table1[[#This Row],[Revenue]]*Table1[[#This Row],[Discount%]]/100</f>
        <v>74.7</v>
      </c>
      <c r="O1768" s="6">
        <f>Table1[[#This Row],[Revenue]]-Table1[[#This Row],[Disc_amount]]</f>
        <v>672.3</v>
      </c>
      <c r="P1768" t="s">
        <v>86</v>
      </c>
      <c r="Q1768" t="s">
        <v>27</v>
      </c>
    </row>
    <row r="1769" spans="1:17">
      <c r="A1769" t="s">
        <v>2596</v>
      </c>
      <c r="B1769" s="1" t="s">
        <v>2590</v>
      </c>
      <c r="C1769" s="1" t="s">
        <v>2480</v>
      </c>
      <c r="D1769" s="1" t="s">
        <v>20</v>
      </c>
      <c r="E1769" t="s">
        <v>952</v>
      </c>
      <c r="F1769" t="s">
        <v>134</v>
      </c>
      <c r="G1769" t="s">
        <v>45</v>
      </c>
      <c r="H1769" t="s">
        <v>39</v>
      </c>
      <c r="I1769" t="s">
        <v>51</v>
      </c>
      <c r="J1769">
        <v>2</v>
      </c>
      <c r="K1769">
        <v>2999</v>
      </c>
      <c r="L1769">
        <f>Table1[[#This Row],[Quantity]] * Table1[[#This Row],[UnitPrice]]</f>
        <v>5998</v>
      </c>
      <c r="M1769" s="25">
        <v>10</v>
      </c>
      <c r="N1769">
        <f>Table1[[#This Row],[Revenue]]*Table1[[#This Row],[Discount%]]/100</f>
        <v>599.79999999999995</v>
      </c>
      <c r="O1769" s="6">
        <f>Table1[[#This Row],[Revenue]]-Table1[[#This Row],[Disc_amount]]</f>
        <v>5398.2</v>
      </c>
      <c r="P1769" t="s">
        <v>41</v>
      </c>
      <c r="Q1769" t="s">
        <v>27</v>
      </c>
    </row>
    <row r="1770" spans="1:17">
      <c r="A1770" t="s">
        <v>2597</v>
      </c>
      <c r="B1770" s="1" t="s">
        <v>2590</v>
      </c>
      <c r="C1770" s="1" t="s">
        <v>2480</v>
      </c>
      <c r="D1770" s="1" t="s">
        <v>20</v>
      </c>
      <c r="E1770" t="s">
        <v>82</v>
      </c>
      <c r="F1770" t="s">
        <v>83</v>
      </c>
      <c r="G1770" t="s">
        <v>38</v>
      </c>
      <c r="H1770" t="s">
        <v>108</v>
      </c>
      <c r="I1770" t="s">
        <v>109</v>
      </c>
      <c r="J1770">
        <v>4</v>
      </c>
      <c r="K1770">
        <v>1499</v>
      </c>
      <c r="L1770">
        <f>Table1[[#This Row],[Quantity]] * Table1[[#This Row],[UnitPrice]]</f>
        <v>5996</v>
      </c>
      <c r="M1770" s="25">
        <v>15</v>
      </c>
      <c r="N1770">
        <f>Table1[[#This Row],[Revenue]]*Table1[[#This Row],[Discount%]]/100</f>
        <v>899.4</v>
      </c>
      <c r="O1770" s="6">
        <f>Table1[[#This Row],[Revenue]]-Table1[[#This Row],[Disc_amount]]</f>
        <v>5096.6000000000004</v>
      </c>
      <c r="P1770" t="s">
        <v>33</v>
      </c>
      <c r="Q1770" t="s">
        <v>34</v>
      </c>
    </row>
    <row r="1771" spans="1:17">
      <c r="A1771" t="s">
        <v>2598</v>
      </c>
      <c r="B1771" s="1" t="s">
        <v>2599</v>
      </c>
      <c r="C1771" s="1" t="s">
        <v>2480</v>
      </c>
      <c r="D1771" s="1" t="s">
        <v>20</v>
      </c>
      <c r="E1771" t="s">
        <v>970</v>
      </c>
      <c r="F1771" t="s">
        <v>971</v>
      </c>
      <c r="G1771" t="s">
        <v>23</v>
      </c>
      <c r="H1771" t="s">
        <v>108</v>
      </c>
      <c r="I1771" t="s">
        <v>109</v>
      </c>
      <c r="J1771">
        <v>1</v>
      </c>
      <c r="K1771">
        <v>1499</v>
      </c>
      <c r="L1771">
        <f>Table1[[#This Row],[Quantity]] * Table1[[#This Row],[UnitPrice]]</f>
        <v>1499</v>
      </c>
      <c r="M1771" s="25">
        <v>5</v>
      </c>
      <c r="N1771">
        <f>Table1[[#This Row],[Revenue]]*Table1[[#This Row],[Discount%]]/100</f>
        <v>74.95</v>
      </c>
      <c r="O1771" s="6">
        <f>Table1[[#This Row],[Revenue]]-Table1[[#This Row],[Disc_amount]]</f>
        <v>1424.05</v>
      </c>
      <c r="P1771" t="s">
        <v>86</v>
      </c>
      <c r="Q1771" t="s">
        <v>27</v>
      </c>
    </row>
    <row r="1772" spans="1:17">
      <c r="A1772" t="s">
        <v>2600</v>
      </c>
      <c r="B1772" s="1" t="s">
        <v>2599</v>
      </c>
      <c r="C1772" s="1" t="s">
        <v>2480</v>
      </c>
      <c r="D1772" s="1" t="s">
        <v>20</v>
      </c>
      <c r="E1772" t="s">
        <v>1620</v>
      </c>
      <c r="F1772" t="s">
        <v>836</v>
      </c>
      <c r="G1772" t="s">
        <v>23</v>
      </c>
      <c r="H1772" t="s">
        <v>24</v>
      </c>
      <c r="I1772" t="s">
        <v>32</v>
      </c>
      <c r="J1772">
        <v>2</v>
      </c>
      <c r="K1772">
        <v>199</v>
      </c>
      <c r="L1772">
        <f>Table1[[#This Row],[Quantity]] * Table1[[#This Row],[UnitPrice]]</f>
        <v>398</v>
      </c>
      <c r="M1772" s="25">
        <v>0</v>
      </c>
      <c r="N1772">
        <f>Table1[[#This Row],[Revenue]]*Table1[[#This Row],[Discount%]]/100</f>
        <v>0</v>
      </c>
      <c r="O1772" s="6">
        <f>Table1[[#This Row],[Revenue]]-Table1[[#This Row],[Disc_amount]]</f>
        <v>398</v>
      </c>
      <c r="P1772" t="s">
        <v>26</v>
      </c>
      <c r="Q1772" t="s">
        <v>27</v>
      </c>
    </row>
    <row r="1773" spans="1:17">
      <c r="A1773" t="s">
        <v>2601</v>
      </c>
      <c r="B1773" s="1" t="s">
        <v>2599</v>
      </c>
      <c r="C1773" s="1" t="s">
        <v>2480</v>
      </c>
      <c r="D1773" s="1" t="s">
        <v>20</v>
      </c>
      <c r="E1773" t="s">
        <v>1640</v>
      </c>
      <c r="F1773" t="s">
        <v>37</v>
      </c>
      <c r="G1773" t="s">
        <v>38</v>
      </c>
      <c r="H1773" t="s">
        <v>65</v>
      </c>
      <c r="I1773" t="s">
        <v>66</v>
      </c>
      <c r="J1773">
        <v>4</v>
      </c>
      <c r="K1773">
        <v>1999</v>
      </c>
      <c r="L1773">
        <f>Table1[[#This Row],[Quantity]] * Table1[[#This Row],[UnitPrice]]</f>
        <v>7996</v>
      </c>
      <c r="M1773" s="25">
        <v>10</v>
      </c>
      <c r="N1773">
        <f>Table1[[#This Row],[Revenue]]*Table1[[#This Row],[Discount%]]/100</f>
        <v>799.6</v>
      </c>
      <c r="O1773" s="6">
        <f>Table1[[#This Row],[Revenue]]-Table1[[#This Row],[Disc_amount]]</f>
        <v>7196.4</v>
      </c>
      <c r="P1773" t="s">
        <v>52</v>
      </c>
      <c r="Q1773" t="s">
        <v>34</v>
      </c>
    </row>
    <row r="1774" spans="1:17">
      <c r="A1774" t="s">
        <v>2602</v>
      </c>
      <c r="B1774" s="1" t="s">
        <v>2599</v>
      </c>
      <c r="C1774" s="1" t="s">
        <v>2480</v>
      </c>
      <c r="D1774" s="1" t="s">
        <v>20</v>
      </c>
      <c r="E1774" t="s">
        <v>469</v>
      </c>
      <c r="F1774" t="s">
        <v>470</v>
      </c>
      <c r="G1774" t="s">
        <v>38</v>
      </c>
      <c r="H1774" t="s">
        <v>70</v>
      </c>
      <c r="I1774" t="s">
        <v>91</v>
      </c>
      <c r="J1774">
        <v>4</v>
      </c>
      <c r="K1774">
        <v>549</v>
      </c>
      <c r="L1774">
        <f>Table1[[#This Row],[Quantity]] * Table1[[#This Row],[UnitPrice]]</f>
        <v>2196</v>
      </c>
      <c r="M1774" s="25">
        <v>0</v>
      </c>
      <c r="N1774">
        <f>Table1[[#This Row],[Revenue]]*Table1[[#This Row],[Discount%]]/100</f>
        <v>0</v>
      </c>
      <c r="O1774" s="6">
        <f>Table1[[#This Row],[Revenue]]-Table1[[#This Row],[Disc_amount]]</f>
        <v>2196</v>
      </c>
      <c r="P1774" t="s">
        <v>41</v>
      </c>
      <c r="Q1774" t="s">
        <v>27</v>
      </c>
    </row>
    <row r="1775" spans="1:17">
      <c r="A1775" t="s">
        <v>2603</v>
      </c>
      <c r="B1775" s="1" t="s">
        <v>2599</v>
      </c>
      <c r="C1775" s="1" t="s">
        <v>2480</v>
      </c>
      <c r="D1775" s="1" t="s">
        <v>20</v>
      </c>
      <c r="E1775" t="s">
        <v>1110</v>
      </c>
      <c r="F1775" t="s">
        <v>279</v>
      </c>
      <c r="G1775" t="s">
        <v>45</v>
      </c>
      <c r="H1775" t="s">
        <v>57</v>
      </c>
      <c r="I1775" t="s">
        <v>62</v>
      </c>
      <c r="J1775">
        <v>3</v>
      </c>
      <c r="K1775">
        <v>799</v>
      </c>
      <c r="L1775">
        <f>Table1[[#This Row],[Quantity]] * Table1[[#This Row],[UnitPrice]]</f>
        <v>2397</v>
      </c>
      <c r="M1775" s="25">
        <v>0</v>
      </c>
      <c r="N1775">
        <f>Table1[[#This Row],[Revenue]]*Table1[[#This Row],[Discount%]]/100</f>
        <v>0</v>
      </c>
      <c r="O1775" s="6">
        <f>Table1[[#This Row],[Revenue]]-Table1[[#This Row],[Disc_amount]]</f>
        <v>2397</v>
      </c>
      <c r="P1775" t="s">
        <v>41</v>
      </c>
      <c r="Q1775" t="s">
        <v>27</v>
      </c>
    </row>
    <row r="1776" spans="1:17">
      <c r="A1776" t="s">
        <v>2604</v>
      </c>
      <c r="B1776" s="1" t="s">
        <v>2599</v>
      </c>
      <c r="C1776" s="1" t="s">
        <v>2480</v>
      </c>
      <c r="D1776" s="1" t="s">
        <v>20</v>
      </c>
      <c r="E1776" t="s">
        <v>2177</v>
      </c>
      <c r="F1776" t="s">
        <v>203</v>
      </c>
      <c r="G1776" t="s">
        <v>45</v>
      </c>
      <c r="H1776" t="s">
        <v>70</v>
      </c>
      <c r="I1776" t="s">
        <v>91</v>
      </c>
      <c r="J1776">
        <v>5</v>
      </c>
      <c r="K1776">
        <v>549</v>
      </c>
      <c r="L1776">
        <f>Table1[[#This Row],[Quantity]] * Table1[[#This Row],[UnitPrice]]</f>
        <v>2745</v>
      </c>
      <c r="M1776" s="25">
        <v>5</v>
      </c>
      <c r="N1776">
        <f>Table1[[#This Row],[Revenue]]*Table1[[#This Row],[Discount%]]/100</f>
        <v>137.25</v>
      </c>
      <c r="O1776" s="6">
        <f>Table1[[#This Row],[Revenue]]-Table1[[#This Row],[Disc_amount]]</f>
        <v>2607.75</v>
      </c>
      <c r="P1776" t="s">
        <v>33</v>
      </c>
      <c r="Q1776" t="s">
        <v>34</v>
      </c>
    </row>
    <row r="1777" spans="1:17">
      <c r="A1777" t="s">
        <v>2605</v>
      </c>
      <c r="B1777" s="1" t="s">
        <v>2599</v>
      </c>
      <c r="C1777" s="1" t="s">
        <v>2480</v>
      </c>
      <c r="D1777" s="1" t="s">
        <v>20</v>
      </c>
      <c r="E1777" t="s">
        <v>165</v>
      </c>
      <c r="F1777" t="s">
        <v>166</v>
      </c>
      <c r="G1777" t="s">
        <v>45</v>
      </c>
      <c r="H1777" t="s">
        <v>70</v>
      </c>
      <c r="I1777" t="s">
        <v>91</v>
      </c>
      <c r="J1777">
        <v>5</v>
      </c>
      <c r="K1777">
        <v>549</v>
      </c>
      <c r="L1777">
        <f>Table1[[#This Row],[Quantity]] * Table1[[#This Row],[UnitPrice]]</f>
        <v>2745</v>
      </c>
      <c r="M1777" s="25">
        <v>0</v>
      </c>
      <c r="N1777">
        <f>Table1[[#This Row],[Revenue]]*Table1[[#This Row],[Discount%]]/100</f>
        <v>0</v>
      </c>
      <c r="O1777" s="6">
        <f>Table1[[#This Row],[Revenue]]-Table1[[#This Row],[Disc_amount]]</f>
        <v>2745</v>
      </c>
      <c r="P1777" t="s">
        <v>41</v>
      </c>
      <c r="Q1777" t="s">
        <v>27</v>
      </c>
    </row>
    <row r="1778" spans="1:17">
      <c r="A1778" t="s">
        <v>2606</v>
      </c>
      <c r="B1778" s="1" t="s">
        <v>2599</v>
      </c>
      <c r="C1778" s="1" t="s">
        <v>2480</v>
      </c>
      <c r="D1778" s="1" t="s">
        <v>20</v>
      </c>
      <c r="E1778" t="s">
        <v>1240</v>
      </c>
      <c r="F1778" t="s">
        <v>115</v>
      </c>
      <c r="G1778" t="s">
        <v>38</v>
      </c>
      <c r="H1778" t="s">
        <v>65</v>
      </c>
      <c r="I1778" t="s">
        <v>66</v>
      </c>
      <c r="J1778">
        <v>1</v>
      </c>
      <c r="K1778">
        <v>1999</v>
      </c>
      <c r="L1778">
        <f>Table1[[#This Row],[Quantity]] * Table1[[#This Row],[UnitPrice]]</f>
        <v>1999</v>
      </c>
      <c r="M1778" s="25">
        <v>0</v>
      </c>
      <c r="N1778">
        <f>Table1[[#This Row],[Revenue]]*Table1[[#This Row],[Discount%]]/100</f>
        <v>0</v>
      </c>
      <c r="O1778" s="6">
        <f>Table1[[#This Row],[Revenue]]-Table1[[#This Row],[Disc_amount]]</f>
        <v>1999</v>
      </c>
      <c r="P1778" t="s">
        <v>86</v>
      </c>
      <c r="Q1778" t="s">
        <v>27</v>
      </c>
    </row>
    <row r="1779" spans="1:17">
      <c r="A1779" t="s">
        <v>2607</v>
      </c>
      <c r="B1779" s="1" t="s">
        <v>2599</v>
      </c>
      <c r="C1779" s="1" t="s">
        <v>2480</v>
      </c>
      <c r="D1779" s="1" t="s">
        <v>20</v>
      </c>
      <c r="E1779" t="s">
        <v>394</v>
      </c>
      <c r="F1779" t="s">
        <v>338</v>
      </c>
      <c r="G1779" t="s">
        <v>31</v>
      </c>
      <c r="H1779" t="s">
        <v>108</v>
      </c>
      <c r="I1779" t="s">
        <v>109</v>
      </c>
      <c r="J1779">
        <v>4</v>
      </c>
      <c r="K1779">
        <v>1499</v>
      </c>
      <c r="L1779">
        <f>Table1[[#This Row],[Quantity]] * Table1[[#This Row],[UnitPrice]]</f>
        <v>5996</v>
      </c>
      <c r="M1779" s="25">
        <v>20</v>
      </c>
      <c r="N1779">
        <f>Table1[[#This Row],[Revenue]]*Table1[[#This Row],[Discount%]]/100</f>
        <v>1199.2</v>
      </c>
      <c r="O1779" s="6">
        <f>Table1[[#This Row],[Revenue]]-Table1[[#This Row],[Disc_amount]]</f>
        <v>4796.8</v>
      </c>
      <c r="P1779" t="s">
        <v>41</v>
      </c>
      <c r="Q1779" t="s">
        <v>27</v>
      </c>
    </row>
    <row r="1780" spans="1:17">
      <c r="A1780" t="s">
        <v>2608</v>
      </c>
      <c r="B1780" s="1" t="s">
        <v>2599</v>
      </c>
      <c r="C1780" s="1" t="s">
        <v>2480</v>
      </c>
      <c r="D1780" s="1" t="s">
        <v>20</v>
      </c>
      <c r="E1780" t="s">
        <v>347</v>
      </c>
      <c r="F1780" t="s">
        <v>348</v>
      </c>
      <c r="G1780" t="s">
        <v>23</v>
      </c>
      <c r="H1780" t="s">
        <v>46</v>
      </c>
      <c r="I1780" t="s">
        <v>154</v>
      </c>
      <c r="J1780">
        <v>1</v>
      </c>
      <c r="K1780">
        <v>299</v>
      </c>
      <c r="L1780">
        <f>Table1[[#This Row],[Quantity]] * Table1[[#This Row],[UnitPrice]]</f>
        <v>299</v>
      </c>
      <c r="M1780" s="25">
        <v>0</v>
      </c>
      <c r="N1780">
        <f>Table1[[#This Row],[Revenue]]*Table1[[#This Row],[Discount%]]/100</f>
        <v>0</v>
      </c>
      <c r="O1780" s="6">
        <f>Table1[[#This Row],[Revenue]]-Table1[[#This Row],[Disc_amount]]</f>
        <v>299</v>
      </c>
      <c r="P1780" t="s">
        <v>26</v>
      </c>
      <c r="Q1780" t="s">
        <v>27</v>
      </c>
    </row>
    <row r="1781" spans="1:17">
      <c r="A1781" t="s">
        <v>2609</v>
      </c>
      <c r="B1781" s="1" t="s">
        <v>2599</v>
      </c>
      <c r="C1781" s="1" t="s">
        <v>2480</v>
      </c>
      <c r="D1781" s="1" t="s">
        <v>20</v>
      </c>
      <c r="E1781" t="s">
        <v>2177</v>
      </c>
      <c r="F1781" t="s">
        <v>203</v>
      </c>
      <c r="G1781" t="s">
        <v>38</v>
      </c>
      <c r="H1781" t="s">
        <v>24</v>
      </c>
      <c r="I1781" t="s">
        <v>32</v>
      </c>
      <c r="J1781">
        <v>3</v>
      </c>
      <c r="K1781">
        <v>199</v>
      </c>
      <c r="L1781">
        <f>Table1[[#This Row],[Quantity]] * Table1[[#This Row],[UnitPrice]]</f>
        <v>597</v>
      </c>
      <c r="M1781" s="25">
        <v>15</v>
      </c>
      <c r="N1781">
        <f>Table1[[#This Row],[Revenue]]*Table1[[#This Row],[Discount%]]/100</f>
        <v>89.55</v>
      </c>
      <c r="O1781" s="6">
        <f>Table1[[#This Row],[Revenue]]-Table1[[#This Row],[Disc_amount]]</f>
        <v>507.45</v>
      </c>
      <c r="P1781" t="s">
        <v>41</v>
      </c>
      <c r="Q1781" t="s">
        <v>27</v>
      </c>
    </row>
    <row r="1782" spans="1:17">
      <c r="A1782" t="s">
        <v>2610</v>
      </c>
      <c r="B1782" s="1" t="s">
        <v>2599</v>
      </c>
      <c r="C1782" s="1" t="s">
        <v>2480</v>
      </c>
      <c r="D1782" s="1" t="s">
        <v>20</v>
      </c>
      <c r="E1782" t="s">
        <v>341</v>
      </c>
      <c r="F1782" t="s">
        <v>342</v>
      </c>
      <c r="G1782" t="s">
        <v>38</v>
      </c>
      <c r="H1782" t="s">
        <v>57</v>
      </c>
      <c r="I1782" t="s">
        <v>62</v>
      </c>
      <c r="J1782">
        <v>1</v>
      </c>
      <c r="K1782">
        <v>799</v>
      </c>
      <c r="L1782">
        <f>Table1[[#This Row],[Quantity]] * Table1[[#This Row],[UnitPrice]]</f>
        <v>799</v>
      </c>
      <c r="M1782" s="25">
        <v>0</v>
      </c>
      <c r="N1782">
        <f>Table1[[#This Row],[Revenue]]*Table1[[#This Row],[Discount%]]/100</f>
        <v>0</v>
      </c>
      <c r="O1782" s="6">
        <f>Table1[[#This Row],[Revenue]]-Table1[[#This Row],[Disc_amount]]</f>
        <v>799</v>
      </c>
      <c r="P1782" t="s">
        <v>33</v>
      </c>
      <c r="Q1782" t="s">
        <v>27</v>
      </c>
    </row>
    <row r="1783" spans="1:17">
      <c r="A1783" t="s">
        <v>2611</v>
      </c>
      <c r="B1783" s="1" t="s">
        <v>2612</v>
      </c>
      <c r="C1783" s="1" t="s">
        <v>2480</v>
      </c>
      <c r="D1783" s="1" t="s">
        <v>20</v>
      </c>
      <c r="E1783" t="s">
        <v>319</v>
      </c>
      <c r="F1783" t="s">
        <v>213</v>
      </c>
      <c r="G1783" t="s">
        <v>38</v>
      </c>
      <c r="H1783" t="s">
        <v>108</v>
      </c>
      <c r="I1783" t="s">
        <v>109</v>
      </c>
      <c r="J1783">
        <v>2</v>
      </c>
      <c r="K1783">
        <v>1499</v>
      </c>
      <c r="L1783">
        <f>Table1[[#This Row],[Quantity]] * Table1[[#This Row],[UnitPrice]]</f>
        <v>2998</v>
      </c>
      <c r="M1783" s="25">
        <v>10</v>
      </c>
      <c r="N1783">
        <f>Table1[[#This Row],[Revenue]]*Table1[[#This Row],[Discount%]]/100</f>
        <v>299.8</v>
      </c>
      <c r="O1783" s="6">
        <f>Table1[[#This Row],[Revenue]]-Table1[[#This Row],[Disc_amount]]</f>
        <v>2698.2</v>
      </c>
      <c r="P1783" t="s">
        <v>26</v>
      </c>
      <c r="Q1783" t="s">
        <v>27</v>
      </c>
    </row>
    <row r="1784" spans="1:17">
      <c r="A1784" t="s">
        <v>2613</v>
      </c>
      <c r="B1784" s="1" t="s">
        <v>2612</v>
      </c>
      <c r="C1784" s="1" t="s">
        <v>2480</v>
      </c>
      <c r="D1784" s="1" t="s">
        <v>20</v>
      </c>
      <c r="E1784" t="s">
        <v>954</v>
      </c>
      <c r="F1784" t="s">
        <v>569</v>
      </c>
      <c r="G1784" t="s">
        <v>23</v>
      </c>
      <c r="H1784" t="s">
        <v>70</v>
      </c>
      <c r="I1784" t="s">
        <v>91</v>
      </c>
      <c r="J1784">
        <v>1</v>
      </c>
      <c r="K1784">
        <v>549</v>
      </c>
      <c r="L1784">
        <f>Table1[[#This Row],[Quantity]] * Table1[[#This Row],[UnitPrice]]</f>
        <v>549</v>
      </c>
      <c r="M1784" s="25">
        <v>5</v>
      </c>
      <c r="N1784">
        <f>Table1[[#This Row],[Revenue]]*Table1[[#This Row],[Discount%]]/100</f>
        <v>27.45</v>
      </c>
      <c r="O1784" s="6">
        <f>Table1[[#This Row],[Revenue]]-Table1[[#This Row],[Disc_amount]]</f>
        <v>521.54999999999995</v>
      </c>
      <c r="P1784" t="s">
        <v>26</v>
      </c>
      <c r="Q1784" t="s">
        <v>34</v>
      </c>
    </row>
    <row r="1785" spans="1:17">
      <c r="A1785" t="s">
        <v>2614</v>
      </c>
      <c r="B1785" s="1" t="s">
        <v>2612</v>
      </c>
      <c r="C1785" s="1" t="s">
        <v>2480</v>
      </c>
      <c r="D1785" s="1" t="s">
        <v>20</v>
      </c>
      <c r="E1785" t="s">
        <v>806</v>
      </c>
      <c r="F1785" t="s">
        <v>139</v>
      </c>
      <c r="G1785" t="s">
        <v>23</v>
      </c>
      <c r="H1785" t="s">
        <v>24</v>
      </c>
      <c r="I1785" t="s">
        <v>25</v>
      </c>
      <c r="J1785">
        <v>1</v>
      </c>
      <c r="K1785">
        <v>99</v>
      </c>
      <c r="L1785">
        <f>Table1[[#This Row],[Quantity]] * Table1[[#This Row],[UnitPrice]]</f>
        <v>99</v>
      </c>
      <c r="M1785" s="25">
        <v>10</v>
      </c>
      <c r="N1785">
        <f>Table1[[#This Row],[Revenue]]*Table1[[#This Row],[Discount%]]/100</f>
        <v>9.9</v>
      </c>
      <c r="O1785" s="6">
        <f>Table1[[#This Row],[Revenue]]-Table1[[#This Row],[Disc_amount]]</f>
        <v>89.1</v>
      </c>
      <c r="P1785" t="s">
        <v>33</v>
      </c>
      <c r="Q1785" t="s">
        <v>27</v>
      </c>
    </row>
    <row r="1786" spans="1:17">
      <c r="A1786" t="s">
        <v>2615</v>
      </c>
      <c r="B1786" s="1" t="s">
        <v>2612</v>
      </c>
      <c r="C1786" s="1" t="s">
        <v>2480</v>
      </c>
      <c r="D1786" s="1" t="s">
        <v>20</v>
      </c>
      <c r="E1786" t="s">
        <v>798</v>
      </c>
      <c r="F1786" t="s">
        <v>157</v>
      </c>
      <c r="G1786" t="s">
        <v>45</v>
      </c>
      <c r="H1786" t="s">
        <v>108</v>
      </c>
      <c r="I1786" t="s">
        <v>130</v>
      </c>
      <c r="J1786">
        <v>3</v>
      </c>
      <c r="K1786">
        <v>699</v>
      </c>
      <c r="L1786">
        <f>Table1[[#This Row],[Quantity]] * Table1[[#This Row],[UnitPrice]]</f>
        <v>2097</v>
      </c>
      <c r="M1786" s="25">
        <v>20</v>
      </c>
      <c r="N1786">
        <f>Table1[[#This Row],[Revenue]]*Table1[[#This Row],[Discount%]]/100</f>
        <v>419.4</v>
      </c>
      <c r="O1786" s="6">
        <f>Table1[[#This Row],[Revenue]]-Table1[[#This Row],[Disc_amount]]</f>
        <v>1677.6</v>
      </c>
      <c r="P1786" t="s">
        <v>41</v>
      </c>
      <c r="Q1786" t="s">
        <v>27</v>
      </c>
    </row>
    <row r="1787" spans="1:17">
      <c r="A1787" t="s">
        <v>2616</v>
      </c>
      <c r="B1787" s="1" t="s">
        <v>2612</v>
      </c>
      <c r="C1787" s="1" t="s">
        <v>2480</v>
      </c>
      <c r="D1787" s="1" t="s">
        <v>20</v>
      </c>
      <c r="E1787" t="s">
        <v>472</v>
      </c>
      <c r="F1787" t="s">
        <v>473</v>
      </c>
      <c r="G1787" t="s">
        <v>31</v>
      </c>
      <c r="H1787" t="s">
        <v>39</v>
      </c>
      <c r="I1787" t="s">
        <v>51</v>
      </c>
      <c r="J1787">
        <v>3</v>
      </c>
      <c r="K1787">
        <v>2999</v>
      </c>
      <c r="L1787">
        <f>Table1[[#This Row],[Quantity]] * Table1[[#This Row],[UnitPrice]]</f>
        <v>8997</v>
      </c>
      <c r="M1787" s="25">
        <v>10</v>
      </c>
      <c r="N1787">
        <f>Table1[[#This Row],[Revenue]]*Table1[[#This Row],[Discount%]]/100</f>
        <v>899.7</v>
      </c>
      <c r="O1787" s="6">
        <f>Table1[[#This Row],[Revenue]]-Table1[[#This Row],[Disc_amount]]</f>
        <v>8097.3</v>
      </c>
      <c r="P1787" t="s">
        <v>41</v>
      </c>
      <c r="Q1787" t="s">
        <v>27</v>
      </c>
    </row>
    <row r="1788" spans="1:17">
      <c r="A1788" t="s">
        <v>2617</v>
      </c>
      <c r="B1788" s="1" t="s">
        <v>2612</v>
      </c>
      <c r="C1788" s="1" t="s">
        <v>2480</v>
      </c>
      <c r="D1788" s="1" t="s">
        <v>20</v>
      </c>
      <c r="E1788" t="s">
        <v>238</v>
      </c>
      <c r="F1788" t="s">
        <v>239</v>
      </c>
      <c r="G1788" t="s">
        <v>45</v>
      </c>
      <c r="H1788" t="s">
        <v>65</v>
      </c>
      <c r="I1788" t="s">
        <v>94</v>
      </c>
      <c r="J1788">
        <v>1</v>
      </c>
      <c r="K1788">
        <v>899</v>
      </c>
      <c r="L1788">
        <f>Table1[[#This Row],[Quantity]] * Table1[[#This Row],[UnitPrice]]</f>
        <v>899</v>
      </c>
      <c r="M1788" s="25">
        <v>0</v>
      </c>
      <c r="N1788">
        <f>Table1[[#This Row],[Revenue]]*Table1[[#This Row],[Discount%]]/100</f>
        <v>0</v>
      </c>
      <c r="O1788" s="6">
        <f>Table1[[#This Row],[Revenue]]-Table1[[#This Row],[Disc_amount]]</f>
        <v>899</v>
      </c>
      <c r="P1788" t="s">
        <v>26</v>
      </c>
      <c r="Q1788" t="s">
        <v>27</v>
      </c>
    </row>
    <row r="1789" spans="1:17">
      <c r="A1789" t="s">
        <v>2618</v>
      </c>
      <c r="B1789" s="1" t="s">
        <v>2612</v>
      </c>
      <c r="C1789" s="1" t="s">
        <v>2480</v>
      </c>
      <c r="D1789" s="1" t="s">
        <v>20</v>
      </c>
      <c r="E1789" t="s">
        <v>1056</v>
      </c>
      <c r="F1789" t="s">
        <v>61</v>
      </c>
      <c r="G1789" t="s">
        <v>56</v>
      </c>
      <c r="H1789" t="s">
        <v>39</v>
      </c>
      <c r="I1789" t="s">
        <v>140</v>
      </c>
      <c r="J1789">
        <v>4</v>
      </c>
      <c r="K1789">
        <v>1799</v>
      </c>
      <c r="L1789">
        <f>Table1[[#This Row],[Quantity]] * Table1[[#This Row],[UnitPrice]]</f>
        <v>7196</v>
      </c>
      <c r="M1789" s="25">
        <v>15</v>
      </c>
      <c r="N1789">
        <f>Table1[[#This Row],[Revenue]]*Table1[[#This Row],[Discount%]]/100</f>
        <v>1079.4000000000001</v>
      </c>
      <c r="O1789" s="6">
        <f>Table1[[#This Row],[Revenue]]-Table1[[#This Row],[Disc_amount]]</f>
        <v>6116.6</v>
      </c>
      <c r="P1789" t="s">
        <v>26</v>
      </c>
      <c r="Q1789" t="s">
        <v>27</v>
      </c>
    </row>
    <row r="1790" spans="1:17">
      <c r="A1790" t="s">
        <v>2619</v>
      </c>
      <c r="B1790" s="1" t="s">
        <v>2620</v>
      </c>
      <c r="C1790" s="1" t="s">
        <v>2480</v>
      </c>
      <c r="D1790" s="1" t="s">
        <v>20</v>
      </c>
      <c r="E1790" t="s">
        <v>1071</v>
      </c>
      <c r="F1790" t="s">
        <v>118</v>
      </c>
      <c r="G1790" t="s">
        <v>56</v>
      </c>
      <c r="H1790" t="s">
        <v>108</v>
      </c>
      <c r="I1790" t="s">
        <v>109</v>
      </c>
      <c r="J1790">
        <v>1</v>
      </c>
      <c r="K1790">
        <v>1499</v>
      </c>
      <c r="L1790">
        <f>Table1[[#This Row],[Quantity]] * Table1[[#This Row],[UnitPrice]]</f>
        <v>1499</v>
      </c>
      <c r="M1790" s="25">
        <v>5</v>
      </c>
      <c r="N1790">
        <f>Table1[[#This Row],[Revenue]]*Table1[[#This Row],[Discount%]]/100</f>
        <v>74.95</v>
      </c>
      <c r="O1790" s="6">
        <f>Table1[[#This Row],[Revenue]]-Table1[[#This Row],[Disc_amount]]</f>
        <v>1424.05</v>
      </c>
      <c r="P1790" t="s">
        <v>52</v>
      </c>
      <c r="Q1790" t="s">
        <v>34</v>
      </c>
    </row>
    <row r="1791" spans="1:17">
      <c r="A1791" t="s">
        <v>2621</v>
      </c>
      <c r="B1791" s="1" t="s">
        <v>2620</v>
      </c>
      <c r="C1791" s="1" t="s">
        <v>2480</v>
      </c>
      <c r="D1791" s="1" t="s">
        <v>20</v>
      </c>
      <c r="E1791" t="s">
        <v>1279</v>
      </c>
      <c r="F1791" t="s">
        <v>355</v>
      </c>
      <c r="G1791" t="s">
        <v>23</v>
      </c>
      <c r="H1791" t="s">
        <v>70</v>
      </c>
      <c r="I1791" t="s">
        <v>91</v>
      </c>
      <c r="J1791">
        <v>3</v>
      </c>
      <c r="K1791">
        <v>549</v>
      </c>
      <c r="L1791">
        <f>Table1[[#This Row],[Quantity]] * Table1[[#This Row],[UnitPrice]]</f>
        <v>1647</v>
      </c>
      <c r="M1791" s="25">
        <v>15</v>
      </c>
      <c r="N1791">
        <f>Table1[[#This Row],[Revenue]]*Table1[[#This Row],[Discount%]]/100</f>
        <v>247.05</v>
      </c>
      <c r="O1791" s="6">
        <f>Table1[[#This Row],[Revenue]]-Table1[[#This Row],[Disc_amount]]</f>
        <v>1399.95</v>
      </c>
      <c r="P1791" t="s">
        <v>26</v>
      </c>
      <c r="Q1791" t="s">
        <v>27</v>
      </c>
    </row>
    <row r="1792" spans="1:17">
      <c r="A1792" t="s">
        <v>2622</v>
      </c>
      <c r="B1792" s="1" t="s">
        <v>2620</v>
      </c>
      <c r="C1792" s="1" t="s">
        <v>2480</v>
      </c>
      <c r="D1792" s="1" t="s">
        <v>20</v>
      </c>
      <c r="E1792" t="s">
        <v>852</v>
      </c>
      <c r="F1792" t="s">
        <v>853</v>
      </c>
      <c r="G1792" t="s">
        <v>31</v>
      </c>
      <c r="H1792" t="s">
        <v>46</v>
      </c>
      <c r="I1792" t="s">
        <v>154</v>
      </c>
      <c r="J1792">
        <v>1</v>
      </c>
      <c r="K1792">
        <v>299</v>
      </c>
      <c r="L1792">
        <f>Table1[[#This Row],[Quantity]] * Table1[[#This Row],[UnitPrice]]</f>
        <v>299</v>
      </c>
      <c r="M1792" s="25">
        <v>0</v>
      </c>
      <c r="N1792">
        <f>Table1[[#This Row],[Revenue]]*Table1[[#This Row],[Discount%]]/100</f>
        <v>0</v>
      </c>
      <c r="O1792" s="6">
        <f>Table1[[#This Row],[Revenue]]-Table1[[#This Row],[Disc_amount]]</f>
        <v>299</v>
      </c>
      <c r="P1792" t="s">
        <v>52</v>
      </c>
      <c r="Q1792" t="s">
        <v>27</v>
      </c>
    </row>
    <row r="1793" spans="1:17">
      <c r="A1793" t="s">
        <v>2623</v>
      </c>
      <c r="B1793" s="1" t="s">
        <v>2620</v>
      </c>
      <c r="C1793" s="1" t="s">
        <v>2480</v>
      </c>
      <c r="D1793" s="1" t="s">
        <v>20</v>
      </c>
      <c r="E1793" t="s">
        <v>1240</v>
      </c>
      <c r="F1793" t="s">
        <v>115</v>
      </c>
      <c r="G1793" t="s">
        <v>38</v>
      </c>
      <c r="H1793" t="s">
        <v>65</v>
      </c>
      <c r="I1793" t="s">
        <v>94</v>
      </c>
      <c r="J1793">
        <v>1</v>
      </c>
      <c r="K1793">
        <v>899</v>
      </c>
      <c r="L1793">
        <f>Table1[[#This Row],[Quantity]] * Table1[[#This Row],[UnitPrice]]</f>
        <v>899</v>
      </c>
      <c r="M1793" s="25">
        <v>0</v>
      </c>
      <c r="N1793">
        <f>Table1[[#This Row],[Revenue]]*Table1[[#This Row],[Discount%]]/100</f>
        <v>0</v>
      </c>
      <c r="O1793" s="6">
        <f>Table1[[#This Row],[Revenue]]-Table1[[#This Row],[Disc_amount]]</f>
        <v>899</v>
      </c>
      <c r="P1793" t="s">
        <v>33</v>
      </c>
      <c r="Q1793" t="s">
        <v>34</v>
      </c>
    </row>
    <row r="1794" spans="1:17">
      <c r="A1794" t="s">
        <v>2624</v>
      </c>
      <c r="B1794" s="1" t="s">
        <v>2620</v>
      </c>
      <c r="C1794" s="1" t="s">
        <v>2480</v>
      </c>
      <c r="D1794" s="1" t="s">
        <v>20</v>
      </c>
      <c r="E1794" t="s">
        <v>1481</v>
      </c>
      <c r="F1794" t="s">
        <v>853</v>
      </c>
      <c r="G1794" t="s">
        <v>31</v>
      </c>
      <c r="H1794" t="s">
        <v>39</v>
      </c>
      <c r="I1794" t="s">
        <v>51</v>
      </c>
      <c r="J1794">
        <v>1</v>
      </c>
      <c r="K1794">
        <v>2999</v>
      </c>
      <c r="L1794">
        <f>Table1[[#This Row],[Quantity]] * Table1[[#This Row],[UnitPrice]]</f>
        <v>2999</v>
      </c>
      <c r="M1794" s="25">
        <v>5</v>
      </c>
      <c r="N1794">
        <f>Table1[[#This Row],[Revenue]]*Table1[[#This Row],[Discount%]]/100</f>
        <v>149.94999999999999</v>
      </c>
      <c r="O1794" s="6">
        <f>Table1[[#This Row],[Revenue]]-Table1[[#This Row],[Disc_amount]]</f>
        <v>2849.05</v>
      </c>
      <c r="P1794" t="s">
        <v>41</v>
      </c>
      <c r="Q1794" t="s">
        <v>27</v>
      </c>
    </row>
    <row r="1795" spans="1:17">
      <c r="A1795" t="s">
        <v>2625</v>
      </c>
      <c r="B1795" s="1" t="s">
        <v>2626</v>
      </c>
      <c r="C1795" s="1" t="s">
        <v>2480</v>
      </c>
      <c r="D1795" s="1" t="s">
        <v>20</v>
      </c>
      <c r="E1795" t="s">
        <v>1056</v>
      </c>
      <c r="F1795" t="s">
        <v>61</v>
      </c>
      <c r="G1795" t="s">
        <v>31</v>
      </c>
      <c r="H1795" t="s">
        <v>108</v>
      </c>
      <c r="I1795" t="s">
        <v>130</v>
      </c>
      <c r="J1795">
        <v>1</v>
      </c>
      <c r="K1795">
        <v>699</v>
      </c>
      <c r="L1795">
        <f>Table1[[#This Row],[Quantity]] * Table1[[#This Row],[UnitPrice]]</f>
        <v>699</v>
      </c>
      <c r="M1795" s="25">
        <v>5</v>
      </c>
      <c r="N1795">
        <f>Table1[[#This Row],[Revenue]]*Table1[[#This Row],[Discount%]]/100</f>
        <v>34.950000000000003</v>
      </c>
      <c r="O1795" s="6">
        <f>Table1[[#This Row],[Revenue]]-Table1[[#This Row],[Disc_amount]]</f>
        <v>664.05</v>
      </c>
      <c r="P1795" t="s">
        <v>41</v>
      </c>
      <c r="Q1795" t="s">
        <v>27</v>
      </c>
    </row>
    <row r="1796" spans="1:17">
      <c r="A1796" t="s">
        <v>2627</v>
      </c>
      <c r="B1796" s="1" t="s">
        <v>2626</v>
      </c>
      <c r="C1796" s="1" t="s">
        <v>2480</v>
      </c>
      <c r="D1796" s="1" t="s">
        <v>20</v>
      </c>
      <c r="E1796" t="s">
        <v>778</v>
      </c>
      <c r="F1796" t="s">
        <v>287</v>
      </c>
      <c r="G1796" t="s">
        <v>23</v>
      </c>
      <c r="H1796" t="s">
        <v>57</v>
      </c>
      <c r="I1796" t="s">
        <v>58</v>
      </c>
      <c r="J1796">
        <v>1</v>
      </c>
      <c r="K1796">
        <v>1299</v>
      </c>
      <c r="L1796">
        <f>Table1[[#This Row],[Quantity]] * Table1[[#This Row],[UnitPrice]]</f>
        <v>1299</v>
      </c>
      <c r="M1796" s="25">
        <v>10</v>
      </c>
      <c r="N1796">
        <f>Table1[[#This Row],[Revenue]]*Table1[[#This Row],[Discount%]]/100</f>
        <v>129.9</v>
      </c>
      <c r="O1796" s="6">
        <f>Table1[[#This Row],[Revenue]]-Table1[[#This Row],[Disc_amount]]</f>
        <v>1169.0999999999999</v>
      </c>
      <c r="P1796" t="s">
        <v>41</v>
      </c>
      <c r="Q1796" t="s">
        <v>27</v>
      </c>
    </row>
    <row r="1797" spans="1:17">
      <c r="A1797" t="s">
        <v>2628</v>
      </c>
      <c r="B1797" s="1" t="s">
        <v>2626</v>
      </c>
      <c r="C1797" s="1" t="s">
        <v>2480</v>
      </c>
      <c r="D1797" s="1" t="s">
        <v>20</v>
      </c>
      <c r="E1797" t="s">
        <v>383</v>
      </c>
      <c r="F1797" t="s">
        <v>384</v>
      </c>
      <c r="G1797" t="s">
        <v>56</v>
      </c>
      <c r="H1797" t="s">
        <v>57</v>
      </c>
      <c r="I1797" t="s">
        <v>62</v>
      </c>
      <c r="J1797">
        <v>3</v>
      </c>
      <c r="K1797">
        <v>799</v>
      </c>
      <c r="L1797">
        <f>Table1[[#This Row],[Quantity]] * Table1[[#This Row],[UnitPrice]]</f>
        <v>2397</v>
      </c>
      <c r="M1797" s="25">
        <v>0</v>
      </c>
      <c r="N1797">
        <f>Table1[[#This Row],[Revenue]]*Table1[[#This Row],[Discount%]]/100</f>
        <v>0</v>
      </c>
      <c r="O1797" s="6">
        <f>Table1[[#This Row],[Revenue]]-Table1[[#This Row],[Disc_amount]]</f>
        <v>2397</v>
      </c>
      <c r="P1797" t="s">
        <v>41</v>
      </c>
      <c r="Q1797" t="s">
        <v>34</v>
      </c>
    </row>
    <row r="1798" spans="1:17">
      <c r="A1798" t="s">
        <v>2629</v>
      </c>
      <c r="B1798" s="1" t="s">
        <v>2626</v>
      </c>
      <c r="C1798" s="1" t="s">
        <v>2480</v>
      </c>
      <c r="D1798" s="1" t="s">
        <v>20</v>
      </c>
      <c r="E1798" t="s">
        <v>657</v>
      </c>
      <c r="F1798" t="s">
        <v>147</v>
      </c>
      <c r="G1798" t="s">
        <v>23</v>
      </c>
      <c r="H1798" t="s">
        <v>46</v>
      </c>
      <c r="I1798" t="s">
        <v>47</v>
      </c>
      <c r="J1798">
        <v>3</v>
      </c>
      <c r="K1798">
        <v>249</v>
      </c>
      <c r="L1798">
        <f>Table1[[#This Row],[Quantity]] * Table1[[#This Row],[UnitPrice]]</f>
        <v>747</v>
      </c>
      <c r="M1798" s="25">
        <v>5</v>
      </c>
      <c r="N1798">
        <f>Table1[[#This Row],[Revenue]]*Table1[[#This Row],[Discount%]]/100</f>
        <v>37.35</v>
      </c>
      <c r="O1798" s="6">
        <f>Table1[[#This Row],[Revenue]]-Table1[[#This Row],[Disc_amount]]</f>
        <v>709.65</v>
      </c>
      <c r="P1798" t="s">
        <v>52</v>
      </c>
      <c r="Q1798" t="s">
        <v>27</v>
      </c>
    </row>
    <row r="1799" spans="1:17">
      <c r="A1799" t="s">
        <v>2630</v>
      </c>
      <c r="B1799" s="1" t="s">
        <v>2626</v>
      </c>
      <c r="C1799" s="1" t="s">
        <v>2480</v>
      </c>
      <c r="D1799" s="1" t="s">
        <v>20</v>
      </c>
      <c r="E1799" t="s">
        <v>747</v>
      </c>
      <c r="F1799" t="s">
        <v>748</v>
      </c>
      <c r="G1799" t="s">
        <v>56</v>
      </c>
      <c r="H1799" t="s">
        <v>57</v>
      </c>
      <c r="I1799" t="s">
        <v>62</v>
      </c>
      <c r="J1799">
        <v>2</v>
      </c>
      <c r="K1799">
        <v>799</v>
      </c>
      <c r="L1799">
        <f>Table1[[#This Row],[Quantity]] * Table1[[#This Row],[UnitPrice]]</f>
        <v>1598</v>
      </c>
      <c r="M1799" s="25">
        <v>10</v>
      </c>
      <c r="N1799">
        <f>Table1[[#This Row],[Revenue]]*Table1[[#This Row],[Discount%]]/100</f>
        <v>159.80000000000001</v>
      </c>
      <c r="O1799" s="6">
        <f>Table1[[#This Row],[Revenue]]-Table1[[#This Row],[Disc_amount]]</f>
        <v>1438.2</v>
      </c>
      <c r="P1799" t="s">
        <v>33</v>
      </c>
      <c r="Q1799" t="s">
        <v>27</v>
      </c>
    </row>
    <row r="1800" spans="1:17">
      <c r="A1800" t="s">
        <v>2631</v>
      </c>
      <c r="B1800" s="1" t="s">
        <v>2626</v>
      </c>
      <c r="C1800" s="1" t="s">
        <v>2480</v>
      </c>
      <c r="D1800" s="1" t="s">
        <v>20</v>
      </c>
      <c r="E1800" t="s">
        <v>2518</v>
      </c>
      <c r="F1800" t="s">
        <v>767</v>
      </c>
      <c r="G1800" t="s">
        <v>38</v>
      </c>
      <c r="H1800" t="s">
        <v>39</v>
      </c>
      <c r="I1800" t="s">
        <v>140</v>
      </c>
      <c r="J1800">
        <v>1</v>
      </c>
      <c r="K1800">
        <v>1799</v>
      </c>
      <c r="L1800">
        <f>Table1[[#This Row],[Quantity]] * Table1[[#This Row],[UnitPrice]]</f>
        <v>1799</v>
      </c>
      <c r="M1800" s="25">
        <v>0</v>
      </c>
      <c r="N1800">
        <f>Table1[[#This Row],[Revenue]]*Table1[[#This Row],[Discount%]]/100</f>
        <v>0</v>
      </c>
      <c r="O1800" s="6">
        <f>Table1[[#This Row],[Revenue]]-Table1[[#This Row],[Disc_amount]]</f>
        <v>1799</v>
      </c>
      <c r="P1800" t="s">
        <v>52</v>
      </c>
      <c r="Q1800" t="s">
        <v>27</v>
      </c>
    </row>
    <row r="1801" spans="1:17">
      <c r="A1801" t="s">
        <v>2632</v>
      </c>
      <c r="B1801" s="1" t="s">
        <v>2626</v>
      </c>
      <c r="C1801" s="1" t="s">
        <v>2480</v>
      </c>
      <c r="D1801" s="1" t="s">
        <v>20</v>
      </c>
      <c r="E1801" t="s">
        <v>1709</v>
      </c>
      <c r="F1801" t="s">
        <v>989</v>
      </c>
      <c r="G1801" t="s">
        <v>56</v>
      </c>
      <c r="H1801" t="s">
        <v>57</v>
      </c>
      <c r="I1801" t="s">
        <v>62</v>
      </c>
      <c r="J1801">
        <v>1</v>
      </c>
      <c r="K1801">
        <v>799</v>
      </c>
      <c r="L1801">
        <f>Table1[[#This Row],[Quantity]] * Table1[[#This Row],[UnitPrice]]</f>
        <v>799</v>
      </c>
      <c r="M1801" s="25">
        <v>0</v>
      </c>
      <c r="N1801">
        <f>Table1[[#This Row],[Revenue]]*Table1[[#This Row],[Discount%]]/100</f>
        <v>0</v>
      </c>
      <c r="O1801" s="6">
        <f>Table1[[#This Row],[Revenue]]-Table1[[#This Row],[Disc_amount]]</f>
        <v>799</v>
      </c>
      <c r="P1801" t="s">
        <v>33</v>
      </c>
      <c r="Q1801" t="s">
        <v>27</v>
      </c>
    </row>
    <row r="1802" spans="1:17">
      <c r="A1802" t="s">
        <v>2633</v>
      </c>
      <c r="B1802" s="1" t="s">
        <v>2626</v>
      </c>
      <c r="C1802" s="1" t="s">
        <v>2480</v>
      </c>
      <c r="D1802" s="1" t="s">
        <v>20</v>
      </c>
      <c r="E1802" t="s">
        <v>693</v>
      </c>
      <c r="F1802" t="s">
        <v>694</v>
      </c>
      <c r="G1802" t="s">
        <v>31</v>
      </c>
      <c r="H1802" t="s">
        <v>39</v>
      </c>
      <c r="I1802" t="s">
        <v>40</v>
      </c>
      <c r="J1802">
        <v>3</v>
      </c>
      <c r="K1802">
        <v>599</v>
      </c>
      <c r="L1802">
        <f>Table1[[#This Row],[Quantity]] * Table1[[#This Row],[UnitPrice]]</f>
        <v>1797</v>
      </c>
      <c r="M1802" s="25">
        <v>0</v>
      </c>
      <c r="N1802">
        <f>Table1[[#This Row],[Revenue]]*Table1[[#This Row],[Discount%]]/100</f>
        <v>0</v>
      </c>
      <c r="O1802" s="6">
        <f>Table1[[#This Row],[Revenue]]-Table1[[#This Row],[Disc_amount]]</f>
        <v>1797</v>
      </c>
      <c r="P1802" t="s">
        <v>33</v>
      </c>
      <c r="Q1802" t="s">
        <v>34</v>
      </c>
    </row>
    <row r="1803" spans="1:17">
      <c r="A1803" t="s">
        <v>2634</v>
      </c>
      <c r="B1803" s="1" t="s">
        <v>2626</v>
      </c>
      <c r="C1803" s="1" t="s">
        <v>2480</v>
      </c>
      <c r="D1803" s="1" t="s">
        <v>20</v>
      </c>
      <c r="E1803" t="s">
        <v>1165</v>
      </c>
      <c r="F1803" t="s">
        <v>272</v>
      </c>
      <c r="G1803" t="s">
        <v>45</v>
      </c>
      <c r="H1803" t="s">
        <v>39</v>
      </c>
      <c r="I1803" t="s">
        <v>51</v>
      </c>
      <c r="J1803">
        <v>3</v>
      </c>
      <c r="K1803">
        <v>2999</v>
      </c>
      <c r="L1803">
        <f>Table1[[#This Row],[Quantity]] * Table1[[#This Row],[UnitPrice]]</f>
        <v>8997</v>
      </c>
      <c r="M1803" s="25">
        <v>0</v>
      </c>
      <c r="N1803">
        <f>Table1[[#This Row],[Revenue]]*Table1[[#This Row],[Discount%]]/100</f>
        <v>0</v>
      </c>
      <c r="O1803" s="6">
        <f>Table1[[#This Row],[Revenue]]-Table1[[#This Row],[Disc_amount]]</f>
        <v>8997</v>
      </c>
      <c r="P1803" t="s">
        <v>26</v>
      </c>
      <c r="Q1803" t="s">
        <v>27</v>
      </c>
    </row>
    <row r="1804" spans="1:17">
      <c r="A1804" t="s">
        <v>2635</v>
      </c>
      <c r="B1804" s="1" t="s">
        <v>2626</v>
      </c>
      <c r="C1804" s="1" t="s">
        <v>2480</v>
      </c>
      <c r="D1804" s="1" t="s">
        <v>20</v>
      </c>
      <c r="E1804" t="s">
        <v>677</v>
      </c>
      <c r="F1804" t="s">
        <v>597</v>
      </c>
      <c r="G1804" t="s">
        <v>38</v>
      </c>
      <c r="H1804" t="s">
        <v>24</v>
      </c>
      <c r="I1804" t="s">
        <v>32</v>
      </c>
      <c r="J1804">
        <v>1</v>
      </c>
      <c r="K1804">
        <v>199</v>
      </c>
      <c r="L1804">
        <f>Table1[[#This Row],[Quantity]] * Table1[[#This Row],[UnitPrice]]</f>
        <v>199</v>
      </c>
      <c r="M1804" s="25">
        <v>20</v>
      </c>
      <c r="N1804">
        <f>Table1[[#This Row],[Revenue]]*Table1[[#This Row],[Discount%]]/100</f>
        <v>39.799999999999997</v>
      </c>
      <c r="O1804" s="6">
        <f>Table1[[#This Row],[Revenue]]-Table1[[#This Row],[Disc_amount]]</f>
        <v>159.19999999999999</v>
      </c>
      <c r="P1804" t="s">
        <v>41</v>
      </c>
      <c r="Q1804" t="s">
        <v>27</v>
      </c>
    </row>
    <row r="1805" spans="1:17">
      <c r="A1805" t="s">
        <v>2636</v>
      </c>
      <c r="B1805" s="1" t="s">
        <v>2626</v>
      </c>
      <c r="C1805" s="1" t="s">
        <v>2480</v>
      </c>
      <c r="D1805" s="1" t="s">
        <v>20</v>
      </c>
      <c r="E1805" t="s">
        <v>895</v>
      </c>
      <c r="F1805" t="s">
        <v>759</v>
      </c>
      <c r="G1805" t="s">
        <v>38</v>
      </c>
      <c r="H1805" t="s">
        <v>65</v>
      </c>
      <c r="I1805" t="s">
        <v>94</v>
      </c>
      <c r="J1805">
        <v>1</v>
      </c>
      <c r="K1805">
        <v>899</v>
      </c>
      <c r="L1805">
        <f>Table1[[#This Row],[Quantity]] * Table1[[#This Row],[UnitPrice]]</f>
        <v>899</v>
      </c>
      <c r="M1805" s="25">
        <v>15</v>
      </c>
      <c r="N1805">
        <f>Table1[[#This Row],[Revenue]]*Table1[[#This Row],[Discount%]]/100</f>
        <v>134.85</v>
      </c>
      <c r="O1805" s="6">
        <f>Table1[[#This Row],[Revenue]]-Table1[[#This Row],[Disc_amount]]</f>
        <v>764.15</v>
      </c>
      <c r="P1805" t="s">
        <v>41</v>
      </c>
      <c r="Q1805" t="s">
        <v>27</v>
      </c>
    </row>
    <row r="1806" spans="1:17">
      <c r="A1806" t="s">
        <v>2637</v>
      </c>
      <c r="B1806" s="1" t="s">
        <v>2638</v>
      </c>
      <c r="C1806" s="1" t="s">
        <v>2480</v>
      </c>
      <c r="D1806" s="1" t="s">
        <v>20</v>
      </c>
      <c r="E1806" t="s">
        <v>701</v>
      </c>
      <c r="F1806" t="s">
        <v>379</v>
      </c>
      <c r="G1806" t="s">
        <v>31</v>
      </c>
      <c r="H1806" t="s">
        <v>70</v>
      </c>
      <c r="I1806" t="s">
        <v>91</v>
      </c>
      <c r="J1806">
        <v>3</v>
      </c>
      <c r="K1806">
        <v>549</v>
      </c>
      <c r="L1806">
        <f>Table1[[#This Row],[Quantity]] * Table1[[#This Row],[UnitPrice]]</f>
        <v>1647</v>
      </c>
      <c r="M1806" s="25">
        <v>0</v>
      </c>
      <c r="N1806">
        <f>Table1[[#This Row],[Revenue]]*Table1[[#This Row],[Discount%]]/100</f>
        <v>0</v>
      </c>
      <c r="O1806" s="6">
        <f>Table1[[#This Row],[Revenue]]-Table1[[#This Row],[Disc_amount]]</f>
        <v>1647</v>
      </c>
      <c r="P1806" t="s">
        <v>41</v>
      </c>
      <c r="Q1806" t="s">
        <v>34</v>
      </c>
    </row>
    <row r="1807" spans="1:17">
      <c r="A1807" t="s">
        <v>2639</v>
      </c>
      <c r="B1807" s="1" t="s">
        <v>2638</v>
      </c>
      <c r="C1807" s="1" t="s">
        <v>2480</v>
      </c>
      <c r="D1807" s="1" t="s">
        <v>20</v>
      </c>
      <c r="E1807" t="s">
        <v>850</v>
      </c>
      <c r="F1807" t="s">
        <v>759</v>
      </c>
      <c r="G1807" t="s">
        <v>38</v>
      </c>
      <c r="H1807" t="s">
        <v>108</v>
      </c>
      <c r="I1807" t="s">
        <v>109</v>
      </c>
      <c r="J1807">
        <v>3</v>
      </c>
      <c r="K1807">
        <v>1499</v>
      </c>
      <c r="L1807">
        <f>Table1[[#This Row],[Quantity]] * Table1[[#This Row],[UnitPrice]]</f>
        <v>4497</v>
      </c>
      <c r="M1807" s="25">
        <v>20</v>
      </c>
      <c r="N1807">
        <f>Table1[[#This Row],[Revenue]]*Table1[[#This Row],[Discount%]]/100</f>
        <v>899.4</v>
      </c>
      <c r="O1807" s="6">
        <f>Table1[[#This Row],[Revenue]]-Table1[[#This Row],[Disc_amount]]</f>
        <v>3597.6</v>
      </c>
      <c r="P1807" t="s">
        <v>52</v>
      </c>
      <c r="Q1807" t="s">
        <v>27</v>
      </c>
    </row>
    <row r="1808" spans="1:17">
      <c r="A1808" t="s">
        <v>2640</v>
      </c>
      <c r="B1808" s="1" t="s">
        <v>2638</v>
      </c>
      <c r="C1808" s="1" t="s">
        <v>2480</v>
      </c>
      <c r="D1808" s="1" t="s">
        <v>20</v>
      </c>
      <c r="E1808" t="s">
        <v>2641</v>
      </c>
      <c r="F1808" t="s">
        <v>97</v>
      </c>
      <c r="G1808" t="s">
        <v>31</v>
      </c>
      <c r="H1808" t="s">
        <v>46</v>
      </c>
      <c r="I1808" t="s">
        <v>47</v>
      </c>
      <c r="J1808">
        <v>1</v>
      </c>
      <c r="K1808">
        <v>249</v>
      </c>
      <c r="L1808">
        <f>Table1[[#This Row],[Quantity]] * Table1[[#This Row],[UnitPrice]]</f>
        <v>249</v>
      </c>
      <c r="M1808" s="25">
        <v>5</v>
      </c>
      <c r="N1808">
        <f>Table1[[#This Row],[Revenue]]*Table1[[#This Row],[Discount%]]/100</f>
        <v>12.45</v>
      </c>
      <c r="O1808" s="6">
        <f>Table1[[#This Row],[Revenue]]-Table1[[#This Row],[Disc_amount]]</f>
        <v>236.55</v>
      </c>
      <c r="P1808" t="s">
        <v>41</v>
      </c>
      <c r="Q1808" t="s">
        <v>27</v>
      </c>
    </row>
    <row r="1809" spans="1:17">
      <c r="A1809" t="s">
        <v>2642</v>
      </c>
      <c r="B1809" s="1" t="s">
        <v>2638</v>
      </c>
      <c r="C1809" s="1" t="s">
        <v>2480</v>
      </c>
      <c r="D1809" s="1" t="s">
        <v>20</v>
      </c>
      <c r="E1809" t="s">
        <v>1259</v>
      </c>
      <c r="F1809" t="s">
        <v>1260</v>
      </c>
      <c r="G1809" t="s">
        <v>23</v>
      </c>
      <c r="H1809" t="s">
        <v>24</v>
      </c>
      <c r="I1809" t="s">
        <v>32</v>
      </c>
      <c r="J1809">
        <v>1</v>
      </c>
      <c r="K1809">
        <v>199</v>
      </c>
      <c r="L1809">
        <f>Table1[[#This Row],[Quantity]] * Table1[[#This Row],[UnitPrice]]</f>
        <v>199</v>
      </c>
      <c r="M1809" s="25">
        <v>20</v>
      </c>
      <c r="N1809">
        <f>Table1[[#This Row],[Revenue]]*Table1[[#This Row],[Discount%]]/100</f>
        <v>39.799999999999997</v>
      </c>
      <c r="O1809" s="6">
        <f>Table1[[#This Row],[Revenue]]-Table1[[#This Row],[Disc_amount]]</f>
        <v>159.19999999999999</v>
      </c>
      <c r="P1809" t="s">
        <v>86</v>
      </c>
      <c r="Q1809" t="s">
        <v>27</v>
      </c>
    </row>
    <row r="1810" spans="1:17">
      <c r="A1810" t="s">
        <v>2643</v>
      </c>
      <c r="B1810" s="1" t="s">
        <v>2638</v>
      </c>
      <c r="C1810" s="1" t="s">
        <v>2480</v>
      </c>
      <c r="D1810" s="1" t="s">
        <v>20</v>
      </c>
      <c r="E1810" t="s">
        <v>217</v>
      </c>
      <c r="F1810" t="s">
        <v>218</v>
      </c>
      <c r="G1810" t="s">
        <v>45</v>
      </c>
      <c r="H1810" t="s">
        <v>39</v>
      </c>
      <c r="I1810" t="s">
        <v>40</v>
      </c>
      <c r="J1810">
        <v>1</v>
      </c>
      <c r="K1810">
        <v>599</v>
      </c>
      <c r="L1810">
        <f>Table1[[#This Row],[Quantity]] * Table1[[#This Row],[UnitPrice]]</f>
        <v>599</v>
      </c>
      <c r="M1810" s="25">
        <v>0</v>
      </c>
      <c r="N1810">
        <f>Table1[[#This Row],[Revenue]]*Table1[[#This Row],[Discount%]]/100</f>
        <v>0</v>
      </c>
      <c r="O1810" s="6">
        <f>Table1[[#This Row],[Revenue]]-Table1[[#This Row],[Disc_amount]]</f>
        <v>599</v>
      </c>
      <c r="P1810" t="s">
        <v>26</v>
      </c>
      <c r="Q1810" t="s">
        <v>27</v>
      </c>
    </row>
    <row r="1811" spans="1:17">
      <c r="A1811" t="s">
        <v>2644</v>
      </c>
      <c r="B1811" s="1" t="s">
        <v>2638</v>
      </c>
      <c r="C1811" s="1" t="s">
        <v>2480</v>
      </c>
      <c r="D1811" s="1" t="s">
        <v>20</v>
      </c>
      <c r="E1811" t="s">
        <v>286</v>
      </c>
      <c r="F1811" t="s">
        <v>287</v>
      </c>
      <c r="G1811" t="s">
        <v>31</v>
      </c>
      <c r="H1811" t="s">
        <v>65</v>
      </c>
      <c r="I1811" t="s">
        <v>98</v>
      </c>
      <c r="J1811">
        <v>1</v>
      </c>
      <c r="K1811">
        <v>499</v>
      </c>
      <c r="L1811">
        <f>Table1[[#This Row],[Quantity]] * Table1[[#This Row],[UnitPrice]]</f>
        <v>499</v>
      </c>
      <c r="M1811" s="25">
        <v>10</v>
      </c>
      <c r="N1811">
        <f>Table1[[#This Row],[Revenue]]*Table1[[#This Row],[Discount%]]/100</f>
        <v>49.9</v>
      </c>
      <c r="O1811" s="6">
        <f>Table1[[#This Row],[Revenue]]-Table1[[#This Row],[Disc_amount]]</f>
        <v>449.1</v>
      </c>
      <c r="P1811" t="s">
        <v>41</v>
      </c>
      <c r="Q1811" t="s">
        <v>27</v>
      </c>
    </row>
    <row r="1812" spans="1:17">
      <c r="A1812" t="s">
        <v>2645</v>
      </c>
      <c r="B1812" s="1" t="s">
        <v>2638</v>
      </c>
      <c r="C1812" s="1" t="s">
        <v>2480</v>
      </c>
      <c r="D1812" s="1" t="s">
        <v>20</v>
      </c>
      <c r="E1812" t="s">
        <v>228</v>
      </c>
      <c r="F1812" t="s">
        <v>229</v>
      </c>
      <c r="G1812" t="s">
        <v>23</v>
      </c>
      <c r="H1812" t="s">
        <v>39</v>
      </c>
      <c r="I1812" t="s">
        <v>40</v>
      </c>
      <c r="J1812">
        <v>3</v>
      </c>
      <c r="K1812">
        <v>599</v>
      </c>
      <c r="L1812">
        <f>Table1[[#This Row],[Quantity]] * Table1[[#This Row],[UnitPrice]]</f>
        <v>1797</v>
      </c>
      <c r="M1812" s="25">
        <v>5</v>
      </c>
      <c r="N1812">
        <f>Table1[[#This Row],[Revenue]]*Table1[[#This Row],[Discount%]]/100</f>
        <v>89.85</v>
      </c>
      <c r="O1812" s="6">
        <f>Table1[[#This Row],[Revenue]]-Table1[[#This Row],[Disc_amount]]</f>
        <v>1707.15</v>
      </c>
      <c r="P1812" t="s">
        <v>52</v>
      </c>
      <c r="Q1812" t="s">
        <v>27</v>
      </c>
    </row>
    <row r="1813" spans="1:17">
      <c r="A1813" t="s">
        <v>2646</v>
      </c>
      <c r="B1813" s="1" t="s">
        <v>2638</v>
      </c>
      <c r="C1813" s="1" t="s">
        <v>2480</v>
      </c>
      <c r="D1813" s="1" t="s">
        <v>20</v>
      </c>
      <c r="E1813" t="s">
        <v>344</v>
      </c>
      <c r="F1813" t="s">
        <v>345</v>
      </c>
      <c r="G1813" t="s">
        <v>38</v>
      </c>
      <c r="H1813" t="s">
        <v>70</v>
      </c>
      <c r="I1813" t="s">
        <v>71</v>
      </c>
      <c r="J1813">
        <v>1</v>
      </c>
      <c r="K1813">
        <v>349</v>
      </c>
      <c r="L1813">
        <f>Table1[[#This Row],[Quantity]] * Table1[[#This Row],[UnitPrice]]</f>
        <v>349</v>
      </c>
      <c r="M1813" s="25">
        <v>0</v>
      </c>
      <c r="N1813">
        <f>Table1[[#This Row],[Revenue]]*Table1[[#This Row],[Discount%]]/100</f>
        <v>0</v>
      </c>
      <c r="O1813" s="6">
        <f>Table1[[#This Row],[Revenue]]-Table1[[#This Row],[Disc_amount]]</f>
        <v>349</v>
      </c>
      <c r="P1813" t="s">
        <v>26</v>
      </c>
      <c r="Q1813" t="s">
        <v>27</v>
      </c>
    </row>
    <row r="1814" spans="1:17">
      <c r="A1814" t="s">
        <v>2647</v>
      </c>
      <c r="B1814" s="1" t="s">
        <v>2638</v>
      </c>
      <c r="C1814" s="1" t="s">
        <v>2480</v>
      </c>
      <c r="D1814" s="1" t="s">
        <v>20</v>
      </c>
      <c r="E1814" t="s">
        <v>852</v>
      </c>
      <c r="F1814" t="s">
        <v>853</v>
      </c>
      <c r="G1814" t="s">
        <v>56</v>
      </c>
      <c r="H1814" t="s">
        <v>39</v>
      </c>
      <c r="I1814" t="s">
        <v>140</v>
      </c>
      <c r="J1814">
        <v>3</v>
      </c>
      <c r="K1814">
        <v>1799</v>
      </c>
      <c r="L1814">
        <f>Table1[[#This Row],[Quantity]] * Table1[[#This Row],[UnitPrice]]</f>
        <v>5397</v>
      </c>
      <c r="M1814" s="25">
        <v>0</v>
      </c>
      <c r="N1814">
        <f>Table1[[#This Row],[Revenue]]*Table1[[#This Row],[Discount%]]/100</f>
        <v>0</v>
      </c>
      <c r="O1814" s="6">
        <f>Table1[[#This Row],[Revenue]]-Table1[[#This Row],[Disc_amount]]</f>
        <v>5397</v>
      </c>
      <c r="P1814" t="s">
        <v>41</v>
      </c>
      <c r="Q1814" t="s">
        <v>27</v>
      </c>
    </row>
    <row r="1815" spans="1:17">
      <c r="A1815" t="s">
        <v>2648</v>
      </c>
      <c r="B1815" s="1" t="s">
        <v>2638</v>
      </c>
      <c r="C1815" s="1" t="s">
        <v>2480</v>
      </c>
      <c r="D1815" s="1" t="s">
        <v>20</v>
      </c>
      <c r="E1815" t="s">
        <v>1499</v>
      </c>
      <c r="F1815" t="s">
        <v>730</v>
      </c>
      <c r="G1815" t="s">
        <v>31</v>
      </c>
      <c r="H1815" t="s">
        <v>70</v>
      </c>
      <c r="I1815" t="s">
        <v>71</v>
      </c>
      <c r="J1815">
        <v>2</v>
      </c>
      <c r="K1815">
        <v>349</v>
      </c>
      <c r="L1815">
        <f>Table1[[#This Row],[Quantity]] * Table1[[#This Row],[UnitPrice]]</f>
        <v>698</v>
      </c>
      <c r="M1815" s="25">
        <v>5</v>
      </c>
      <c r="N1815">
        <f>Table1[[#This Row],[Revenue]]*Table1[[#This Row],[Discount%]]/100</f>
        <v>34.9</v>
      </c>
      <c r="O1815" s="6">
        <f>Table1[[#This Row],[Revenue]]-Table1[[#This Row],[Disc_amount]]</f>
        <v>663.1</v>
      </c>
      <c r="P1815" t="s">
        <v>26</v>
      </c>
      <c r="Q1815" t="s">
        <v>27</v>
      </c>
    </row>
    <row r="1816" spans="1:17">
      <c r="A1816" t="s">
        <v>2649</v>
      </c>
      <c r="B1816" s="1" t="s">
        <v>2638</v>
      </c>
      <c r="C1816" s="1" t="s">
        <v>2480</v>
      </c>
      <c r="D1816" s="1" t="s">
        <v>20</v>
      </c>
      <c r="E1816" t="s">
        <v>1499</v>
      </c>
      <c r="F1816" t="s">
        <v>730</v>
      </c>
      <c r="G1816" t="s">
        <v>45</v>
      </c>
      <c r="H1816" t="s">
        <v>46</v>
      </c>
      <c r="I1816" t="s">
        <v>47</v>
      </c>
      <c r="J1816">
        <v>3</v>
      </c>
      <c r="K1816">
        <v>249</v>
      </c>
      <c r="L1816">
        <f>Table1[[#This Row],[Quantity]] * Table1[[#This Row],[UnitPrice]]</f>
        <v>747</v>
      </c>
      <c r="M1816" s="25">
        <v>0</v>
      </c>
      <c r="N1816">
        <f>Table1[[#This Row],[Revenue]]*Table1[[#This Row],[Discount%]]/100</f>
        <v>0</v>
      </c>
      <c r="O1816" s="6">
        <f>Table1[[#This Row],[Revenue]]-Table1[[#This Row],[Disc_amount]]</f>
        <v>747</v>
      </c>
      <c r="P1816" t="s">
        <v>26</v>
      </c>
      <c r="Q1816" t="s">
        <v>34</v>
      </c>
    </row>
    <row r="1817" spans="1:17">
      <c r="A1817" t="s">
        <v>2650</v>
      </c>
      <c r="B1817" s="1" t="s">
        <v>2638</v>
      </c>
      <c r="C1817" s="1" t="s">
        <v>2480</v>
      </c>
      <c r="D1817" s="1" t="s">
        <v>20</v>
      </c>
      <c r="E1817" t="s">
        <v>128</v>
      </c>
      <c r="F1817" t="s">
        <v>129</v>
      </c>
      <c r="G1817" t="s">
        <v>56</v>
      </c>
      <c r="H1817" t="s">
        <v>57</v>
      </c>
      <c r="I1817" t="s">
        <v>58</v>
      </c>
      <c r="J1817">
        <v>1</v>
      </c>
      <c r="K1817">
        <v>1299</v>
      </c>
      <c r="L1817">
        <f>Table1[[#This Row],[Quantity]] * Table1[[#This Row],[UnitPrice]]</f>
        <v>1299</v>
      </c>
      <c r="M1817" s="25">
        <v>10</v>
      </c>
      <c r="N1817">
        <f>Table1[[#This Row],[Revenue]]*Table1[[#This Row],[Discount%]]/100</f>
        <v>129.9</v>
      </c>
      <c r="O1817" s="6">
        <f>Table1[[#This Row],[Revenue]]-Table1[[#This Row],[Disc_amount]]</f>
        <v>1169.0999999999999</v>
      </c>
      <c r="P1817" t="s">
        <v>41</v>
      </c>
      <c r="Q1817" t="s">
        <v>34</v>
      </c>
    </row>
    <row r="1818" spans="1:17">
      <c r="A1818" t="s">
        <v>2651</v>
      </c>
      <c r="B1818" s="1" t="s">
        <v>2638</v>
      </c>
      <c r="C1818" s="1" t="s">
        <v>2480</v>
      </c>
      <c r="D1818" s="1" t="s">
        <v>20</v>
      </c>
      <c r="E1818" t="s">
        <v>1291</v>
      </c>
      <c r="F1818" t="s">
        <v>1292</v>
      </c>
      <c r="G1818" t="s">
        <v>23</v>
      </c>
      <c r="H1818" t="s">
        <v>39</v>
      </c>
      <c r="I1818" t="s">
        <v>51</v>
      </c>
      <c r="J1818">
        <v>4</v>
      </c>
      <c r="K1818">
        <v>2999</v>
      </c>
      <c r="L1818">
        <f>Table1[[#This Row],[Quantity]] * Table1[[#This Row],[UnitPrice]]</f>
        <v>11996</v>
      </c>
      <c r="M1818" s="25">
        <v>0</v>
      </c>
      <c r="N1818">
        <f>Table1[[#This Row],[Revenue]]*Table1[[#This Row],[Discount%]]/100</f>
        <v>0</v>
      </c>
      <c r="O1818" s="6">
        <f>Table1[[#This Row],[Revenue]]-Table1[[#This Row],[Disc_amount]]</f>
        <v>11996</v>
      </c>
      <c r="P1818" t="s">
        <v>33</v>
      </c>
      <c r="Q1818" t="s">
        <v>27</v>
      </c>
    </row>
    <row r="1819" spans="1:17">
      <c r="A1819" t="s">
        <v>2652</v>
      </c>
      <c r="B1819" s="1" t="s">
        <v>2653</v>
      </c>
      <c r="C1819" s="1" t="s">
        <v>2480</v>
      </c>
      <c r="D1819" s="1" t="s">
        <v>20</v>
      </c>
      <c r="E1819" t="s">
        <v>2326</v>
      </c>
      <c r="F1819" t="s">
        <v>129</v>
      </c>
      <c r="G1819" t="s">
        <v>45</v>
      </c>
      <c r="H1819" t="s">
        <v>65</v>
      </c>
      <c r="I1819" t="s">
        <v>98</v>
      </c>
      <c r="J1819">
        <v>4</v>
      </c>
      <c r="K1819">
        <v>499</v>
      </c>
      <c r="L1819">
        <f>Table1[[#This Row],[Quantity]] * Table1[[#This Row],[UnitPrice]]</f>
        <v>1996</v>
      </c>
      <c r="M1819" s="25">
        <v>20</v>
      </c>
      <c r="N1819">
        <f>Table1[[#This Row],[Revenue]]*Table1[[#This Row],[Discount%]]/100</f>
        <v>399.2</v>
      </c>
      <c r="O1819" s="6">
        <f>Table1[[#This Row],[Revenue]]-Table1[[#This Row],[Disc_amount]]</f>
        <v>1596.8</v>
      </c>
      <c r="P1819" t="s">
        <v>52</v>
      </c>
      <c r="Q1819" t="s">
        <v>27</v>
      </c>
    </row>
    <row r="1820" spans="1:17">
      <c r="A1820" t="s">
        <v>2654</v>
      </c>
      <c r="B1820" s="1" t="s">
        <v>2653</v>
      </c>
      <c r="C1820" s="1" t="s">
        <v>2480</v>
      </c>
      <c r="D1820" s="1" t="s">
        <v>20</v>
      </c>
      <c r="E1820" t="s">
        <v>750</v>
      </c>
      <c r="F1820" t="s">
        <v>83</v>
      </c>
      <c r="G1820" t="s">
        <v>31</v>
      </c>
      <c r="H1820" t="s">
        <v>65</v>
      </c>
      <c r="I1820" t="s">
        <v>66</v>
      </c>
      <c r="J1820">
        <v>1</v>
      </c>
      <c r="K1820">
        <v>1999</v>
      </c>
      <c r="L1820">
        <f>Table1[[#This Row],[Quantity]] * Table1[[#This Row],[UnitPrice]]</f>
        <v>1999</v>
      </c>
      <c r="M1820" s="25">
        <v>0</v>
      </c>
      <c r="N1820">
        <f>Table1[[#This Row],[Revenue]]*Table1[[#This Row],[Discount%]]/100</f>
        <v>0</v>
      </c>
      <c r="O1820" s="6">
        <f>Table1[[#This Row],[Revenue]]-Table1[[#This Row],[Disc_amount]]</f>
        <v>1999</v>
      </c>
      <c r="P1820" t="s">
        <v>26</v>
      </c>
      <c r="Q1820" t="s">
        <v>34</v>
      </c>
    </row>
    <row r="1821" spans="1:17">
      <c r="A1821" t="s">
        <v>2655</v>
      </c>
      <c r="B1821" s="1" t="s">
        <v>2653</v>
      </c>
      <c r="C1821" s="1" t="s">
        <v>2480</v>
      </c>
      <c r="D1821" s="1" t="s">
        <v>20</v>
      </c>
      <c r="E1821" t="s">
        <v>2207</v>
      </c>
      <c r="F1821" t="s">
        <v>2208</v>
      </c>
      <c r="G1821" t="s">
        <v>56</v>
      </c>
      <c r="H1821" t="s">
        <v>24</v>
      </c>
      <c r="I1821" t="s">
        <v>25</v>
      </c>
      <c r="J1821">
        <v>1</v>
      </c>
      <c r="K1821">
        <v>99</v>
      </c>
      <c r="L1821">
        <f>Table1[[#This Row],[Quantity]] * Table1[[#This Row],[UnitPrice]]</f>
        <v>99</v>
      </c>
      <c r="M1821" s="25">
        <v>5</v>
      </c>
      <c r="N1821">
        <f>Table1[[#This Row],[Revenue]]*Table1[[#This Row],[Discount%]]/100</f>
        <v>4.95</v>
      </c>
      <c r="O1821" s="6">
        <f>Table1[[#This Row],[Revenue]]-Table1[[#This Row],[Disc_amount]]</f>
        <v>94.05</v>
      </c>
      <c r="P1821" t="s">
        <v>26</v>
      </c>
      <c r="Q1821" t="s">
        <v>27</v>
      </c>
    </row>
    <row r="1822" spans="1:17">
      <c r="A1822" t="s">
        <v>2656</v>
      </c>
      <c r="B1822" s="1" t="s">
        <v>2653</v>
      </c>
      <c r="C1822" s="1" t="s">
        <v>2480</v>
      </c>
      <c r="D1822" s="1" t="s">
        <v>20</v>
      </c>
      <c r="E1822" t="s">
        <v>1395</v>
      </c>
      <c r="F1822" t="s">
        <v>1396</v>
      </c>
      <c r="G1822" t="s">
        <v>31</v>
      </c>
      <c r="H1822" t="s">
        <v>70</v>
      </c>
      <c r="I1822" t="s">
        <v>71</v>
      </c>
      <c r="J1822">
        <v>1</v>
      </c>
      <c r="K1822">
        <v>349</v>
      </c>
      <c r="L1822">
        <f>Table1[[#This Row],[Quantity]] * Table1[[#This Row],[UnitPrice]]</f>
        <v>349</v>
      </c>
      <c r="M1822" s="25">
        <v>20</v>
      </c>
      <c r="N1822">
        <f>Table1[[#This Row],[Revenue]]*Table1[[#This Row],[Discount%]]/100</f>
        <v>69.8</v>
      </c>
      <c r="O1822" s="6">
        <f>Table1[[#This Row],[Revenue]]-Table1[[#This Row],[Disc_amount]]</f>
        <v>279.2</v>
      </c>
      <c r="P1822" t="s">
        <v>26</v>
      </c>
      <c r="Q1822" t="s">
        <v>27</v>
      </c>
    </row>
    <row r="1823" spans="1:17">
      <c r="A1823" t="s">
        <v>2657</v>
      </c>
      <c r="B1823" s="1" t="s">
        <v>2653</v>
      </c>
      <c r="C1823" s="1" t="s">
        <v>2480</v>
      </c>
      <c r="D1823" s="1" t="s">
        <v>20</v>
      </c>
      <c r="E1823" t="s">
        <v>938</v>
      </c>
      <c r="F1823" t="s">
        <v>187</v>
      </c>
      <c r="G1823" t="s">
        <v>38</v>
      </c>
      <c r="H1823" t="s">
        <v>108</v>
      </c>
      <c r="I1823" t="s">
        <v>109</v>
      </c>
      <c r="J1823">
        <v>1</v>
      </c>
      <c r="K1823">
        <v>1499</v>
      </c>
      <c r="L1823">
        <f>Table1[[#This Row],[Quantity]] * Table1[[#This Row],[UnitPrice]]</f>
        <v>1499</v>
      </c>
      <c r="M1823" s="25">
        <v>20</v>
      </c>
      <c r="N1823">
        <f>Table1[[#This Row],[Revenue]]*Table1[[#This Row],[Discount%]]/100</f>
        <v>299.8</v>
      </c>
      <c r="O1823" s="6">
        <f>Table1[[#This Row],[Revenue]]-Table1[[#This Row],[Disc_amount]]</f>
        <v>1199.2</v>
      </c>
      <c r="P1823" t="s">
        <v>26</v>
      </c>
      <c r="Q1823" t="s">
        <v>34</v>
      </c>
    </row>
    <row r="1824" spans="1:17">
      <c r="A1824" t="s">
        <v>2658</v>
      </c>
      <c r="B1824" s="1" t="s">
        <v>2653</v>
      </c>
      <c r="C1824" s="1" t="s">
        <v>2480</v>
      </c>
      <c r="D1824" s="1" t="s">
        <v>20</v>
      </c>
      <c r="E1824" t="s">
        <v>258</v>
      </c>
      <c r="F1824" t="s">
        <v>259</v>
      </c>
      <c r="G1824" t="s">
        <v>56</v>
      </c>
      <c r="H1824" t="s">
        <v>39</v>
      </c>
      <c r="I1824" t="s">
        <v>51</v>
      </c>
      <c r="J1824">
        <v>5</v>
      </c>
      <c r="K1824">
        <v>2999</v>
      </c>
      <c r="L1824">
        <f>Table1[[#This Row],[Quantity]] * Table1[[#This Row],[UnitPrice]]</f>
        <v>14995</v>
      </c>
      <c r="M1824" s="25">
        <v>10</v>
      </c>
      <c r="N1824">
        <f>Table1[[#This Row],[Revenue]]*Table1[[#This Row],[Discount%]]/100</f>
        <v>1499.5</v>
      </c>
      <c r="O1824" s="6">
        <f>Table1[[#This Row],[Revenue]]-Table1[[#This Row],[Disc_amount]]</f>
        <v>13495.5</v>
      </c>
      <c r="P1824" t="s">
        <v>26</v>
      </c>
      <c r="Q1824" t="s">
        <v>27</v>
      </c>
    </row>
    <row r="1825" spans="1:17">
      <c r="A1825" t="s">
        <v>2659</v>
      </c>
      <c r="B1825" s="1" t="s">
        <v>2653</v>
      </c>
      <c r="C1825" s="1" t="s">
        <v>2480</v>
      </c>
      <c r="D1825" s="1" t="s">
        <v>20</v>
      </c>
      <c r="E1825" t="s">
        <v>111</v>
      </c>
      <c r="F1825" t="s">
        <v>107</v>
      </c>
      <c r="G1825" t="s">
        <v>31</v>
      </c>
      <c r="H1825" t="s">
        <v>39</v>
      </c>
      <c r="I1825" t="s">
        <v>140</v>
      </c>
      <c r="J1825">
        <v>2</v>
      </c>
      <c r="K1825">
        <v>1799</v>
      </c>
      <c r="L1825">
        <f>Table1[[#This Row],[Quantity]] * Table1[[#This Row],[UnitPrice]]</f>
        <v>3598</v>
      </c>
      <c r="M1825" s="25">
        <v>0</v>
      </c>
      <c r="N1825">
        <f>Table1[[#This Row],[Revenue]]*Table1[[#This Row],[Discount%]]/100</f>
        <v>0</v>
      </c>
      <c r="O1825" s="6">
        <f>Table1[[#This Row],[Revenue]]-Table1[[#This Row],[Disc_amount]]</f>
        <v>3598</v>
      </c>
      <c r="P1825" t="s">
        <v>26</v>
      </c>
      <c r="Q1825" t="s">
        <v>34</v>
      </c>
    </row>
    <row r="1826" spans="1:17">
      <c r="A1826" t="s">
        <v>2660</v>
      </c>
      <c r="B1826" s="1" t="s">
        <v>2653</v>
      </c>
      <c r="C1826" s="1" t="s">
        <v>2480</v>
      </c>
      <c r="D1826" s="1" t="s">
        <v>20</v>
      </c>
      <c r="E1826" t="s">
        <v>995</v>
      </c>
      <c r="F1826" t="s">
        <v>900</v>
      </c>
      <c r="G1826" t="s">
        <v>38</v>
      </c>
      <c r="H1826" t="s">
        <v>24</v>
      </c>
      <c r="I1826" t="s">
        <v>32</v>
      </c>
      <c r="J1826">
        <v>1</v>
      </c>
      <c r="K1826">
        <v>199</v>
      </c>
      <c r="L1826">
        <f>Table1[[#This Row],[Quantity]] * Table1[[#This Row],[UnitPrice]]</f>
        <v>199</v>
      </c>
      <c r="M1826" s="25">
        <v>0</v>
      </c>
      <c r="N1826">
        <f>Table1[[#This Row],[Revenue]]*Table1[[#This Row],[Discount%]]/100</f>
        <v>0</v>
      </c>
      <c r="O1826" s="6">
        <f>Table1[[#This Row],[Revenue]]-Table1[[#This Row],[Disc_amount]]</f>
        <v>199</v>
      </c>
      <c r="P1826" t="s">
        <v>26</v>
      </c>
      <c r="Q1826" t="s">
        <v>27</v>
      </c>
    </row>
    <row r="1827" spans="1:17">
      <c r="A1827" t="s">
        <v>2661</v>
      </c>
      <c r="B1827" s="1" t="s">
        <v>2653</v>
      </c>
      <c r="C1827" s="1" t="s">
        <v>2480</v>
      </c>
      <c r="D1827" s="1" t="s">
        <v>20</v>
      </c>
      <c r="E1827" t="s">
        <v>405</v>
      </c>
      <c r="F1827" t="s">
        <v>248</v>
      </c>
      <c r="G1827" t="s">
        <v>31</v>
      </c>
      <c r="H1827" t="s">
        <v>39</v>
      </c>
      <c r="I1827" t="s">
        <v>51</v>
      </c>
      <c r="J1827">
        <v>1</v>
      </c>
      <c r="K1827">
        <v>2999</v>
      </c>
      <c r="L1827">
        <f>Table1[[#This Row],[Quantity]] * Table1[[#This Row],[UnitPrice]]</f>
        <v>2999</v>
      </c>
      <c r="M1827" s="25">
        <v>0</v>
      </c>
      <c r="N1827">
        <f>Table1[[#This Row],[Revenue]]*Table1[[#This Row],[Discount%]]/100</f>
        <v>0</v>
      </c>
      <c r="O1827" s="6">
        <f>Table1[[#This Row],[Revenue]]-Table1[[#This Row],[Disc_amount]]</f>
        <v>2999</v>
      </c>
      <c r="P1827" t="s">
        <v>86</v>
      </c>
      <c r="Q1827" t="s">
        <v>34</v>
      </c>
    </row>
    <row r="1828" spans="1:17">
      <c r="A1828" t="s">
        <v>2662</v>
      </c>
      <c r="B1828" s="1" t="s">
        <v>2653</v>
      </c>
      <c r="C1828" s="1" t="s">
        <v>2480</v>
      </c>
      <c r="D1828" s="1" t="s">
        <v>20</v>
      </c>
      <c r="E1828" t="s">
        <v>886</v>
      </c>
      <c r="F1828" t="s">
        <v>74</v>
      </c>
      <c r="G1828" t="s">
        <v>31</v>
      </c>
      <c r="H1828" t="s">
        <v>39</v>
      </c>
      <c r="I1828" t="s">
        <v>51</v>
      </c>
      <c r="J1828">
        <v>1</v>
      </c>
      <c r="K1828">
        <v>2999</v>
      </c>
      <c r="L1828">
        <f>Table1[[#This Row],[Quantity]] * Table1[[#This Row],[UnitPrice]]</f>
        <v>2999</v>
      </c>
      <c r="M1828" s="25">
        <v>0</v>
      </c>
      <c r="N1828">
        <f>Table1[[#This Row],[Revenue]]*Table1[[#This Row],[Discount%]]/100</f>
        <v>0</v>
      </c>
      <c r="O1828" s="6">
        <f>Table1[[#This Row],[Revenue]]-Table1[[#This Row],[Disc_amount]]</f>
        <v>2999</v>
      </c>
      <c r="P1828" t="s">
        <v>26</v>
      </c>
      <c r="Q1828" t="s">
        <v>34</v>
      </c>
    </row>
    <row r="1829" spans="1:17">
      <c r="A1829" t="s">
        <v>2663</v>
      </c>
      <c r="B1829" s="1" t="s">
        <v>2653</v>
      </c>
      <c r="C1829" s="1" t="s">
        <v>2480</v>
      </c>
      <c r="D1829" s="1" t="s">
        <v>20</v>
      </c>
      <c r="E1829" t="s">
        <v>1129</v>
      </c>
      <c r="F1829" t="s">
        <v>345</v>
      </c>
      <c r="G1829" t="s">
        <v>45</v>
      </c>
      <c r="H1829" t="s">
        <v>70</v>
      </c>
      <c r="I1829" t="s">
        <v>91</v>
      </c>
      <c r="J1829">
        <v>4</v>
      </c>
      <c r="K1829">
        <v>549</v>
      </c>
      <c r="L1829">
        <f>Table1[[#This Row],[Quantity]] * Table1[[#This Row],[UnitPrice]]</f>
        <v>2196</v>
      </c>
      <c r="M1829" s="25">
        <v>0</v>
      </c>
      <c r="N1829">
        <f>Table1[[#This Row],[Revenue]]*Table1[[#This Row],[Discount%]]/100</f>
        <v>0</v>
      </c>
      <c r="O1829" s="6">
        <f>Table1[[#This Row],[Revenue]]-Table1[[#This Row],[Disc_amount]]</f>
        <v>2196</v>
      </c>
      <c r="P1829" t="s">
        <v>41</v>
      </c>
      <c r="Q1829" t="s">
        <v>34</v>
      </c>
    </row>
    <row r="1830" spans="1:17">
      <c r="A1830" t="s">
        <v>2664</v>
      </c>
      <c r="B1830" s="1" t="s">
        <v>2653</v>
      </c>
      <c r="C1830" s="1" t="s">
        <v>2480</v>
      </c>
      <c r="D1830" s="1" t="s">
        <v>20</v>
      </c>
      <c r="E1830" t="s">
        <v>541</v>
      </c>
      <c r="F1830" t="s">
        <v>314</v>
      </c>
      <c r="G1830" t="s">
        <v>38</v>
      </c>
      <c r="H1830" t="s">
        <v>108</v>
      </c>
      <c r="I1830" t="s">
        <v>130</v>
      </c>
      <c r="J1830">
        <v>1</v>
      </c>
      <c r="K1830">
        <v>699</v>
      </c>
      <c r="L1830">
        <f>Table1[[#This Row],[Quantity]] * Table1[[#This Row],[UnitPrice]]</f>
        <v>699</v>
      </c>
      <c r="M1830" s="25">
        <v>0</v>
      </c>
      <c r="N1830">
        <f>Table1[[#This Row],[Revenue]]*Table1[[#This Row],[Discount%]]/100</f>
        <v>0</v>
      </c>
      <c r="O1830" s="6">
        <f>Table1[[#This Row],[Revenue]]-Table1[[#This Row],[Disc_amount]]</f>
        <v>699</v>
      </c>
      <c r="P1830" t="s">
        <v>52</v>
      </c>
      <c r="Q1830" t="s">
        <v>27</v>
      </c>
    </row>
    <row r="1831" spans="1:17">
      <c r="A1831" t="s">
        <v>2665</v>
      </c>
      <c r="B1831" s="1" t="s">
        <v>2653</v>
      </c>
      <c r="C1831" s="1" t="s">
        <v>2480</v>
      </c>
      <c r="D1831" s="1" t="s">
        <v>20</v>
      </c>
      <c r="E1831" t="s">
        <v>76</v>
      </c>
      <c r="F1831" t="s">
        <v>77</v>
      </c>
      <c r="G1831" t="s">
        <v>38</v>
      </c>
      <c r="H1831" t="s">
        <v>108</v>
      </c>
      <c r="I1831" t="s">
        <v>109</v>
      </c>
      <c r="J1831">
        <v>1</v>
      </c>
      <c r="K1831">
        <v>1499</v>
      </c>
      <c r="L1831">
        <f>Table1[[#This Row],[Quantity]] * Table1[[#This Row],[UnitPrice]]</f>
        <v>1499</v>
      </c>
      <c r="M1831" s="25">
        <v>0</v>
      </c>
      <c r="N1831">
        <f>Table1[[#This Row],[Revenue]]*Table1[[#This Row],[Discount%]]/100</f>
        <v>0</v>
      </c>
      <c r="O1831" s="6">
        <f>Table1[[#This Row],[Revenue]]-Table1[[#This Row],[Disc_amount]]</f>
        <v>1499</v>
      </c>
      <c r="P1831" t="s">
        <v>41</v>
      </c>
      <c r="Q1831" t="s">
        <v>34</v>
      </c>
    </row>
    <row r="1832" spans="1:17">
      <c r="A1832" t="s">
        <v>2666</v>
      </c>
      <c r="B1832" s="1" t="s">
        <v>2667</v>
      </c>
      <c r="C1832" s="1" t="s">
        <v>2480</v>
      </c>
      <c r="D1832" s="1" t="s">
        <v>20</v>
      </c>
      <c r="E1832" t="s">
        <v>599</v>
      </c>
      <c r="F1832" t="s">
        <v>600</v>
      </c>
      <c r="G1832" t="s">
        <v>38</v>
      </c>
      <c r="H1832" t="s">
        <v>108</v>
      </c>
      <c r="I1832" t="s">
        <v>130</v>
      </c>
      <c r="J1832">
        <v>2</v>
      </c>
      <c r="K1832">
        <v>699</v>
      </c>
      <c r="L1832">
        <f>Table1[[#This Row],[Quantity]] * Table1[[#This Row],[UnitPrice]]</f>
        <v>1398</v>
      </c>
      <c r="M1832" s="25">
        <v>20</v>
      </c>
      <c r="N1832">
        <f>Table1[[#This Row],[Revenue]]*Table1[[#This Row],[Discount%]]/100</f>
        <v>279.60000000000002</v>
      </c>
      <c r="O1832" s="6">
        <f>Table1[[#This Row],[Revenue]]-Table1[[#This Row],[Disc_amount]]</f>
        <v>1118.4000000000001</v>
      </c>
      <c r="P1832" t="s">
        <v>26</v>
      </c>
      <c r="Q1832" t="s">
        <v>27</v>
      </c>
    </row>
    <row r="1833" spans="1:17">
      <c r="A1833" t="s">
        <v>2668</v>
      </c>
      <c r="B1833" s="1" t="s">
        <v>2667</v>
      </c>
      <c r="C1833" s="1" t="s">
        <v>2480</v>
      </c>
      <c r="D1833" s="1" t="s">
        <v>20</v>
      </c>
      <c r="E1833" t="s">
        <v>392</v>
      </c>
      <c r="F1833" t="s">
        <v>236</v>
      </c>
      <c r="G1833" t="s">
        <v>31</v>
      </c>
      <c r="H1833" t="s">
        <v>46</v>
      </c>
      <c r="I1833" t="s">
        <v>47</v>
      </c>
      <c r="J1833">
        <v>1</v>
      </c>
      <c r="K1833">
        <v>249</v>
      </c>
      <c r="L1833">
        <f>Table1[[#This Row],[Quantity]] * Table1[[#This Row],[UnitPrice]]</f>
        <v>249</v>
      </c>
      <c r="M1833" s="25">
        <v>15</v>
      </c>
      <c r="N1833">
        <f>Table1[[#This Row],[Revenue]]*Table1[[#This Row],[Discount%]]/100</f>
        <v>37.35</v>
      </c>
      <c r="O1833" s="6">
        <f>Table1[[#This Row],[Revenue]]-Table1[[#This Row],[Disc_amount]]</f>
        <v>211.65</v>
      </c>
      <c r="P1833" t="s">
        <v>41</v>
      </c>
      <c r="Q1833" t="s">
        <v>34</v>
      </c>
    </row>
    <row r="1834" spans="1:17">
      <c r="A1834" t="s">
        <v>2669</v>
      </c>
      <c r="B1834" s="1" t="s">
        <v>2667</v>
      </c>
      <c r="C1834" s="1" t="s">
        <v>2480</v>
      </c>
      <c r="D1834" s="1" t="s">
        <v>20</v>
      </c>
      <c r="E1834" t="s">
        <v>1040</v>
      </c>
      <c r="F1834" t="s">
        <v>307</v>
      </c>
      <c r="G1834" t="s">
        <v>45</v>
      </c>
      <c r="H1834" t="s">
        <v>46</v>
      </c>
      <c r="I1834" t="s">
        <v>154</v>
      </c>
      <c r="J1834">
        <v>1</v>
      </c>
      <c r="K1834">
        <v>299</v>
      </c>
      <c r="L1834">
        <f>Table1[[#This Row],[Quantity]] * Table1[[#This Row],[UnitPrice]]</f>
        <v>299</v>
      </c>
      <c r="M1834" s="25">
        <v>15</v>
      </c>
      <c r="N1834">
        <f>Table1[[#This Row],[Revenue]]*Table1[[#This Row],[Discount%]]/100</f>
        <v>44.85</v>
      </c>
      <c r="O1834" s="6">
        <f>Table1[[#This Row],[Revenue]]-Table1[[#This Row],[Disc_amount]]</f>
        <v>254.15</v>
      </c>
      <c r="P1834" t="s">
        <v>33</v>
      </c>
      <c r="Q1834" t="s">
        <v>27</v>
      </c>
    </row>
    <row r="1835" spans="1:17">
      <c r="A1835" t="s">
        <v>2670</v>
      </c>
      <c r="B1835" s="1" t="s">
        <v>2667</v>
      </c>
      <c r="C1835" s="1" t="s">
        <v>2480</v>
      </c>
      <c r="D1835" s="1" t="s">
        <v>20</v>
      </c>
      <c r="E1835" t="s">
        <v>194</v>
      </c>
      <c r="F1835" t="s">
        <v>195</v>
      </c>
      <c r="G1835" t="s">
        <v>56</v>
      </c>
      <c r="H1835" t="s">
        <v>70</v>
      </c>
      <c r="I1835" t="s">
        <v>71</v>
      </c>
      <c r="J1835">
        <v>1</v>
      </c>
      <c r="K1835">
        <v>349</v>
      </c>
      <c r="L1835">
        <f>Table1[[#This Row],[Quantity]] * Table1[[#This Row],[UnitPrice]]</f>
        <v>349</v>
      </c>
      <c r="M1835" s="25">
        <v>15</v>
      </c>
      <c r="N1835">
        <f>Table1[[#This Row],[Revenue]]*Table1[[#This Row],[Discount%]]/100</f>
        <v>52.35</v>
      </c>
      <c r="O1835" s="6">
        <f>Table1[[#This Row],[Revenue]]-Table1[[#This Row],[Disc_amount]]</f>
        <v>296.64999999999998</v>
      </c>
      <c r="P1835" t="s">
        <v>33</v>
      </c>
      <c r="Q1835" t="s">
        <v>27</v>
      </c>
    </row>
    <row r="1836" spans="1:17">
      <c r="A1836" t="s">
        <v>2671</v>
      </c>
      <c r="B1836" s="1" t="s">
        <v>2667</v>
      </c>
      <c r="C1836" s="1" t="s">
        <v>2480</v>
      </c>
      <c r="D1836" s="1" t="s">
        <v>20</v>
      </c>
      <c r="E1836" t="s">
        <v>793</v>
      </c>
      <c r="F1836" t="s">
        <v>129</v>
      </c>
      <c r="G1836" t="s">
        <v>31</v>
      </c>
      <c r="H1836" t="s">
        <v>24</v>
      </c>
      <c r="I1836" t="s">
        <v>25</v>
      </c>
      <c r="J1836">
        <v>2</v>
      </c>
      <c r="K1836">
        <v>99</v>
      </c>
      <c r="L1836">
        <f>Table1[[#This Row],[Quantity]] * Table1[[#This Row],[UnitPrice]]</f>
        <v>198</v>
      </c>
      <c r="M1836" s="25">
        <v>20</v>
      </c>
      <c r="N1836">
        <f>Table1[[#This Row],[Revenue]]*Table1[[#This Row],[Discount%]]/100</f>
        <v>39.6</v>
      </c>
      <c r="O1836" s="6">
        <f>Table1[[#This Row],[Revenue]]-Table1[[#This Row],[Disc_amount]]</f>
        <v>158.4</v>
      </c>
      <c r="P1836" t="s">
        <v>41</v>
      </c>
      <c r="Q1836" t="s">
        <v>27</v>
      </c>
    </row>
    <row r="1837" spans="1:17">
      <c r="A1837" t="s">
        <v>2672</v>
      </c>
      <c r="B1837" s="1" t="s">
        <v>2667</v>
      </c>
      <c r="C1837" s="1" t="s">
        <v>2480</v>
      </c>
      <c r="D1837" s="1" t="s">
        <v>20</v>
      </c>
      <c r="E1837" t="s">
        <v>545</v>
      </c>
      <c r="F1837" t="s">
        <v>546</v>
      </c>
      <c r="G1837" t="s">
        <v>38</v>
      </c>
      <c r="H1837" t="s">
        <v>24</v>
      </c>
      <c r="I1837" t="s">
        <v>32</v>
      </c>
      <c r="J1837">
        <v>1</v>
      </c>
      <c r="K1837">
        <v>199</v>
      </c>
      <c r="L1837">
        <f>Table1[[#This Row],[Quantity]] * Table1[[#This Row],[UnitPrice]]</f>
        <v>199</v>
      </c>
      <c r="M1837" s="25">
        <v>5</v>
      </c>
      <c r="N1837">
        <f>Table1[[#This Row],[Revenue]]*Table1[[#This Row],[Discount%]]/100</f>
        <v>9.9499999999999993</v>
      </c>
      <c r="O1837" s="6">
        <f>Table1[[#This Row],[Revenue]]-Table1[[#This Row],[Disc_amount]]</f>
        <v>189.05</v>
      </c>
      <c r="P1837" t="s">
        <v>33</v>
      </c>
      <c r="Q1837" t="s">
        <v>27</v>
      </c>
    </row>
    <row r="1838" spans="1:17">
      <c r="A1838" t="s">
        <v>2673</v>
      </c>
      <c r="B1838" s="1" t="s">
        <v>2674</v>
      </c>
      <c r="C1838" s="1" t="s">
        <v>2480</v>
      </c>
      <c r="D1838" s="1" t="s">
        <v>20</v>
      </c>
      <c r="E1838" t="s">
        <v>477</v>
      </c>
      <c r="F1838" t="s">
        <v>478</v>
      </c>
      <c r="G1838" t="s">
        <v>38</v>
      </c>
      <c r="H1838" t="s">
        <v>57</v>
      </c>
      <c r="I1838" t="s">
        <v>58</v>
      </c>
      <c r="J1838">
        <v>1</v>
      </c>
      <c r="K1838">
        <v>1299</v>
      </c>
      <c r="L1838">
        <f>Table1[[#This Row],[Quantity]] * Table1[[#This Row],[UnitPrice]]</f>
        <v>1299</v>
      </c>
      <c r="M1838" s="25">
        <v>15</v>
      </c>
      <c r="N1838">
        <f>Table1[[#This Row],[Revenue]]*Table1[[#This Row],[Discount%]]/100</f>
        <v>194.85</v>
      </c>
      <c r="O1838" s="6">
        <f>Table1[[#This Row],[Revenue]]-Table1[[#This Row],[Disc_amount]]</f>
        <v>1104.1500000000001</v>
      </c>
      <c r="P1838" t="s">
        <v>26</v>
      </c>
      <c r="Q1838" t="s">
        <v>27</v>
      </c>
    </row>
    <row r="1839" spans="1:17">
      <c r="A1839" t="s">
        <v>2675</v>
      </c>
      <c r="B1839" s="1" t="s">
        <v>2674</v>
      </c>
      <c r="C1839" s="1" t="s">
        <v>2480</v>
      </c>
      <c r="D1839" s="1" t="s">
        <v>20</v>
      </c>
      <c r="E1839" t="s">
        <v>76</v>
      </c>
      <c r="F1839" t="s">
        <v>77</v>
      </c>
      <c r="G1839" t="s">
        <v>56</v>
      </c>
      <c r="H1839" t="s">
        <v>24</v>
      </c>
      <c r="I1839" t="s">
        <v>25</v>
      </c>
      <c r="J1839">
        <v>1</v>
      </c>
      <c r="K1839">
        <v>99</v>
      </c>
      <c r="L1839">
        <f>Table1[[#This Row],[Quantity]] * Table1[[#This Row],[UnitPrice]]</f>
        <v>99</v>
      </c>
      <c r="M1839" s="25">
        <v>0</v>
      </c>
      <c r="N1839">
        <f>Table1[[#This Row],[Revenue]]*Table1[[#This Row],[Discount%]]/100</f>
        <v>0</v>
      </c>
      <c r="O1839" s="6">
        <f>Table1[[#This Row],[Revenue]]-Table1[[#This Row],[Disc_amount]]</f>
        <v>99</v>
      </c>
      <c r="P1839" t="s">
        <v>26</v>
      </c>
      <c r="Q1839" t="s">
        <v>34</v>
      </c>
    </row>
    <row r="1840" spans="1:17">
      <c r="A1840" t="s">
        <v>2676</v>
      </c>
      <c r="B1840" s="1" t="s">
        <v>2674</v>
      </c>
      <c r="C1840" s="1" t="s">
        <v>2480</v>
      </c>
      <c r="D1840" s="1" t="s">
        <v>20</v>
      </c>
      <c r="E1840" t="s">
        <v>68</v>
      </c>
      <c r="F1840" t="s">
        <v>69</v>
      </c>
      <c r="G1840" t="s">
        <v>56</v>
      </c>
      <c r="H1840" t="s">
        <v>24</v>
      </c>
      <c r="I1840" t="s">
        <v>25</v>
      </c>
      <c r="J1840">
        <v>3</v>
      </c>
      <c r="K1840">
        <v>99</v>
      </c>
      <c r="L1840">
        <f>Table1[[#This Row],[Quantity]] * Table1[[#This Row],[UnitPrice]]</f>
        <v>297</v>
      </c>
      <c r="M1840" s="25">
        <v>0</v>
      </c>
      <c r="N1840">
        <f>Table1[[#This Row],[Revenue]]*Table1[[#This Row],[Discount%]]/100</f>
        <v>0</v>
      </c>
      <c r="O1840" s="6">
        <f>Table1[[#This Row],[Revenue]]-Table1[[#This Row],[Disc_amount]]</f>
        <v>297</v>
      </c>
      <c r="P1840" t="s">
        <v>33</v>
      </c>
      <c r="Q1840" t="s">
        <v>27</v>
      </c>
    </row>
    <row r="1841" spans="1:17">
      <c r="A1841" t="s">
        <v>2677</v>
      </c>
      <c r="B1841" s="1" t="s">
        <v>2674</v>
      </c>
      <c r="C1841" s="1" t="s">
        <v>2480</v>
      </c>
      <c r="D1841" s="1" t="s">
        <v>20</v>
      </c>
      <c r="E1841" t="s">
        <v>2641</v>
      </c>
      <c r="F1841" t="s">
        <v>97</v>
      </c>
      <c r="G1841" t="s">
        <v>23</v>
      </c>
      <c r="H1841" t="s">
        <v>65</v>
      </c>
      <c r="I1841" t="s">
        <v>66</v>
      </c>
      <c r="J1841">
        <v>1</v>
      </c>
      <c r="K1841">
        <v>1999</v>
      </c>
      <c r="L1841">
        <f>Table1[[#This Row],[Quantity]] * Table1[[#This Row],[UnitPrice]]</f>
        <v>1999</v>
      </c>
      <c r="M1841" s="25">
        <v>15</v>
      </c>
      <c r="N1841">
        <f>Table1[[#This Row],[Revenue]]*Table1[[#This Row],[Discount%]]/100</f>
        <v>299.85000000000002</v>
      </c>
      <c r="O1841" s="6">
        <f>Table1[[#This Row],[Revenue]]-Table1[[#This Row],[Disc_amount]]</f>
        <v>1699.15</v>
      </c>
      <c r="P1841" t="s">
        <v>86</v>
      </c>
      <c r="Q1841" t="s">
        <v>27</v>
      </c>
    </row>
    <row r="1842" spans="1:17">
      <c r="A1842" t="s">
        <v>2678</v>
      </c>
      <c r="B1842" s="1" t="s">
        <v>2674</v>
      </c>
      <c r="C1842" s="1" t="s">
        <v>2480</v>
      </c>
      <c r="D1842" s="1" t="s">
        <v>20</v>
      </c>
      <c r="E1842" t="s">
        <v>267</v>
      </c>
      <c r="F1842" t="s">
        <v>268</v>
      </c>
      <c r="G1842" t="s">
        <v>56</v>
      </c>
      <c r="H1842" t="s">
        <v>65</v>
      </c>
      <c r="I1842" t="s">
        <v>94</v>
      </c>
      <c r="J1842">
        <v>1</v>
      </c>
      <c r="K1842">
        <v>899</v>
      </c>
      <c r="L1842">
        <f>Table1[[#This Row],[Quantity]] * Table1[[#This Row],[UnitPrice]]</f>
        <v>899</v>
      </c>
      <c r="M1842" s="25">
        <v>0</v>
      </c>
      <c r="N1842">
        <f>Table1[[#This Row],[Revenue]]*Table1[[#This Row],[Discount%]]/100</f>
        <v>0</v>
      </c>
      <c r="O1842" s="6">
        <f>Table1[[#This Row],[Revenue]]-Table1[[#This Row],[Disc_amount]]</f>
        <v>899</v>
      </c>
      <c r="P1842" t="s">
        <v>26</v>
      </c>
      <c r="Q1842" t="s">
        <v>27</v>
      </c>
    </row>
    <row r="1843" spans="1:17">
      <c r="A1843" t="s">
        <v>2679</v>
      </c>
      <c r="B1843" s="1" t="s">
        <v>2674</v>
      </c>
      <c r="C1843" s="1" t="s">
        <v>2480</v>
      </c>
      <c r="D1843" s="1" t="s">
        <v>20</v>
      </c>
      <c r="E1843" t="s">
        <v>407</v>
      </c>
      <c r="F1843" t="s">
        <v>329</v>
      </c>
      <c r="G1843" t="s">
        <v>45</v>
      </c>
      <c r="H1843" t="s">
        <v>24</v>
      </c>
      <c r="I1843" t="s">
        <v>32</v>
      </c>
      <c r="J1843">
        <v>4</v>
      </c>
      <c r="K1843">
        <v>199</v>
      </c>
      <c r="L1843">
        <f>Table1[[#This Row],[Quantity]] * Table1[[#This Row],[UnitPrice]]</f>
        <v>796</v>
      </c>
      <c r="M1843" s="25">
        <v>15</v>
      </c>
      <c r="N1843">
        <f>Table1[[#This Row],[Revenue]]*Table1[[#This Row],[Discount%]]/100</f>
        <v>119.4</v>
      </c>
      <c r="O1843" s="6">
        <f>Table1[[#This Row],[Revenue]]-Table1[[#This Row],[Disc_amount]]</f>
        <v>676.6</v>
      </c>
      <c r="P1843" t="s">
        <v>41</v>
      </c>
      <c r="Q1843" t="s">
        <v>27</v>
      </c>
    </row>
    <row r="1844" spans="1:17">
      <c r="A1844" t="s">
        <v>2680</v>
      </c>
      <c r="B1844" s="1" t="s">
        <v>2674</v>
      </c>
      <c r="C1844" s="1" t="s">
        <v>2480</v>
      </c>
      <c r="D1844" s="1" t="s">
        <v>20</v>
      </c>
      <c r="E1844" t="s">
        <v>159</v>
      </c>
      <c r="F1844" t="s">
        <v>160</v>
      </c>
      <c r="G1844" t="s">
        <v>23</v>
      </c>
      <c r="H1844" t="s">
        <v>70</v>
      </c>
      <c r="I1844" t="s">
        <v>91</v>
      </c>
      <c r="J1844">
        <v>3</v>
      </c>
      <c r="K1844">
        <v>549</v>
      </c>
      <c r="L1844">
        <f>Table1[[#This Row],[Quantity]] * Table1[[#This Row],[UnitPrice]]</f>
        <v>1647</v>
      </c>
      <c r="M1844" s="25">
        <v>5</v>
      </c>
      <c r="N1844">
        <f>Table1[[#This Row],[Revenue]]*Table1[[#This Row],[Discount%]]/100</f>
        <v>82.35</v>
      </c>
      <c r="O1844" s="6">
        <f>Table1[[#This Row],[Revenue]]-Table1[[#This Row],[Disc_amount]]</f>
        <v>1564.65</v>
      </c>
      <c r="P1844" t="s">
        <v>33</v>
      </c>
      <c r="Q1844" t="s">
        <v>27</v>
      </c>
    </row>
    <row r="1845" spans="1:17">
      <c r="A1845" t="s">
        <v>2681</v>
      </c>
      <c r="B1845" s="1" t="s">
        <v>2682</v>
      </c>
      <c r="C1845" s="1" t="s">
        <v>2480</v>
      </c>
      <c r="D1845" s="1" t="s">
        <v>20</v>
      </c>
      <c r="E1845" t="s">
        <v>190</v>
      </c>
      <c r="F1845" t="s">
        <v>191</v>
      </c>
      <c r="G1845" t="s">
        <v>56</v>
      </c>
      <c r="H1845" t="s">
        <v>39</v>
      </c>
      <c r="I1845" t="s">
        <v>51</v>
      </c>
      <c r="J1845">
        <v>1</v>
      </c>
      <c r="K1845">
        <v>2999</v>
      </c>
      <c r="L1845">
        <f>Table1[[#This Row],[Quantity]] * Table1[[#This Row],[UnitPrice]]</f>
        <v>2999</v>
      </c>
      <c r="M1845" s="25">
        <v>10</v>
      </c>
      <c r="N1845">
        <f>Table1[[#This Row],[Revenue]]*Table1[[#This Row],[Discount%]]/100</f>
        <v>299.89999999999998</v>
      </c>
      <c r="O1845" s="6">
        <f>Table1[[#This Row],[Revenue]]-Table1[[#This Row],[Disc_amount]]</f>
        <v>2699.1</v>
      </c>
      <c r="P1845" t="s">
        <v>26</v>
      </c>
      <c r="Q1845" t="s">
        <v>34</v>
      </c>
    </row>
    <row r="1846" spans="1:17">
      <c r="A1846" t="s">
        <v>2683</v>
      </c>
      <c r="B1846" s="1" t="s">
        <v>2682</v>
      </c>
      <c r="C1846" s="1" t="s">
        <v>2480</v>
      </c>
      <c r="D1846" s="1" t="s">
        <v>20</v>
      </c>
      <c r="E1846" t="s">
        <v>817</v>
      </c>
      <c r="F1846" t="s">
        <v>150</v>
      </c>
      <c r="G1846" t="s">
        <v>31</v>
      </c>
      <c r="H1846" t="s">
        <v>108</v>
      </c>
      <c r="I1846" t="s">
        <v>109</v>
      </c>
      <c r="J1846">
        <v>1</v>
      </c>
      <c r="K1846">
        <v>1499</v>
      </c>
      <c r="L1846">
        <f>Table1[[#This Row],[Quantity]] * Table1[[#This Row],[UnitPrice]]</f>
        <v>1499</v>
      </c>
      <c r="M1846" s="25">
        <v>0</v>
      </c>
      <c r="N1846">
        <f>Table1[[#This Row],[Revenue]]*Table1[[#This Row],[Discount%]]/100</f>
        <v>0</v>
      </c>
      <c r="O1846" s="6">
        <f>Table1[[#This Row],[Revenue]]-Table1[[#This Row],[Disc_amount]]</f>
        <v>1499</v>
      </c>
      <c r="P1846" t="s">
        <v>26</v>
      </c>
      <c r="Q1846" t="s">
        <v>27</v>
      </c>
    </row>
    <row r="1847" spans="1:17">
      <c r="A1847" t="s">
        <v>2684</v>
      </c>
      <c r="B1847" s="1" t="s">
        <v>2682</v>
      </c>
      <c r="C1847" s="1" t="s">
        <v>2480</v>
      </c>
      <c r="D1847" s="1" t="s">
        <v>20</v>
      </c>
      <c r="E1847" t="s">
        <v>626</v>
      </c>
      <c r="F1847" t="s">
        <v>376</v>
      </c>
      <c r="G1847" t="s">
        <v>45</v>
      </c>
      <c r="H1847" t="s">
        <v>46</v>
      </c>
      <c r="I1847" t="s">
        <v>47</v>
      </c>
      <c r="J1847">
        <v>1</v>
      </c>
      <c r="K1847">
        <v>249</v>
      </c>
      <c r="L1847">
        <f>Table1[[#This Row],[Quantity]] * Table1[[#This Row],[UnitPrice]]</f>
        <v>249</v>
      </c>
      <c r="M1847" s="25">
        <v>20</v>
      </c>
      <c r="N1847">
        <f>Table1[[#This Row],[Revenue]]*Table1[[#This Row],[Discount%]]/100</f>
        <v>49.8</v>
      </c>
      <c r="O1847" s="6">
        <f>Table1[[#This Row],[Revenue]]-Table1[[#This Row],[Disc_amount]]</f>
        <v>199.2</v>
      </c>
      <c r="P1847" t="s">
        <v>26</v>
      </c>
      <c r="Q1847" t="s">
        <v>34</v>
      </c>
    </row>
    <row r="1848" spans="1:17">
      <c r="A1848" t="s">
        <v>2685</v>
      </c>
      <c r="B1848" s="1" t="s">
        <v>2682</v>
      </c>
      <c r="C1848" s="1" t="s">
        <v>2480</v>
      </c>
      <c r="D1848" s="1" t="s">
        <v>20</v>
      </c>
      <c r="E1848" t="s">
        <v>247</v>
      </c>
      <c r="F1848" t="s">
        <v>248</v>
      </c>
      <c r="G1848" t="s">
        <v>45</v>
      </c>
      <c r="H1848" t="s">
        <v>39</v>
      </c>
      <c r="I1848" t="s">
        <v>140</v>
      </c>
      <c r="J1848">
        <v>1</v>
      </c>
      <c r="K1848">
        <v>1799</v>
      </c>
      <c r="L1848">
        <f>Table1[[#This Row],[Quantity]] * Table1[[#This Row],[UnitPrice]]</f>
        <v>1799</v>
      </c>
      <c r="M1848" s="25">
        <v>15</v>
      </c>
      <c r="N1848">
        <f>Table1[[#This Row],[Revenue]]*Table1[[#This Row],[Discount%]]/100</f>
        <v>269.85000000000002</v>
      </c>
      <c r="O1848" s="6">
        <f>Table1[[#This Row],[Revenue]]-Table1[[#This Row],[Disc_amount]]</f>
        <v>1529.15</v>
      </c>
      <c r="P1848" t="s">
        <v>41</v>
      </c>
      <c r="Q1848" t="s">
        <v>27</v>
      </c>
    </row>
    <row r="1849" spans="1:17">
      <c r="A1849" t="s">
        <v>2686</v>
      </c>
      <c r="B1849" s="1" t="s">
        <v>2682</v>
      </c>
      <c r="C1849" s="1" t="s">
        <v>2480</v>
      </c>
      <c r="D1849" s="1" t="s">
        <v>20</v>
      </c>
      <c r="E1849" t="s">
        <v>745</v>
      </c>
      <c r="F1849" t="s">
        <v>519</v>
      </c>
      <c r="G1849" t="s">
        <v>45</v>
      </c>
      <c r="H1849" t="s">
        <v>65</v>
      </c>
      <c r="I1849" t="s">
        <v>98</v>
      </c>
      <c r="J1849">
        <v>1</v>
      </c>
      <c r="K1849">
        <v>499</v>
      </c>
      <c r="L1849">
        <f>Table1[[#This Row],[Quantity]] * Table1[[#This Row],[UnitPrice]]</f>
        <v>499</v>
      </c>
      <c r="M1849" s="25">
        <v>0</v>
      </c>
      <c r="N1849">
        <f>Table1[[#This Row],[Revenue]]*Table1[[#This Row],[Discount%]]/100</f>
        <v>0</v>
      </c>
      <c r="O1849" s="6">
        <f>Table1[[#This Row],[Revenue]]-Table1[[#This Row],[Disc_amount]]</f>
        <v>499</v>
      </c>
      <c r="P1849" t="s">
        <v>33</v>
      </c>
      <c r="Q1849" t="s">
        <v>34</v>
      </c>
    </row>
    <row r="1850" spans="1:17">
      <c r="A1850" t="s">
        <v>2687</v>
      </c>
      <c r="B1850" s="1" t="s">
        <v>2682</v>
      </c>
      <c r="C1850" s="1" t="s">
        <v>2480</v>
      </c>
      <c r="D1850" s="1" t="s">
        <v>20</v>
      </c>
      <c r="E1850" t="s">
        <v>2688</v>
      </c>
      <c r="F1850" t="s">
        <v>873</v>
      </c>
      <c r="G1850" t="s">
        <v>56</v>
      </c>
      <c r="H1850" t="s">
        <v>65</v>
      </c>
      <c r="I1850" t="s">
        <v>94</v>
      </c>
      <c r="J1850">
        <v>2</v>
      </c>
      <c r="K1850">
        <v>899</v>
      </c>
      <c r="L1850">
        <f>Table1[[#This Row],[Quantity]] * Table1[[#This Row],[UnitPrice]]</f>
        <v>1798</v>
      </c>
      <c r="M1850" s="25">
        <v>20</v>
      </c>
      <c r="N1850">
        <f>Table1[[#This Row],[Revenue]]*Table1[[#This Row],[Discount%]]/100</f>
        <v>359.6</v>
      </c>
      <c r="O1850" s="6">
        <f>Table1[[#This Row],[Revenue]]-Table1[[#This Row],[Disc_amount]]</f>
        <v>1438.4</v>
      </c>
      <c r="P1850" t="s">
        <v>41</v>
      </c>
      <c r="Q1850" t="s">
        <v>27</v>
      </c>
    </row>
    <row r="1851" spans="1:17">
      <c r="A1851" t="s">
        <v>2689</v>
      </c>
      <c r="B1851" s="1" t="s">
        <v>2682</v>
      </c>
      <c r="C1851" s="1" t="s">
        <v>2480</v>
      </c>
      <c r="D1851" s="1" t="s">
        <v>20</v>
      </c>
      <c r="E1851" t="s">
        <v>791</v>
      </c>
      <c r="F1851" t="s">
        <v>37</v>
      </c>
      <c r="G1851" t="s">
        <v>45</v>
      </c>
      <c r="H1851" t="s">
        <v>39</v>
      </c>
      <c r="I1851" t="s">
        <v>51</v>
      </c>
      <c r="J1851">
        <v>2</v>
      </c>
      <c r="K1851">
        <v>2999</v>
      </c>
      <c r="L1851">
        <f>Table1[[#This Row],[Quantity]] * Table1[[#This Row],[UnitPrice]]</f>
        <v>5998</v>
      </c>
      <c r="M1851" s="25">
        <v>0</v>
      </c>
      <c r="N1851">
        <f>Table1[[#This Row],[Revenue]]*Table1[[#This Row],[Discount%]]/100</f>
        <v>0</v>
      </c>
      <c r="O1851" s="6">
        <f>Table1[[#This Row],[Revenue]]-Table1[[#This Row],[Disc_amount]]</f>
        <v>5998</v>
      </c>
      <c r="P1851" t="s">
        <v>33</v>
      </c>
      <c r="Q1851" t="s">
        <v>27</v>
      </c>
    </row>
    <row r="1852" spans="1:17">
      <c r="A1852" t="s">
        <v>2690</v>
      </c>
      <c r="B1852" s="1" t="s">
        <v>2691</v>
      </c>
      <c r="C1852" s="1" t="s">
        <v>2480</v>
      </c>
      <c r="D1852" s="1" t="s">
        <v>20</v>
      </c>
      <c r="E1852" t="s">
        <v>750</v>
      </c>
      <c r="F1852" t="s">
        <v>83</v>
      </c>
      <c r="G1852" t="s">
        <v>56</v>
      </c>
      <c r="H1852" t="s">
        <v>46</v>
      </c>
      <c r="I1852" t="s">
        <v>154</v>
      </c>
      <c r="J1852">
        <v>2</v>
      </c>
      <c r="K1852">
        <v>299</v>
      </c>
      <c r="L1852">
        <f>Table1[[#This Row],[Quantity]] * Table1[[#This Row],[UnitPrice]]</f>
        <v>598</v>
      </c>
      <c r="M1852" s="25">
        <v>0</v>
      </c>
      <c r="N1852">
        <f>Table1[[#This Row],[Revenue]]*Table1[[#This Row],[Discount%]]/100</f>
        <v>0</v>
      </c>
      <c r="O1852" s="6">
        <f>Table1[[#This Row],[Revenue]]-Table1[[#This Row],[Disc_amount]]</f>
        <v>598</v>
      </c>
      <c r="P1852" t="s">
        <v>26</v>
      </c>
      <c r="Q1852" t="s">
        <v>34</v>
      </c>
    </row>
    <row r="1853" spans="1:17">
      <c r="A1853" t="s">
        <v>2692</v>
      </c>
      <c r="B1853" s="1" t="s">
        <v>2691</v>
      </c>
      <c r="C1853" s="1" t="s">
        <v>2480</v>
      </c>
      <c r="D1853" s="1" t="s">
        <v>20</v>
      </c>
      <c r="E1853" t="s">
        <v>840</v>
      </c>
      <c r="F1853" t="s">
        <v>462</v>
      </c>
      <c r="G1853" t="s">
        <v>38</v>
      </c>
      <c r="H1853" t="s">
        <v>39</v>
      </c>
      <c r="I1853" t="s">
        <v>40</v>
      </c>
      <c r="J1853">
        <v>3</v>
      </c>
      <c r="K1853">
        <v>599</v>
      </c>
      <c r="L1853">
        <f>Table1[[#This Row],[Quantity]] * Table1[[#This Row],[UnitPrice]]</f>
        <v>1797</v>
      </c>
      <c r="M1853" s="25">
        <v>0</v>
      </c>
      <c r="N1853">
        <f>Table1[[#This Row],[Revenue]]*Table1[[#This Row],[Discount%]]/100</f>
        <v>0</v>
      </c>
      <c r="O1853" s="6">
        <f>Table1[[#This Row],[Revenue]]-Table1[[#This Row],[Disc_amount]]</f>
        <v>1797</v>
      </c>
      <c r="P1853" t="s">
        <v>26</v>
      </c>
      <c r="Q1853" t="s">
        <v>34</v>
      </c>
    </row>
    <row r="1854" spans="1:17">
      <c r="A1854" t="s">
        <v>2693</v>
      </c>
      <c r="B1854" s="1" t="s">
        <v>2691</v>
      </c>
      <c r="C1854" s="1" t="s">
        <v>2480</v>
      </c>
      <c r="D1854" s="1" t="s">
        <v>20</v>
      </c>
      <c r="E1854" t="s">
        <v>986</v>
      </c>
      <c r="F1854" t="s">
        <v>209</v>
      </c>
      <c r="G1854" t="s">
        <v>56</v>
      </c>
      <c r="H1854" t="s">
        <v>65</v>
      </c>
      <c r="I1854" t="s">
        <v>98</v>
      </c>
      <c r="J1854">
        <v>2</v>
      </c>
      <c r="K1854">
        <v>499</v>
      </c>
      <c r="L1854">
        <f>Table1[[#This Row],[Quantity]] * Table1[[#This Row],[UnitPrice]]</f>
        <v>998</v>
      </c>
      <c r="M1854" s="25">
        <v>0</v>
      </c>
      <c r="N1854">
        <f>Table1[[#This Row],[Revenue]]*Table1[[#This Row],[Discount%]]/100</f>
        <v>0</v>
      </c>
      <c r="O1854" s="6">
        <f>Table1[[#This Row],[Revenue]]-Table1[[#This Row],[Disc_amount]]</f>
        <v>998</v>
      </c>
      <c r="P1854" t="s">
        <v>26</v>
      </c>
      <c r="Q1854" t="s">
        <v>27</v>
      </c>
    </row>
    <row r="1855" spans="1:17">
      <c r="A1855" t="s">
        <v>2694</v>
      </c>
      <c r="B1855" s="1" t="s">
        <v>2691</v>
      </c>
      <c r="C1855" s="1" t="s">
        <v>2480</v>
      </c>
      <c r="D1855" s="1" t="s">
        <v>20</v>
      </c>
      <c r="E1855" t="s">
        <v>628</v>
      </c>
      <c r="F1855" t="s">
        <v>245</v>
      </c>
      <c r="G1855" t="s">
        <v>38</v>
      </c>
      <c r="H1855" t="s">
        <v>46</v>
      </c>
      <c r="I1855" t="s">
        <v>154</v>
      </c>
      <c r="J1855">
        <v>1</v>
      </c>
      <c r="K1855">
        <v>299</v>
      </c>
      <c r="L1855">
        <f>Table1[[#This Row],[Quantity]] * Table1[[#This Row],[UnitPrice]]</f>
        <v>299</v>
      </c>
      <c r="M1855" s="25">
        <v>0</v>
      </c>
      <c r="N1855">
        <f>Table1[[#This Row],[Revenue]]*Table1[[#This Row],[Discount%]]/100</f>
        <v>0</v>
      </c>
      <c r="O1855" s="6">
        <f>Table1[[#This Row],[Revenue]]-Table1[[#This Row],[Disc_amount]]</f>
        <v>299</v>
      </c>
      <c r="P1855" t="s">
        <v>26</v>
      </c>
      <c r="Q1855" t="s">
        <v>34</v>
      </c>
    </row>
    <row r="1856" spans="1:17">
      <c r="A1856" t="s">
        <v>2695</v>
      </c>
      <c r="B1856" s="1" t="s">
        <v>2691</v>
      </c>
      <c r="C1856" s="1" t="s">
        <v>2480</v>
      </c>
      <c r="D1856" s="1" t="s">
        <v>20</v>
      </c>
      <c r="E1856" t="s">
        <v>1318</v>
      </c>
      <c r="F1856" t="s">
        <v>470</v>
      </c>
      <c r="G1856" t="s">
        <v>56</v>
      </c>
      <c r="H1856" t="s">
        <v>108</v>
      </c>
      <c r="I1856" t="s">
        <v>130</v>
      </c>
      <c r="J1856">
        <v>1</v>
      </c>
      <c r="K1856">
        <v>699</v>
      </c>
      <c r="L1856">
        <f>Table1[[#This Row],[Quantity]] * Table1[[#This Row],[UnitPrice]]</f>
        <v>699</v>
      </c>
      <c r="M1856" s="25">
        <v>5</v>
      </c>
      <c r="N1856">
        <f>Table1[[#This Row],[Revenue]]*Table1[[#This Row],[Discount%]]/100</f>
        <v>34.950000000000003</v>
      </c>
      <c r="O1856" s="6">
        <f>Table1[[#This Row],[Revenue]]-Table1[[#This Row],[Disc_amount]]</f>
        <v>664.05</v>
      </c>
      <c r="P1856" t="s">
        <v>26</v>
      </c>
      <c r="Q1856" t="s">
        <v>27</v>
      </c>
    </row>
    <row r="1857" spans="1:17">
      <c r="A1857" t="s">
        <v>2696</v>
      </c>
      <c r="B1857" s="1" t="s">
        <v>2691</v>
      </c>
      <c r="C1857" s="1" t="s">
        <v>2480</v>
      </c>
      <c r="D1857" s="1" t="s">
        <v>20</v>
      </c>
      <c r="E1857" t="s">
        <v>1291</v>
      </c>
      <c r="F1857" t="s">
        <v>1292</v>
      </c>
      <c r="G1857" t="s">
        <v>45</v>
      </c>
      <c r="H1857" t="s">
        <v>70</v>
      </c>
      <c r="I1857" t="s">
        <v>91</v>
      </c>
      <c r="J1857">
        <v>5</v>
      </c>
      <c r="K1857">
        <v>549</v>
      </c>
      <c r="L1857">
        <f>Table1[[#This Row],[Quantity]] * Table1[[#This Row],[UnitPrice]]</f>
        <v>2745</v>
      </c>
      <c r="M1857" s="25">
        <v>10</v>
      </c>
      <c r="N1857">
        <f>Table1[[#This Row],[Revenue]]*Table1[[#This Row],[Discount%]]/100</f>
        <v>274.5</v>
      </c>
      <c r="O1857" s="6">
        <f>Table1[[#This Row],[Revenue]]-Table1[[#This Row],[Disc_amount]]</f>
        <v>2470.5</v>
      </c>
      <c r="P1857" t="s">
        <v>33</v>
      </c>
      <c r="Q1857" t="s">
        <v>34</v>
      </c>
    </row>
    <row r="1858" spans="1:17">
      <c r="A1858" t="s">
        <v>2697</v>
      </c>
      <c r="B1858" s="1" t="s">
        <v>2691</v>
      </c>
      <c r="C1858" s="1" t="s">
        <v>2480</v>
      </c>
      <c r="D1858" s="1" t="s">
        <v>20</v>
      </c>
      <c r="E1858" t="s">
        <v>888</v>
      </c>
      <c r="F1858" t="s">
        <v>698</v>
      </c>
      <c r="G1858" t="s">
        <v>31</v>
      </c>
      <c r="H1858" t="s">
        <v>70</v>
      </c>
      <c r="I1858" t="s">
        <v>91</v>
      </c>
      <c r="J1858">
        <v>1</v>
      </c>
      <c r="K1858">
        <v>549</v>
      </c>
      <c r="L1858">
        <f>Table1[[#This Row],[Quantity]] * Table1[[#This Row],[UnitPrice]]</f>
        <v>549</v>
      </c>
      <c r="M1858" s="25">
        <v>0</v>
      </c>
      <c r="N1858">
        <f>Table1[[#This Row],[Revenue]]*Table1[[#This Row],[Discount%]]/100</f>
        <v>0</v>
      </c>
      <c r="O1858" s="6">
        <f>Table1[[#This Row],[Revenue]]-Table1[[#This Row],[Disc_amount]]</f>
        <v>549</v>
      </c>
      <c r="P1858" t="s">
        <v>33</v>
      </c>
      <c r="Q1858" t="s">
        <v>34</v>
      </c>
    </row>
    <row r="1859" spans="1:17">
      <c r="A1859" t="s">
        <v>2698</v>
      </c>
      <c r="B1859" s="1" t="s">
        <v>2691</v>
      </c>
      <c r="C1859" s="1" t="s">
        <v>2480</v>
      </c>
      <c r="D1859" s="1" t="s">
        <v>20</v>
      </c>
      <c r="E1859" t="s">
        <v>539</v>
      </c>
      <c r="F1859" t="s">
        <v>298</v>
      </c>
      <c r="G1859" t="s">
        <v>23</v>
      </c>
      <c r="H1859" t="s">
        <v>57</v>
      </c>
      <c r="I1859" t="s">
        <v>58</v>
      </c>
      <c r="J1859">
        <v>4</v>
      </c>
      <c r="K1859">
        <v>1299</v>
      </c>
      <c r="L1859">
        <f>Table1[[#This Row],[Quantity]] * Table1[[#This Row],[UnitPrice]]</f>
        <v>5196</v>
      </c>
      <c r="M1859" s="25">
        <v>20</v>
      </c>
      <c r="N1859">
        <f>Table1[[#This Row],[Revenue]]*Table1[[#This Row],[Discount%]]/100</f>
        <v>1039.2</v>
      </c>
      <c r="O1859" s="6">
        <f>Table1[[#This Row],[Revenue]]-Table1[[#This Row],[Disc_amount]]</f>
        <v>4156.8</v>
      </c>
      <c r="P1859" t="s">
        <v>26</v>
      </c>
      <c r="Q1859" t="s">
        <v>27</v>
      </c>
    </row>
    <row r="1860" spans="1:17">
      <c r="A1860" t="s">
        <v>2699</v>
      </c>
      <c r="B1860" s="1" t="s">
        <v>2700</v>
      </c>
      <c r="C1860" s="1" t="s">
        <v>2480</v>
      </c>
      <c r="D1860" s="1" t="s">
        <v>20</v>
      </c>
      <c r="E1860" t="s">
        <v>1585</v>
      </c>
      <c r="F1860" t="s">
        <v>298</v>
      </c>
      <c r="G1860" t="s">
        <v>56</v>
      </c>
      <c r="H1860" t="s">
        <v>65</v>
      </c>
      <c r="I1860" t="s">
        <v>66</v>
      </c>
      <c r="J1860">
        <v>2</v>
      </c>
      <c r="K1860">
        <v>1999</v>
      </c>
      <c r="L1860">
        <f>Table1[[#This Row],[Quantity]] * Table1[[#This Row],[UnitPrice]]</f>
        <v>3998</v>
      </c>
      <c r="M1860" s="25">
        <v>0</v>
      </c>
      <c r="N1860">
        <f>Table1[[#This Row],[Revenue]]*Table1[[#This Row],[Discount%]]/100</f>
        <v>0</v>
      </c>
      <c r="O1860" s="6">
        <f>Table1[[#This Row],[Revenue]]-Table1[[#This Row],[Disc_amount]]</f>
        <v>3998</v>
      </c>
      <c r="P1860" t="s">
        <v>26</v>
      </c>
      <c r="Q1860" t="s">
        <v>34</v>
      </c>
    </row>
    <row r="1861" spans="1:17">
      <c r="A1861" t="s">
        <v>2701</v>
      </c>
      <c r="B1861" s="1" t="s">
        <v>2700</v>
      </c>
      <c r="C1861" s="1" t="s">
        <v>2480</v>
      </c>
      <c r="D1861" s="1" t="s">
        <v>20</v>
      </c>
      <c r="E1861" t="s">
        <v>977</v>
      </c>
      <c r="F1861" t="s">
        <v>209</v>
      </c>
      <c r="G1861" t="s">
        <v>56</v>
      </c>
      <c r="H1861" t="s">
        <v>65</v>
      </c>
      <c r="I1861" t="s">
        <v>66</v>
      </c>
      <c r="J1861">
        <v>2</v>
      </c>
      <c r="K1861">
        <v>1999</v>
      </c>
      <c r="L1861">
        <f>Table1[[#This Row],[Quantity]] * Table1[[#This Row],[UnitPrice]]</f>
        <v>3998</v>
      </c>
      <c r="M1861" s="25">
        <v>0</v>
      </c>
      <c r="N1861">
        <f>Table1[[#This Row],[Revenue]]*Table1[[#This Row],[Discount%]]/100</f>
        <v>0</v>
      </c>
      <c r="O1861" s="6">
        <f>Table1[[#This Row],[Revenue]]-Table1[[#This Row],[Disc_amount]]</f>
        <v>3998</v>
      </c>
      <c r="P1861" t="s">
        <v>86</v>
      </c>
      <c r="Q1861" t="s">
        <v>27</v>
      </c>
    </row>
    <row r="1862" spans="1:17">
      <c r="A1862" t="s">
        <v>2702</v>
      </c>
      <c r="B1862" s="1" t="s">
        <v>2700</v>
      </c>
      <c r="C1862" s="1" t="s">
        <v>2480</v>
      </c>
      <c r="D1862" s="1" t="s">
        <v>20</v>
      </c>
      <c r="E1862" t="s">
        <v>453</v>
      </c>
      <c r="F1862" t="s">
        <v>454</v>
      </c>
      <c r="G1862" t="s">
        <v>45</v>
      </c>
      <c r="H1862" t="s">
        <v>65</v>
      </c>
      <c r="I1862" t="s">
        <v>66</v>
      </c>
      <c r="J1862">
        <v>2</v>
      </c>
      <c r="K1862">
        <v>1999</v>
      </c>
      <c r="L1862">
        <f>Table1[[#This Row],[Quantity]] * Table1[[#This Row],[UnitPrice]]</f>
        <v>3998</v>
      </c>
      <c r="M1862" s="25">
        <v>0</v>
      </c>
      <c r="N1862">
        <f>Table1[[#This Row],[Revenue]]*Table1[[#This Row],[Discount%]]/100</f>
        <v>0</v>
      </c>
      <c r="O1862" s="6">
        <f>Table1[[#This Row],[Revenue]]-Table1[[#This Row],[Disc_amount]]</f>
        <v>3998</v>
      </c>
      <c r="P1862" t="s">
        <v>41</v>
      </c>
      <c r="Q1862" t="s">
        <v>34</v>
      </c>
    </row>
    <row r="1863" spans="1:17">
      <c r="A1863" t="s">
        <v>2703</v>
      </c>
      <c r="B1863" s="1" t="s">
        <v>2700</v>
      </c>
      <c r="C1863" s="1" t="s">
        <v>2480</v>
      </c>
      <c r="D1863" s="1" t="s">
        <v>20</v>
      </c>
      <c r="E1863" t="s">
        <v>893</v>
      </c>
      <c r="F1863" t="s">
        <v>434</v>
      </c>
      <c r="G1863" t="s">
        <v>31</v>
      </c>
      <c r="H1863" t="s">
        <v>65</v>
      </c>
      <c r="I1863" t="s">
        <v>98</v>
      </c>
      <c r="J1863">
        <v>1</v>
      </c>
      <c r="K1863">
        <v>499</v>
      </c>
      <c r="L1863">
        <f>Table1[[#This Row],[Quantity]] * Table1[[#This Row],[UnitPrice]]</f>
        <v>499</v>
      </c>
      <c r="M1863" s="25">
        <v>15</v>
      </c>
      <c r="N1863">
        <f>Table1[[#This Row],[Revenue]]*Table1[[#This Row],[Discount%]]/100</f>
        <v>74.849999999999994</v>
      </c>
      <c r="O1863" s="6">
        <f>Table1[[#This Row],[Revenue]]-Table1[[#This Row],[Disc_amount]]</f>
        <v>424.15</v>
      </c>
      <c r="P1863" t="s">
        <v>33</v>
      </c>
      <c r="Q1863" t="s">
        <v>34</v>
      </c>
    </row>
    <row r="1864" spans="1:17">
      <c r="A1864" t="s">
        <v>2704</v>
      </c>
      <c r="B1864" s="1" t="s">
        <v>2700</v>
      </c>
      <c r="C1864" s="1" t="s">
        <v>2480</v>
      </c>
      <c r="D1864" s="1" t="s">
        <v>20</v>
      </c>
      <c r="E1864" t="s">
        <v>49</v>
      </c>
      <c r="F1864" t="s">
        <v>50</v>
      </c>
      <c r="G1864" t="s">
        <v>38</v>
      </c>
      <c r="H1864" t="s">
        <v>108</v>
      </c>
      <c r="I1864" t="s">
        <v>109</v>
      </c>
      <c r="J1864">
        <v>2</v>
      </c>
      <c r="K1864">
        <v>1499</v>
      </c>
      <c r="L1864">
        <f>Table1[[#This Row],[Quantity]] * Table1[[#This Row],[UnitPrice]]</f>
        <v>2998</v>
      </c>
      <c r="M1864" s="25">
        <v>15</v>
      </c>
      <c r="N1864">
        <f>Table1[[#This Row],[Revenue]]*Table1[[#This Row],[Discount%]]/100</f>
        <v>449.7</v>
      </c>
      <c r="O1864" s="6">
        <f>Table1[[#This Row],[Revenue]]-Table1[[#This Row],[Disc_amount]]</f>
        <v>2548.3000000000002</v>
      </c>
      <c r="P1864" t="s">
        <v>33</v>
      </c>
      <c r="Q1864" t="s">
        <v>27</v>
      </c>
    </row>
    <row r="1865" spans="1:17">
      <c r="A1865" t="s">
        <v>2705</v>
      </c>
      <c r="B1865" s="1" t="s">
        <v>2700</v>
      </c>
      <c r="C1865" s="1" t="s">
        <v>2480</v>
      </c>
      <c r="D1865" s="1" t="s">
        <v>20</v>
      </c>
      <c r="E1865" t="s">
        <v>525</v>
      </c>
      <c r="F1865" t="s">
        <v>470</v>
      </c>
      <c r="G1865" t="s">
        <v>38</v>
      </c>
      <c r="H1865" t="s">
        <v>70</v>
      </c>
      <c r="I1865" t="s">
        <v>91</v>
      </c>
      <c r="J1865">
        <v>2</v>
      </c>
      <c r="K1865">
        <v>549</v>
      </c>
      <c r="L1865">
        <f>Table1[[#This Row],[Quantity]] * Table1[[#This Row],[UnitPrice]]</f>
        <v>1098</v>
      </c>
      <c r="M1865" s="25">
        <v>0</v>
      </c>
      <c r="N1865">
        <f>Table1[[#This Row],[Revenue]]*Table1[[#This Row],[Discount%]]/100</f>
        <v>0</v>
      </c>
      <c r="O1865" s="6">
        <f>Table1[[#This Row],[Revenue]]-Table1[[#This Row],[Disc_amount]]</f>
        <v>1098</v>
      </c>
      <c r="P1865" t="s">
        <v>41</v>
      </c>
      <c r="Q1865" t="s">
        <v>27</v>
      </c>
    </row>
    <row r="1866" spans="1:17">
      <c r="A1866" t="s">
        <v>2706</v>
      </c>
      <c r="B1866" s="1" t="s">
        <v>2700</v>
      </c>
      <c r="C1866" s="1" t="s">
        <v>2480</v>
      </c>
      <c r="D1866" s="1" t="s">
        <v>20</v>
      </c>
      <c r="E1866" t="s">
        <v>589</v>
      </c>
      <c r="F1866" t="s">
        <v>501</v>
      </c>
      <c r="G1866" t="s">
        <v>31</v>
      </c>
      <c r="H1866" t="s">
        <v>65</v>
      </c>
      <c r="I1866" t="s">
        <v>94</v>
      </c>
      <c r="J1866">
        <v>1</v>
      </c>
      <c r="K1866">
        <v>899</v>
      </c>
      <c r="L1866">
        <f>Table1[[#This Row],[Quantity]] * Table1[[#This Row],[UnitPrice]]</f>
        <v>899</v>
      </c>
      <c r="M1866" s="25">
        <v>0</v>
      </c>
      <c r="N1866">
        <f>Table1[[#This Row],[Revenue]]*Table1[[#This Row],[Discount%]]/100</f>
        <v>0</v>
      </c>
      <c r="O1866" s="6">
        <f>Table1[[#This Row],[Revenue]]-Table1[[#This Row],[Disc_amount]]</f>
        <v>899</v>
      </c>
      <c r="P1866" t="s">
        <v>26</v>
      </c>
      <c r="Q1866" t="s">
        <v>27</v>
      </c>
    </row>
    <row r="1867" spans="1:17">
      <c r="A1867" t="s">
        <v>2707</v>
      </c>
      <c r="B1867" s="1" t="s">
        <v>2700</v>
      </c>
      <c r="C1867" s="1" t="s">
        <v>2480</v>
      </c>
      <c r="D1867" s="1" t="s">
        <v>20</v>
      </c>
      <c r="E1867" t="s">
        <v>79</v>
      </c>
      <c r="F1867" t="s">
        <v>80</v>
      </c>
      <c r="G1867" t="s">
        <v>38</v>
      </c>
      <c r="H1867" t="s">
        <v>39</v>
      </c>
      <c r="I1867" t="s">
        <v>40</v>
      </c>
      <c r="J1867">
        <v>2</v>
      </c>
      <c r="K1867">
        <v>599</v>
      </c>
      <c r="L1867">
        <f>Table1[[#This Row],[Quantity]] * Table1[[#This Row],[UnitPrice]]</f>
        <v>1198</v>
      </c>
      <c r="M1867" s="25">
        <v>5</v>
      </c>
      <c r="N1867">
        <f>Table1[[#This Row],[Revenue]]*Table1[[#This Row],[Discount%]]/100</f>
        <v>59.9</v>
      </c>
      <c r="O1867" s="6">
        <f>Table1[[#This Row],[Revenue]]-Table1[[#This Row],[Disc_amount]]</f>
        <v>1138.0999999999999</v>
      </c>
      <c r="P1867" t="s">
        <v>52</v>
      </c>
      <c r="Q1867" t="s">
        <v>34</v>
      </c>
    </row>
    <row r="1868" spans="1:17">
      <c r="A1868" t="s">
        <v>2708</v>
      </c>
      <c r="B1868" s="1" t="s">
        <v>2700</v>
      </c>
      <c r="C1868" s="1" t="s">
        <v>2480</v>
      </c>
      <c r="D1868" s="1" t="s">
        <v>20</v>
      </c>
      <c r="E1868" t="s">
        <v>375</v>
      </c>
      <c r="F1868" t="s">
        <v>376</v>
      </c>
      <c r="G1868" t="s">
        <v>31</v>
      </c>
      <c r="H1868" t="s">
        <v>46</v>
      </c>
      <c r="I1868" t="s">
        <v>47</v>
      </c>
      <c r="J1868">
        <v>2</v>
      </c>
      <c r="K1868">
        <v>249</v>
      </c>
      <c r="L1868">
        <f>Table1[[#This Row],[Quantity]] * Table1[[#This Row],[UnitPrice]]</f>
        <v>498</v>
      </c>
      <c r="M1868" s="25">
        <v>5</v>
      </c>
      <c r="N1868">
        <f>Table1[[#This Row],[Revenue]]*Table1[[#This Row],[Discount%]]/100</f>
        <v>24.9</v>
      </c>
      <c r="O1868" s="6">
        <f>Table1[[#This Row],[Revenue]]-Table1[[#This Row],[Disc_amount]]</f>
        <v>473.1</v>
      </c>
      <c r="P1868" t="s">
        <v>33</v>
      </c>
      <c r="Q1868" t="s">
        <v>34</v>
      </c>
    </row>
    <row r="1869" spans="1:17">
      <c r="A1869" t="s">
        <v>2709</v>
      </c>
      <c r="B1869" s="1" t="s">
        <v>2700</v>
      </c>
      <c r="C1869" s="1" t="s">
        <v>2480</v>
      </c>
      <c r="D1869" s="1" t="s">
        <v>20</v>
      </c>
      <c r="E1869" t="s">
        <v>596</v>
      </c>
      <c r="F1869" t="s">
        <v>597</v>
      </c>
      <c r="G1869" t="s">
        <v>45</v>
      </c>
      <c r="H1869" t="s">
        <v>39</v>
      </c>
      <c r="I1869" t="s">
        <v>40</v>
      </c>
      <c r="J1869">
        <v>2</v>
      </c>
      <c r="K1869">
        <v>599</v>
      </c>
      <c r="L1869">
        <f>Table1[[#This Row],[Quantity]] * Table1[[#This Row],[UnitPrice]]</f>
        <v>1198</v>
      </c>
      <c r="M1869" s="25">
        <v>20</v>
      </c>
      <c r="N1869">
        <f>Table1[[#This Row],[Revenue]]*Table1[[#This Row],[Discount%]]/100</f>
        <v>239.6</v>
      </c>
      <c r="O1869" s="6">
        <f>Table1[[#This Row],[Revenue]]-Table1[[#This Row],[Disc_amount]]</f>
        <v>958.4</v>
      </c>
      <c r="P1869" t="s">
        <v>26</v>
      </c>
      <c r="Q1869" t="s">
        <v>27</v>
      </c>
    </row>
    <row r="1870" spans="1:17">
      <c r="A1870" t="s">
        <v>2710</v>
      </c>
      <c r="B1870" s="1" t="s">
        <v>2700</v>
      </c>
      <c r="C1870" s="1" t="s">
        <v>2480</v>
      </c>
      <c r="D1870" s="1" t="s">
        <v>20</v>
      </c>
      <c r="E1870" t="s">
        <v>271</v>
      </c>
      <c r="F1870" t="s">
        <v>272</v>
      </c>
      <c r="G1870" t="s">
        <v>23</v>
      </c>
      <c r="H1870" t="s">
        <v>24</v>
      </c>
      <c r="I1870" t="s">
        <v>32</v>
      </c>
      <c r="J1870">
        <v>4</v>
      </c>
      <c r="K1870">
        <v>199</v>
      </c>
      <c r="L1870">
        <f>Table1[[#This Row],[Quantity]] * Table1[[#This Row],[UnitPrice]]</f>
        <v>796</v>
      </c>
      <c r="M1870" s="25">
        <v>0</v>
      </c>
      <c r="N1870">
        <f>Table1[[#This Row],[Revenue]]*Table1[[#This Row],[Discount%]]/100</f>
        <v>0</v>
      </c>
      <c r="O1870" s="6">
        <f>Table1[[#This Row],[Revenue]]-Table1[[#This Row],[Disc_amount]]</f>
        <v>796</v>
      </c>
      <c r="P1870" t="s">
        <v>33</v>
      </c>
      <c r="Q1870" t="s">
        <v>27</v>
      </c>
    </row>
    <row r="1871" spans="1:17">
      <c r="A1871" t="s">
        <v>2711</v>
      </c>
      <c r="B1871" s="1" t="s">
        <v>2700</v>
      </c>
      <c r="C1871" s="1" t="s">
        <v>2480</v>
      </c>
      <c r="D1871" s="1" t="s">
        <v>20</v>
      </c>
      <c r="E1871" t="s">
        <v>375</v>
      </c>
      <c r="F1871" t="s">
        <v>376</v>
      </c>
      <c r="G1871" t="s">
        <v>45</v>
      </c>
      <c r="H1871" t="s">
        <v>39</v>
      </c>
      <c r="I1871" t="s">
        <v>140</v>
      </c>
      <c r="J1871">
        <v>1</v>
      </c>
      <c r="K1871">
        <v>1799</v>
      </c>
      <c r="L1871">
        <f>Table1[[#This Row],[Quantity]] * Table1[[#This Row],[UnitPrice]]</f>
        <v>1799</v>
      </c>
      <c r="M1871" s="25">
        <v>0</v>
      </c>
      <c r="N1871">
        <f>Table1[[#This Row],[Revenue]]*Table1[[#This Row],[Discount%]]/100</f>
        <v>0</v>
      </c>
      <c r="O1871" s="6">
        <f>Table1[[#This Row],[Revenue]]-Table1[[#This Row],[Disc_amount]]</f>
        <v>1799</v>
      </c>
      <c r="P1871" t="s">
        <v>86</v>
      </c>
      <c r="Q1871" t="s">
        <v>27</v>
      </c>
    </row>
    <row r="1872" spans="1:17">
      <c r="A1872" t="s">
        <v>2712</v>
      </c>
      <c r="B1872" s="1" t="s">
        <v>2713</v>
      </c>
      <c r="C1872" s="1" t="s">
        <v>2480</v>
      </c>
      <c r="D1872" s="1" t="s">
        <v>20</v>
      </c>
      <c r="E1872" t="s">
        <v>126</v>
      </c>
      <c r="F1872" t="s">
        <v>77</v>
      </c>
      <c r="G1872" t="s">
        <v>23</v>
      </c>
      <c r="H1872" t="s">
        <v>39</v>
      </c>
      <c r="I1872" t="s">
        <v>140</v>
      </c>
      <c r="J1872">
        <v>2</v>
      </c>
      <c r="K1872">
        <v>1799</v>
      </c>
      <c r="L1872">
        <f>Table1[[#This Row],[Quantity]] * Table1[[#This Row],[UnitPrice]]</f>
        <v>3598</v>
      </c>
      <c r="M1872" s="25">
        <v>15</v>
      </c>
      <c r="N1872">
        <f>Table1[[#This Row],[Revenue]]*Table1[[#This Row],[Discount%]]/100</f>
        <v>539.70000000000005</v>
      </c>
      <c r="O1872" s="6">
        <f>Table1[[#This Row],[Revenue]]-Table1[[#This Row],[Disc_amount]]</f>
        <v>3058.3</v>
      </c>
      <c r="P1872" t="s">
        <v>41</v>
      </c>
      <c r="Q1872" t="s">
        <v>34</v>
      </c>
    </row>
    <row r="1873" spans="1:17">
      <c r="A1873" t="s">
        <v>2714</v>
      </c>
      <c r="B1873" s="1" t="s">
        <v>2713</v>
      </c>
      <c r="C1873" s="1" t="s">
        <v>2480</v>
      </c>
      <c r="D1873" s="1" t="s">
        <v>20</v>
      </c>
      <c r="E1873" t="s">
        <v>525</v>
      </c>
      <c r="F1873" t="s">
        <v>470</v>
      </c>
      <c r="G1873" t="s">
        <v>23</v>
      </c>
      <c r="H1873" t="s">
        <v>24</v>
      </c>
      <c r="I1873" t="s">
        <v>32</v>
      </c>
      <c r="J1873">
        <v>2</v>
      </c>
      <c r="K1873">
        <v>199</v>
      </c>
      <c r="L1873">
        <f>Table1[[#This Row],[Quantity]] * Table1[[#This Row],[UnitPrice]]</f>
        <v>398</v>
      </c>
      <c r="M1873" s="25">
        <v>5</v>
      </c>
      <c r="N1873">
        <f>Table1[[#This Row],[Revenue]]*Table1[[#This Row],[Discount%]]/100</f>
        <v>19.899999999999999</v>
      </c>
      <c r="O1873" s="6">
        <f>Table1[[#This Row],[Revenue]]-Table1[[#This Row],[Disc_amount]]</f>
        <v>378.1</v>
      </c>
      <c r="P1873" t="s">
        <v>26</v>
      </c>
      <c r="Q1873" t="s">
        <v>27</v>
      </c>
    </row>
    <row r="1874" spans="1:17">
      <c r="A1874" t="s">
        <v>2715</v>
      </c>
      <c r="B1874" s="1" t="s">
        <v>2713</v>
      </c>
      <c r="C1874" s="1" t="s">
        <v>2480</v>
      </c>
      <c r="D1874" s="1" t="s">
        <v>20</v>
      </c>
      <c r="E1874" t="s">
        <v>1318</v>
      </c>
      <c r="F1874" t="s">
        <v>470</v>
      </c>
      <c r="G1874" t="s">
        <v>31</v>
      </c>
      <c r="H1874" t="s">
        <v>24</v>
      </c>
      <c r="I1874" t="s">
        <v>25</v>
      </c>
      <c r="J1874">
        <v>2</v>
      </c>
      <c r="K1874">
        <v>99</v>
      </c>
      <c r="L1874">
        <f>Table1[[#This Row],[Quantity]] * Table1[[#This Row],[UnitPrice]]</f>
        <v>198</v>
      </c>
      <c r="M1874" s="25">
        <v>0</v>
      </c>
      <c r="N1874">
        <f>Table1[[#This Row],[Revenue]]*Table1[[#This Row],[Discount%]]/100</f>
        <v>0</v>
      </c>
      <c r="O1874" s="6">
        <f>Table1[[#This Row],[Revenue]]-Table1[[#This Row],[Disc_amount]]</f>
        <v>198</v>
      </c>
      <c r="P1874" t="s">
        <v>33</v>
      </c>
      <c r="Q1874" t="s">
        <v>34</v>
      </c>
    </row>
    <row r="1875" spans="1:17">
      <c r="A1875" t="s">
        <v>2716</v>
      </c>
      <c r="B1875" s="1" t="s">
        <v>2713</v>
      </c>
      <c r="C1875" s="1" t="s">
        <v>2480</v>
      </c>
      <c r="D1875" s="1" t="s">
        <v>20</v>
      </c>
      <c r="E1875" t="s">
        <v>686</v>
      </c>
      <c r="F1875" t="s">
        <v>443</v>
      </c>
      <c r="G1875" t="s">
        <v>45</v>
      </c>
      <c r="H1875" t="s">
        <v>57</v>
      </c>
      <c r="I1875" t="s">
        <v>62</v>
      </c>
      <c r="J1875">
        <v>4</v>
      </c>
      <c r="K1875">
        <v>799</v>
      </c>
      <c r="L1875">
        <f>Table1[[#This Row],[Quantity]] * Table1[[#This Row],[UnitPrice]]</f>
        <v>3196</v>
      </c>
      <c r="M1875" s="25">
        <v>0</v>
      </c>
      <c r="N1875">
        <f>Table1[[#This Row],[Revenue]]*Table1[[#This Row],[Discount%]]/100</f>
        <v>0</v>
      </c>
      <c r="O1875" s="6">
        <f>Table1[[#This Row],[Revenue]]-Table1[[#This Row],[Disc_amount]]</f>
        <v>3196</v>
      </c>
      <c r="P1875" t="s">
        <v>41</v>
      </c>
      <c r="Q1875" t="s">
        <v>27</v>
      </c>
    </row>
    <row r="1876" spans="1:17">
      <c r="A1876" t="s">
        <v>2717</v>
      </c>
      <c r="B1876" s="1" t="s">
        <v>2713</v>
      </c>
      <c r="C1876" s="1" t="s">
        <v>2480</v>
      </c>
      <c r="D1876" s="1" t="s">
        <v>20</v>
      </c>
      <c r="E1876" t="s">
        <v>371</v>
      </c>
      <c r="F1876" t="s">
        <v>118</v>
      </c>
      <c r="G1876" t="s">
        <v>23</v>
      </c>
      <c r="H1876" t="s">
        <v>57</v>
      </c>
      <c r="I1876" t="s">
        <v>58</v>
      </c>
      <c r="J1876">
        <v>2</v>
      </c>
      <c r="K1876">
        <v>1299</v>
      </c>
      <c r="L1876">
        <f>Table1[[#This Row],[Quantity]] * Table1[[#This Row],[UnitPrice]]</f>
        <v>2598</v>
      </c>
      <c r="M1876" s="25">
        <v>15</v>
      </c>
      <c r="N1876">
        <f>Table1[[#This Row],[Revenue]]*Table1[[#This Row],[Discount%]]/100</f>
        <v>389.7</v>
      </c>
      <c r="O1876" s="6">
        <f>Table1[[#This Row],[Revenue]]-Table1[[#This Row],[Disc_amount]]</f>
        <v>2208.3000000000002</v>
      </c>
      <c r="P1876" t="s">
        <v>33</v>
      </c>
      <c r="Q1876" t="s">
        <v>27</v>
      </c>
    </row>
    <row r="1877" spans="1:17">
      <c r="A1877" t="s">
        <v>2718</v>
      </c>
      <c r="B1877" s="1" t="s">
        <v>2713</v>
      </c>
      <c r="C1877" s="1" t="s">
        <v>2480</v>
      </c>
      <c r="D1877" s="1" t="s">
        <v>20</v>
      </c>
      <c r="E1877" t="s">
        <v>2326</v>
      </c>
      <c r="F1877" t="s">
        <v>129</v>
      </c>
      <c r="G1877" t="s">
        <v>31</v>
      </c>
      <c r="H1877" t="s">
        <v>46</v>
      </c>
      <c r="I1877" t="s">
        <v>47</v>
      </c>
      <c r="J1877">
        <v>2</v>
      </c>
      <c r="K1877">
        <v>249</v>
      </c>
      <c r="L1877">
        <f>Table1[[#This Row],[Quantity]] * Table1[[#This Row],[UnitPrice]]</f>
        <v>498</v>
      </c>
      <c r="M1877" s="25">
        <v>0</v>
      </c>
      <c r="N1877">
        <f>Table1[[#This Row],[Revenue]]*Table1[[#This Row],[Discount%]]/100</f>
        <v>0</v>
      </c>
      <c r="O1877" s="6">
        <f>Table1[[#This Row],[Revenue]]-Table1[[#This Row],[Disc_amount]]</f>
        <v>498</v>
      </c>
      <c r="P1877" t="s">
        <v>26</v>
      </c>
      <c r="Q1877" t="s">
        <v>27</v>
      </c>
    </row>
    <row r="1878" spans="1:17">
      <c r="A1878" t="s">
        <v>2719</v>
      </c>
      <c r="B1878" s="1" t="s">
        <v>2713</v>
      </c>
      <c r="C1878" s="1" t="s">
        <v>2480</v>
      </c>
      <c r="D1878" s="1" t="s">
        <v>20</v>
      </c>
      <c r="E1878" t="s">
        <v>640</v>
      </c>
      <c r="F1878" t="s">
        <v>225</v>
      </c>
      <c r="G1878" t="s">
        <v>56</v>
      </c>
      <c r="H1878" t="s">
        <v>24</v>
      </c>
      <c r="I1878" t="s">
        <v>32</v>
      </c>
      <c r="J1878">
        <v>1</v>
      </c>
      <c r="K1878">
        <v>199</v>
      </c>
      <c r="L1878">
        <f>Table1[[#This Row],[Quantity]] * Table1[[#This Row],[UnitPrice]]</f>
        <v>199</v>
      </c>
      <c r="M1878" s="25">
        <v>0</v>
      </c>
      <c r="N1878">
        <f>Table1[[#This Row],[Revenue]]*Table1[[#This Row],[Discount%]]/100</f>
        <v>0</v>
      </c>
      <c r="O1878" s="6">
        <f>Table1[[#This Row],[Revenue]]-Table1[[#This Row],[Disc_amount]]</f>
        <v>199</v>
      </c>
      <c r="P1878" t="s">
        <v>41</v>
      </c>
      <c r="Q1878" t="s">
        <v>34</v>
      </c>
    </row>
    <row r="1879" spans="1:17">
      <c r="A1879" t="s">
        <v>2720</v>
      </c>
      <c r="B1879" s="1" t="s">
        <v>2713</v>
      </c>
      <c r="C1879" s="1" t="s">
        <v>2480</v>
      </c>
      <c r="D1879" s="1" t="s">
        <v>20</v>
      </c>
      <c r="E1879" t="s">
        <v>555</v>
      </c>
      <c r="F1879" t="s">
        <v>384</v>
      </c>
      <c r="G1879" t="s">
        <v>38</v>
      </c>
      <c r="H1879" t="s">
        <v>70</v>
      </c>
      <c r="I1879" t="s">
        <v>91</v>
      </c>
      <c r="J1879">
        <v>1</v>
      </c>
      <c r="K1879">
        <v>549</v>
      </c>
      <c r="L1879">
        <f>Table1[[#This Row],[Quantity]] * Table1[[#This Row],[UnitPrice]]</f>
        <v>549</v>
      </c>
      <c r="M1879" s="25">
        <v>5</v>
      </c>
      <c r="N1879">
        <f>Table1[[#This Row],[Revenue]]*Table1[[#This Row],[Discount%]]/100</f>
        <v>27.45</v>
      </c>
      <c r="O1879" s="6">
        <f>Table1[[#This Row],[Revenue]]-Table1[[#This Row],[Disc_amount]]</f>
        <v>521.54999999999995</v>
      </c>
      <c r="P1879" t="s">
        <v>26</v>
      </c>
      <c r="Q1879" t="s">
        <v>27</v>
      </c>
    </row>
    <row r="1880" spans="1:17">
      <c r="A1880" t="s">
        <v>2721</v>
      </c>
      <c r="B1880" s="1" t="s">
        <v>2713</v>
      </c>
      <c r="C1880" s="1" t="s">
        <v>2480</v>
      </c>
      <c r="D1880" s="1" t="s">
        <v>20</v>
      </c>
      <c r="E1880" t="s">
        <v>536</v>
      </c>
      <c r="F1880" t="s">
        <v>295</v>
      </c>
      <c r="G1880" t="s">
        <v>31</v>
      </c>
      <c r="H1880" t="s">
        <v>39</v>
      </c>
      <c r="I1880" t="s">
        <v>140</v>
      </c>
      <c r="J1880">
        <v>1</v>
      </c>
      <c r="K1880">
        <v>1799</v>
      </c>
      <c r="L1880">
        <f>Table1[[#This Row],[Quantity]] * Table1[[#This Row],[UnitPrice]]</f>
        <v>1799</v>
      </c>
      <c r="M1880" s="25">
        <v>10</v>
      </c>
      <c r="N1880">
        <f>Table1[[#This Row],[Revenue]]*Table1[[#This Row],[Discount%]]/100</f>
        <v>179.9</v>
      </c>
      <c r="O1880" s="6">
        <f>Table1[[#This Row],[Revenue]]-Table1[[#This Row],[Disc_amount]]</f>
        <v>1619.1</v>
      </c>
      <c r="P1880" t="s">
        <v>26</v>
      </c>
      <c r="Q1880" t="s">
        <v>27</v>
      </c>
    </row>
    <row r="1881" spans="1:17">
      <c r="A1881" t="s">
        <v>2722</v>
      </c>
      <c r="B1881" s="1" t="s">
        <v>2713</v>
      </c>
      <c r="C1881" s="1" t="s">
        <v>2480</v>
      </c>
      <c r="D1881" s="1" t="s">
        <v>20</v>
      </c>
      <c r="E1881" t="s">
        <v>461</v>
      </c>
      <c r="F1881" t="s">
        <v>462</v>
      </c>
      <c r="G1881" t="s">
        <v>31</v>
      </c>
      <c r="H1881" t="s">
        <v>39</v>
      </c>
      <c r="I1881" t="s">
        <v>40</v>
      </c>
      <c r="J1881">
        <v>1</v>
      </c>
      <c r="K1881">
        <v>599</v>
      </c>
      <c r="L1881">
        <f>Table1[[#This Row],[Quantity]] * Table1[[#This Row],[UnitPrice]]</f>
        <v>599</v>
      </c>
      <c r="M1881" s="25">
        <v>0</v>
      </c>
      <c r="N1881">
        <f>Table1[[#This Row],[Revenue]]*Table1[[#This Row],[Discount%]]/100</f>
        <v>0</v>
      </c>
      <c r="O1881" s="6">
        <f>Table1[[#This Row],[Revenue]]-Table1[[#This Row],[Disc_amount]]</f>
        <v>599</v>
      </c>
      <c r="P1881" t="s">
        <v>86</v>
      </c>
      <c r="Q1881" t="s">
        <v>34</v>
      </c>
    </row>
    <row r="1882" spans="1:17">
      <c r="A1882" t="s">
        <v>2723</v>
      </c>
      <c r="B1882" s="1" t="s">
        <v>2724</v>
      </c>
      <c r="C1882" s="1" t="s">
        <v>2480</v>
      </c>
      <c r="D1882" s="1" t="s">
        <v>20</v>
      </c>
      <c r="E1882" t="s">
        <v>995</v>
      </c>
      <c r="F1882" t="s">
        <v>900</v>
      </c>
      <c r="G1882" t="s">
        <v>31</v>
      </c>
      <c r="H1882" t="s">
        <v>70</v>
      </c>
      <c r="I1882" t="s">
        <v>91</v>
      </c>
      <c r="J1882">
        <v>3</v>
      </c>
      <c r="K1882">
        <v>549</v>
      </c>
      <c r="L1882">
        <f>Table1[[#This Row],[Quantity]] * Table1[[#This Row],[UnitPrice]]</f>
        <v>1647</v>
      </c>
      <c r="M1882" s="25">
        <v>15</v>
      </c>
      <c r="N1882">
        <f>Table1[[#This Row],[Revenue]]*Table1[[#This Row],[Discount%]]/100</f>
        <v>247.05</v>
      </c>
      <c r="O1882" s="6">
        <f>Table1[[#This Row],[Revenue]]-Table1[[#This Row],[Disc_amount]]</f>
        <v>1399.95</v>
      </c>
      <c r="P1882" t="s">
        <v>26</v>
      </c>
      <c r="Q1882" t="s">
        <v>27</v>
      </c>
    </row>
    <row r="1883" spans="1:17">
      <c r="A1883" t="s">
        <v>2725</v>
      </c>
      <c r="B1883" s="1" t="s">
        <v>2724</v>
      </c>
      <c r="C1883" s="1" t="s">
        <v>2480</v>
      </c>
      <c r="D1883" s="1" t="s">
        <v>20</v>
      </c>
      <c r="E1883" t="s">
        <v>959</v>
      </c>
      <c r="F1883" t="s">
        <v>960</v>
      </c>
      <c r="G1883" t="s">
        <v>23</v>
      </c>
      <c r="H1883" t="s">
        <v>24</v>
      </c>
      <c r="I1883" t="s">
        <v>32</v>
      </c>
      <c r="J1883">
        <v>1</v>
      </c>
      <c r="K1883">
        <v>199</v>
      </c>
      <c r="L1883">
        <f>Table1[[#This Row],[Quantity]] * Table1[[#This Row],[UnitPrice]]</f>
        <v>199</v>
      </c>
      <c r="M1883" s="25">
        <v>0</v>
      </c>
      <c r="N1883">
        <f>Table1[[#This Row],[Revenue]]*Table1[[#This Row],[Discount%]]/100</f>
        <v>0</v>
      </c>
      <c r="O1883" s="6">
        <f>Table1[[#This Row],[Revenue]]-Table1[[#This Row],[Disc_amount]]</f>
        <v>199</v>
      </c>
      <c r="P1883" t="s">
        <v>86</v>
      </c>
      <c r="Q1883" t="s">
        <v>27</v>
      </c>
    </row>
    <row r="1884" spans="1:17">
      <c r="A1884" t="s">
        <v>2726</v>
      </c>
      <c r="B1884" s="1" t="s">
        <v>2724</v>
      </c>
      <c r="C1884" s="1" t="s">
        <v>2480</v>
      </c>
      <c r="D1884" s="1" t="s">
        <v>20</v>
      </c>
      <c r="E1884" t="s">
        <v>1549</v>
      </c>
      <c r="F1884" t="s">
        <v>562</v>
      </c>
      <c r="G1884" t="s">
        <v>45</v>
      </c>
      <c r="H1884" t="s">
        <v>65</v>
      </c>
      <c r="I1884" t="s">
        <v>94</v>
      </c>
      <c r="J1884">
        <v>3</v>
      </c>
      <c r="K1884">
        <v>899</v>
      </c>
      <c r="L1884">
        <f>Table1[[#This Row],[Quantity]] * Table1[[#This Row],[UnitPrice]]</f>
        <v>2697</v>
      </c>
      <c r="M1884" s="25">
        <v>20</v>
      </c>
      <c r="N1884">
        <f>Table1[[#This Row],[Revenue]]*Table1[[#This Row],[Discount%]]/100</f>
        <v>539.4</v>
      </c>
      <c r="O1884" s="6">
        <f>Table1[[#This Row],[Revenue]]-Table1[[#This Row],[Disc_amount]]</f>
        <v>2157.6</v>
      </c>
      <c r="P1884" t="s">
        <v>26</v>
      </c>
      <c r="Q1884" t="s">
        <v>34</v>
      </c>
    </row>
    <row r="1885" spans="1:17">
      <c r="A1885" t="s">
        <v>2727</v>
      </c>
      <c r="B1885" s="1" t="s">
        <v>2724</v>
      </c>
      <c r="C1885" s="1" t="s">
        <v>2480</v>
      </c>
      <c r="D1885" s="1" t="s">
        <v>20</v>
      </c>
      <c r="E1885" t="s">
        <v>865</v>
      </c>
      <c r="F1885" t="s">
        <v>355</v>
      </c>
      <c r="G1885" t="s">
        <v>23</v>
      </c>
      <c r="H1885" t="s">
        <v>57</v>
      </c>
      <c r="I1885" t="s">
        <v>62</v>
      </c>
      <c r="J1885">
        <v>1</v>
      </c>
      <c r="K1885">
        <v>799</v>
      </c>
      <c r="L1885">
        <f>Table1[[#This Row],[Quantity]] * Table1[[#This Row],[UnitPrice]]</f>
        <v>799</v>
      </c>
      <c r="M1885" s="25">
        <v>0</v>
      </c>
      <c r="N1885">
        <f>Table1[[#This Row],[Revenue]]*Table1[[#This Row],[Discount%]]/100</f>
        <v>0</v>
      </c>
      <c r="O1885" s="6">
        <f>Table1[[#This Row],[Revenue]]-Table1[[#This Row],[Disc_amount]]</f>
        <v>799</v>
      </c>
      <c r="P1885" t="s">
        <v>33</v>
      </c>
      <c r="Q1885" t="s">
        <v>27</v>
      </c>
    </row>
    <row r="1886" spans="1:17">
      <c r="A1886" t="s">
        <v>2728</v>
      </c>
      <c r="B1886" s="1" t="s">
        <v>2724</v>
      </c>
      <c r="C1886" s="1" t="s">
        <v>2480</v>
      </c>
      <c r="D1886" s="1" t="s">
        <v>20</v>
      </c>
      <c r="E1886" t="s">
        <v>271</v>
      </c>
      <c r="F1886" t="s">
        <v>272</v>
      </c>
      <c r="G1886" t="s">
        <v>31</v>
      </c>
      <c r="H1886" t="s">
        <v>57</v>
      </c>
      <c r="I1886" t="s">
        <v>58</v>
      </c>
      <c r="J1886">
        <v>1</v>
      </c>
      <c r="K1886">
        <v>1299</v>
      </c>
      <c r="L1886">
        <f>Table1[[#This Row],[Quantity]] * Table1[[#This Row],[UnitPrice]]</f>
        <v>1299</v>
      </c>
      <c r="M1886" s="25">
        <v>5</v>
      </c>
      <c r="N1886">
        <f>Table1[[#This Row],[Revenue]]*Table1[[#This Row],[Discount%]]/100</f>
        <v>64.95</v>
      </c>
      <c r="O1886" s="6">
        <f>Table1[[#This Row],[Revenue]]-Table1[[#This Row],[Disc_amount]]</f>
        <v>1234.05</v>
      </c>
      <c r="P1886" t="s">
        <v>26</v>
      </c>
      <c r="Q1886" t="s">
        <v>34</v>
      </c>
    </row>
    <row r="1887" spans="1:17">
      <c r="A1887" t="s">
        <v>2729</v>
      </c>
      <c r="B1887" s="1" t="s">
        <v>2724</v>
      </c>
      <c r="C1887" s="1" t="s">
        <v>2480</v>
      </c>
      <c r="D1887" s="1" t="s">
        <v>20</v>
      </c>
      <c r="E1887" t="s">
        <v>238</v>
      </c>
      <c r="F1887" t="s">
        <v>239</v>
      </c>
      <c r="G1887" t="s">
        <v>56</v>
      </c>
      <c r="H1887" t="s">
        <v>39</v>
      </c>
      <c r="I1887" t="s">
        <v>140</v>
      </c>
      <c r="J1887">
        <v>4</v>
      </c>
      <c r="K1887">
        <v>1799</v>
      </c>
      <c r="L1887">
        <f>Table1[[#This Row],[Quantity]] * Table1[[#This Row],[UnitPrice]]</f>
        <v>7196</v>
      </c>
      <c r="M1887" s="25">
        <v>0</v>
      </c>
      <c r="N1887">
        <f>Table1[[#This Row],[Revenue]]*Table1[[#This Row],[Discount%]]/100</f>
        <v>0</v>
      </c>
      <c r="O1887" s="6">
        <f>Table1[[#This Row],[Revenue]]-Table1[[#This Row],[Disc_amount]]</f>
        <v>7196</v>
      </c>
      <c r="P1887" t="s">
        <v>52</v>
      </c>
      <c r="Q1887" t="s">
        <v>34</v>
      </c>
    </row>
    <row r="1888" spans="1:17">
      <c r="A1888" t="s">
        <v>2730</v>
      </c>
      <c r="B1888" s="1" t="s">
        <v>2724</v>
      </c>
      <c r="C1888" s="1" t="s">
        <v>2480</v>
      </c>
      <c r="D1888" s="1" t="s">
        <v>20</v>
      </c>
      <c r="E1888" t="s">
        <v>638</v>
      </c>
      <c r="F1888" t="s">
        <v>335</v>
      </c>
      <c r="G1888" t="s">
        <v>31</v>
      </c>
      <c r="H1888" t="s">
        <v>65</v>
      </c>
      <c r="I1888" t="s">
        <v>94</v>
      </c>
      <c r="J1888">
        <v>2</v>
      </c>
      <c r="K1888">
        <v>899</v>
      </c>
      <c r="L1888">
        <f>Table1[[#This Row],[Quantity]] * Table1[[#This Row],[UnitPrice]]</f>
        <v>1798</v>
      </c>
      <c r="M1888" s="25">
        <v>20</v>
      </c>
      <c r="N1888">
        <f>Table1[[#This Row],[Revenue]]*Table1[[#This Row],[Discount%]]/100</f>
        <v>359.6</v>
      </c>
      <c r="O1888" s="6">
        <f>Table1[[#This Row],[Revenue]]-Table1[[#This Row],[Disc_amount]]</f>
        <v>1438.4</v>
      </c>
      <c r="P1888" t="s">
        <v>41</v>
      </c>
      <c r="Q1888" t="s">
        <v>27</v>
      </c>
    </row>
    <row r="1889" spans="1:17">
      <c r="A1889" t="s">
        <v>2731</v>
      </c>
      <c r="B1889" s="1" t="s">
        <v>2724</v>
      </c>
      <c r="C1889" s="1" t="s">
        <v>2480</v>
      </c>
      <c r="D1889" s="1" t="s">
        <v>20</v>
      </c>
      <c r="E1889" t="s">
        <v>472</v>
      </c>
      <c r="F1889" t="s">
        <v>473</v>
      </c>
      <c r="G1889" t="s">
        <v>31</v>
      </c>
      <c r="H1889" t="s">
        <v>57</v>
      </c>
      <c r="I1889" t="s">
        <v>62</v>
      </c>
      <c r="J1889">
        <v>2</v>
      </c>
      <c r="K1889">
        <v>799</v>
      </c>
      <c r="L1889">
        <f>Table1[[#This Row],[Quantity]] * Table1[[#This Row],[UnitPrice]]</f>
        <v>1598</v>
      </c>
      <c r="M1889" s="25">
        <v>10</v>
      </c>
      <c r="N1889">
        <f>Table1[[#This Row],[Revenue]]*Table1[[#This Row],[Discount%]]/100</f>
        <v>159.80000000000001</v>
      </c>
      <c r="O1889" s="6">
        <f>Table1[[#This Row],[Revenue]]-Table1[[#This Row],[Disc_amount]]</f>
        <v>1438.2</v>
      </c>
      <c r="P1889" t="s">
        <v>52</v>
      </c>
      <c r="Q1889" t="s">
        <v>34</v>
      </c>
    </row>
    <row r="1890" spans="1:17">
      <c r="A1890" t="s">
        <v>2732</v>
      </c>
      <c r="B1890" s="1" t="s">
        <v>2724</v>
      </c>
      <c r="C1890" s="1" t="s">
        <v>2480</v>
      </c>
      <c r="D1890" s="1" t="s">
        <v>20</v>
      </c>
      <c r="E1890" t="s">
        <v>1289</v>
      </c>
      <c r="F1890" t="s">
        <v>759</v>
      </c>
      <c r="G1890" t="s">
        <v>31</v>
      </c>
      <c r="H1890" t="s">
        <v>46</v>
      </c>
      <c r="I1890" t="s">
        <v>47</v>
      </c>
      <c r="J1890">
        <v>4</v>
      </c>
      <c r="K1890">
        <v>249</v>
      </c>
      <c r="L1890">
        <f>Table1[[#This Row],[Quantity]] * Table1[[#This Row],[UnitPrice]]</f>
        <v>996</v>
      </c>
      <c r="M1890" s="25">
        <v>10</v>
      </c>
      <c r="N1890">
        <f>Table1[[#This Row],[Revenue]]*Table1[[#This Row],[Discount%]]/100</f>
        <v>99.6</v>
      </c>
      <c r="O1890" s="6">
        <f>Table1[[#This Row],[Revenue]]-Table1[[#This Row],[Disc_amount]]</f>
        <v>896.4</v>
      </c>
      <c r="P1890" t="s">
        <v>52</v>
      </c>
      <c r="Q1890" t="s">
        <v>27</v>
      </c>
    </row>
    <row r="1891" spans="1:17">
      <c r="A1891" t="s">
        <v>2733</v>
      </c>
      <c r="B1891" s="1" t="s">
        <v>2724</v>
      </c>
      <c r="C1891" s="1" t="s">
        <v>2480</v>
      </c>
      <c r="D1891" s="1" t="s">
        <v>20</v>
      </c>
      <c r="E1891" t="s">
        <v>498</v>
      </c>
      <c r="F1891" t="s">
        <v>358</v>
      </c>
      <c r="G1891" t="s">
        <v>45</v>
      </c>
      <c r="H1891" t="s">
        <v>39</v>
      </c>
      <c r="I1891" t="s">
        <v>40</v>
      </c>
      <c r="J1891">
        <v>2</v>
      </c>
      <c r="K1891">
        <v>599</v>
      </c>
      <c r="L1891">
        <f>Table1[[#This Row],[Quantity]] * Table1[[#This Row],[UnitPrice]]</f>
        <v>1198</v>
      </c>
      <c r="M1891" s="25">
        <v>0</v>
      </c>
      <c r="N1891">
        <f>Table1[[#This Row],[Revenue]]*Table1[[#This Row],[Discount%]]/100</f>
        <v>0</v>
      </c>
      <c r="O1891" s="6">
        <f>Table1[[#This Row],[Revenue]]-Table1[[#This Row],[Disc_amount]]</f>
        <v>1198</v>
      </c>
      <c r="P1891" t="s">
        <v>41</v>
      </c>
      <c r="Q1891" t="s">
        <v>27</v>
      </c>
    </row>
    <row r="1892" spans="1:17">
      <c r="A1892" t="s">
        <v>2734</v>
      </c>
      <c r="B1892" s="1" t="s">
        <v>2724</v>
      </c>
      <c r="C1892" s="1" t="s">
        <v>2480</v>
      </c>
      <c r="D1892" s="1" t="s">
        <v>20</v>
      </c>
      <c r="E1892" t="s">
        <v>1585</v>
      </c>
      <c r="F1892" t="s">
        <v>298</v>
      </c>
      <c r="G1892" t="s">
        <v>31</v>
      </c>
      <c r="H1892" t="s">
        <v>39</v>
      </c>
      <c r="I1892" t="s">
        <v>51</v>
      </c>
      <c r="J1892">
        <v>1</v>
      </c>
      <c r="K1892">
        <v>2999</v>
      </c>
      <c r="L1892">
        <f>Table1[[#This Row],[Quantity]] * Table1[[#This Row],[UnitPrice]]</f>
        <v>2999</v>
      </c>
      <c r="M1892" s="25">
        <v>10</v>
      </c>
      <c r="N1892">
        <f>Table1[[#This Row],[Revenue]]*Table1[[#This Row],[Discount%]]/100</f>
        <v>299.89999999999998</v>
      </c>
      <c r="O1892" s="6">
        <f>Table1[[#This Row],[Revenue]]-Table1[[#This Row],[Disc_amount]]</f>
        <v>2699.1</v>
      </c>
      <c r="P1892" t="s">
        <v>41</v>
      </c>
      <c r="Q1892" t="s">
        <v>27</v>
      </c>
    </row>
    <row r="1893" spans="1:17">
      <c r="A1893" t="s">
        <v>2735</v>
      </c>
      <c r="B1893" s="1" t="s">
        <v>2724</v>
      </c>
      <c r="C1893" s="1" t="s">
        <v>2480</v>
      </c>
      <c r="D1893" s="1" t="s">
        <v>20</v>
      </c>
      <c r="E1893" t="s">
        <v>545</v>
      </c>
      <c r="F1893" t="s">
        <v>546</v>
      </c>
      <c r="G1893" t="s">
        <v>23</v>
      </c>
      <c r="H1893" t="s">
        <v>65</v>
      </c>
      <c r="I1893" t="s">
        <v>94</v>
      </c>
      <c r="J1893">
        <v>2</v>
      </c>
      <c r="K1893">
        <v>899</v>
      </c>
      <c r="L1893">
        <f>Table1[[#This Row],[Quantity]] * Table1[[#This Row],[UnitPrice]]</f>
        <v>1798</v>
      </c>
      <c r="M1893" s="25">
        <v>0</v>
      </c>
      <c r="N1893">
        <f>Table1[[#This Row],[Revenue]]*Table1[[#This Row],[Discount%]]/100</f>
        <v>0</v>
      </c>
      <c r="O1893" s="6">
        <f>Table1[[#This Row],[Revenue]]-Table1[[#This Row],[Disc_amount]]</f>
        <v>1798</v>
      </c>
      <c r="P1893" t="s">
        <v>33</v>
      </c>
      <c r="Q1893" t="s">
        <v>34</v>
      </c>
    </row>
    <row r="1894" spans="1:17">
      <c r="A1894" t="s">
        <v>2736</v>
      </c>
      <c r="B1894" s="1" t="s">
        <v>2737</v>
      </c>
      <c r="C1894" s="1" t="s">
        <v>2480</v>
      </c>
      <c r="D1894" s="1" t="s">
        <v>20</v>
      </c>
      <c r="E1894" t="s">
        <v>603</v>
      </c>
      <c r="F1894" t="s">
        <v>604</v>
      </c>
      <c r="G1894" t="s">
        <v>23</v>
      </c>
      <c r="H1894" t="s">
        <v>24</v>
      </c>
      <c r="I1894" t="s">
        <v>25</v>
      </c>
      <c r="J1894">
        <v>1</v>
      </c>
      <c r="K1894">
        <v>99</v>
      </c>
      <c r="L1894">
        <f>Table1[[#This Row],[Quantity]] * Table1[[#This Row],[UnitPrice]]</f>
        <v>99</v>
      </c>
      <c r="M1894" s="25">
        <v>0</v>
      </c>
      <c r="N1894">
        <f>Table1[[#This Row],[Revenue]]*Table1[[#This Row],[Discount%]]/100</f>
        <v>0</v>
      </c>
      <c r="O1894" s="6">
        <f>Table1[[#This Row],[Revenue]]-Table1[[#This Row],[Disc_amount]]</f>
        <v>99</v>
      </c>
      <c r="P1894" t="s">
        <v>26</v>
      </c>
      <c r="Q1894" t="s">
        <v>27</v>
      </c>
    </row>
    <row r="1895" spans="1:17">
      <c r="A1895" t="s">
        <v>2738</v>
      </c>
      <c r="B1895" s="1" t="s">
        <v>2737</v>
      </c>
      <c r="C1895" s="1" t="s">
        <v>2480</v>
      </c>
      <c r="D1895" s="1" t="s">
        <v>20</v>
      </c>
      <c r="E1895" t="s">
        <v>979</v>
      </c>
      <c r="F1895" t="s">
        <v>604</v>
      </c>
      <c r="G1895" t="s">
        <v>56</v>
      </c>
      <c r="H1895" t="s">
        <v>39</v>
      </c>
      <c r="I1895" t="s">
        <v>40</v>
      </c>
      <c r="J1895">
        <v>1</v>
      </c>
      <c r="K1895">
        <v>599</v>
      </c>
      <c r="L1895">
        <f>Table1[[#This Row],[Quantity]] * Table1[[#This Row],[UnitPrice]]</f>
        <v>599</v>
      </c>
      <c r="M1895" s="25">
        <v>0</v>
      </c>
      <c r="N1895">
        <f>Table1[[#This Row],[Revenue]]*Table1[[#This Row],[Discount%]]/100</f>
        <v>0</v>
      </c>
      <c r="O1895" s="6">
        <f>Table1[[#This Row],[Revenue]]-Table1[[#This Row],[Disc_amount]]</f>
        <v>599</v>
      </c>
      <c r="P1895" t="s">
        <v>52</v>
      </c>
      <c r="Q1895" t="s">
        <v>27</v>
      </c>
    </row>
    <row r="1896" spans="1:17">
      <c r="A1896" t="s">
        <v>2739</v>
      </c>
      <c r="B1896" s="1" t="s">
        <v>2737</v>
      </c>
      <c r="C1896" s="1" t="s">
        <v>2480</v>
      </c>
      <c r="D1896" s="1" t="s">
        <v>20</v>
      </c>
      <c r="E1896" t="s">
        <v>278</v>
      </c>
      <c r="F1896" t="s">
        <v>279</v>
      </c>
      <c r="G1896" t="s">
        <v>45</v>
      </c>
      <c r="H1896" t="s">
        <v>108</v>
      </c>
      <c r="I1896" t="s">
        <v>109</v>
      </c>
      <c r="J1896">
        <v>1</v>
      </c>
      <c r="K1896">
        <v>1499</v>
      </c>
      <c r="L1896">
        <f>Table1[[#This Row],[Quantity]] * Table1[[#This Row],[UnitPrice]]</f>
        <v>1499</v>
      </c>
      <c r="M1896" s="25">
        <v>0</v>
      </c>
      <c r="N1896">
        <f>Table1[[#This Row],[Revenue]]*Table1[[#This Row],[Discount%]]/100</f>
        <v>0</v>
      </c>
      <c r="O1896" s="6">
        <f>Table1[[#This Row],[Revenue]]-Table1[[#This Row],[Disc_amount]]</f>
        <v>1499</v>
      </c>
      <c r="P1896" t="s">
        <v>33</v>
      </c>
      <c r="Q1896" t="s">
        <v>34</v>
      </c>
    </row>
    <row r="1897" spans="1:17">
      <c r="A1897" t="s">
        <v>2740</v>
      </c>
      <c r="B1897" s="1" t="s">
        <v>2737</v>
      </c>
      <c r="C1897" s="1" t="s">
        <v>2480</v>
      </c>
      <c r="D1897" s="1" t="s">
        <v>20</v>
      </c>
      <c r="E1897" t="s">
        <v>835</v>
      </c>
      <c r="F1897" t="s">
        <v>836</v>
      </c>
      <c r="G1897" t="s">
        <v>23</v>
      </c>
      <c r="H1897" t="s">
        <v>39</v>
      </c>
      <c r="I1897" t="s">
        <v>140</v>
      </c>
      <c r="J1897">
        <v>1</v>
      </c>
      <c r="K1897">
        <v>1799</v>
      </c>
      <c r="L1897">
        <f>Table1[[#This Row],[Quantity]] * Table1[[#This Row],[UnitPrice]]</f>
        <v>1799</v>
      </c>
      <c r="M1897" s="25">
        <v>0</v>
      </c>
      <c r="N1897">
        <f>Table1[[#This Row],[Revenue]]*Table1[[#This Row],[Discount%]]/100</f>
        <v>0</v>
      </c>
      <c r="O1897" s="6">
        <f>Table1[[#This Row],[Revenue]]-Table1[[#This Row],[Disc_amount]]</f>
        <v>1799</v>
      </c>
      <c r="P1897" t="s">
        <v>33</v>
      </c>
      <c r="Q1897" t="s">
        <v>34</v>
      </c>
    </row>
    <row r="1898" spans="1:17">
      <c r="A1898" t="s">
        <v>2741</v>
      </c>
      <c r="B1898" s="1" t="s">
        <v>2737</v>
      </c>
      <c r="C1898" s="1" t="s">
        <v>2480</v>
      </c>
      <c r="D1898" s="1" t="s">
        <v>20</v>
      </c>
      <c r="E1898" t="s">
        <v>172</v>
      </c>
      <c r="F1898" t="s">
        <v>173</v>
      </c>
      <c r="G1898" t="s">
        <v>31</v>
      </c>
      <c r="H1898" t="s">
        <v>46</v>
      </c>
      <c r="I1898" t="s">
        <v>154</v>
      </c>
      <c r="J1898">
        <v>5</v>
      </c>
      <c r="K1898">
        <v>299</v>
      </c>
      <c r="L1898">
        <f>Table1[[#This Row],[Quantity]] * Table1[[#This Row],[UnitPrice]]</f>
        <v>1495</v>
      </c>
      <c r="M1898" s="25">
        <v>0</v>
      </c>
      <c r="N1898">
        <f>Table1[[#This Row],[Revenue]]*Table1[[#This Row],[Discount%]]/100</f>
        <v>0</v>
      </c>
      <c r="O1898" s="6">
        <f>Table1[[#This Row],[Revenue]]-Table1[[#This Row],[Disc_amount]]</f>
        <v>1495</v>
      </c>
      <c r="P1898" t="s">
        <v>41</v>
      </c>
      <c r="Q1898" t="s">
        <v>27</v>
      </c>
    </row>
    <row r="1899" spans="1:17">
      <c r="A1899" t="s">
        <v>2742</v>
      </c>
      <c r="B1899" s="1" t="s">
        <v>2737</v>
      </c>
      <c r="C1899" s="1" t="s">
        <v>2480</v>
      </c>
      <c r="D1899" s="1" t="s">
        <v>20</v>
      </c>
      <c r="E1899" t="s">
        <v>310</v>
      </c>
      <c r="F1899" t="s">
        <v>311</v>
      </c>
      <c r="G1899" t="s">
        <v>38</v>
      </c>
      <c r="H1899" t="s">
        <v>24</v>
      </c>
      <c r="I1899" t="s">
        <v>32</v>
      </c>
      <c r="J1899">
        <v>3</v>
      </c>
      <c r="K1899">
        <v>199</v>
      </c>
      <c r="L1899">
        <f>Table1[[#This Row],[Quantity]] * Table1[[#This Row],[UnitPrice]]</f>
        <v>597</v>
      </c>
      <c r="M1899" s="25">
        <v>15</v>
      </c>
      <c r="N1899">
        <f>Table1[[#This Row],[Revenue]]*Table1[[#This Row],[Discount%]]/100</f>
        <v>89.55</v>
      </c>
      <c r="O1899" s="6">
        <f>Table1[[#This Row],[Revenue]]-Table1[[#This Row],[Disc_amount]]</f>
        <v>507.45</v>
      </c>
      <c r="P1899" t="s">
        <v>26</v>
      </c>
      <c r="Q1899" t="s">
        <v>27</v>
      </c>
    </row>
    <row r="1900" spans="1:17">
      <c r="A1900" t="s">
        <v>2743</v>
      </c>
      <c r="B1900" s="1" t="s">
        <v>2737</v>
      </c>
      <c r="C1900" s="1" t="s">
        <v>2480</v>
      </c>
      <c r="D1900" s="1" t="s">
        <v>20</v>
      </c>
      <c r="E1900" t="s">
        <v>1395</v>
      </c>
      <c r="F1900" t="s">
        <v>1396</v>
      </c>
      <c r="G1900" t="s">
        <v>56</v>
      </c>
      <c r="H1900" t="s">
        <v>46</v>
      </c>
      <c r="I1900" t="s">
        <v>47</v>
      </c>
      <c r="J1900">
        <v>1</v>
      </c>
      <c r="K1900">
        <v>249</v>
      </c>
      <c r="L1900">
        <f>Table1[[#This Row],[Quantity]] * Table1[[#This Row],[UnitPrice]]</f>
        <v>249</v>
      </c>
      <c r="M1900" s="25">
        <v>5</v>
      </c>
      <c r="N1900">
        <f>Table1[[#This Row],[Revenue]]*Table1[[#This Row],[Discount%]]/100</f>
        <v>12.45</v>
      </c>
      <c r="O1900" s="6">
        <f>Table1[[#This Row],[Revenue]]-Table1[[#This Row],[Disc_amount]]</f>
        <v>236.55</v>
      </c>
      <c r="P1900" t="s">
        <v>33</v>
      </c>
      <c r="Q1900" t="s">
        <v>34</v>
      </c>
    </row>
    <row r="1901" spans="1:17">
      <c r="A1901" t="s">
        <v>2744</v>
      </c>
      <c r="B1901" s="1" t="s">
        <v>2745</v>
      </c>
      <c r="C1901" s="1" t="s">
        <v>2480</v>
      </c>
      <c r="D1901" s="1" t="s">
        <v>20</v>
      </c>
      <c r="E1901" t="s">
        <v>114</v>
      </c>
      <c r="F1901" t="s">
        <v>115</v>
      </c>
      <c r="G1901" t="s">
        <v>23</v>
      </c>
      <c r="H1901" t="s">
        <v>70</v>
      </c>
      <c r="I1901" t="s">
        <v>91</v>
      </c>
      <c r="J1901">
        <v>1</v>
      </c>
      <c r="K1901">
        <v>549</v>
      </c>
      <c r="L1901">
        <f>Table1[[#This Row],[Quantity]] * Table1[[#This Row],[UnitPrice]]</f>
        <v>549</v>
      </c>
      <c r="M1901" s="25">
        <v>0</v>
      </c>
      <c r="N1901">
        <f>Table1[[#This Row],[Revenue]]*Table1[[#This Row],[Discount%]]/100</f>
        <v>0</v>
      </c>
      <c r="O1901" s="6">
        <f>Table1[[#This Row],[Revenue]]-Table1[[#This Row],[Disc_amount]]</f>
        <v>549</v>
      </c>
      <c r="P1901" t="s">
        <v>26</v>
      </c>
      <c r="Q1901" t="s">
        <v>34</v>
      </c>
    </row>
    <row r="1902" spans="1:17">
      <c r="A1902" t="s">
        <v>2746</v>
      </c>
      <c r="B1902" s="1" t="s">
        <v>2745</v>
      </c>
      <c r="C1902" s="1" t="s">
        <v>2480</v>
      </c>
      <c r="D1902" s="1" t="s">
        <v>20</v>
      </c>
      <c r="E1902" t="s">
        <v>2249</v>
      </c>
      <c r="F1902" t="s">
        <v>107</v>
      </c>
      <c r="G1902" t="s">
        <v>31</v>
      </c>
      <c r="H1902" t="s">
        <v>39</v>
      </c>
      <c r="I1902" t="s">
        <v>140</v>
      </c>
      <c r="J1902">
        <v>3</v>
      </c>
      <c r="K1902">
        <v>1799</v>
      </c>
      <c r="L1902">
        <f>Table1[[#This Row],[Quantity]] * Table1[[#This Row],[UnitPrice]]</f>
        <v>5397</v>
      </c>
      <c r="M1902" s="25">
        <v>5</v>
      </c>
      <c r="N1902">
        <f>Table1[[#This Row],[Revenue]]*Table1[[#This Row],[Discount%]]/100</f>
        <v>269.85000000000002</v>
      </c>
      <c r="O1902" s="6">
        <f>Table1[[#This Row],[Revenue]]-Table1[[#This Row],[Disc_amount]]</f>
        <v>5127.1499999999996</v>
      </c>
      <c r="P1902" t="s">
        <v>26</v>
      </c>
      <c r="Q1902" t="s">
        <v>27</v>
      </c>
    </row>
    <row r="1903" spans="1:17">
      <c r="A1903" t="s">
        <v>2747</v>
      </c>
      <c r="B1903" s="1" t="s">
        <v>2745</v>
      </c>
      <c r="C1903" s="1" t="s">
        <v>2480</v>
      </c>
      <c r="D1903" s="1" t="s">
        <v>20</v>
      </c>
      <c r="E1903" t="s">
        <v>2177</v>
      </c>
      <c r="F1903" t="s">
        <v>203</v>
      </c>
      <c r="G1903" t="s">
        <v>31</v>
      </c>
      <c r="H1903" t="s">
        <v>46</v>
      </c>
      <c r="I1903" t="s">
        <v>47</v>
      </c>
      <c r="J1903">
        <v>3</v>
      </c>
      <c r="K1903">
        <v>249</v>
      </c>
      <c r="L1903">
        <f>Table1[[#This Row],[Quantity]] * Table1[[#This Row],[UnitPrice]]</f>
        <v>747</v>
      </c>
      <c r="M1903" s="25">
        <v>15</v>
      </c>
      <c r="N1903">
        <f>Table1[[#This Row],[Revenue]]*Table1[[#This Row],[Discount%]]/100</f>
        <v>112.05</v>
      </c>
      <c r="O1903" s="6">
        <f>Table1[[#This Row],[Revenue]]-Table1[[#This Row],[Disc_amount]]</f>
        <v>634.95000000000005</v>
      </c>
      <c r="P1903" t="s">
        <v>26</v>
      </c>
      <c r="Q1903" t="s">
        <v>34</v>
      </c>
    </row>
    <row r="1904" spans="1:17">
      <c r="A1904" t="s">
        <v>2748</v>
      </c>
      <c r="B1904" s="1" t="s">
        <v>2745</v>
      </c>
      <c r="C1904" s="1" t="s">
        <v>2480</v>
      </c>
      <c r="D1904" s="1" t="s">
        <v>20</v>
      </c>
      <c r="E1904" t="s">
        <v>761</v>
      </c>
      <c r="F1904" t="s">
        <v>44</v>
      </c>
      <c r="G1904" t="s">
        <v>56</v>
      </c>
      <c r="H1904" t="s">
        <v>57</v>
      </c>
      <c r="I1904" t="s">
        <v>62</v>
      </c>
      <c r="J1904">
        <v>1</v>
      </c>
      <c r="K1904">
        <v>799</v>
      </c>
      <c r="L1904">
        <f>Table1[[#This Row],[Quantity]] * Table1[[#This Row],[UnitPrice]]</f>
        <v>799</v>
      </c>
      <c r="M1904" s="25">
        <v>10</v>
      </c>
      <c r="N1904">
        <f>Table1[[#This Row],[Revenue]]*Table1[[#This Row],[Discount%]]/100</f>
        <v>79.900000000000006</v>
      </c>
      <c r="O1904" s="6">
        <f>Table1[[#This Row],[Revenue]]-Table1[[#This Row],[Disc_amount]]</f>
        <v>719.1</v>
      </c>
      <c r="P1904" t="s">
        <v>26</v>
      </c>
      <c r="Q1904" t="s">
        <v>34</v>
      </c>
    </row>
    <row r="1905" spans="1:17">
      <c r="A1905" t="s">
        <v>2749</v>
      </c>
      <c r="B1905" s="1" t="s">
        <v>2745</v>
      </c>
      <c r="C1905" s="1" t="s">
        <v>2480</v>
      </c>
      <c r="D1905" s="1" t="s">
        <v>20</v>
      </c>
      <c r="E1905" t="s">
        <v>1344</v>
      </c>
      <c r="F1905" t="s">
        <v>694</v>
      </c>
      <c r="G1905" t="s">
        <v>38</v>
      </c>
      <c r="H1905" t="s">
        <v>65</v>
      </c>
      <c r="I1905" t="s">
        <v>94</v>
      </c>
      <c r="J1905">
        <v>1</v>
      </c>
      <c r="K1905">
        <v>899</v>
      </c>
      <c r="L1905">
        <f>Table1[[#This Row],[Quantity]] * Table1[[#This Row],[UnitPrice]]</f>
        <v>899</v>
      </c>
      <c r="M1905" s="25">
        <v>20</v>
      </c>
      <c r="N1905">
        <f>Table1[[#This Row],[Revenue]]*Table1[[#This Row],[Discount%]]/100</f>
        <v>179.8</v>
      </c>
      <c r="O1905" s="6">
        <f>Table1[[#This Row],[Revenue]]-Table1[[#This Row],[Disc_amount]]</f>
        <v>719.2</v>
      </c>
      <c r="P1905" t="s">
        <v>41</v>
      </c>
      <c r="Q1905" t="s">
        <v>34</v>
      </c>
    </row>
    <row r="1906" spans="1:17">
      <c r="A1906" t="s">
        <v>2750</v>
      </c>
      <c r="B1906" s="1" t="s">
        <v>2745</v>
      </c>
      <c r="C1906" s="1" t="s">
        <v>2480</v>
      </c>
      <c r="D1906" s="1" t="s">
        <v>20</v>
      </c>
      <c r="E1906" t="s">
        <v>640</v>
      </c>
      <c r="F1906" t="s">
        <v>225</v>
      </c>
      <c r="G1906" t="s">
        <v>23</v>
      </c>
      <c r="H1906" t="s">
        <v>39</v>
      </c>
      <c r="I1906" t="s">
        <v>40</v>
      </c>
      <c r="J1906">
        <v>1</v>
      </c>
      <c r="K1906">
        <v>599</v>
      </c>
      <c r="L1906">
        <f>Table1[[#This Row],[Quantity]] * Table1[[#This Row],[UnitPrice]]</f>
        <v>599</v>
      </c>
      <c r="M1906" s="25">
        <v>5</v>
      </c>
      <c r="N1906">
        <f>Table1[[#This Row],[Revenue]]*Table1[[#This Row],[Discount%]]/100</f>
        <v>29.95</v>
      </c>
      <c r="O1906" s="6">
        <f>Table1[[#This Row],[Revenue]]-Table1[[#This Row],[Disc_amount]]</f>
        <v>569.04999999999995</v>
      </c>
      <c r="P1906" t="s">
        <v>41</v>
      </c>
      <c r="Q1906" t="s">
        <v>27</v>
      </c>
    </row>
    <row r="1907" spans="1:17">
      <c r="A1907" t="s">
        <v>2751</v>
      </c>
      <c r="B1907" s="1" t="s">
        <v>18</v>
      </c>
      <c r="C1907" s="1" t="s">
        <v>2752</v>
      </c>
      <c r="D1907" s="1" t="s">
        <v>20</v>
      </c>
      <c r="E1907" t="s">
        <v>2753</v>
      </c>
      <c r="F1907" t="s">
        <v>384</v>
      </c>
      <c r="G1907" t="s">
        <v>56</v>
      </c>
      <c r="H1907" t="s">
        <v>39</v>
      </c>
      <c r="I1907" t="s">
        <v>140</v>
      </c>
      <c r="J1907">
        <v>2</v>
      </c>
      <c r="K1907">
        <v>1799</v>
      </c>
      <c r="L1907">
        <f>Table1[[#This Row],[Quantity]] * Table1[[#This Row],[UnitPrice]]</f>
        <v>3598</v>
      </c>
      <c r="M1907" s="25">
        <v>15</v>
      </c>
      <c r="N1907">
        <f>Table1[[#This Row],[Revenue]]*Table1[[#This Row],[Discount%]]/100</f>
        <v>539.70000000000005</v>
      </c>
      <c r="O1907" s="6">
        <f>Table1[[#This Row],[Revenue]]-Table1[[#This Row],[Disc_amount]]</f>
        <v>3058.3</v>
      </c>
      <c r="P1907" t="s">
        <v>41</v>
      </c>
      <c r="Q1907" t="s">
        <v>27</v>
      </c>
    </row>
    <row r="1908" spans="1:17">
      <c r="A1908" t="s">
        <v>2754</v>
      </c>
      <c r="B1908" s="1" t="s">
        <v>18</v>
      </c>
      <c r="C1908" s="1" t="s">
        <v>2752</v>
      </c>
      <c r="D1908" s="1" t="s">
        <v>20</v>
      </c>
      <c r="E1908" t="s">
        <v>159</v>
      </c>
      <c r="F1908" t="s">
        <v>160</v>
      </c>
      <c r="G1908" t="s">
        <v>45</v>
      </c>
      <c r="H1908" t="s">
        <v>24</v>
      </c>
      <c r="I1908" t="s">
        <v>32</v>
      </c>
      <c r="J1908">
        <v>1</v>
      </c>
      <c r="K1908">
        <v>199</v>
      </c>
      <c r="L1908">
        <f>Table1[[#This Row],[Quantity]] * Table1[[#This Row],[UnitPrice]]</f>
        <v>199</v>
      </c>
      <c r="M1908" s="25">
        <v>30</v>
      </c>
      <c r="N1908">
        <f>Table1[[#This Row],[Revenue]]*Table1[[#This Row],[Discount%]]/100</f>
        <v>59.7</v>
      </c>
      <c r="O1908" s="6">
        <f>Table1[[#This Row],[Revenue]]-Table1[[#This Row],[Disc_amount]]</f>
        <v>139.30000000000001</v>
      </c>
      <c r="P1908" t="s">
        <v>41</v>
      </c>
      <c r="Q1908" t="s">
        <v>34</v>
      </c>
    </row>
    <row r="1909" spans="1:17">
      <c r="A1909" t="s">
        <v>2755</v>
      </c>
      <c r="B1909" s="1" t="s">
        <v>18</v>
      </c>
      <c r="C1909" s="1" t="s">
        <v>2752</v>
      </c>
      <c r="D1909" s="1" t="s">
        <v>20</v>
      </c>
      <c r="E1909" t="s">
        <v>811</v>
      </c>
      <c r="F1909" t="s">
        <v>166</v>
      </c>
      <c r="G1909" t="s">
        <v>31</v>
      </c>
      <c r="H1909" t="s">
        <v>65</v>
      </c>
      <c r="I1909" t="s">
        <v>66</v>
      </c>
      <c r="J1909">
        <v>2</v>
      </c>
      <c r="K1909">
        <v>1999</v>
      </c>
      <c r="L1909">
        <f>Table1[[#This Row],[Quantity]] * Table1[[#This Row],[UnitPrice]]</f>
        <v>3998</v>
      </c>
      <c r="M1909" s="25">
        <v>15</v>
      </c>
      <c r="N1909">
        <f>Table1[[#This Row],[Revenue]]*Table1[[#This Row],[Discount%]]/100</f>
        <v>599.70000000000005</v>
      </c>
      <c r="O1909" s="6">
        <f>Table1[[#This Row],[Revenue]]-Table1[[#This Row],[Disc_amount]]</f>
        <v>3398.3</v>
      </c>
      <c r="P1909" t="s">
        <v>33</v>
      </c>
      <c r="Q1909" t="s">
        <v>34</v>
      </c>
    </row>
    <row r="1910" spans="1:17">
      <c r="A1910" t="s">
        <v>2756</v>
      </c>
      <c r="B1910" s="1" t="s">
        <v>18</v>
      </c>
      <c r="C1910" s="1" t="s">
        <v>2752</v>
      </c>
      <c r="D1910" s="1" t="s">
        <v>20</v>
      </c>
      <c r="E1910" t="s">
        <v>1873</v>
      </c>
      <c r="F1910" t="s">
        <v>501</v>
      </c>
      <c r="G1910" t="s">
        <v>56</v>
      </c>
      <c r="H1910" t="s">
        <v>65</v>
      </c>
      <c r="I1910" t="s">
        <v>66</v>
      </c>
      <c r="J1910">
        <v>4</v>
      </c>
      <c r="K1910">
        <v>1999</v>
      </c>
      <c r="L1910">
        <f>Table1[[#This Row],[Quantity]] * Table1[[#This Row],[UnitPrice]]</f>
        <v>7996</v>
      </c>
      <c r="M1910" s="25">
        <v>25</v>
      </c>
      <c r="N1910">
        <f>Table1[[#This Row],[Revenue]]*Table1[[#This Row],[Discount%]]/100</f>
        <v>1999</v>
      </c>
      <c r="O1910" s="6">
        <f>Table1[[#This Row],[Revenue]]-Table1[[#This Row],[Disc_amount]]</f>
        <v>5997</v>
      </c>
      <c r="P1910" t="s">
        <v>26</v>
      </c>
      <c r="Q1910" t="s">
        <v>27</v>
      </c>
    </row>
    <row r="1911" spans="1:17">
      <c r="A1911" t="s">
        <v>2757</v>
      </c>
      <c r="B1911" s="1" t="s">
        <v>18</v>
      </c>
      <c r="C1911" s="1" t="s">
        <v>2752</v>
      </c>
      <c r="D1911" s="1" t="s">
        <v>20</v>
      </c>
      <c r="E1911" t="s">
        <v>2061</v>
      </c>
      <c r="F1911" t="s">
        <v>2062</v>
      </c>
      <c r="G1911" t="s">
        <v>45</v>
      </c>
      <c r="H1911" t="s">
        <v>24</v>
      </c>
      <c r="I1911" t="s">
        <v>25</v>
      </c>
      <c r="J1911">
        <v>1</v>
      </c>
      <c r="K1911">
        <v>99</v>
      </c>
      <c r="L1911">
        <f>Table1[[#This Row],[Quantity]] * Table1[[#This Row],[UnitPrice]]</f>
        <v>99</v>
      </c>
      <c r="M1911" s="25">
        <v>15</v>
      </c>
      <c r="N1911">
        <f>Table1[[#This Row],[Revenue]]*Table1[[#This Row],[Discount%]]/100</f>
        <v>14.85</v>
      </c>
      <c r="O1911" s="6">
        <f>Table1[[#This Row],[Revenue]]-Table1[[#This Row],[Disc_amount]]</f>
        <v>84.15</v>
      </c>
      <c r="P1911" t="s">
        <v>41</v>
      </c>
      <c r="Q1911" t="s">
        <v>27</v>
      </c>
    </row>
    <row r="1912" spans="1:17">
      <c r="A1912" t="s">
        <v>2758</v>
      </c>
      <c r="B1912" s="1" t="s">
        <v>18</v>
      </c>
      <c r="C1912" s="1" t="s">
        <v>2752</v>
      </c>
      <c r="D1912" s="1" t="s">
        <v>20</v>
      </c>
      <c r="E1912" t="s">
        <v>368</v>
      </c>
      <c r="F1912" t="s">
        <v>369</v>
      </c>
      <c r="G1912" t="s">
        <v>56</v>
      </c>
      <c r="H1912" t="s">
        <v>70</v>
      </c>
      <c r="I1912" t="s">
        <v>71</v>
      </c>
      <c r="J1912">
        <v>1</v>
      </c>
      <c r="K1912">
        <v>349</v>
      </c>
      <c r="L1912">
        <f>Table1[[#This Row],[Quantity]] * Table1[[#This Row],[UnitPrice]]</f>
        <v>349</v>
      </c>
      <c r="M1912" s="25">
        <v>15</v>
      </c>
      <c r="N1912">
        <f>Table1[[#This Row],[Revenue]]*Table1[[#This Row],[Discount%]]/100</f>
        <v>52.35</v>
      </c>
      <c r="O1912" s="6">
        <f>Table1[[#This Row],[Revenue]]-Table1[[#This Row],[Disc_amount]]</f>
        <v>296.64999999999998</v>
      </c>
      <c r="P1912" t="s">
        <v>26</v>
      </c>
      <c r="Q1912" t="s">
        <v>27</v>
      </c>
    </row>
    <row r="1913" spans="1:17">
      <c r="A1913" t="s">
        <v>2759</v>
      </c>
      <c r="B1913" s="1" t="s">
        <v>18</v>
      </c>
      <c r="C1913" s="1" t="s">
        <v>2752</v>
      </c>
      <c r="D1913" s="1" t="s">
        <v>20</v>
      </c>
      <c r="E1913" t="s">
        <v>888</v>
      </c>
      <c r="F1913" t="s">
        <v>698</v>
      </c>
      <c r="G1913" t="s">
        <v>23</v>
      </c>
      <c r="H1913" t="s">
        <v>108</v>
      </c>
      <c r="I1913" t="s">
        <v>109</v>
      </c>
      <c r="J1913">
        <v>1</v>
      </c>
      <c r="K1913">
        <v>1499</v>
      </c>
      <c r="L1913">
        <f>Table1[[#This Row],[Quantity]] * Table1[[#This Row],[UnitPrice]]</f>
        <v>1499</v>
      </c>
      <c r="M1913" s="25">
        <v>30</v>
      </c>
      <c r="N1913">
        <f>Table1[[#This Row],[Revenue]]*Table1[[#This Row],[Discount%]]/100</f>
        <v>449.7</v>
      </c>
      <c r="O1913" s="6">
        <f>Table1[[#This Row],[Revenue]]-Table1[[#This Row],[Disc_amount]]</f>
        <v>1049.3</v>
      </c>
      <c r="P1913" t="s">
        <v>33</v>
      </c>
      <c r="Q1913" t="s">
        <v>27</v>
      </c>
    </row>
    <row r="1914" spans="1:17">
      <c r="A1914" t="s">
        <v>2760</v>
      </c>
      <c r="B1914" s="1" t="s">
        <v>18</v>
      </c>
      <c r="C1914" s="1" t="s">
        <v>2752</v>
      </c>
      <c r="D1914" s="1" t="s">
        <v>20</v>
      </c>
      <c r="E1914" t="s">
        <v>2061</v>
      </c>
      <c r="F1914" t="s">
        <v>2062</v>
      </c>
      <c r="G1914" t="s">
        <v>45</v>
      </c>
      <c r="H1914" t="s">
        <v>57</v>
      </c>
      <c r="I1914" t="s">
        <v>62</v>
      </c>
      <c r="J1914">
        <v>2</v>
      </c>
      <c r="K1914">
        <v>799</v>
      </c>
      <c r="L1914">
        <f>Table1[[#This Row],[Quantity]] * Table1[[#This Row],[UnitPrice]]</f>
        <v>1598</v>
      </c>
      <c r="M1914" s="25">
        <v>10</v>
      </c>
      <c r="N1914">
        <f>Table1[[#This Row],[Revenue]]*Table1[[#This Row],[Discount%]]/100</f>
        <v>159.80000000000001</v>
      </c>
      <c r="O1914" s="6">
        <f>Table1[[#This Row],[Revenue]]-Table1[[#This Row],[Disc_amount]]</f>
        <v>1438.2</v>
      </c>
      <c r="P1914" t="s">
        <v>86</v>
      </c>
      <c r="Q1914" t="s">
        <v>34</v>
      </c>
    </row>
    <row r="1915" spans="1:17">
      <c r="A1915" t="s">
        <v>2761</v>
      </c>
      <c r="B1915" s="1" t="s">
        <v>64</v>
      </c>
      <c r="C1915" s="1" t="s">
        <v>2752</v>
      </c>
      <c r="D1915" s="1" t="s">
        <v>20</v>
      </c>
      <c r="E1915" t="s">
        <v>1772</v>
      </c>
      <c r="F1915" t="s">
        <v>1292</v>
      </c>
      <c r="G1915" t="s">
        <v>45</v>
      </c>
      <c r="H1915" t="s">
        <v>57</v>
      </c>
      <c r="I1915" t="s">
        <v>62</v>
      </c>
      <c r="J1915">
        <v>1</v>
      </c>
      <c r="K1915">
        <v>799</v>
      </c>
      <c r="L1915">
        <f>Table1[[#This Row],[Quantity]] * Table1[[#This Row],[UnitPrice]]</f>
        <v>799</v>
      </c>
      <c r="M1915" s="25">
        <v>5</v>
      </c>
      <c r="N1915">
        <f>Table1[[#This Row],[Revenue]]*Table1[[#This Row],[Discount%]]/100</f>
        <v>39.950000000000003</v>
      </c>
      <c r="O1915" s="6">
        <f>Table1[[#This Row],[Revenue]]-Table1[[#This Row],[Disc_amount]]</f>
        <v>759.05</v>
      </c>
      <c r="P1915" t="s">
        <v>52</v>
      </c>
      <c r="Q1915" t="s">
        <v>34</v>
      </c>
    </row>
    <row r="1916" spans="1:17">
      <c r="A1916" t="s">
        <v>2762</v>
      </c>
      <c r="B1916" s="1" t="s">
        <v>64</v>
      </c>
      <c r="C1916" s="1" t="s">
        <v>2752</v>
      </c>
      <c r="D1916" s="1" t="s">
        <v>20</v>
      </c>
      <c r="E1916" t="s">
        <v>787</v>
      </c>
      <c r="F1916" t="s">
        <v>788</v>
      </c>
      <c r="G1916" t="s">
        <v>56</v>
      </c>
      <c r="H1916" t="s">
        <v>46</v>
      </c>
      <c r="I1916" t="s">
        <v>47</v>
      </c>
      <c r="J1916">
        <v>1</v>
      </c>
      <c r="K1916">
        <v>249</v>
      </c>
      <c r="L1916">
        <f>Table1[[#This Row],[Quantity]] * Table1[[#This Row],[UnitPrice]]</f>
        <v>249</v>
      </c>
      <c r="M1916" s="25">
        <v>0</v>
      </c>
      <c r="N1916">
        <f>Table1[[#This Row],[Revenue]]*Table1[[#This Row],[Discount%]]/100</f>
        <v>0</v>
      </c>
      <c r="O1916" s="6">
        <f>Table1[[#This Row],[Revenue]]-Table1[[#This Row],[Disc_amount]]</f>
        <v>249</v>
      </c>
      <c r="P1916" t="s">
        <v>33</v>
      </c>
      <c r="Q1916" t="s">
        <v>34</v>
      </c>
    </row>
    <row r="1917" spans="1:17">
      <c r="A1917" t="s">
        <v>2763</v>
      </c>
      <c r="B1917" s="1" t="s">
        <v>64</v>
      </c>
      <c r="C1917" s="1" t="s">
        <v>2752</v>
      </c>
      <c r="D1917" s="1" t="s">
        <v>20</v>
      </c>
      <c r="E1917" t="s">
        <v>886</v>
      </c>
      <c r="F1917" t="s">
        <v>74</v>
      </c>
      <c r="G1917" t="s">
        <v>45</v>
      </c>
      <c r="H1917" t="s">
        <v>57</v>
      </c>
      <c r="I1917" t="s">
        <v>58</v>
      </c>
      <c r="J1917">
        <v>1</v>
      </c>
      <c r="K1917">
        <v>1299</v>
      </c>
      <c r="L1917">
        <f>Table1[[#This Row],[Quantity]] * Table1[[#This Row],[UnitPrice]]</f>
        <v>1299</v>
      </c>
      <c r="M1917" s="25">
        <v>25</v>
      </c>
      <c r="N1917">
        <f>Table1[[#This Row],[Revenue]]*Table1[[#This Row],[Discount%]]/100</f>
        <v>324.75</v>
      </c>
      <c r="O1917" s="6">
        <f>Table1[[#This Row],[Revenue]]-Table1[[#This Row],[Disc_amount]]</f>
        <v>974.25</v>
      </c>
      <c r="P1917" t="s">
        <v>86</v>
      </c>
      <c r="Q1917" t="s">
        <v>34</v>
      </c>
    </row>
    <row r="1918" spans="1:17">
      <c r="A1918" t="s">
        <v>2764</v>
      </c>
      <c r="B1918" s="1" t="s">
        <v>64</v>
      </c>
      <c r="C1918" s="1" t="s">
        <v>2752</v>
      </c>
      <c r="D1918" s="1" t="s">
        <v>20</v>
      </c>
      <c r="E1918" t="s">
        <v>536</v>
      </c>
      <c r="F1918" t="s">
        <v>295</v>
      </c>
      <c r="G1918" t="s">
        <v>56</v>
      </c>
      <c r="H1918" t="s">
        <v>65</v>
      </c>
      <c r="I1918" t="s">
        <v>66</v>
      </c>
      <c r="J1918">
        <v>2</v>
      </c>
      <c r="K1918">
        <v>1999</v>
      </c>
      <c r="L1918">
        <f>Table1[[#This Row],[Quantity]] * Table1[[#This Row],[UnitPrice]]</f>
        <v>3998</v>
      </c>
      <c r="M1918" s="25">
        <v>0</v>
      </c>
      <c r="N1918">
        <f>Table1[[#This Row],[Revenue]]*Table1[[#This Row],[Discount%]]/100</f>
        <v>0</v>
      </c>
      <c r="O1918" s="6">
        <f>Table1[[#This Row],[Revenue]]-Table1[[#This Row],[Disc_amount]]</f>
        <v>3998</v>
      </c>
      <c r="P1918" t="s">
        <v>26</v>
      </c>
      <c r="Q1918" t="s">
        <v>34</v>
      </c>
    </row>
    <row r="1919" spans="1:17">
      <c r="A1919" t="s">
        <v>2765</v>
      </c>
      <c r="B1919" s="1" t="s">
        <v>64</v>
      </c>
      <c r="C1919" s="1" t="s">
        <v>2752</v>
      </c>
      <c r="D1919" s="1" t="s">
        <v>20</v>
      </c>
      <c r="E1919" t="s">
        <v>405</v>
      </c>
      <c r="F1919" t="s">
        <v>248</v>
      </c>
      <c r="G1919" t="s">
        <v>23</v>
      </c>
      <c r="H1919" t="s">
        <v>24</v>
      </c>
      <c r="I1919" t="s">
        <v>25</v>
      </c>
      <c r="J1919">
        <v>3</v>
      </c>
      <c r="K1919">
        <v>99</v>
      </c>
      <c r="L1919">
        <f>Table1[[#This Row],[Quantity]] * Table1[[#This Row],[UnitPrice]]</f>
        <v>297</v>
      </c>
      <c r="M1919" s="25">
        <v>30</v>
      </c>
      <c r="N1919">
        <f>Table1[[#This Row],[Revenue]]*Table1[[#This Row],[Discount%]]/100</f>
        <v>89.1</v>
      </c>
      <c r="O1919" s="6">
        <f>Table1[[#This Row],[Revenue]]-Table1[[#This Row],[Disc_amount]]</f>
        <v>207.9</v>
      </c>
      <c r="P1919" t="s">
        <v>41</v>
      </c>
      <c r="Q1919" t="s">
        <v>34</v>
      </c>
    </row>
    <row r="1920" spans="1:17">
      <c r="A1920" t="s">
        <v>2766</v>
      </c>
      <c r="B1920" s="1" t="s">
        <v>64</v>
      </c>
      <c r="C1920" s="1" t="s">
        <v>2752</v>
      </c>
      <c r="D1920" s="1" t="s">
        <v>20</v>
      </c>
      <c r="E1920" t="s">
        <v>159</v>
      </c>
      <c r="F1920" t="s">
        <v>160</v>
      </c>
      <c r="G1920" t="s">
        <v>45</v>
      </c>
      <c r="H1920" t="s">
        <v>24</v>
      </c>
      <c r="I1920" t="s">
        <v>32</v>
      </c>
      <c r="J1920">
        <v>1</v>
      </c>
      <c r="K1920">
        <v>199</v>
      </c>
      <c r="L1920">
        <f>Table1[[#This Row],[Quantity]] * Table1[[#This Row],[UnitPrice]]</f>
        <v>199</v>
      </c>
      <c r="M1920" s="25">
        <v>30</v>
      </c>
      <c r="N1920">
        <f>Table1[[#This Row],[Revenue]]*Table1[[#This Row],[Discount%]]/100</f>
        <v>59.7</v>
      </c>
      <c r="O1920" s="6">
        <f>Table1[[#This Row],[Revenue]]-Table1[[#This Row],[Disc_amount]]</f>
        <v>139.30000000000001</v>
      </c>
      <c r="P1920" t="s">
        <v>33</v>
      </c>
      <c r="Q1920" t="s">
        <v>27</v>
      </c>
    </row>
    <row r="1921" spans="1:17">
      <c r="A1921" t="s">
        <v>2767</v>
      </c>
      <c r="B1921" s="1" t="s">
        <v>64</v>
      </c>
      <c r="C1921" s="1" t="s">
        <v>2752</v>
      </c>
      <c r="D1921" s="1" t="s">
        <v>20</v>
      </c>
      <c r="E1921" t="s">
        <v>1176</v>
      </c>
      <c r="F1921" t="s">
        <v>173</v>
      </c>
      <c r="G1921" t="s">
        <v>45</v>
      </c>
      <c r="H1921" t="s">
        <v>108</v>
      </c>
      <c r="I1921" t="s">
        <v>130</v>
      </c>
      <c r="J1921">
        <v>2</v>
      </c>
      <c r="K1921">
        <v>699</v>
      </c>
      <c r="L1921">
        <f>Table1[[#This Row],[Quantity]] * Table1[[#This Row],[UnitPrice]]</f>
        <v>1398</v>
      </c>
      <c r="M1921" s="25">
        <v>25</v>
      </c>
      <c r="N1921">
        <f>Table1[[#This Row],[Revenue]]*Table1[[#This Row],[Discount%]]/100</f>
        <v>349.5</v>
      </c>
      <c r="O1921" s="6">
        <f>Table1[[#This Row],[Revenue]]-Table1[[#This Row],[Disc_amount]]</f>
        <v>1048.5</v>
      </c>
      <c r="P1921" t="s">
        <v>33</v>
      </c>
      <c r="Q1921" t="s">
        <v>34</v>
      </c>
    </row>
    <row r="1922" spans="1:17">
      <c r="A1922" t="s">
        <v>2768</v>
      </c>
      <c r="B1922" s="1" t="s">
        <v>64</v>
      </c>
      <c r="C1922" s="1" t="s">
        <v>2752</v>
      </c>
      <c r="D1922" s="1" t="s">
        <v>20</v>
      </c>
      <c r="E1922" t="s">
        <v>2039</v>
      </c>
      <c r="F1922" t="s">
        <v>358</v>
      </c>
      <c r="G1922" t="s">
        <v>45</v>
      </c>
      <c r="H1922" t="s">
        <v>65</v>
      </c>
      <c r="I1922" t="s">
        <v>94</v>
      </c>
      <c r="J1922">
        <v>1</v>
      </c>
      <c r="K1922">
        <v>899</v>
      </c>
      <c r="L1922">
        <f>Table1[[#This Row],[Quantity]] * Table1[[#This Row],[UnitPrice]]</f>
        <v>899</v>
      </c>
      <c r="M1922" s="25">
        <v>20</v>
      </c>
      <c r="N1922">
        <f>Table1[[#This Row],[Revenue]]*Table1[[#This Row],[Discount%]]/100</f>
        <v>179.8</v>
      </c>
      <c r="O1922" s="6">
        <f>Table1[[#This Row],[Revenue]]-Table1[[#This Row],[Disc_amount]]</f>
        <v>719.2</v>
      </c>
      <c r="P1922" t="s">
        <v>33</v>
      </c>
      <c r="Q1922" t="s">
        <v>27</v>
      </c>
    </row>
    <row r="1923" spans="1:17">
      <c r="A1923" t="s">
        <v>2769</v>
      </c>
      <c r="B1923" s="1" t="s">
        <v>64</v>
      </c>
      <c r="C1923" s="1" t="s">
        <v>2752</v>
      </c>
      <c r="D1923" s="1" t="s">
        <v>20</v>
      </c>
      <c r="E1923" t="s">
        <v>1156</v>
      </c>
      <c r="F1923" t="s">
        <v>345</v>
      </c>
      <c r="G1923" t="s">
        <v>45</v>
      </c>
      <c r="H1923" t="s">
        <v>57</v>
      </c>
      <c r="I1923" t="s">
        <v>62</v>
      </c>
      <c r="J1923">
        <v>1</v>
      </c>
      <c r="K1923">
        <v>799</v>
      </c>
      <c r="L1923">
        <f>Table1[[#This Row],[Quantity]] * Table1[[#This Row],[UnitPrice]]</f>
        <v>799</v>
      </c>
      <c r="M1923" s="25">
        <v>30</v>
      </c>
      <c r="N1923">
        <f>Table1[[#This Row],[Revenue]]*Table1[[#This Row],[Discount%]]/100</f>
        <v>239.7</v>
      </c>
      <c r="O1923" s="6">
        <f>Table1[[#This Row],[Revenue]]-Table1[[#This Row],[Disc_amount]]</f>
        <v>559.29999999999995</v>
      </c>
      <c r="P1923" t="s">
        <v>41</v>
      </c>
      <c r="Q1923" t="s">
        <v>27</v>
      </c>
    </row>
    <row r="1924" spans="1:17">
      <c r="A1924" t="s">
        <v>2770</v>
      </c>
      <c r="B1924" s="1" t="s">
        <v>88</v>
      </c>
      <c r="C1924" s="1" t="s">
        <v>2752</v>
      </c>
      <c r="D1924" s="1" t="s">
        <v>20</v>
      </c>
      <c r="E1924" t="s">
        <v>616</v>
      </c>
      <c r="F1924" t="s">
        <v>617</v>
      </c>
      <c r="G1924" t="s">
        <v>23</v>
      </c>
      <c r="H1924" t="s">
        <v>108</v>
      </c>
      <c r="I1924" t="s">
        <v>109</v>
      </c>
      <c r="J1924">
        <v>1</v>
      </c>
      <c r="K1924">
        <v>1499</v>
      </c>
      <c r="L1924">
        <f>Table1[[#This Row],[Quantity]] * Table1[[#This Row],[UnitPrice]]</f>
        <v>1499</v>
      </c>
      <c r="M1924" s="25">
        <v>10</v>
      </c>
      <c r="N1924">
        <f>Table1[[#This Row],[Revenue]]*Table1[[#This Row],[Discount%]]/100</f>
        <v>149.9</v>
      </c>
      <c r="O1924" s="6">
        <f>Table1[[#This Row],[Revenue]]-Table1[[#This Row],[Disc_amount]]</f>
        <v>1349.1</v>
      </c>
      <c r="P1924" t="s">
        <v>33</v>
      </c>
      <c r="Q1924" t="s">
        <v>27</v>
      </c>
    </row>
    <row r="1925" spans="1:17">
      <c r="A1925" t="s">
        <v>2771</v>
      </c>
      <c r="B1925" s="1" t="s">
        <v>88</v>
      </c>
      <c r="C1925" s="1" t="s">
        <v>2752</v>
      </c>
      <c r="D1925" s="1" t="s">
        <v>20</v>
      </c>
      <c r="E1925" t="s">
        <v>1344</v>
      </c>
      <c r="F1925" t="s">
        <v>694</v>
      </c>
      <c r="G1925" t="s">
        <v>45</v>
      </c>
      <c r="H1925" t="s">
        <v>108</v>
      </c>
      <c r="I1925" t="s">
        <v>130</v>
      </c>
      <c r="J1925">
        <v>1</v>
      </c>
      <c r="K1925">
        <v>699</v>
      </c>
      <c r="L1925">
        <f>Table1[[#This Row],[Quantity]] * Table1[[#This Row],[UnitPrice]]</f>
        <v>699</v>
      </c>
      <c r="M1925" s="25">
        <v>30</v>
      </c>
      <c r="N1925">
        <f>Table1[[#This Row],[Revenue]]*Table1[[#This Row],[Discount%]]/100</f>
        <v>209.7</v>
      </c>
      <c r="O1925" s="6">
        <f>Table1[[#This Row],[Revenue]]-Table1[[#This Row],[Disc_amount]]</f>
        <v>489.3</v>
      </c>
      <c r="P1925" t="s">
        <v>52</v>
      </c>
      <c r="Q1925" t="s">
        <v>27</v>
      </c>
    </row>
    <row r="1926" spans="1:17">
      <c r="A1926" t="s">
        <v>2772</v>
      </c>
      <c r="B1926" s="1" t="s">
        <v>88</v>
      </c>
      <c r="C1926" s="1" t="s">
        <v>2752</v>
      </c>
      <c r="D1926" s="1" t="s">
        <v>20</v>
      </c>
      <c r="E1926" t="s">
        <v>811</v>
      </c>
      <c r="F1926" t="s">
        <v>166</v>
      </c>
      <c r="G1926" t="s">
        <v>23</v>
      </c>
      <c r="H1926" t="s">
        <v>24</v>
      </c>
      <c r="I1926" t="s">
        <v>25</v>
      </c>
      <c r="J1926">
        <v>1</v>
      </c>
      <c r="K1926">
        <v>99</v>
      </c>
      <c r="L1926">
        <f>Table1[[#This Row],[Quantity]] * Table1[[#This Row],[UnitPrice]]</f>
        <v>99</v>
      </c>
      <c r="M1926" s="25">
        <v>10</v>
      </c>
      <c r="N1926">
        <f>Table1[[#This Row],[Revenue]]*Table1[[#This Row],[Discount%]]/100</f>
        <v>9.9</v>
      </c>
      <c r="O1926" s="6">
        <f>Table1[[#This Row],[Revenue]]-Table1[[#This Row],[Disc_amount]]</f>
        <v>89.1</v>
      </c>
      <c r="P1926" t="s">
        <v>52</v>
      </c>
      <c r="Q1926" t="s">
        <v>27</v>
      </c>
    </row>
    <row r="1927" spans="1:17">
      <c r="A1927" t="s">
        <v>2773</v>
      </c>
      <c r="B1927" s="1" t="s">
        <v>88</v>
      </c>
      <c r="C1927" s="1" t="s">
        <v>2752</v>
      </c>
      <c r="D1927" s="1" t="s">
        <v>20</v>
      </c>
      <c r="E1927" t="s">
        <v>2641</v>
      </c>
      <c r="F1927" t="s">
        <v>97</v>
      </c>
      <c r="G1927" t="s">
        <v>23</v>
      </c>
      <c r="H1927" t="s">
        <v>24</v>
      </c>
      <c r="I1927" t="s">
        <v>25</v>
      </c>
      <c r="J1927">
        <v>1</v>
      </c>
      <c r="K1927">
        <v>99</v>
      </c>
      <c r="L1927">
        <f>Table1[[#This Row],[Quantity]] * Table1[[#This Row],[UnitPrice]]</f>
        <v>99</v>
      </c>
      <c r="M1927" s="25">
        <v>15</v>
      </c>
      <c r="N1927">
        <f>Table1[[#This Row],[Revenue]]*Table1[[#This Row],[Discount%]]/100</f>
        <v>14.85</v>
      </c>
      <c r="O1927" s="6">
        <f>Table1[[#This Row],[Revenue]]-Table1[[#This Row],[Disc_amount]]</f>
        <v>84.15</v>
      </c>
      <c r="P1927" t="s">
        <v>86</v>
      </c>
      <c r="Q1927" t="s">
        <v>34</v>
      </c>
    </row>
    <row r="1928" spans="1:17">
      <c r="A1928" t="s">
        <v>2774</v>
      </c>
      <c r="B1928" s="1" t="s">
        <v>88</v>
      </c>
      <c r="C1928" s="1" t="s">
        <v>2752</v>
      </c>
      <c r="D1928" s="1" t="s">
        <v>20</v>
      </c>
      <c r="E1928" t="s">
        <v>1061</v>
      </c>
      <c r="F1928" t="s">
        <v>1062</v>
      </c>
      <c r="G1928" t="s">
        <v>31</v>
      </c>
      <c r="H1928" t="s">
        <v>39</v>
      </c>
      <c r="I1928" t="s">
        <v>51</v>
      </c>
      <c r="J1928">
        <v>2</v>
      </c>
      <c r="K1928">
        <v>2999</v>
      </c>
      <c r="L1928">
        <f>Table1[[#This Row],[Quantity]] * Table1[[#This Row],[UnitPrice]]</f>
        <v>5998</v>
      </c>
      <c r="M1928" s="25">
        <v>30</v>
      </c>
      <c r="N1928">
        <f>Table1[[#This Row],[Revenue]]*Table1[[#This Row],[Discount%]]/100</f>
        <v>1799.4</v>
      </c>
      <c r="O1928" s="6">
        <f>Table1[[#This Row],[Revenue]]-Table1[[#This Row],[Disc_amount]]</f>
        <v>4198.6000000000004</v>
      </c>
      <c r="P1928" t="s">
        <v>41</v>
      </c>
      <c r="Q1928" t="s">
        <v>34</v>
      </c>
    </row>
    <row r="1929" spans="1:17">
      <c r="A1929" t="s">
        <v>2775</v>
      </c>
      <c r="B1929" s="1" t="s">
        <v>88</v>
      </c>
      <c r="C1929" s="1" t="s">
        <v>2752</v>
      </c>
      <c r="D1929" s="1" t="s">
        <v>20</v>
      </c>
      <c r="E1929" t="s">
        <v>2518</v>
      </c>
      <c r="F1929" t="s">
        <v>767</v>
      </c>
      <c r="G1929" t="s">
        <v>38</v>
      </c>
      <c r="H1929" t="s">
        <v>39</v>
      </c>
      <c r="I1929" t="s">
        <v>40</v>
      </c>
      <c r="J1929">
        <v>1</v>
      </c>
      <c r="K1929">
        <v>599</v>
      </c>
      <c r="L1929">
        <f>Table1[[#This Row],[Quantity]] * Table1[[#This Row],[UnitPrice]]</f>
        <v>599</v>
      </c>
      <c r="M1929" s="25">
        <v>0</v>
      </c>
      <c r="N1929">
        <f>Table1[[#This Row],[Revenue]]*Table1[[#This Row],[Discount%]]/100</f>
        <v>0</v>
      </c>
      <c r="O1929" s="6">
        <f>Table1[[#This Row],[Revenue]]-Table1[[#This Row],[Disc_amount]]</f>
        <v>599</v>
      </c>
      <c r="P1929" t="s">
        <v>33</v>
      </c>
      <c r="Q1929" t="s">
        <v>27</v>
      </c>
    </row>
    <row r="1930" spans="1:17">
      <c r="A1930" t="s">
        <v>2776</v>
      </c>
      <c r="B1930" s="1" t="s">
        <v>88</v>
      </c>
      <c r="C1930" s="1" t="s">
        <v>2752</v>
      </c>
      <c r="D1930" s="1" t="s">
        <v>20</v>
      </c>
      <c r="E1930" t="s">
        <v>1201</v>
      </c>
      <c r="F1930" t="s">
        <v>323</v>
      </c>
      <c r="G1930" t="s">
        <v>31</v>
      </c>
      <c r="H1930" t="s">
        <v>108</v>
      </c>
      <c r="I1930" t="s">
        <v>130</v>
      </c>
      <c r="J1930">
        <v>5</v>
      </c>
      <c r="K1930">
        <v>699</v>
      </c>
      <c r="L1930">
        <f>Table1[[#This Row],[Quantity]] * Table1[[#This Row],[UnitPrice]]</f>
        <v>3495</v>
      </c>
      <c r="M1930" s="25">
        <v>5</v>
      </c>
      <c r="N1930">
        <f>Table1[[#This Row],[Revenue]]*Table1[[#This Row],[Discount%]]/100</f>
        <v>174.75</v>
      </c>
      <c r="O1930" s="6">
        <f>Table1[[#This Row],[Revenue]]-Table1[[#This Row],[Disc_amount]]</f>
        <v>3320.25</v>
      </c>
      <c r="P1930" t="s">
        <v>52</v>
      </c>
      <c r="Q1930" t="s">
        <v>34</v>
      </c>
    </row>
    <row r="1931" spans="1:17">
      <c r="A1931" t="s">
        <v>2777</v>
      </c>
      <c r="B1931" s="1" t="s">
        <v>88</v>
      </c>
      <c r="C1931" s="1" t="s">
        <v>2752</v>
      </c>
      <c r="D1931" s="1" t="s">
        <v>20</v>
      </c>
      <c r="E1931" t="s">
        <v>182</v>
      </c>
      <c r="F1931" t="s">
        <v>183</v>
      </c>
      <c r="G1931" t="s">
        <v>56</v>
      </c>
      <c r="H1931" t="s">
        <v>57</v>
      </c>
      <c r="I1931" t="s">
        <v>58</v>
      </c>
      <c r="J1931">
        <v>1</v>
      </c>
      <c r="K1931">
        <v>1299</v>
      </c>
      <c r="L1931">
        <f>Table1[[#This Row],[Quantity]] * Table1[[#This Row],[UnitPrice]]</f>
        <v>1299</v>
      </c>
      <c r="M1931" s="25">
        <v>0</v>
      </c>
      <c r="N1931">
        <f>Table1[[#This Row],[Revenue]]*Table1[[#This Row],[Discount%]]/100</f>
        <v>0</v>
      </c>
      <c r="O1931" s="6">
        <f>Table1[[#This Row],[Revenue]]-Table1[[#This Row],[Disc_amount]]</f>
        <v>1299</v>
      </c>
      <c r="P1931" t="s">
        <v>26</v>
      </c>
      <c r="Q1931" t="s">
        <v>27</v>
      </c>
    </row>
    <row r="1932" spans="1:17">
      <c r="A1932" t="s">
        <v>2778</v>
      </c>
      <c r="B1932" s="1" t="s">
        <v>88</v>
      </c>
      <c r="C1932" s="1" t="s">
        <v>2752</v>
      </c>
      <c r="D1932" s="1" t="s">
        <v>20</v>
      </c>
      <c r="E1932" t="s">
        <v>758</v>
      </c>
      <c r="F1932" t="s">
        <v>759</v>
      </c>
      <c r="G1932" t="s">
        <v>38</v>
      </c>
      <c r="H1932" t="s">
        <v>65</v>
      </c>
      <c r="I1932" t="s">
        <v>94</v>
      </c>
      <c r="J1932">
        <v>1</v>
      </c>
      <c r="K1932">
        <v>899</v>
      </c>
      <c r="L1932">
        <f>Table1[[#This Row],[Quantity]] * Table1[[#This Row],[UnitPrice]]</f>
        <v>899</v>
      </c>
      <c r="M1932" s="25">
        <v>10</v>
      </c>
      <c r="N1932">
        <f>Table1[[#This Row],[Revenue]]*Table1[[#This Row],[Discount%]]/100</f>
        <v>89.9</v>
      </c>
      <c r="O1932" s="6">
        <f>Table1[[#This Row],[Revenue]]-Table1[[#This Row],[Disc_amount]]</f>
        <v>809.1</v>
      </c>
      <c r="P1932" t="s">
        <v>52</v>
      </c>
      <c r="Q1932" t="s">
        <v>34</v>
      </c>
    </row>
    <row r="1933" spans="1:17">
      <c r="A1933" t="s">
        <v>2779</v>
      </c>
      <c r="B1933" s="1" t="s">
        <v>88</v>
      </c>
      <c r="C1933" s="1" t="s">
        <v>2752</v>
      </c>
      <c r="D1933" s="1" t="s">
        <v>20</v>
      </c>
      <c r="E1933" t="s">
        <v>1291</v>
      </c>
      <c r="F1933" t="s">
        <v>1292</v>
      </c>
      <c r="G1933" t="s">
        <v>45</v>
      </c>
      <c r="H1933" t="s">
        <v>57</v>
      </c>
      <c r="I1933" t="s">
        <v>58</v>
      </c>
      <c r="J1933">
        <v>1</v>
      </c>
      <c r="K1933">
        <v>1299</v>
      </c>
      <c r="L1933">
        <f>Table1[[#This Row],[Quantity]] * Table1[[#This Row],[UnitPrice]]</f>
        <v>1299</v>
      </c>
      <c r="M1933" s="25">
        <v>10</v>
      </c>
      <c r="N1933">
        <f>Table1[[#This Row],[Revenue]]*Table1[[#This Row],[Discount%]]/100</f>
        <v>129.9</v>
      </c>
      <c r="O1933" s="6">
        <f>Table1[[#This Row],[Revenue]]-Table1[[#This Row],[Disc_amount]]</f>
        <v>1169.0999999999999</v>
      </c>
      <c r="P1933" t="s">
        <v>41</v>
      </c>
      <c r="Q1933" t="s">
        <v>27</v>
      </c>
    </row>
    <row r="1934" spans="1:17">
      <c r="A1934" t="s">
        <v>2780</v>
      </c>
      <c r="B1934" s="1" t="s">
        <v>88</v>
      </c>
      <c r="C1934" s="1" t="s">
        <v>2752</v>
      </c>
      <c r="D1934" s="1" t="s">
        <v>20</v>
      </c>
      <c r="E1934" t="s">
        <v>334</v>
      </c>
      <c r="F1934" t="s">
        <v>335</v>
      </c>
      <c r="G1934" t="s">
        <v>23</v>
      </c>
      <c r="H1934" t="s">
        <v>70</v>
      </c>
      <c r="I1934" t="s">
        <v>91</v>
      </c>
      <c r="J1934">
        <v>2</v>
      </c>
      <c r="K1934">
        <v>549</v>
      </c>
      <c r="L1934">
        <f>Table1[[#This Row],[Quantity]] * Table1[[#This Row],[UnitPrice]]</f>
        <v>1098</v>
      </c>
      <c r="M1934" s="25">
        <v>25</v>
      </c>
      <c r="N1934">
        <f>Table1[[#This Row],[Revenue]]*Table1[[#This Row],[Discount%]]/100</f>
        <v>274.5</v>
      </c>
      <c r="O1934" s="6">
        <f>Table1[[#This Row],[Revenue]]-Table1[[#This Row],[Disc_amount]]</f>
        <v>823.5</v>
      </c>
      <c r="P1934" t="s">
        <v>26</v>
      </c>
      <c r="Q1934" t="s">
        <v>34</v>
      </c>
    </row>
    <row r="1935" spans="1:17">
      <c r="A1935" t="s">
        <v>2781</v>
      </c>
      <c r="B1935" s="1" t="s">
        <v>88</v>
      </c>
      <c r="C1935" s="1" t="s">
        <v>2752</v>
      </c>
      <c r="D1935" s="1" t="s">
        <v>20</v>
      </c>
      <c r="E1935" t="s">
        <v>995</v>
      </c>
      <c r="F1935" t="s">
        <v>900</v>
      </c>
      <c r="G1935" t="s">
        <v>56</v>
      </c>
      <c r="H1935" t="s">
        <v>24</v>
      </c>
      <c r="I1935" t="s">
        <v>25</v>
      </c>
      <c r="J1935">
        <v>1</v>
      </c>
      <c r="K1935">
        <v>99</v>
      </c>
      <c r="L1935">
        <f>Table1[[#This Row],[Quantity]] * Table1[[#This Row],[UnitPrice]]</f>
        <v>99</v>
      </c>
      <c r="M1935" s="25">
        <v>10</v>
      </c>
      <c r="N1935">
        <f>Table1[[#This Row],[Revenue]]*Table1[[#This Row],[Discount%]]/100</f>
        <v>9.9</v>
      </c>
      <c r="O1935" s="6">
        <f>Table1[[#This Row],[Revenue]]-Table1[[#This Row],[Disc_amount]]</f>
        <v>89.1</v>
      </c>
      <c r="P1935" t="s">
        <v>52</v>
      </c>
      <c r="Q1935" t="s">
        <v>27</v>
      </c>
    </row>
    <row r="1936" spans="1:17">
      <c r="A1936" t="s">
        <v>2782</v>
      </c>
      <c r="B1936" s="1" t="s">
        <v>88</v>
      </c>
      <c r="C1936" s="1" t="s">
        <v>2752</v>
      </c>
      <c r="D1936" s="1" t="s">
        <v>20</v>
      </c>
      <c r="E1936" t="s">
        <v>1585</v>
      </c>
      <c r="F1936" t="s">
        <v>298</v>
      </c>
      <c r="G1936" t="s">
        <v>38</v>
      </c>
      <c r="H1936" t="s">
        <v>108</v>
      </c>
      <c r="I1936" t="s">
        <v>109</v>
      </c>
      <c r="J1936">
        <v>3</v>
      </c>
      <c r="K1936">
        <v>1499</v>
      </c>
      <c r="L1936">
        <f>Table1[[#This Row],[Quantity]] * Table1[[#This Row],[UnitPrice]]</f>
        <v>4497</v>
      </c>
      <c r="M1936" s="25">
        <v>30</v>
      </c>
      <c r="N1936">
        <f>Table1[[#This Row],[Revenue]]*Table1[[#This Row],[Discount%]]/100</f>
        <v>1349.1</v>
      </c>
      <c r="O1936" s="6">
        <f>Table1[[#This Row],[Revenue]]-Table1[[#This Row],[Disc_amount]]</f>
        <v>3147.9</v>
      </c>
      <c r="P1936" t="s">
        <v>86</v>
      </c>
      <c r="Q1936" t="s">
        <v>27</v>
      </c>
    </row>
    <row r="1937" spans="1:17">
      <c r="A1937" t="s">
        <v>2783</v>
      </c>
      <c r="B1937" s="1" t="s">
        <v>113</v>
      </c>
      <c r="C1937" s="1" t="s">
        <v>2752</v>
      </c>
      <c r="D1937" s="1" t="s">
        <v>20</v>
      </c>
      <c r="E1937" t="s">
        <v>552</v>
      </c>
      <c r="F1937" t="s">
        <v>553</v>
      </c>
      <c r="G1937" t="s">
        <v>56</v>
      </c>
      <c r="H1937" t="s">
        <v>108</v>
      </c>
      <c r="I1937" t="s">
        <v>130</v>
      </c>
      <c r="J1937">
        <v>3</v>
      </c>
      <c r="K1937">
        <v>699</v>
      </c>
      <c r="L1937">
        <f>Table1[[#This Row],[Quantity]] * Table1[[#This Row],[UnitPrice]]</f>
        <v>2097</v>
      </c>
      <c r="M1937" s="25">
        <v>5</v>
      </c>
      <c r="N1937">
        <f>Table1[[#This Row],[Revenue]]*Table1[[#This Row],[Discount%]]/100</f>
        <v>104.85</v>
      </c>
      <c r="O1937" s="6">
        <f>Table1[[#This Row],[Revenue]]-Table1[[#This Row],[Disc_amount]]</f>
        <v>1992.15</v>
      </c>
      <c r="P1937" t="s">
        <v>52</v>
      </c>
      <c r="Q1937" t="s">
        <v>34</v>
      </c>
    </row>
    <row r="1938" spans="1:17">
      <c r="A1938" t="s">
        <v>2784</v>
      </c>
      <c r="B1938" s="1" t="s">
        <v>113</v>
      </c>
      <c r="C1938" s="1" t="s">
        <v>2752</v>
      </c>
      <c r="D1938" s="1" t="s">
        <v>20</v>
      </c>
      <c r="E1938" t="s">
        <v>981</v>
      </c>
      <c r="F1938" t="s">
        <v>694</v>
      </c>
      <c r="G1938" t="s">
        <v>38</v>
      </c>
      <c r="H1938" t="s">
        <v>46</v>
      </c>
      <c r="I1938" t="s">
        <v>47</v>
      </c>
      <c r="J1938">
        <v>5</v>
      </c>
      <c r="K1938">
        <v>249</v>
      </c>
      <c r="L1938">
        <f>Table1[[#This Row],[Quantity]] * Table1[[#This Row],[UnitPrice]]</f>
        <v>1245</v>
      </c>
      <c r="M1938" s="25">
        <v>30</v>
      </c>
      <c r="N1938">
        <f>Table1[[#This Row],[Revenue]]*Table1[[#This Row],[Discount%]]/100</f>
        <v>373.5</v>
      </c>
      <c r="O1938" s="6">
        <f>Table1[[#This Row],[Revenue]]-Table1[[#This Row],[Disc_amount]]</f>
        <v>871.5</v>
      </c>
      <c r="P1938" t="s">
        <v>86</v>
      </c>
      <c r="Q1938" t="s">
        <v>27</v>
      </c>
    </row>
    <row r="1939" spans="1:17">
      <c r="A1939" t="s">
        <v>2785</v>
      </c>
      <c r="B1939" s="1" t="s">
        <v>113</v>
      </c>
      <c r="C1939" s="1" t="s">
        <v>2752</v>
      </c>
      <c r="D1939" s="1" t="s">
        <v>20</v>
      </c>
      <c r="E1939" t="s">
        <v>258</v>
      </c>
      <c r="F1939" t="s">
        <v>259</v>
      </c>
      <c r="G1939" t="s">
        <v>45</v>
      </c>
      <c r="H1939" t="s">
        <v>108</v>
      </c>
      <c r="I1939" t="s">
        <v>109</v>
      </c>
      <c r="J1939">
        <v>1</v>
      </c>
      <c r="K1939">
        <v>1499</v>
      </c>
      <c r="L1939">
        <f>Table1[[#This Row],[Quantity]] * Table1[[#This Row],[UnitPrice]]</f>
        <v>1499</v>
      </c>
      <c r="M1939" s="25">
        <v>30</v>
      </c>
      <c r="N1939">
        <f>Table1[[#This Row],[Revenue]]*Table1[[#This Row],[Discount%]]/100</f>
        <v>449.7</v>
      </c>
      <c r="O1939" s="6">
        <f>Table1[[#This Row],[Revenue]]-Table1[[#This Row],[Disc_amount]]</f>
        <v>1049.3</v>
      </c>
      <c r="P1939" t="s">
        <v>52</v>
      </c>
      <c r="Q1939" t="s">
        <v>34</v>
      </c>
    </row>
    <row r="1940" spans="1:17">
      <c r="A1940" t="s">
        <v>2786</v>
      </c>
      <c r="B1940" s="1" t="s">
        <v>113</v>
      </c>
      <c r="C1940" s="1" t="s">
        <v>2752</v>
      </c>
      <c r="D1940" s="1" t="s">
        <v>20</v>
      </c>
      <c r="E1940" t="s">
        <v>1049</v>
      </c>
      <c r="F1940" t="s">
        <v>415</v>
      </c>
      <c r="G1940" t="s">
        <v>56</v>
      </c>
      <c r="H1940" t="s">
        <v>39</v>
      </c>
      <c r="I1940" t="s">
        <v>40</v>
      </c>
      <c r="J1940">
        <v>3</v>
      </c>
      <c r="K1940">
        <v>599</v>
      </c>
      <c r="L1940">
        <f>Table1[[#This Row],[Quantity]] * Table1[[#This Row],[UnitPrice]]</f>
        <v>1797</v>
      </c>
      <c r="M1940" s="25">
        <v>25</v>
      </c>
      <c r="N1940">
        <f>Table1[[#This Row],[Revenue]]*Table1[[#This Row],[Discount%]]/100</f>
        <v>449.25</v>
      </c>
      <c r="O1940" s="6">
        <f>Table1[[#This Row],[Revenue]]-Table1[[#This Row],[Disc_amount]]</f>
        <v>1347.75</v>
      </c>
      <c r="P1940" t="s">
        <v>26</v>
      </c>
      <c r="Q1940" t="s">
        <v>34</v>
      </c>
    </row>
    <row r="1941" spans="1:17">
      <c r="A1941" t="s">
        <v>2787</v>
      </c>
      <c r="B1941" s="1" t="s">
        <v>113</v>
      </c>
      <c r="C1941" s="1" t="s">
        <v>2752</v>
      </c>
      <c r="D1941" s="1" t="s">
        <v>20</v>
      </c>
      <c r="E1941" t="s">
        <v>949</v>
      </c>
      <c r="F1941" t="s">
        <v>77</v>
      </c>
      <c r="G1941" t="s">
        <v>45</v>
      </c>
      <c r="H1941" t="s">
        <v>65</v>
      </c>
      <c r="I1941" t="s">
        <v>98</v>
      </c>
      <c r="J1941">
        <v>1</v>
      </c>
      <c r="K1941">
        <v>499</v>
      </c>
      <c r="L1941">
        <f>Table1[[#This Row],[Quantity]] * Table1[[#This Row],[UnitPrice]]</f>
        <v>499</v>
      </c>
      <c r="M1941" s="25">
        <v>25</v>
      </c>
      <c r="N1941">
        <f>Table1[[#This Row],[Revenue]]*Table1[[#This Row],[Discount%]]/100</f>
        <v>124.75</v>
      </c>
      <c r="O1941" s="6">
        <f>Table1[[#This Row],[Revenue]]-Table1[[#This Row],[Disc_amount]]</f>
        <v>374.25</v>
      </c>
      <c r="P1941" t="s">
        <v>41</v>
      </c>
      <c r="Q1941" t="s">
        <v>27</v>
      </c>
    </row>
    <row r="1942" spans="1:17">
      <c r="A1942" t="s">
        <v>2788</v>
      </c>
      <c r="B1942" s="1" t="s">
        <v>113</v>
      </c>
      <c r="C1942" s="1" t="s">
        <v>2752</v>
      </c>
      <c r="D1942" s="1" t="s">
        <v>20</v>
      </c>
      <c r="E1942" t="s">
        <v>36</v>
      </c>
      <c r="F1942" t="s">
        <v>37</v>
      </c>
      <c r="G1942" t="s">
        <v>45</v>
      </c>
      <c r="H1942" t="s">
        <v>65</v>
      </c>
      <c r="I1942" t="s">
        <v>98</v>
      </c>
      <c r="J1942">
        <v>1</v>
      </c>
      <c r="K1942">
        <v>499</v>
      </c>
      <c r="L1942">
        <f>Table1[[#This Row],[Quantity]] * Table1[[#This Row],[UnitPrice]]</f>
        <v>499</v>
      </c>
      <c r="M1942" s="25">
        <v>20</v>
      </c>
      <c r="N1942">
        <f>Table1[[#This Row],[Revenue]]*Table1[[#This Row],[Discount%]]/100</f>
        <v>99.8</v>
      </c>
      <c r="O1942" s="6">
        <f>Table1[[#This Row],[Revenue]]-Table1[[#This Row],[Disc_amount]]</f>
        <v>399.2</v>
      </c>
      <c r="P1942" t="s">
        <v>86</v>
      </c>
      <c r="Q1942" t="s">
        <v>27</v>
      </c>
    </row>
    <row r="1943" spans="1:17">
      <c r="A1943" t="s">
        <v>2789</v>
      </c>
      <c r="B1943" s="1" t="s">
        <v>113</v>
      </c>
      <c r="C1943" s="1" t="s">
        <v>2752</v>
      </c>
      <c r="D1943" s="1" t="s">
        <v>20</v>
      </c>
      <c r="E1943" t="s">
        <v>1640</v>
      </c>
      <c r="F1943" t="s">
        <v>37</v>
      </c>
      <c r="G1943" t="s">
        <v>31</v>
      </c>
      <c r="H1943" t="s">
        <v>65</v>
      </c>
      <c r="I1943" t="s">
        <v>66</v>
      </c>
      <c r="J1943">
        <v>1</v>
      </c>
      <c r="K1943">
        <v>1999</v>
      </c>
      <c r="L1943">
        <f>Table1[[#This Row],[Quantity]] * Table1[[#This Row],[UnitPrice]]</f>
        <v>1999</v>
      </c>
      <c r="M1943" s="25">
        <v>30</v>
      </c>
      <c r="N1943">
        <f>Table1[[#This Row],[Revenue]]*Table1[[#This Row],[Discount%]]/100</f>
        <v>599.70000000000005</v>
      </c>
      <c r="O1943" s="6">
        <f>Table1[[#This Row],[Revenue]]-Table1[[#This Row],[Disc_amount]]</f>
        <v>1399.3</v>
      </c>
      <c r="P1943" t="s">
        <v>26</v>
      </c>
      <c r="Q1943" t="s">
        <v>27</v>
      </c>
    </row>
    <row r="1944" spans="1:17">
      <c r="A1944" t="s">
        <v>2790</v>
      </c>
      <c r="B1944" s="1" t="s">
        <v>113</v>
      </c>
      <c r="C1944" s="1" t="s">
        <v>2752</v>
      </c>
      <c r="D1944" s="1" t="s">
        <v>20</v>
      </c>
      <c r="E1944" t="s">
        <v>297</v>
      </c>
      <c r="F1944" t="s">
        <v>298</v>
      </c>
      <c r="G1944" t="s">
        <v>45</v>
      </c>
      <c r="H1944" t="s">
        <v>24</v>
      </c>
      <c r="I1944" t="s">
        <v>25</v>
      </c>
      <c r="J1944">
        <v>3</v>
      </c>
      <c r="K1944">
        <v>99</v>
      </c>
      <c r="L1944">
        <f>Table1[[#This Row],[Quantity]] * Table1[[#This Row],[UnitPrice]]</f>
        <v>297</v>
      </c>
      <c r="M1944" s="25">
        <v>25</v>
      </c>
      <c r="N1944">
        <f>Table1[[#This Row],[Revenue]]*Table1[[#This Row],[Discount%]]/100</f>
        <v>74.25</v>
      </c>
      <c r="O1944" s="6">
        <f>Table1[[#This Row],[Revenue]]-Table1[[#This Row],[Disc_amount]]</f>
        <v>222.75</v>
      </c>
      <c r="P1944" t="s">
        <v>26</v>
      </c>
      <c r="Q1944" t="s">
        <v>27</v>
      </c>
    </row>
    <row r="1945" spans="1:17">
      <c r="A1945" t="s">
        <v>2791</v>
      </c>
      <c r="B1945" s="1" t="s">
        <v>113</v>
      </c>
      <c r="C1945" s="1" t="s">
        <v>2752</v>
      </c>
      <c r="D1945" s="1" t="s">
        <v>20</v>
      </c>
      <c r="E1945" t="s">
        <v>596</v>
      </c>
      <c r="F1945" t="s">
        <v>597</v>
      </c>
      <c r="G1945" t="s">
        <v>23</v>
      </c>
      <c r="H1945" t="s">
        <v>65</v>
      </c>
      <c r="I1945" t="s">
        <v>98</v>
      </c>
      <c r="J1945">
        <v>1</v>
      </c>
      <c r="K1945">
        <v>499</v>
      </c>
      <c r="L1945">
        <f>Table1[[#This Row],[Quantity]] * Table1[[#This Row],[UnitPrice]]</f>
        <v>499</v>
      </c>
      <c r="M1945" s="25">
        <v>10</v>
      </c>
      <c r="N1945">
        <f>Table1[[#This Row],[Revenue]]*Table1[[#This Row],[Discount%]]/100</f>
        <v>49.9</v>
      </c>
      <c r="O1945" s="6">
        <f>Table1[[#This Row],[Revenue]]-Table1[[#This Row],[Disc_amount]]</f>
        <v>449.1</v>
      </c>
      <c r="P1945" t="s">
        <v>33</v>
      </c>
      <c r="Q1945" t="s">
        <v>27</v>
      </c>
    </row>
    <row r="1946" spans="1:17">
      <c r="A1946" t="s">
        <v>2792</v>
      </c>
      <c r="B1946" s="1" t="s">
        <v>113</v>
      </c>
      <c r="C1946" s="1" t="s">
        <v>2752</v>
      </c>
      <c r="D1946" s="1" t="s">
        <v>20</v>
      </c>
      <c r="E1946" t="s">
        <v>512</v>
      </c>
      <c r="F1946" t="s">
        <v>513</v>
      </c>
      <c r="G1946" t="s">
        <v>31</v>
      </c>
      <c r="H1946" t="s">
        <v>46</v>
      </c>
      <c r="I1946" t="s">
        <v>47</v>
      </c>
      <c r="J1946">
        <v>2</v>
      </c>
      <c r="K1946">
        <v>249</v>
      </c>
      <c r="L1946">
        <f>Table1[[#This Row],[Quantity]] * Table1[[#This Row],[UnitPrice]]</f>
        <v>498</v>
      </c>
      <c r="M1946" s="25">
        <v>10</v>
      </c>
      <c r="N1946">
        <f>Table1[[#This Row],[Revenue]]*Table1[[#This Row],[Discount%]]/100</f>
        <v>49.8</v>
      </c>
      <c r="O1946" s="6">
        <f>Table1[[#This Row],[Revenue]]-Table1[[#This Row],[Disc_amount]]</f>
        <v>448.2</v>
      </c>
      <c r="P1946" t="s">
        <v>26</v>
      </c>
      <c r="Q1946" t="s">
        <v>27</v>
      </c>
    </row>
    <row r="1947" spans="1:17">
      <c r="A1947" t="s">
        <v>2793</v>
      </c>
      <c r="B1947" s="1" t="s">
        <v>113</v>
      </c>
      <c r="C1947" s="1" t="s">
        <v>2752</v>
      </c>
      <c r="D1947" s="1" t="s">
        <v>20</v>
      </c>
      <c r="E1947" t="s">
        <v>1276</v>
      </c>
      <c r="F1947" t="s">
        <v>115</v>
      </c>
      <c r="G1947" t="s">
        <v>31</v>
      </c>
      <c r="H1947" t="s">
        <v>108</v>
      </c>
      <c r="I1947" t="s">
        <v>130</v>
      </c>
      <c r="J1947">
        <v>1</v>
      </c>
      <c r="K1947">
        <v>699</v>
      </c>
      <c r="L1947">
        <f>Table1[[#This Row],[Quantity]] * Table1[[#This Row],[UnitPrice]]</f>
        <v>699</v>
      </c>
      <c r="M1947" s="25">
        <v>5</v>
      </c>
      <c r="N1947">
        <f>Table1[[#This Row],[Revenue]]*Table1[[#This Row],[Discount%]]/100</f>
        <v>34.950000000000003</v>
      </c>
      <c r="O1947" s="6">
        <f>Table1[[#This Row],[Revenue]]-Table1[[#This Row],[Disc_amount]]</f>
        <v>664.05</v>
      </c>
      <c r="P1947" t="s">
        <v>33</v>
      </c>
      <c r="Q1947" t="s">
        <v>34</v>
      </c>
    </row>
    <row r="1948" spans="1:17">
      <c r="A1948" t="s">
        <v>2794</v>
      </c>
      <c r="B1948" s="1" t="s">
        <v>125</v>
      </c>
      <c r="C1948" s="1" t="s">
        <v>2752</v>
      </c>
      <c r="D1948" s="1" t="s">
        <v>20</v>
      </c>
      <c r="E1948" t="s">
        <v>453</v>
      </c>
      <c r="F1948" t="s">
        <v>454</v>
      </c>
      <c r="G1948" t="s">
        <v>56</v>
      </c>
      <c r="H1948" t="s">
        <v>39</v>
      </c>
      <c r="I1948" t="s">
        <v>40</v>
      </c>
      <c r="J1948">
        <v>2</v>
      </c>
      <c r="K1948">
        <v>599</v>
      </c>
      <c r="L1948">
        <f>Table1[[#This Row],[Quantity]] * Table1[[#This Row],[UnitPrice]]</f>
        <v>1198</v>
      </c>
      <c r="M1948" s="25">
        <v>20</v>
      </c>
      <c r="N1948">
        <f>Table1[[#This Row],[Revenue]]*Table1[[#This Row],[Discount%]]/100</f>
        <v>239.6</v>
      </c>
      <c r="O1948" s="6">
        <f>Table1[[#This Row],[Revenue]]-Table1[[#This Row],[Disc_amount]]</f>
        <v>958.4</v>
      </c>
      <c r="P1948" t="s">
        <v>41</v>
      </c>
      <c r="Q1948" t="s">
        <v>34</v>
      </c>
    </row>
    <row r="1949" spans="1:17">
      <c r="A1949" t="s">
        <v>2795</v>
      </c>
      <c r="B1949" s="1" t="s">
        <v>125</v>
      </c>
      <c r="C1949" s="1" t="s">
        <v>2752</v>
      </c>
      <c r="D1949" s="1" t="s">
        <v>20</v>
      </c>
      <c r="E1949" t="s">
        <v>1183</v>
      </c>
      <c r="F1949" t="s">
        <v>1184</v>
      </c>
      <c r="G1949" t="s">
        <v>31</v>
      </c>
      <c r="H1949" t="s">
        <v>46</v>
      </c>
      <c r="I1949" t="s">
        <v>154</v>
      </c>
      <c r="J1949">
        <v>1</v>
      </c>
      <c r="K1949">
        <v>299</v>
      </c>
      <c r="L1949">
        <f>Table1[[#This Row],[Quantity]] * Table1[[#This Row],[UnitPrice]]</f>
        <v>299</v>
      </c>
      <c r="M1949" s="25">
        <v>10</v>
      </c>
      <c r="N1949">
        <f>Table1[[#This Row],[Revenue]]*Table1[[#This Row],[Discount%]]/100</f>
        <v>29.9</v>
      </c>
      <c r="O1949" s="6">
        <f>Table1[[#This Row],[Revenue]]-Table1[[#This Row],[Disc_amount]]</f>
        <v>269.10000000000002</v>
      </c>
      <c r="P1949" t="s">
        <v>33</v>
      </c>
      <c r="Q1949" t="s">
        <v>27</v>
      </c>
    </row>
    <row r="1950" spans="1:17">
      <c r="A1950" t="s">
        <v>2796</v>
      </c>
      <c r="B1950" s="1" t="s">
        <v>125</v>
      </c>
      <c r="C1950" s="1" t="s">
        <v>2752</v>
      </c>
      <c r="D1950" s="1" t="s">
        <v>20</v>
      </c>
      <c r="E1950" t="s">
        <v>354</v>
      </c>
      <c r="F1950" t="s">
        <v>355</v>
      </c>
      <c r="G1950" t="s">
        <v>23</v>
      </c>
      <c r="H1950" t="s">
        <v>65</v>
      </c>
      <c r="I1950" t="s">
        <v>94</v>
      </c>
      <c r="J1950">
        <v>1</v>
      </c>
      <c r="K1950">
        <v>899</v>
      </c>
      <c r="L1950">
        <f>Table1[[#This Row],[Quantity]] * Table1[[#This Row],[UnitPrice]]</f>
        <v>899</v>
      </c>
      <c r="M1950" s="25">
        <v>5</v>
      </c>
      <c r="N1950">
        <f>Table1[[#This Row],[Revenue]]*Table1[[#This Row],[Discount%]]/100</f>
        <v>44.95</v>
      </c>
      <c r="O1950" s="6">
        <f>Table1[[#This Row],[Revenue]]-Table1[[#This Row],[Disc_amount]]</f>
        <v>854.05</v>
      </c>
      <c r="P1950" t="s">
        <v>41</v>
      </c>
      <c r="Q1950" t="s">
        <v>34</v>
      </c>
    </row>
    <row r="1951" spans="1:17">
      <c r="A1951" t="s">
        <v>2797</v>
      </c>
      <c r="B1951" s="1" t="s">
        <v>125</v>
      </c>
      <c r="C1951" s="1" t="s">
        <v>2752</v>
      </c>
      <c r="D1951" s="1" t="s">
        <v>20</v>
      </c>
      <c r="E1951" t="s">
        <v>872</v>
      </c>
      <c r="F1951" t="s">
        <v>873</v>
      </c>
      <c r="G1951" t="s">
        <v>45</v>
      </c>
      <c r="H1951" t="s">
        <v>108</v>
      </c>
      <c r="I1951" t="s">
        <v>130</v>
      </c>
      <c r="J1951">
        <v>1</v>
      </c>
      <c r="K1951">
        <v>699</v>
      </c>
      <c r="L1951">
        <f>Table1[[#This Row],[Quantity]] * Table1[[#This Row],[UnitPrice]]</f>
        <v>699</v>
      </c>
      <c r="M1951" s="25">
        <v>10</v>
      </c>
      <c r="N1951">
        <f>Table1[[#This Row],[Revenue]]*Table1[[#This Row],[Discount%]]/100</f>
        <v>69.900000000000006</v>
      </c>
      <c r="O1951" s="6">
        <f>Table1[[#This Row],[Revenue]]-Table1[[#This Row],[Disc_amount]]</f>
        <v>629.1</v>
      </c>
      <c r="P1951" t="s">
        <v>26</v>
      </c>
      <c r="Q1951" t="s">
        <v>34</v>
      </c>
    </row>
    <row r="1952" spans="1:17">
      <c r="A1952" t="s">
        <v>2798</v>
      </c>
      <c r="B1952" s="1" t="s">
        <v>125</v>
      </c>
      <c r="C1952" s="1" t="s">
        <v>2752</v>
      </c>
      <c r="D1952" s="1" t="s">
        <v>20</v>
      </c>
      <c r="E1952" t="s">
        <v>418</v>
      </c>
      <c r="F1952" t="s">
        <v>147</v>
      </c>
      <c r="G1952" t="s">
        <v>31</v>
      </c>
      <c r="H1952" t="s">
        <v>57</v>
      </c>
      <c r="I1952" t="s">
        <v>58</v>
      </c>
      <c r="J1952">
        <v>1</v>
      </c>
      <c r="K1952">
        <v>1299</v>
      </c>
      <c r="L1952">
        <f>Table1[[#This Row],[Quantity]] * Table1[[#This Row],[UnitPrice]]</f>
        <v>1299</v>
      </c>
      <c r="M1952" s="25">
        <v>5</v>
      </c>
      <c r="N1952">
        <f>Table1[[#This Row],[Revenue]]*Table1[[#This Row],[Discount%]]/100</f>
        <v>64.95</v>
      </c>
      <c r="O1952" s="6">
        <f>Table1[[#This Row],[Revenue]]-Table1[[#This Row],[Disc_amount]]</f>
        <v>1234.05</v>
      </c>
      <c r="P1952" t="s">
        <v>52</v>
      </c>
      <c r="Q1952" t="s">
        <v>34</v>
      </c>
    </row>
    <row r="1953" spans="1:17">
      <c r="A1953" t="s">
        <v>2799</v>
      </c>
      <c r="B1953" s="1" t="s">
        <v>125</v>
      </c>
      <c r="C1953" s="1" t="s">
        <v>2752</v>
      </c>
      <c r="D1953" s="1" t="s">
        <v>20</v>
      </c>
      <c r="E1953" t="s">
        <v>1623</v>
      </c>
      <c r="F1953" t="s">
        <v>1624</v>
      </c>
      <c r="G1953" t="s">
        <v>31</v>
      </c>
      <c r="H1953" t="s">
        <v>39</v>
      </c>
      <c r="I1953" t="s">
        <v>40</v>
      </c>
      <c r="J1953">
        <v>1</v>
      </c>
      <c r="K1953">
        <v>599</v>
      </c>
      <c r="L1953">
        <f>Table1[[#This Row],[Quantity]] * Table1[[#This Row],[UnitPrice]]</f>
        <v>599</v>
      </c>
      <c r="M1953" s="25">
        <v>20</v>
      </c>
      <c r="N1953">
        <f>Table1[[#This Row],[Revenue]]*Table1[[#This Row],[Discount%]]/100</f>
        <v>119.8</v>
      </c>
      <c r="O1953" s="6">
        <f>Table1[[#This Row],[Revenue]]-Table1[[#This Row],[Disc_amount]]</f>
        <v>479.2</v>
      </c>
      <c r="P1953" t="s">
        <v>26</v>
      </c>
      <c r="Q1953" t="s">
        <v>34</v>
      </c>
    </row>
    <row r="1954" spans="1:17">
      <c r="A1954" t="s">
        <v>2800</v>
      </c>
      <c r="B1954" s="1" t="s">
        <v>125</v>
      </c>
      <c r="C1954" s="1" t="s">
        <v>2752</v>
      </c>
      <c r="D1954" s="1" t="s">
        <v>20</v>
      </c>
      <c r="E1954" t="s">
        <v>1473</v>
      </c>
      <c r="F1954" t="s">
        <v>617</v>
      </c>
      <c r="G1954" t="s">
        <v>38</v>
      </c>
      <c r="H1954" t="s">
        <v>39</v>
      </c>
      <c r="I1954" t="s">
        <v>40</v>
      </c>
      <c r="J1954">
        <v>1</v>
      </c>
      <c r="K1954">
        <v>599</v>
      </c>
      <c r="L1954">
        <f>Table1[[#This Row],[Quantity]] * Table1[[#This Row],[UnitPrice]]</f>
        <v>599</v>
      </c>
      <c r="M1954" s="25">
        <v>10</v>
      </c>
      <c r="N1954">
        <f>Table1[[#This Row],[Revenue]]*Table1[[#This Row],[Discount%]]/100</f>
        <v>59.9</v>
      </c>
      <c r="O1954" s="6">
        <f>Table1[[#This Row],[Revenue]]-Table1[[#This Row],[Disc_amount]]</f>
        <v>539.1</v>
      </c>
      <c r="P1954" t="s">
        <v>26</v>
      </c>
      <c r="Q1954" t="s">
        <v>27</v>
      </c>
    </row>
    <row r="1955" spans="1:17">
      <c r="A1955" t="s">
        <v>2801</v>
      </c>
      <c r="B1955" s="1" t="s">
        <v>125</v>
      </c>
      <c r="C1955" s="1" t="s">
        <v>2752</v>
      </c>
      <c r="D1955" s="1" t="s">
        <v>20</v>
      </c>
      <c r="E1955" t="s">
        <v>645</v>
      </c>
      <c r="F1955" t="s">
        <v>248</v>
      </c>
      <c r="G1955" t="s">
        <v>31</v>
      </c>
      <c r="H1955" t="s">
        <v>57</v>
      </c>
      <c r="I1955" t="s">
        <v>62</v>
      </c>
      <c r="J1955">
        <v>2</v>
      </c>
      <c r="K1955">
        <v>799</v>
      </c>
      <c r="L1955">
        <f>Table1[[#This Row],[Quantity]] * Table1[[#This Row],[UnitPrice]]</f>
        <v>1598</v>
      </c>
      <c r="M1955" s="25">
        <v>0</v>
      </c>
      <c r="N1955">
        <f>Table1[[#This Row],[Revenue]]*Table1[[#This Row],[Discount%]]/100</f>
        <v>0</v>
      </c>
      <c r="O1955" s="6">
        <f>Table1[[#This Row],[Revenue]]-Table1[[#This Row],[Disc_amount]]</f>
        <v>1598</v>
      </c>
      <c r="P1955" t="s">
        <v>41</v>
      </c>
      <c r="Q1955" t="s">
        <v>27</v>
      </c>
    </row>
    <row r="1956" spans="1:17">
      <c r="A1956" t="s">
        <v>2802</v>
      </c>
      <c r="B1956" s="1" t="s">
        <v>125</v>
      </c>
      <c r="C1956" s="1" t="s">
        <v>2752</v>
      </c>
      <c r="D1956" s="1" t="s">
        <v>20</v>
      </c>
      <c r="E1956" t="s">
        <v>852</v>
      </c>
      <c r="F1956" t="s">
        <v>853</v>
      </c>
      <c r="G1956" t="s">
        <v>23</v>
      </c>
      <c r="H1956" t="s">
        <v>24</v>
      </c>
      <c r="I1956" t="s">
        <v>32</v>
      </c>
      <c r="J1956">
        <v>2</v>
      </c>
      <c r="K1956">
        <v>199</v>
      </c>
      <c r="L1956">
        <f>Table1[[#This Row],[Quantity]] * Table1[[#This Row],[UnitPrice]]</f>
        <v>398</v>
      </c>
      <c r="M1956" s="25">
        <v>10</v>
      </c>
      <c r="N1956">
        <f>Table1[[#This Row],[Revenue]]*Table1[[#This Row],[Discount%]]/100</f>
        <v>39.799999999999997</v>
      </c>
      <c r="O1956" s="6">
        <f>Table1[[#This Row],[Revenue]]-Table1[[#This Row],[Disc_amount]]</f>
        <v>358.2</v>
      </c>
      <c r="P1956" t="s">
        <v>33</v>
      </c>
      <c r="Q1956" t="s">
        <v>34</v>
      </c>
    </row>
    <row r="1957" spans="1:17">
      <c r="A1957" t="s">
        <v>2803</v>
      </c>
      <c r="B1957" s="1" t="s">
        <v>125</v>
      </c>
      <c r="C1957" s="1" t="s">
        <v>2752</v>
      </c>
      <c r="D1957" s="1" t="s">
        <v>20</v>
      </c>
      <c r="E1957" t="s">
        <v>783</v>
      </c>
      <c r="F1957" t="s">
        <v>784</v>
      </c>
      <c r="G1957" t="s">
        <v>31</v>
      </c>
      <c r="H1957" t="s">
        <v>108</v>
      </c>
      <c r="I1957" t="s">
        <v>130</v>
      </c>
      <c r="J1957">
        <v>1</v>
      </c>
      <c r="K1957">
        <v>699</v>
      </c>
      <c r="L1957">
        <f>Table1[[#This Row],[Quantity]] * Table1[[#This Row],[UnitPrice]]</f>
        <v>699</v>
      </c>
      <c r="M1957" s="25">
        <v>25</v>
      </c>
      <c r="N1957">
        <f>Table1[[#This Row],[Revenue]]*Table1[[#This Row],[Discount%]]/100</f>
        <v>174.75</v>
      </c>
      <c r="O1957" s="6">
        <f>Table1[[#This Row],[Revenue]]-Table1[[#This Row],[Disc_amount]]</f>
        <v>524.25</v>
      </c>
      <c r="P1957" t="s">
        <v>41</v>
      </c>
      <c r="Q1957" t="s">
        <v>27</v>
      </c>
    </row>
    <row r="1958" spans="1:17">
      <c r="A1958" t="s">
        <v>2804</v>
      </c>
      <c r="B1958" s="1" t="s">
        <v>145</v>
      </c>
      <c r="C1958" s="1" t="s">
        <v>2752</v>
      </c>
      <c r="D1958" s="1" t="s">
        <v>20</v>
      </c>
      <c r="E1958" t="s">
        <v>1061</v>
      </c>
      <c r="F1958" t="s">
        <v>1062</v>
      </c>
      <c r="G1958" t="s">
        <v>45</v>
      </c>
      <c r="H1958" t="s">
        <v>65</v>
      </c>
      <c r="I1958" t="s">
        <v>94</v>
      </c>
      <c r="J1958">
        <v>1</v>
      </c>
      <c r="K1958">
        <v>899</v>
      </c>
      <c r="L1958">
        <f>Table1[[#This Row],[Quantity]] * Table1[[#This Row],[UnitPrice]]</f>
        <v>899</v>
      </c>
      <c r="M1958" s="25">
        <v>25</v>
      </c>
      <c r="N1958">
        <f>Table1[[#This Row],[Revenue]]*Table1[[#This Row],[Discount%]]/100</f>
        <v>224.75</v>
      </c>
      <c r="O1958" s="6">
        <f>Table1[[#This Row],[Revenue]]-Table1[[#This Row],[Disc_amount]]</f>
        <v>674.25</v>
      </c>
      <c r="P1958" t="s">
        <v>86</v>
      </c>
      <c r="Q1958" t="s">
        <v>27</v>
      </c>
    </row>
    <row r="1959" spans="1:17">
      <c r="A1959" t="s">
        <v>2805</v>
      </c>
      <c r="B1959" s="1" t="s">
        <v>145</v>
      </c>
      <c r="C1959" s="1" t="s">
        <v>2752</v>
      </c>
      <c r="D1959" s="1" t="s">
        <v>20</v>
      </c>
      <c r="E1959" t="s">
        <v>21</v>
      </c>
      <c r="F1959" t="s">
        <v>22</v>
      </c>
      <c r="G1959" t="s">
        <v>31</v>
      </c>
      <c r="H1959" t="s">
        <v>39</v>
      </c>
      <c r="I1959" t="s">
        <v>51</v>
      </c>
      <c r="J1959">
        <v>2</v>
      </c>
      <c r="K1959">
        <v>2999</v>
      </c>
      <c r="L1959">
        <f>Table1[[#This Row],[Quantity]] * Table1[[#This Row],[UnitPrice]]</f>
        <v>5998</v>
      </c>
      <c r="M1959" s="25">
        <v>25</v>
      </c>
      <c r="N1959">
        <f>Table1[[#This Row],[Revenue]]*Table1[[#This Row],[Discount%]]/100</f>
        <v>1499.5</v>
      </c>
      <c r="O1959" s="6">
        <f>Table1[[#This Row],[Revenue]]-Table1[[#This Row],[Disc_amount]]</f>
        <v>4498.5</v>
      </c>
      <c r="P1959" t="s">
        <v>52</v>
      </c>
      <c r="Q1959" t="s">
        <v>27</v>
      </c>
    </row>
    <row r="1960" spans="1:17">
      <c r="A1960" t="s">
        <v>2806</v>
      </c>
      <c r="B1960" s="1" t="s">
        <v>145</v>
      </c>
      <c r="C1960" s="1" t="s">
        <v>2752</v>
      </c>
      <c r="D1960" s="1" t="s">
        <v>20</v>
      </c>
      <c r="E1960" t="s">
        <v>2641</v>
      </c>
      <c r="F1960" t="s">
        <v>97</v>
      </c>
      <c r="G1960" t="s">
        <v>56</v>
      </c>
      <c r="H1960" t="s">
        <v>108</v>
      </c>
      <c r="I1960" t="s">
        <v>130</v>
      </c>
      <c r="J1960">
        <v>1</v>
      </c>
      <c r="K1960">
        <v>699</v>
      </c>
      <c r="L1960">
        <f>Table1[[#This Row],[Quantity]] * Table1[[#This Row],[UnitPrice]]</f>
        <v>699</v>
      </c>
      <c r="M1960" s="25">
        <v>5</v>
      </c>
      <c r="N1960">
        <f>Table1[[#This Row],[Revenue]]*Table1[[#This Row],[Discount%]]/100</f>
        <v>34.950000000000003</v>
      </c>
      <c r="O1960" s="6">
        <f>Table1[[#This Row],[Revenue]]-Table1[[#This Row],[Disc_amount]]</f>
        <v>664.05</v>
      </c>
      <c r="P1960" t="s">
        <v>26</v>
      </c>
      <c r="Q1960" t="s">
        <v>27</v>
      </c>
    </row>
    <row r="1961" spans="1:17">
      <c r="A1961" t="s">
        <v>2807</v>
      </c>
      <c r="B1961" s="1" t="s">
        <v>145</v>
      </c>
      <c r="C1961" s="1" t="s">
        <v>2752</v>
      </c>
      <c r="D1961" s="1" t="s">
        <v>20</v>
      </c>
      <c r="E1961" t="s">
        <v>1289</v>
      </c>
      <c r="F1961" t="s">
        <v>759</v>
      </c>
      <c r="G1961" t="s">
        <v>23</v>
      </c>
      <c r="H1961" t="s">
        <v>70</v>
      </c>
      <c r="I1961" t="s">
        <v>91</v>
      </c>
      <c r="J1961">
        <v>4</v>
      </c>
      <c r="K1961">
        <v>549</v>
      </c>
      <c r="L1961">
        <f>Table1[[#This Row],[Quantity]] * Table1[[#This Row],[UnitPrice]]</f>
        <v>2196</v>
      </c>
      <c r="M1961" s="25">
        <v>5</v>
      </c>
      <c r="N1961">
        <f>Table1[[#This Row],[Revenue]]*Table1[[#This Row],[Discount%]]/100</f>
        <v>109.8</v>
      </c>
      <c r="O1961" s="6">
        <f>Table1[[#This Row],[Revenue]]-Table1[[#This Row],[Disc_amount]]</f>
        <v>2086.1999999999998</v>
      </c>
      <c r="P1961" t="s">
        <v>26</v>
      </c>
      <c r="Q1961" t="s">
        <v>34</v>
      </c>
    </row>
    <row r="1962" spans="1:17">
      <c r="A1962" t="s">
        <v>2808</v>
      </c>
      <c r="B1962" s="1" t="s">
        <v>145</v>
      </c>
      <c r="C1962" s="1" t="s">
        <v>2752</v>
      </c>
      <c r="D1962" s="1" t="s">
        <v>20</v>
      </c>
      <c r="E1962" t="s">
        <v>461</v>
      </c>
      <c r="F1962" t="s">
        <v>462</v>
      </c>
      <c r="G1962" t="s">
        <v>45</v>
      </c>
      <c r="H1962" t="s">
        <v>108</v>
      </c>
      <c r="I1962" t="s">
        <v>109</v>
      </c>
      <c r="J1962">
        <v>1</v>
      </c>
      <c r="K1962">
        <v>1499</v>
      </c>
      <c r="L1962">
        <f>Table1[[#This Row],[Quantity]] * Table1[[#This Row],[UnitPrice]]</f>
        <v>1499</v>
      </c>
      <c r="M1962" s="25">
        <v>25</v>
      </c>
      <c r="N1962">
        <f>Table1[[#This Row],[Revenue]]*Table1[[#This Row],[Discount%]]/100</f>
        <v>374.75</v>
      </c>
      <c r="O1962" s="6">
        <f>Table1[[#This Row],[Revenue]]-Table1[[#This Row],[Disc_amount]]</f>
        <v>1124.25</v>
      </c>
      <c r="P1962" t="s">
        <v>41</v>
      </c>
      <c r="Q1962" t="s">
        <v>27</v>
      </c>
    </row>
    <row r="1963" spans="1:17">
      <c r="A1963" t="s">
        <v>2809</v>
      </c>
      <c r="B1963" s="1" t="s">
        <v>145</v>
      </c>
      <c r="C1963" s="1" t="s">
        <v>2752</v>
      </c>
      <c r="D1963" s="1" t="s">
        <v>20</v>
      </c>
      <c r="E1963" t="s">
        <v>1015</v>
      </c>
      <c r="F1963" t="s">
        <v>123</v>
      </c>
      <c r="G1963" t="s">
        <v>23</v>
      </c>
      <c r="H1963" t="s">
        <v>39</v>
      </c>
      <c r="I1963" t="s">
        <v>51</v>
      </c>
      <c r="J1963">
        <v>2</v>
      </c>
      <c r="K1963">
        <v>2999</v>
      </c>
      <c r="L1963">
        <f>Table1[[#This Row],[Quantity]] * Table1[[#This Row],[UnitPrice]]</f>
        <v>5998</v>
      </c>
      <c r="M1963" s="25">
        <v>5</v>
      </c>
      <c r="N1963">
        <f>Table1[[#This Row],[Revenue]]*Table1[[#This Row],[Discount%]]/100</f>
        <v>299.89999999999998</v>
      </c>
      <c r="O1963" s="6">
        <f>Table1[[#This Row],[Revenue]]-Table1[[#This Row],[Disc_amount]]</f>
        <v>5698.1</v>
      </c>
      <c r="P1963" t="s">
        <v>33</v>
      </c>
      <c r="Q1963" t="s">
        <v>27</v>
      </c>
    </row>
    <row r="1964" spans="1:17">
      <c r="A1964" t="s">
        <v>2810</v>
      </c>
      <c r="B1964" s="1" t="s">
        <v>145</v>
      </c>
      <c r="C1964" s="1" t="s">
        <v>2752</v>
      </c>
      <c r="D1964" s="1" t="s">
        <v>20</v>
      </c>
      <c r="E1964" t="s">
        <v>2061</v>
      </c>
      <c r="F1964" t="s">
        <v>2062</v>
      </c>
      <c r="G1964" t="s">
        <v>23</v>
      </c>
      <c r="H1964" t="s">
        <v>70</v>
      </c>
      <c r="I1964" t="s">
        <v>91</v>
      </c>
      <c r="J1964">
        <v>2</v>
      </c>
      <c r="K1964">
        <v>549</v>
      </c>
      <c r="L1964">
        <f>Table1[[#This Row],[Quantity]] * Table1[[#This Row],[UnitPrice]]</f>
        <v>1098</v>
      </c>
      <c r="M1964" s="25">
        <v>25</v>
      </c>
      <c r="N1964">
        <f>Table1[[#This Row],[Revenue]]*Table1[[#This Row],[Discount%]]/100</f>
        <v>274.5</v>
      </c>
      <c r="O1964" s="6">
        <f>Table1[[#This Row],[Revenue]]-Table1[[#This Row],[Disc_amount]]</f>
        <v>823.5</v>
      </c>
      <c r="P1964" t="s">
        <v>26</v>
      </c>
      <c r="Q1964" t="s">
        <v>27</v>
      </c>
    </row>
    <row r="1965" spans="1:17">
      <c r="A1965" t="s">
        <v>2811</v>
      </c>
      <c r="B1965" s="1" t="s">
        <v>145</v>
      </c>
      <c r="C1965" s="1" t="s">
        <v>2752</v>
      </c>
      <c r="D1965" s="1" t="s">
        <v>20</v>
      </c>
      <c r="E1965" t="s">
        <v>761</v>
      </c>
      <c r="F1965" t="s">
        <v>44</v>
      </c>
      <c r="G1965" t="s">
        <v>56</v>
      </c>
      <c r="H1965" t="s">
        <v>24</v>
      </c>
      <c r="I1965" t="s">
        <v>25</v>
      </c>
      <c r="J1965">
        <v>1</v>
      </c>
      <c r="K1965">
        <v>99</v>
      </c>
      <c r="L1965">
        <f>Table1[[#This Row],[Quantity]] * Table1[[#This Row],[UnitPrice]]</f>
        <v>99</v>
      </c>
      <c r="M1965" s="25">
        <v>0</v>
      </c>
      <c r="N1965">
        <f>Table1[[#This Row],[Revenue]]*Table1[[#This Row],[Discount%]]/100</f>
        <v>0</v>
      </c>
      <c r="O1965" s="6">
        <f>Table1[[#This Row],[Revenue]]-Table1[[#This Row],[Disc_amount]]</f>
        <v>99</v>
      </c>
      <c r="P1965" t="s">
        <v>41</v>
      </c>
      <c r="Q1965" t="s">
        <v>34</v>
      </c>
    </row>
    <row r="1966" spans="1:17">
      <c r="A1966" t="s">
        <v>2812</v>
      </c>
      <c r="B1966" s="1" t="s">
        <v>145</v>
      </c>
      <c r="C1966" s="1" t="s">
        <v>2752</v>
      </c>
      <c r="D1966" s="1" t="s">
        <v>20</v>
      </c>
      <c r="E1966" t="s">
        <v>904</v>
      </c>
      <c r="F1966" t="s">
        <v>191</v>
      </c>
      <c r="G1966" t="s">
        <v>56</v>
      </c>
      <c r="H1966" t="s">
        <v>46</v>
      </c>
      <c r="I1966" t="s">
        <v>47</v>
      </c>
      <c r="J1966">
        <v>5</v>
      </c>
      <c r="K1966">
        <v>249</v>
      </c>
      <c r="L1966">
        <f>Table1[[#This Row],[Quantity]] * Table1[[#This Row],[UnitPrice]]</f>
        <v>1245</v>
      </c>
      <c r="M1966" s="25">
        <v>0</v>
      </c>
      <c r="N1966">
        <f>Table1[[#This Row],[Revenue]]*Table1[[#This Row],[Discount%]]/100</f>
        <v>0</v>
      </c>
      <c r="O1966" s="6">
        <f>Table1[[#This Row],[Revenue]]-Table1[[#This Row],[Disc_amount]]</f>
        <v>1245</v>
      </c>
      <c r="P1966" t="s">
        <v>33</v>
      </c>
      <c r="Q1966" t="s">
        <v>34</v>
      </c>
    </row>
    <row r="1967" spans="1:17">
      <c r="A1967" t="s">
        <v>2813</v>
      </c>
      <c r="B1967" s="1" t="s">
        <v>145</v>
      </c>
      <c r="C1967" s="1" t="s">
        <v>2752</v>
      </c>
      <c r="D1967" s="1" t="s">
        <v>20</v>
      </c>
      <c r="E1967" t="s">
        <v>405</v>
      </c>
      <c r="F1967" t="s">
        <v>248</v>
      </c>
      <c r="G1967" t="s">
        <v>38</v>
      </c>
      <c r="H1967" t="s">
        <v>70</v>
      </c>
      <c r="I1967" t="s">
        <v>71</v>
      </c>
      <c r="J1967">
        <v>2</v>
      </c>
      <c r="K1967">
        <v>349</v>
      </c>
      <c r="L1967">
        <f>Table1[[#This Row],[Quantity]] * Table1[[#This Row],[UnitPrice]]</f>
        <v>698</v>
      </c>
      <c r="M1967" s="25">
        <v>5</v>
      </c>
      <c r="N1967">
        <f>Table1[[#This Row],[Revenue]]*Table1[[#This Row],[Discount%]]/100</f>
        <v>34.9</v>
      </c>
      <c r="O1967" s="6">
        <f>Table1[[#This Row],[Revenue]]-Table1[[#This Row],[Disc_amount]]</f>
        <v>663.1</v>
      </c>
      <c r="P1967" t="s">
        <v>52</v>
      </c>
      <c r="Q1967" t="s">
        <v>34</v>
      </c>
    </row>
    <row r="1968" spans="1:17">
      <c r="A1968" t="s">
        <v>2814</v>
      </c>
      <c r="B1968" s="1" t="s">
        <v>145</v>
      </c>
      <c r="C1968" s="1" t="s">
        <v>2752</v>
      </c>
      <c r="D1968" s="1" t="s">
        <v>20</v>
      </c>
      <c r="E1968" t="s">
        <v>915</v>
      </c>
      <c r="F1968" t="s">
        <v>345</v>
      </c>
      <c r="G1968" t="s">
        <v>45</v>
      </c>
      <c r="H1968" t="s">
        <v>108</v>
      </c>
      <c r="I1968" t="s">
        <v>109</v>
      </c>
      <c r="J1968">
        <v>1</v>
      </c>
      <c r="K1968">
        <v>1499</v>
      </c>
      <c r="L1968">
        <f>Table1[[#This Row],[Quantity]] * Table1[[#This Row],[UnitPrice]]</f>
        <v>1499</v>
      </c>
      <c r="M1968" s="25">
        <v>25</v>
      </c>
      <c r="N1968">
        <f>Table1[[#This Row],[Revenue]]*Table1[[#This Row],[Discount%]]/100</f>
        <v>374.75</v>
      </c>
      <c r="O1968" s="6">
        <f>Table1[[#This Row],[Revenue]]-Table1[[#This Row],[Disc_amount]]</f>
        <v>1124.25</v>
      </c>
      <c r="P1968" t="s">
        <v>26</v>
      </c>
      <c r="Q1968" t="s">
        <v>27</v>
      </c>
    </row>
    <row r="1969" spans="1:17">
      <c r="A1969" t="s">
        <v>2815</v>
      </c>
      <c r="B1969" s="1" t="s">
        <v>145</v>
      </c>
      <c r="C1969" s="1" t="s">
        <v>2752</v>
      </c>
      <c r="D1969" s="1" t="s">
        <v>20</v>
      </c>
      <c r="E1969" t="s">
        <v>1201</v>
      </c>
      <c r="F1969" t="s">
        <v>323</v>
      </c>
      <c r="G1969" t="s">
        <v>38</v>
      </c>
      <c r="H1969" t="s">
        <v>70</v>
      </c>
      <c r="I1969" t="s">
        <v>91</v>
      </c>
      <c r="J1969">
        <v>1</v>
      </c>
      <c r="K1969">
        <v>549</v>
      </c>
      <c r="L1969">
        <f>Table1[[#This Row],[Quantity]] * Table1[[#This Row],[UnitPrice]]</f>
        <v>549</v>
      </c>
      <c r="M1969" s="25">
        <v>15</v>
      </c>
      <c r="N1969">
        <f>Table1[[#This Row],[Revenue]]*Table1[[#This Row],[Discount%]]/100</f>
        <v>82.35</v>
      </c>
      <c r="O1969" s="6">
        <f>Table1[[#This Row],[Revenue]]-Table1[[#This Row],[Disc_amount]]</f>
        <v>466.65</v>
      </c>
      <c r="P1969" t="s">
        <v>33</v>
      </c>
      <c r="Q1969" t="s">
        <v>27</v>
      </c>
    </row>
    <row r="1970" spans="1:17">
      <c r="A1970" t="s">
        <v>2816</v>
      </c>
      <c r="B1970" s="1" t="s">
        <v>163</v>
      </c>
      <c r="C1970" s="1" t="s">
        <v>2752</v>
      </c>
      <c r="D1970" s="1" t="s">
        <v>20</v>
      </c>
      <c r="E1970" t="s">
        <v>1085</v>
      </c>
      <c r="F1970" t="s">
        <v>425</v>
      </c>
      <c r="G1970" t="s">
        <v>31</v>
      </c>
      <c r="H1970" t="s">
        <v>57</v>
      </c>
      <c r="I1970" t="s">
        <v>62</v>
      </c>
      <c r="J1970">
        <v>2</v>
      </c>
      <c r="K1970">
        <v>799</v>
      </c>
      <c r="L1970">
        <f>Table1[[#This Row],[Quantity]] * Table1[[#This Row],[UnitPrice]]</f>
        <v>1598</v>
      </c>
      <c r="M1970" s="25">
        <v>25</v>
      </c>
      <c r="N1970">
        <f>Table1[[#This Row],[Revenue]]*Table1[[#This Row],[Discount%]]/100</f>
        <v>399.5</v>
      </c>
      <c r="O1970" s="6">
        <f>Table1[[#This Row],[Revenue]]-Table1[[#This Row],[Disc_amount]]</f>
        <v>1198.5</v>
      </c>
      <c r="P1970" t="s">
        <v>52</v>
      </c>
      <c r="Q1970" t="s">
        <v>34</v>
      </c>
    </row>
    <row r="1971" spans="1:17">
      <c r="A1971" t="s">
        <v>2817</v>
      </c>
      <c r="B1971" s="1" t="s">
        <v>163</v>
      </c>
      <c r="C1971" s="1" t="s">
        <v>2752</v>
      </c>
      <c r="D1971" s="1" t="s">
        <v>20</v>
      </c>
      <c r="E1971" t="s">
        <v>96</v>
      </c>
      <c r="F1971" t="s">
        <v>97</v>
      </c>
      <c r="G1971" t="s">
        <v>45</v>
      </c>
      <c r="H1971" t="s">
        <v>65</v>
      </c>
      <c r="I1971" t="s">
        <v>98</v>
      </c>
      <c r="J1971">
        <v>1</v>
      </c>
      <c r="K1971">
        <v>499</v>
      </c>
      <c r="L1971">
        <f>Table1[[#This Row],[Quantity]] * Table1[[#This Row],[UnitPrice]]</f>
        <v>499</v>
      </c>
      <c r="M1971" s="25">
        <v>0</v>
      </c>
      <c r="N1971">
        <f>Table1[[#This Row],[Revenue]]*Table1[[#This Row],[Discount%]]/100</f>
        <v>0</v>
      </c>
      <c r="O1971" s="6">
        <f>Table1[[#This Row],[Revenue]]-Table1[[#This Row],[Disc_amount]]</f>
        <v>499</v>
      </c>
      <c r="P1971" t="s">
        <v>52</v>
      </c>
      <c r="Q1971" t="s">
        <v>27</v>
      </c>
    </row>
    <row r="1972" spans="1:17">
      <c r="A1972" t="s">
        <v>2818</v>
      </c>
      <c r="B1972" s="1" t="s">
        <v>163</v>
      </c>
      <c r="C1972" s="1" t="s">
        <v>2752</v>
      </c>
      <c r="D1972" s="1" t="s">
        <v>20</v>
      </c>
      <c r="E1972" t="s">
        <v>252</v>
      </c>
      <c r="F1972" t="s">
        <v>253</v>
      </c>
      <c r="G1972" t="s">
        <v>56</v>
      </c>
      <c r="H1972" t="s">
        <v>24</v>
      </c>
      <c r="I1972" t="s">
        <v>32</v>
      </c>
      <c r="J1972">
        <v>1</v>
      </c>
      <c r="K1972">
        <v>199</v>
      </c>
      <c r="L1972">
        <f>Table1[[#This Row],[Quantity]] * Table1[[#This Row],[UnitPrice]]</f>
        <v>199</v>
      </c>
      <c r="M1972" s="25">
        <v>20</v>
      </c>
      <c r="N1972">
        <f>Table1[[#This Row],[Revenue]]*Table1[[#This Row],[Discount%]]/100</f>
        <v>39.799999999999997</v>
      </c>
      <c r="O1972" s="6">
        <f>Table1[[#This Row],[Revenue]]-Table1[[#This Row],[Disc_amount]]</f>
        <v>159.19999999999999</v>
      </c>
      <c r="P1972" t="s">
        <v>33</v>
      </c>
      <c r="Q1972" t="s">
        <v>27</v>
      </c>
    </row>
    <row r="1973" spans="1:17">
      <c r="A1973" t="s">
        <v>2819</v>
      </c>
      <c r="B1973" s="1" t="s">
        <v>163</v>
      </c>
      <c r="C1973" s="1" t="s">
        <v>2752</v>
      </c>
      <c r="D1973" s="1" t="s">
        <v>20</v>
      </c>
      <c r="E1973" t="s">
        <v>616</v>
      </c>
      <c r="F1973" t="s">
        <v>617</v>
      </c>
      <c r="G1973" t="s">
        <v>45</v>
      </c>
      <c r="H1973" t="s">
        <v>57</v>
      </c>
      <c r="I1973" t="s">
        <v>58</v>
      </c>
      <c r="J1973">
        <v>3</v>
      </c>
      <c r="K1973">
        <v>1299</v>
      </c>
      <c r="L1973">
        <f>Table1[[#This Row],[Quantity]] * Table1[[#This Row],[UnitPrice]]</f>
        <v>3897</v>
      </c>
      <c r="M1973" s="25">
        <v>0</v>
      </c>
      <c r="N1973">
        <f>Table1[[#This Row],[Revenue]]*Table1[[#This Row],[Discount%]]/100</f>
        <v>0</v>
      </c>
      <c r="O1973" s="6">
        <f>Table1[[#This Row],[Revenue]]-Table1[[#This Row],[Disc_amount]]</f>
        <v>3897</v>
      </c>
      <c r="P1973" t="s">
        <v>41</v>
      </c>
      <c r="Q1973" t="s">
        <v>27</v>
      </c>
    </row>
    <row r="1974" spans="1:17">
      <c r="A1974" t="s">
        <v>2820</v>
      </c>
      <c r="B1974" s="1" t="s">
        <v>163</v>
      </c>
      <c r="C1974" s="1" t="s">
        <v>2752</v>
      </c>
      <c r="D1974" s="1" t="s">
        <v>20</v>
      </c>
      <c r="E1974" t="s">
        <v>128</v>
      </c>
      <c r="F1974" t="s">
        <v>129</v>
      </c>
      <c r="G1974" t="s">
        <v>23</v>
      </c>
      <c r="H1974" t="s">
        <v>39</v>
      </c>
      <c r="I1974" t="s">
        <v>140</v>
      </c>
      <c r="J1974">
        <v>1</v>
      </c>
      <c r="K1974">
        <v>1799</v>
      </c>
      <c r="L1974">
        <f>Table1[[#This Row],[Quantity]] * Table1[[#This Row],[UnitPrice]]</f>
        <v>1799</v>
      </c>
      <c r="M1974" s="25">
        <v>30</v>
      </c>
      <c r="N1974">
        <f>Table1[[#This Row],[Revenue]]*Table1[[#This Row],[Discount%]]/100</f>
        <v>539.70000000000005</v>
      </c>
      <c r="O1974" s="6">
        <f>Table1[[#This Row],[Revenue]]-Table1[[#This Row],[Disc_amount]]</f>
        <v>1259.3</v>
      </c>
      <c r="P1974" t="s">
        <v>26</v>
      </c>
      <c r="Q1974" t="s">
        <v>27</v>
      </c>
    </row>
    <row r="1975" spans="1:17">
      <c r="A1975" t="s">
        <v>2821</v>
      </c>
      <c r="B1975" s="1" t="s">
        <v>163</v>
      </c>
      <c r="C1975" s="1" t="s">
        <v>2752</v>
      </c>
      <c r="D1975" s="1" t="s">
        <v>20</v>
      </c>
      <c r="E1975" t="s">
        <v>430</v>
      </c>
      <c r="F1975" t="s">
        <v>101</v>
      </c>
      <c r="G1975" t="s">
        <v>23</v>
      </c>
      <c r="H1975" t="s">
        <v>57</v>
      </c>
      <c r="I1975" t="s">
        <v>62</v>
      </c>
      <c r="J1975">
        <v>2</v>
      </c>
      <c r="K1975">
        <v>799</v>
      </c>
      <c r="L1975">
        <f>Table1[[#This Row],[Quantity]] * Table1[[#This Row],[UnitPrice]]</f>
        <v>1598</v>
      </c>
      <c r="M1975" s="25">
        <v>10</v>
      </c>
      <c r="N1975">
        <f>Table1[[#This Row],[Revenue]]*Table1[[#This Row],[Discount%]]/100</f>
        <v>159.80000000000001</v>
      </c>
      <c r="O1975" s="6">
        <f>Table1[[#This Row],[Revenue]]-Table1[[#This Row],[Disc_amount]]</f>
        <v>1438.2</v>
      </c>
      <c r="P1975" t="s">
        <v>41</v>
      </c>
      <c r="Q1975" t="s">
        <v>27</v>
      </c>
    </row>
    <row r="1976" spans="1:17">
      <c r="A1976" t="s">
        <v>2822</v>
      </c>
      <c r="B1976" s="1" t="s">
        <v>163</v>
      </c>
      <c r="C1976" s="1" t="s">
        <v>2752</v>
      </c>
      <c r="D1976" s="1" t="s">
        <v>20</v>
      </c>
      <c r="E1976" t="s">
        <v>303</v>
      </c>
      <c r="F1976" t="s">
        <v>304</v>
      </c>
      <c r="G1976" t="s">
        <v>23</v>
      </c>
      <c r="H1976" t="s">
        <v>57</v>
      </c>
      <c r="I1976" t="s">
        <v>62</v>
      </c>
      <c r="J1976">
        <v>1</v>
      </c>
      <c r="K1976">
        <v>799</v>
      </c>
      <c r="L1976">
        <f>Table1[[#This Row],[Quantity]] * Table1[[#This Row],[UnitPrice]]</f>
        <v>799</v>
      </c>
      <c r="M1976" s="25">
        <v>20</v>
      </c>
      <c r="N1976">
        <f>Table1[[#This Row],[Revenue]]*Table1[[#This Row],[Discount%]]/100</f>
        <v>159.80000000000001</v>
      </c>
      <c r="O1976" s="6">
        <f>Table1[[#This Row],[Revenue]]-Table1[[#This Row],[Disc_amount]]</f>
        <v>639.20000000000005</v>
      </c>
      <c r="P1976" t="s">
        <v>41</v>
      </c>
      <c r="Q1976" t="s">
        <v>27</v>
      </c>
    </row>
    <row r="1977" spans="1:17">
      <c r="A1977" t="s">
        <v>2823</v>
      </c>
      <c r="B1977" s="1" t="s">
        <v>163</v>
      </c>
      <c r="C1977" s="1" t="s">
        <v>2752</v>
      </c>
      <c r="D1977" s="1" t="s">
        <v>20</v>
      </c>
      <c r="E1977" t="s">
        <v>899</v>
      </c>
      <c r="F1977" t="s">
        <v>900</v>
      </c>
      <c r="G1977" t="s">
        <v>56</v>
      </c>
      <c r="H1977" t="s">
        <v>108</v>
      </c>
      <c r="I1977" t="s">
        <v>130</v>
      </c>
      <c r="J1977">
        <v>2</v>
      </c>
      <c r="K1977">
        <v>699</v>
      </c>
      <c r="L1977">
        <f>Table1[[#This Row],[Quantity]] * Table1[[#This Row],[UnitPrice]]</f>
        <v>1398</v>
      </c>
      <c r="M1977" s="25">
        <v>15</v>
      </c>
      <c r="N1977">
        <f>Table1[[#This Row],[Revenue]]*Table1[[#This Row],[Discount%]]/100</f>
        <v>209.7</v>
      </c>
      <c r="O1977" s="6">
        <f>Table1[[#This Row],[Revenue]]-Table1[[#This Row],[Disc_amount]]</f>
        <v>1188.3</v>
      </c>
      <c r="P1977" t="s">
        <v>86</v>
      </c>
      <c r="Q1977" t="s">
        <v>34</v>
      </c>
    </row>
    <row r="1978" spans="1:17">
      <c r="A1978" t="s">
        <v>2824</v>
      </c>
      <c r="B1978" s="1" t="s">
        <v>163</v>
      </c>
      <c r="C1978" s="1" t="s">
        <v>2752</v>
      </c>
      <c r="D1978" s="1" t="s">
        <v>20</v>
      </c>
      <c r="E1978" t="s">
        <v>197</v>
      </c>
      <c r="F1978" t="s">
        <v>198</v>
      </c>
      <c r="G1978" t="s">
        <v>23</v>
      </c>
      <c r="H1978" t="s">
        <v>108</v>
      </c>
      <c r="I1978" t="s">
        <v>109</v>
      </c>
      <c r="J1978">
        <v>2</v>
      </c>
      <c r="K1978">
        <v>1499</v>
      </c>
      <c r="L1978">
        <f>Table1[[#This Row],[Quantity]] * Table1[[#This Row],[UnitPrice]]</f>
        <v>2998</v>
      </c>
      <c r="M1978" s="25">
        <v>10</v>
      </c>
      <c r="N1978">
        <f>Table1[[#This Row],[Revenue]]*Table1[[#This Row],[Discount%]]/100</f>
        <v>299.8</v>
      </c>
      <c r="O1978" s="6">
        <f>Table1[[#This Row],[Revenue]]-Table1[[#This Row],[Disc_amount]]</f>
        <v>2698.2</v>
      </c>
      <c r="P1978" t="s">
        <v>41</v>
      </c>
      <c r="Q1978" t="s">
        <v>27</v>
      </c>
    </row>
    <row r="1979" spans="1:17">
      <c r="A1979" t="s">
        <v>2825</v>
      </c>
      <c r="B1979" s="1" t="s">
        <v>163</v>
      </c>
      <c r="C1979" s="1" t="s">
        <v>2752</v>
      </c>
      <c r="D1979" s="1" t="s">
        <v>20</v>
      </c>
      <c r="E1979" t="s">
        <v>1075</v>
      </c>
      <c r="F1979" t="s">
        <v>150</v>
      </c>
      <c r="G1979" t="s">
        <v>38</v>
      </c>
      <c r="H1979" t="s">
        <v>24</v>
      </c>
      <c r="I1979" t="s">
        <v>25</v>
      </c>
      <c r="J1979">
        <v>3</v>
      </c>
      <c r="K1979">
        <v>99</v>
      </c>
      <c r="L1979">
        <f>Table1[[#This Row],[Quantity]] * Table1[[#This Row],[UnitPrice]]</f>
        <v>297</v>
      </c>
      <c r="M1979" s="25">
        <v>5</v>
      </c>
      <c r="N1979">
        <f>Table1[[#This Row],[Revenue]]*Table1[[#This Row],[Discount%]]/100</f>
        <v>14.85</v>
      </c>
      <c r="O1979" s="6">
        <f>Table1[[#This Row],[Revenue]]-Table1[[#This Row],[Disc_amount]]</f>
        <v>282.14999999999998</v>
      </c>
      <c r="P1979" t="s">
        <v>33</v>
      </c>
      <c r="Q1979" t="s">
        <v>27</v>
      </c>
    </row>
    <row r="1980" spans="1:17">
      <c r="A1980" t="s">
        <v>2826</v>
      </c>
      <c r="B1980" s="1" t="s">
        <v>163</v>
      </c>
      <c r="C1980" s="1" t="s">
        <v>2752</v>
      </c>
      <c r="D1980" s="1" t="s">
        <v>20</v>
      </c>
      <c r="E1980" t="s">
        <v>747</v>
      </c>
      <c r="F1980" t="s">
        <v>748</v>
      </c>
      <c r="G1980" t="s">
        <v>31</v>
      </c>
      <c r="H1980" t="s">
        <v>57</v>
      </c>
      <c r="I1980" t="s">
        <v>62</v>
      </c>
      <c r="J1980">
        <v>1</v>
      </c>
      <c r="K1980">
        <v>799</v>
      </c>
      <c r="L1980">
        <f>Table1[[#This Row],[Quantity]] * Table1[[#This Row],[UnitPrice]]</f>
        <v>799</v>
      </c>
      <c r="M1980" s="25">
        <v>5</v>
      </c>
      <c r="N1980">
        <f>Table1[[#This Row],[Revenue]]*Table1[[#This Row],[Discount%]]/100</f>
        <v>39.950000000000003</v>
      </c>
      <c r="O1980" s="6">
        <f>Table1[[#This Row],[Revenue]]-Table1[[#This Row],[Disc_amount]]</f>
        <v>759.05</v>
      </c>
      <c r="P1980" t="s">
        <v>41</v>
      </c>
      <c r="Q1980" t="s">
        <v>34</v>
      </c>
    </row>
    <row r="1981" spans="1:17">
      <c r="A1981" t="s">
        <v>2827</v>
      </c>
      <c r="B1981" s="1" t="s">
        <v>181</v>
      </c>
      <c r="C1981" s="1" t="s">
        <v>2752</v>
      </c>
      <c r="D1981" s="1" t="s">
        <v>20</v>
      </c>
      <c r="E1981" t="s">
        <v>85</v>
      </c>
      <c r="F1981" t="s">
        <v>83</v>
      </c>
      <c r="G1981" t="s">
        <v>31</v>
      </c>
      <c r="H1981" t="s">
        <v>24</v>
      </c>
      <c r="I1981" t="s">
        <v>25</v>
      </c>
      <c r="J1981">
        <v>1</v>
      </c>
      <c r="K1981">
        <v>99</v>
      </c>
      <c r="L1981">
        <f>Table1[[#This Row],[Quantity]] * Table1[[#This Row],[UnitPrice]]</f>
        <v>99</v>
      </c>
      <c r="M1981" s="25">
        <v>0</v>
      </c>
      <c r="N1981">
        <f>Table1[[#This Row],[Revenue]]*Table1[[#This Row],[Discount%]]/100</f>
        <v>0</v>
      </c>
      <c r="O1981" s="6">
        <f>Table1[[#This Row],[Revenue]]-Table1[[#This Row],[Disc_amount]]</f>
        <v>99</v>
      </c>
      <c r="P1981" t="s">
        <v>41</v>
      </c>
      <c r="Q1981" t="s">
        <v>34</v>
      </c>
    </row>
    <row r="1982" spans="1:17">
      <c r="A1982" t="s">
        <v>2828</v>
      </c>
      <c r="B1982" s="1" t="s">
        <v>181</v>
      </c>
      <c r="C1982" s="1" t="s">
        <v>2752</v>
      </c>
      <c r="D1982" s="1" t="s">
        <v>20</v>
      </c>
      <c r="E1982" t="s">
        <v>769</v>
      </c>
      <c r="F1982" t="s">
        <v>101</v>
      </c>
      <c r="G1982" t="s">
        <v>38</v>
      </c>
      <c r="H1982" t="s">
        <v>65</v>
      </c>
      <c r="I1982" t="s">
        <v>98</v>
      </c>
      <c r="J1982">
        <v>1</v>
      </c>
      <c r="K1982">
        <v>499</v>
      </c>
      <c r="L1982">
        <f>Table1[[#This Row],[Quantity]] * Table1[[#This Row],[UnitPrice]]</f>
        <v>499</v>
      </c>
      <c r="M1982" s="25">
        <v>15</v>
      </c>
      <c r="N1982">
        <f>Table1[[#This Row],[Revenue]]*Table1[[#This Row],[Discount%]]/100</f>
        <v>74.849999999999994</v>
      </c>
      <c r="O1982" s="6">
        <f>Table1[[#This Row],[Revenue]]-Table1[[#This Row],[Disc_amount]]</f>
        <v>424.15</v>
      </c>
      <c r="P1982" t="s">
        <v>86</v>
      </c>
      <c r="Q1982" t="s">
        <v>34</v>
      </c>
    </row>
    <row r="1983" spans="1:17">
      <c r="A1983" t="s">
        <v>2829</v>
      </c>
      <c r="B1983" s="1" t="s">
        <v>181</v>
      </c>
      <c r="C1983" s="1" t="s">
        <v>2752</v>
      </c>
      <c r="D1983" s="1" t="s">
        <v>20</v>
      </c>
      <c r="E1983" t="s">
        <v>1040</v>
      </c>
      <c r="F1983" t="s">
        <v>307</v>
      </c>
      <c r="G1983" t="s">
        <v>45</v>
      </c>
      <c r="H1983" t="s">
        <v>39</v>
      </c>
      <c r="I1983" t="s">
        <v>51</v>
      </c>
      <c r="J1983">
        <v>1</v>
      </c>
      <c r="K1983">
        <v>2999</v>
      </c>
      <c r="L1983">
        <f>Table1[[#This Row],[Quantity]] * Table1[[#This Row],[UnitPrice]]</f>
        <v>2999</v>
      </c>
      <c r="M1983" s="25">
        <v>25</v>
      </c>
      <c r="N1983">
        <f>Table1[[#This Row],[Revenue]]*Table1[[#This Row],[Discount%]]/100</f>
        <v>749.75</v>
      </c>
      <c r="O1983" s="6">
        <f>Table1[[#This Row],[Revenue]]-Table1[[#This Row],[Disc_amount]]</f>
        <v>2249.25</v>
      </c>
      <c r="P1983" t="s">
        <v>26</v>
      </c>
      <c r="Q1983" t="s">
        <v>27</v>
      </c>
    </row>
    <row r="1984" spans="1:17">
      <c r="A1984" t="s">
        <v>2830</v>
      </c>
      <c r="B1984" s="1" t="s">
        <v>181</v>
      </c>
      <c r="C1984" s="1" t="s">
        <v>2752</v>
      </c>
      <c r="D1984" s="1" t="s">
        <v>20</v>
      </c>
      <c r="E1984" t="s">
        <v>946</v>
      </c>
      <c r="F1984" t="s">
        <v>947</v>
      </c>
      <c r="G1984" t="s">
        <v>23</v>
      </c>
      <c r="H1984" t="s">
        <v>108</v>
      </c>
      <c r="I1984" t="s">
        <v>109</v>
      </c>
      <c r="J1984">
        <v>4</v>
      </c>
      <c r="K1984">
        <v>1499</v>
      </c>
      <c r="L1984">
        <f>Table1[[#This Row],[Quantity]] * Table1[[#This Row],[UnitPrice]]</f>
        <v>5996</v>
      </c>
      <c r="M1984" s="25">
        <v>5</v>
      </c>
      <c r="N1984">
        <f>Table1[[#This Row],[Revenue]]*Table1[[#This Row],[Discount%]]/100</f>
        <v>299.8</v>
      </c>
      <c r="O1984" s="6">
        <f>Table1[[#This Row],[Revenue]]-Table1[[#This Row],[Disc_amount]]</f>
        <v>5696.2</v>
      </c>
      <c r="P1984" t="s">
        <v>33</v>
      </c>
      <c r="Q1984" t="s">
        <v>27</v>
      </c>
    </row>
    <row r="1985" spans="1:17">
      <c r="A1985" t="s">
        <v>2831</v>
      </c>
      <c r="B1985" s="1" t="s">
        <v>181</v>
      </c>
      <c r="C1985" s="1" t="s">
        <v>2752</v>
      </c>
      <c r="D1985" s="1" t="s">
        <v>20</v>
      </c>
      <c r="E1985" t="s">
        <v>1640</v>
      </c>
      <c r="F1985" t="s">
        <v>37</v>
      </c>
      <c r="G1985" t="s">
        <v>38</v>
      </c>
      <c r="H1985" t="s">
        <v>108</v>
      </c>
      <c r="I1985" t="s">
        <v>130</v>
      </c>
      <c r="J1985">
        <v>1</v>
      </c>
      <c r="K1985">
        <v>699</v>
      </c>
      <c r="L1985">
        <f>Table1[[#This Row],[Quantity]] * Table1[[#This Row],[UnitPrice]]</f>
        <v>699</v>
      </c>
      <c r="M1985" s="25">
        <v>0</v>
      </c>
      <c r="N1985">
        <f>Table1[[#This Row],[Revenue]]*Table1[[#This Row],[Discount%]]/100</f>
        <v>0</v>
      </c>
      <c r="O1985" s="6">
        <f>Table1[[#This Row],[Revenue]]-Table1[[#This Row],[Disc_amount]]</f>
        <v>699</v>
      </c>
      <c r="P1985" t="s">
        <v>33</v>
      </c>
      <c r="Q1985" t="s">
        <v>34</v>
      </c>
    </row>
    <row r="1986" spans="1:17">
      <c r="A1986" t="s">
        <v>2832</v>
      </c>
      <c r="B1986" s="1" t="s">
        <v>181</v>
      </c>
      <c r="C1986" s="1" t="s">
        <v>2752</v>
      </c>
      <c r="D1986" s="1" t="s">
        <v>20</v>
      </c>
      <c r="E1986" t="s">
        <v>169</v>
      </c>
      <c r="F1986" t="s">
        <v>170</v>
      </c>
      <c r="G1986" t="s">
        <v>31</v>
      </c>
      <c r="H1986" t="s">
        <v>108</v>
      </c>
      <c r="I1986" t="s">
        <v>109</v>
      </c>
      <c r="J1986">
        <v>1</v>
      </c>
      <c r="K1986">
        <v>1499</v>
      </c>
      <c r="L1986">
        <f>Table1[[#This Row],[Quantity]] * Table1[[#This Row],[UnitPrice]]</f>
        <v>1499</v>
      </c>
      <c r="M1986" s="25">
        <v>0</v>
      </c>
      <c r="N1986">
        <f>Table1[[#This Row],[Revenue]]*Table1[[#This Row],[Discount%]]/100</f>
        <v>0</v>
      </c>
      <c r="O1986" s="6">
        <f>Table1[[#This Row],[Revenue]]-Table1[[#This Row],[Disc_amount]]</f>
        <v>1499</v>
      </c>
      <c r="P1986" t="s">
        <v>33</v>
      </c>
      <c r="Q1986" t="s">
        <v>34</v>
      </c>
    </row>
    <row r="1987" spans="1:17">
      <c r="A1987" t="s">
        <v>2833</v>
      </c>
      <c r="B1987" s="1" t="s">
        <v>185</v>
      </c>
      <c r="C1987" s="1" t="s">
        <v>2752</v>
      </c>
      <c r="D1987" s="1" t="s">
        <v>20</v>
      </c>
      <c r="E1987" t="s">
        <v>1029</v>
      </c>
      <c r="F1987" t="s">
        <v>345</v>
      </c>
      <c r="G1987" t="s">
        <v>23</v>
      </c>
      <c r="H1987" t="s">
        <v>65</v>
      </c>
      <c r="I1987" t="s">
        <v>98</v>
      </c>
      <c r="J1987">
        <v>1</v>
      </c>
      <c r="K1987">
        <v>499</v>
      </c>
      <c r="L1987">
        <f>Table1[[#This Row],[Quantity]] * Table1[[#This Row],[UnitPrice]]</f>
        <v>499</v>
      </c>
      <c r="M1987" s="25">
        <v>10</v>
      </c>
      <c r="N1987">
        <f>Table1[[#This Row],[Revenue]]*Table1[[#This Row],[Discount%]]/100</f>
        <v>49.9</v>
      </c>
      <c r="O1987" s="6">
        <f>Table1[[#This Row],[Revenue]]-Table1[[#This Row],[Disc_amount]]</f>
        <v>449.1</v>
      </c>
      <c r="P1987" t="s">
        <v>52</v>
      </c>
      <c r="Q1987" t="s">
        <v>27</v>
      </c>
    </row>
    <row r="1988" spans="1:17">
      <c r="A1988" t="s">
        <v>2834</v>
      </c>
      <c r="B1988" s="1" t="s">
        <v>185</v>
      </c>
      <c r="C1988" s="1" t="s">
        <v>2752</v>
      </c>
      <c r="D1988" s="1" t="s">
        <v>20</v>
      </c>
      <c r="E1988" t="s">
        <v>713</v>
      </c>
      <c r="F1988" t="s">
        <v>714</v>
      </c>
      <c r="G1988" t="s">
        <v>45</v>
      </c>
      <c r="H1988" t="s">
        <v>24</v>
      </c>
      <c r="I1988" t="s">
        <v>25</v>
      </c>
      <c r="J1988">
        <v>2</v>
      </c>
      <c r="K1988">
        <v>99</v>
      </c>
      <c r="L1988">
        <f>Table1[[#This Row],[Quantity]] * Table1[[#This Row],[UnitPrice]]</f>
        <v>198</v>
      </c>
      <c r="M1988" s="25">
        <v>0</v>
      </c>
      <c r="N1988">
        <f>Table1[[#This Row],[Revenue]]*Table1[[#This Row],[Discount%]]/100</f>
        <v>0</v>
      </c>
      <c r="O1988" s="6">
        <f>Table1[[#This Row],[Revenue]]-Table1[[#This Row],[Disc_amount]]</f>
        <v>198</v>
      </c>
      <c r="P1988" t="s">
        <v>33</v>
      </c>
      <c r="Q1988" t="s">
        <v>27</v>
      </c>
    </row>
    <row r="1989" spans="1:17">
      <c r="A1989" t="s">
        <v>2835</v>
      </c>
      <c r="B1989" s="1" t="s">
        <v>185</v>
      </c>
      <c r="C1989" s="1" t="s">
        <v>2752</v>
      </c>
      <c r="D1989" s="1" t="s">
        <v>20</v>
      </c>
      <c r="E1989" t="s">
        <v>477</v>
      </c>
      <c r="F1989" t="s">
        <v>478</v>
      </c>
      <c r="G1989" t="s">
        <v>38</v>
      </c>
      <c r="H1989" t="s">
        <v>39</v>
      </c>
      <c r="I1989" t="s">
        <v>140</v>
      </c>
      <c r="J1989">
        <v>2</v>
      </c>
      <c r="K1989">
        <v>1799</v>
      </c>
      <c r="L1989">
        <f>Table1[[#This Row],[Quantity]] * Table1[[#This Row],[UnitPrice]]</f>
        <v>3598</v>
      </c>
      <c r="M1989" s="25">
        <v>30</v>
      </c>
      <c r="N1989">
        <f>Table1[[#This Row],[Revenue]]*Table1[[#This Row],[Discount%]]/100</f>
        <v>1079.4000000000001</v>
      </c>
      <c r="O1989" s="6">
        <f>Table1[[#This Row],[Revenue]]-Table1[[#This Row],[Disc_amount]]</f>
        <v>2518.6</v>
      </c>
      <c r="P1989" t="s">
        <v>26</v>
      </c>
      <c r="Q1989" t="s">
        <v>27</v>
      </c>
    </row>
    <row r="1990" spans="1:17">
      <c r="A1990" t="s">
        <v>2836</v>
      </c>
      <c r="B1990" s="1" t="s">
        <v>185</v>
      </c>
      <c r="C1990" s="1" t="s">
        <v>2752</v>
      </c>
      <c r="D1990" s="1" t="s">
        <v>20</v>
      </c>
      <c r="E1990" t="s">
        <v>464</v>
      </c>
      <c r="F1990" t="s">
        <v>465</v>
      </c>
      <c r="G1990" t="s">
        <v>38</v>
      </c>
      <c r="H1990" t="s">
        <v>57</v>
      </c>
      <c r="I1990" t="s">
        <v>58</v>
      </c>
      <c r="J1990">
        <v>5</v>
      </c>
      <c r="K1990">
        <v>1299</v>
      </c>
      <c r="L1990">
        <f>Table1[[#This Row],[Quantity]] * Table1[[#This Row],[UnitPrice]]</f>
        <v>6495</v>
      </c>
      <c r="M1990" s="25">
        <v>15</v>
      </c>
      <c r="N1990">
        <f>Table1[[#This Row],[Revenue]]*Table1[[#This Row],[Discount%]]/100</f>
        <v>974.25</v>
      </c>
      <c r="O1990" s="6">
        <f>Table1[[#This Row],[Revenue]]-Table1[[#This Row],[Disc_amount]]</f>
        <v>5520.75</v>
      </c>
      <c r="P1990" t="s">
        <v>33</v>
      </c>
      <c r="Q1990" t="s">
        <v>34</v>
      </c>
    </row>
    <row r="1991" spans="1:17">
      <c r="A1991" t="s">
        <v>2837</v>
      </c>
      <c r="B1991" s="1" t="s">
        <v>185</v>
      </c>
      <c r="C1991" s="1" t="s">
        <v>2752</v>
      </c>
      <c r="D1991" s="1" t="s">
        <v>20</v>
      </c>
      <c r="E1991" t="s">
        <v>292</v>
      </c>
      <c r="F1991" t="s">
        <v>129</v>
      </c>
      <c r="G1991" t="s">
        <v>31</v>
      </c>
      <c r="H1991" t="s">
        <v>24</v>
      </c>
      <c r="I1991" t="s">
        <v>32</v>
      </c>
      <c r="J1991">
        <v>2</v>
      </c>
      <c r="K1991">
        <v>199</v>
      </c>
      <c r="L1991">
        <f>Table1[[#This Row],[Quantity]] * Table1[[#This Row],[UnitPrice]]</f>
        <v>398</v>
      </c>
      <c r="M1991" s="25">
        <v>20</v>
      </c>
      <c r="N1991">
        <f>Table1[[#This Row],[Revenue]]*Table1[[#This Row],[Discount%]]/100</f>
        <v>79.599999999999994</v>
      </c>
      <c r="O1991" s="6">
        <f>Table1[[#This Row],[Revenue]]-Table1[[#This Row],[Disc_amount]]</f>
        <v>318.39999999999998</v>
      </c>
      <c r="P1991" t="s">
        <v>52</v>
      </c>
      <c r="Q1991" t="s">
        <v>27</v>
      </c>
    </row>
    <row r="1992" spans="1:17">
      <c r="A1992" t="s">
        <v>2838</v>
      </c>
      <c r="B1992" s="1" t="s">
        <v>185</v>
      </c>
      <c r="C1992" s="1" t="s">
        <v>2752</v>
      </c>
      <c r="D1992" s="1" t="s">
        <v>20</v>
      </c>
      <c r="E1992" t="s">
        <v>433</v>
      </c>
      <c r="F1992" t="s">
        <v>434</v>
      </c>
      <c r="G1992" t="s">
        <v>31</v>
      </c>
      <c r="H1992" t="s">
        <v>39</v>
      </c>
      <c r="I1992" t="s">
        <v>40</v>
      </c>
      <c r="J1992">
        <v>1</v>
      </c>
      <c r="K1992">
        <v>599</v>
      </c>
      <c r="L1992">
        <f>Table1[[#This Row],[Quantity]] * Table1[[#This Row],[UnitPrice]]</f>
        <v>599</v>
      </c>
      <c r="M1992" s="25">
        <v>20</v>
      </c>
      <c r="N1992">
        <f>Table1[[#This Row],[Revenue]]*Table1[[#This Row],[Discount%]]/100</f>
        <v>119.8</v>
      </c>
      <c r="O1992" s="6">
        <f>Table1[[#This Row],[Revenue]]-Table1[[#This Row],[Disc_amount]]</f>
        <v>479.2</v>
      </c>
      <c r="P1992" t="s">
        <v>41</v>
      </c>
      <c r="Q1992" t="s">
        <v>27</v>
      </c>
    </row>
    <row r="1993" spans="1:17">
      <c r="A1993" t="s">
        <v>2839</v>
      </c>
      <c r="B1993" s="1" t="s">
        <v>185</v>
      </c>
      <c r="C1993" s="1" t="s">
        <v>2752</v>
      </c>
      <c r="D1993" s="1" t="s">
        <v>20</v>
      </c>
      <c r="E1993" t="s">
        <v>114</v>
      </c>
      <c r="F1993" t="s">
        <v>115</v>
      </c>
      <c r="G1993" t="s">
        <v>56</v>
      </c>
      <c r="H1993" t="s">
        <v>24</v>
      </c>
      <c r="I1993" t="s">
        <v>25</v>
      </c>
      <c r="J1993">
        <v>1</v>
      </c>
      <c r="K1993">
        <v>99</v>
      </c>
      <c r="L1993">
        <f>Table1[[#This Row],[Quantity]] * Table1[[#This Row],[UnitPrice]]</f>
        <v>99</v>
      </c>
      <c r="M1993" s="25">
        <v>20</v>
      </c>
      <c r="N1993">
        <f>Table1[[#This Row],[Revenue]]*Table1[[#This Row],[Discount%]]/100</f>
        <v>19.8</v>
      </c>
      <c r="O1993" s="6">
        <f>Table1[[#This Row],[Revenue]]-Table1[[#This Row],[Disc_amount]]</f>
        <v>79.2</v>
      </c>
      <c r="P1993" t="s">
        <v>41</v>
      </c>
      <c r="Q1993" t="s">
        <v>27</v>
      </c>
    </row>
    <row r="1994" spans="1:17">
      <c r="A1994" t="s">
        <v>2840</v>
      </c>
      <c r="B1994" s="1" t="s">
        <v>185</v>
      </c>
      <c r="C1994" s="1" t="s">
        <v>2752</v>
      </c>
      <c r="D1994" s="1" t="s">
        <v>20</v>
      </c>
      <c r="E1994" t="s">
        <v>787</v>
      </c>
      <c r="F1994" t="s">
        <v>788</v>
      </c>
      <c r="G1994" t="s">
        <v>56</v>
      </c>
      <c r="H1994" t="s">
        <v>24</v>
      </c>
      <c r="I1994" t="s">
        <v>32</v>
      </c>
      <c r="J1994">
        <v>1</v>
      </c>
      <c r="K1994">
        <v>199</v>
      </c>
      <c r="L1994">
        <f>Table1[[#This Row],[Quantity]] * Table1[[#This Row],[UnitPrice]]</f>
        <v>199</v>
      </c>
      <c r="M1994" s="25">
        <v>10</v>
      </c>
      <c r="N1994">
        <f>Table1[[#This Row],[Revenue]]*Table1[[#This Row],[Discount%]]/100</f>
        <v>19.899999999999999</v>
      </c>
      <c r="O1994" s="6">
        <f>Table1[[#This Row],[Revenue]]-Table1[[#This Row],[Disc_amount]]</f>
        <v>179.1</v>
      </c>
      <c r="P1994" t="s">
        <v>86</v>
      </c>
      <c r="Q1994" t="s">
        <v>27</v>
      </c>
    </row>
    <row r="1995" spans="1:17">
      <c r="A1995" t="s">
        <v>2841</v>
      </c>
      <c r="B1995" s="1" t="s">
        <v>185</v>
      </c>
      <c r="C1995" s="1" t="s">
        <v>2752</v>
      </c>
      <c r="D1995" s="1" t="s">
        <v>20</v>
      </c>
      <c r="E1995" t="s">
        <v>2753</v>
      </c>
      <c r="F1995" t="s">
        <v>384</v>
      </c>
      <c r="G1995" t="s">
        <v>31</v>
      </c>
      <c r="H1995" t="s">
        <v>108</v>
      </c>
      <c r="I1995" t="s">
        <v>130</v>
      </c>
      <c r="J1995">
        <v>3</v>
      </c>
      <c r="K1995">
        <v>699</v>
      </c>
      <c r="L1995">
        <f>Table1[[#This Row],[Quantity]] * Table1[[#This Row],[UnitPrice]]</f>
        <v>2097</v>
      </c>
      <c r="M1995" s="25">
        <v>10</v>
      </c>
      <c r="N1995">
        <f>Table1[[#This Row],[Revenue]]*Table1[[#This Row],[Discount%]]/100</f>
        <v>209.7</v>
      </c>
      <c r="O1995" s="6">
        <f>Table1[[#This Row],[Revenue]]-Table1[[#This Row],[Disc_amount]]</f>
        <v>1887.3</v>
      </c>
      <c r="P1995" t="s">
        <v>86</v>
      </c>
      <c r="Q1995" t="s">
        <v>34</v>
      </c>
    </row>
    <row r="1996" spans="1:17">
      <c r="A1996" t="s">
        <v>2842</v>
      </c>
      <c r="B1996" s="1" t="s">
        <v>185</v>
      </c>
      <c r="C1996" s="1" t="s">
        <v>2752</v>
      </c>
      <c r="D1996" s="1" t="s">
        <v>20</v>
      </c>
      <c r="E1996" t="s">
        <v>2688</v>
      </c>
      <c r="F1996" t="s">
        <v>873</v>
      </c>
      <c r="G1996" t="s">
        <v>56</v>
      </c>
      <c r="H1996" t="s">
        <v>39</v>
      </c>
      <c r="I1996" t="s">
        <v>40</v>
      </c>
      <c r="J1996">
        <v>2</v>
      </c>
      <c r="K1996">
        <v>599</v>
      </c>
      <c r="L1996">
        <f>Table1[[#This Row],[Quantity]] * Table1[[#This Row],[UnitPrice]]</f>
        <v>1198</v>
      </c>
      <c r="M1996" s="25">
        <v>15</v>
      </c>
      <c r="N1996">
        <f>Table1[[#This Row],[Revenue]]*Table1[[#This Row],[Discount%]]/100</f>
        <v>179.7</v>
      </c>
      <c r="O1996" s="6">
        <f>Table1[[#This Row],[Revenue]]-Table1[[#This Row],[Disc_amount]]</f>
        <v>1018.3</v>
      </c>
      <c r="P1996" t="s">
        <v>41</v>
      </c>
      <c r="Q1996" t="s">
        <v>27</v>
      </c>
    </row>
    <row r="1997" spans="1:17">
      <c r="A1997" t="s">
        <v>2843</v>
      </c>
      <c r="B1997" s="1" t="s">
        <v>185</v>
      </c>
      <c r="C1997" s="1" t="s">
        <v>2752</v>
      </c>
      <c r="D1997" s="1" t="s">
        <v>20</v>
      </c>
      <c r="E1997" t="s">
        <v>498</v>
      </c>
      <c r="F1997" t="s">
        <v>358</v>
      </c>
      <c r="G1997" t="s">
        <v>23</v>
      </c>
      <c r="H1997" t="s">
        <v>57</v>
      </c>
      <c r="I1997" t="s">
        <v>58</v>
      </c>
      <c r="J1997">
        <v>1</v>
      </c>
      <c r="K1997">
        <v>1299</v>
      </c>
      <c r="L1997">
        <f>Table1[[#This Row],[Quantity]] * Table1[[#This Row],[UnitPrice]]</f>
        <v>1299</v>
      </c>
      <c r="M1997" s="25">
        <v>5</v>
      </c>
      <c r="N1997">
        <f>Table1[[#This Row],[Revenue]]*Table1[[#This Row],[Discount%]]/100</f>
        <v>64.95</v>
      </c>
      <c r="O1997" s="6">
        <f>Table1[[#This Row],[Revenue]]-Table1[[#This Row],[Disc_amount]]</f>
        <v>1234.05</v>
      </c>
      <c r="P1997" t="s">
        <v>41</v>
      </c>
      <c r="Q1997" t="s">
        <v>27</v>
      </c>
    </row>
    <row r="1998" spans="1:17">
      <c r="A1998" t="s">
        <v>2844</v>
      </c>
      <c r="B1998" s="1" t="s">
        <v>185</v>
      </c>
      <c r="C1998" s="1" t="s">
        <v>2752</v>
      </c>
      <c r="D1998" s="1" t="s">
        <v>20</v>
      </c>
      <c r="E1998" t="s">
        <v>725</v>
      </c>
      <c r="F1998" t="s">
        <v>726</v>
      </c>
      <c r="G1998" t="s">
        <v>45</v>
      </c>
      <c r="H1998" t="s">
        <v>57</v>
      </c>
      <c r="I1998" t="s">
        <v>58</v>
      </c>
      <c r="J1998">
        <v>2</v>
      </c>
      <c r="K1998">
        <v>1299</v>
      </c>
      <c r="L1998">
        <f>Table1[[#This Row],[Quantity]] * Table1[[#This Row],[UnitPrice]]</f>
        <v>2598</v>
      </c>
      <c r="M1998" s="25">
        <v>30</v>
      </c>
      <c r="N1998">
        <f>Table1[[#This Row],[Revenue]]*Table1[[#This Row],[Discount%]]/100</f>
        <v>779.4</v>
      </c>
      <c r="O1998" s="6">
        <f>Table1[[#This Row],[Revenue]]-Table1[[#This Row],[Disc_amount]]</f>
        <v>1818.6</v>
      </c>
      <c r="P1998" t="s">
        <v>52</v>
      </c>
      <c r="Q1998" t="s">
        <v>27</v>
      </c>
    </row>
    <row r="1999" spans="1:17">
      <c r="A1999" t="s">
        <v>2845</v>
      </c>
      <c r="B1999" s="1" t="s">
        <v>185</v>
      </c>
      <c r="C1999" s="1" t="s">
        <v>2752</v>
      </c>
      <c r="D1999" s="1" t="s">
        <v>20</v>
      </c>
      <c r="E1999" t="s">
        <v>1963</v>
      </c>
      <c r="F1999" t="s">
        <v>1292</v>
      </c>
      <c r="G1999" t="s">
        <v>38</v>
      </c>
      <c r="H1999" t="s">
        <v>108</v>
      </c>
      <c r="I1999" t="s">
        <v>130</v>
      </c>
      <c r="J1999">
        <v>3</v>
      </c>
      <c r="K1999">
        <v>699</v>
      </c>
      <c r="L1999">
        <f>Table1[[#This Row],[Quantity]] * Table1[[#This Row],[UnitPrice]]</f>
        <v>2097</v>
      </c>
      <c r="M1999" s="25">
        <v>10</v>
      </c>
      <c r="N1999">
        <f>Table1[[#This Row],[Revenue]]*Table1[[#This Row],[Discount%]]/100</f>
        <v>209.7</v>
      </c>
      <c r="O1999" s="6">
        <f>Table1[[#This Row],[Revenue]]-Table1[[#This Row],[Disc_amount]]</f>
        <v>1887.3</v>
      </c>
      <c r="P1999" t="s">
        <v>41</v>
      </c>
      <c r="Q1999" t="s">
        <v>27</v>
      </c>
    </row>
    <row r="2000" spans="1:17">
      <c r="A2000" t="s">
        <v>2846</v>
      </c>
      <c r="B2000" s="1" t="s">
        <v>211</v>
      </c>
      <c r="C2000" s="1" t="s">
        <v>2752</v>
      </c>
      <c r="D2000" s="1" t="s">
        <v>20</v>
      </c>
      <c r="E2000" t="s">
        <v>292</v>
      </c>
      <c r="F2000" t="s">
        <v>129</v>
      </c>
      <c r="G2000" t="s">
        <v>38</v>
      </c>
      <c r="H2000" t="s">
        <v>70</v>
      </c>
      <c r="I2000" t="s">
        <v>91</v>
      </c>
      <c r="J2000">
        <v>4</v>
      </c>
      <c r="K2000">
        <v>549</v>
      </c>
      <c r="L2000">
        <f>Table1[[#This Row],[Quantity]] * Table1[[#This Row],[UnitPrice]]</f>
        <v>2196</v>
      </c>
      <c r="M2000" s="25">
        <v>15</v>
      </c>
      <c r="N2000">
        <f>Table1[[#This Row],[Revenue]]*Table1[[#This Row],[Discount%]]/100</f>
        <v>329.4</v>
      </c>
      <c r="O2000" s="6">
        <f>Table1[[#This Row],[Revenue]]-Table1[[#This Row],[Disc_amount]]</f>
        <v>1866.6</v>
      </c>
      <c r="P2000" t="s">
        <v>52</v>
      </c>
      <c r="Q2000" t="s">
        <v>27</v>
      </c>
    </row>
    <row r="2001" spans="1:17">
      <c r="A2001" t="s">
        <v>2847</v>
      </c>
      <c r="B2001" s="1" t="s">
        <v>211</v>
      </c>
      <c r="C2001" s="1" t="s">
        <v>2752</v>
      </c>
      <c r="D2001" s="1" t="s">
        <v>20</v>
      </c>
      <c r="E2001" t="s">
        <v>793</v>
      </c>
      <c r="F2001" t="s">
        <v>129</v>
      </c>
      <c r="G2001" t="s">
        <v>38</v>
      </c>
      <c r="H2001" t="s">
        <v>24</v>
      </c>
      <c r="I2001" t="s">
        <v>25</v>
      </c>
      <c r="J2001">
        <v>1</v>
      </c>
      <c r="K2001">
        <v>99</v>
      </c>
      <c r="L2001">
        <f>Table1[[#This Row],[Quantity]] * Table1[[#This Row],[UnitPrice]]</f>
        <v>99</v>
      </c>
      <c r="M2001" s="25">
        <v>0</v>
      </c>
      <c r="N2001">
        <f>Table1[[#This Row],[Revenue]]*Table1[[#This Row],[Discount%]]/100</f>
        <v>0</v>
      </c>
      <c r="O2001" s="6">
        <f>Table1[[#This Row],[Revenue]]-Table1[[#This Row],[Disc_amount]]</f>
        <v>99</v>
      </c>
      <c r="P2001" t="s">
        <v>86</v>
      </c>
      <c r="Q2001" t="s">
        <v>27</v>
      </c>
    </row>
    <row r="2002" spans="1:17">
      <c r="A2002" t="s">
        <v>2848</v>
      </c>
      <c r="B2002" s="1" t="s">
        <v>211</v>
      </c>
      <c r="C2002" s="1" t="s">
        <v>2752</v>
      </c>
      <c r="D2002" s="1" t="s">
        <v>20</v>
      </c>
      <c r="E2002" t="s">
        <v>306</v>
      </c>
      <c r="F2002" t="s">
        <v>307</v>
      </c>
      <c r="G2002" t="s">
        <v>31</v>
      </c>
      <c r="H2002" t="s">
        <v>65</v>
      </c>
      <c r="I2002" t="s">
        <v>94</v>
      </c>
      <c r="J2002">
        <v>3</v>
      </c>
      <c r="K2002">
        <v>899</v>
      </c>
      <c r="L2002">
        <f>Table1[[#This Row],[Quantity]] * Table1[[#This Row],[UnitPrice]]</f>
        <v>2697</v>
      </c>
      <c r="M2002" s="25">
        <v>10</v>
      </c>
      <c r="N2002">
        <f>Table1[[#This Row],[Revenue]]*Table1[[#This Row],[Discount%]]/100</f>
        <v>269.7</v>
      </c>
      <c r="O2002" s="6">
        <f>Table1[[#This Row],[Revenue]]-Table1[[#This Row],[Disc_amount]]</f>
        <v>2427.3000000000002</v>
      </c>
      <c r="P2002" t="s">
        <v>26</v>
      </c>
      <c r="Q2002" t="s">
        <v>27</v>
      </c>
    </row>
    <row r="2003" spans="1:17">
      <c r="A2003" t="s">
        <v>2849</v>
      </c>
      <c r="B2003" s="1" t="s">
        <v>211</v>
      </c>
      <c r="C2003" s="1" t="s">
        <v>2752</v>
      </c>
      <c r="D2003" s="1" t="s">
        <v>20</v>
      </c>
      <c r="E2003" t="s">
        <v>2326</v>
      </c>
      <c r="F2003" t="s">
        <v>129</v>
      </c>
      <c r="G2003" t="s">
        <v>23</v>
      </c>
      <c r="H2003" t="s">
        <v>57</v>
      </c>
      <c r="I2003" t="s">
        <v>62</v>
      </c>
      <c r="J2003">
        <v>1</v>
      </c>
      <c r="K2003">
        <v>799</v>
      </c>
      <c r="L2003">
        <f>Table1[[#This Row],[Quantity]] * Table1[[#This Row],[UnitPrice]]</f>
        <v>799</v>
      </c>
      <c r="M2003" s="25">
        <v>10</v>
      </c>
      <c r="N2003">
        <f>Table1[[#This Row],[Revenue]]*Table1[[#This Row],[Discount%]]/100</f>
        <v>79.900000000000006</v>
      </c>
      <c r="O2003" s="6">
        <f>Table1[[#This Row],[Revenue]]-Table1[[#This Row],[Disc_amount]]</f>
        <v>719.1</v>
      </c>
      <c r="P2003" t="s">
        <v>33</v>
      </c>
      <c r="Q2003" t="s">
        <v>34</v>
      </c>
    </row>
    <row r="2004" spans="1:17">
      <c r="A2004" t="s">
        <v>2850</v>
      </c>
      <c r="B2004" s="1" t="s">
        <v>211</v>
      </c>
      <c r="C2004" s="1" t="s">
        <v>2752</v>
      </c>
      <c r="D2004" s="1" t="s">
        <v>20</v>
      </c>
      <c r="E2004" t="s">
        <v>224</v>
      </c>
      <c r="F2004" t="s">
        <v>225</v>
      </c>
      <c r="G2004" t="s">
        <v>56</v>
      </c>
      <c r="H2004" t="s">
        <v>39</v>
      </c>
      <c r="I2004" t="s">
        <v>40</v>
      </c>
      <c r="J2004">
        <v>1</v>
      </c>
      <c r="K2004">
        <v>599</v>
      </c>
      <c r="L2004">
        <f>Table1[[#This Row],[Quantity]] * Table1[[#This Row],[UnitPrice]]</f>
        <v>599</v>
      </c>
      <c r="M2004" s="25">
        <v>0</v>
      </c>
      <c r="N2004">
        <f>Table1[[#This Row],[Revenue]]*Table1[[#This Row],[Discount%]]/100</f>
        <v>0</v>
      </c>
      <c r="O2004" s="6">
        <f>Table1[[#This Row],[Revenue]]-Table1[[#This Row],[Disc_amount]]</f>
        <v>599</v>
      </c>
      <c r="P2004" t="s">
        <v>33</v>
      </c>
      <c r="Q2004" t="s">
        <v>27</v>
      </c>
    </row>
    <row r="2005" spans="1:17">
      <c r="A2005" t="s">
        <v>2851</v>
      </c>
      <c r="B2005" s="1" t="s">
        <v>211</v>
      </c>
      <c r="C2005" s="1" t="s">
        <v>2752</v>
      </c>
      <c r="D2005" s="1" t="s">
        <v>20</v>
      </c>
      <c r="E2005" t="s">
        <v>136</v>
      </c>
      <c r="F2005" t="s">
        <v>115</v>
      </c>
      <c r="G2005" t="s">
        <v>56</v>
      </c>
      <c r="H2005" t="s">
        <v>39</v>
      </c>
      <c r="I2005" t="s">
        <v>40</v>
      </c>
      <c r="J2005">
        <v>5</v>
      </c>
      <c r="K2005">
        <v>599</v>
      </c>
      <c r="L2005">
        <f>Table1[[#This Row],[Quantity]] * Table1[[#This Row],[UnitPrice]]</f>
        <v>2995</v>
      </c>
      <c r="M2005" s="25">
        <v>15</v>
      </c>
      <c r="N2005">
        <f>Table1[[#This Row],[Revenue]]*Table1[[#This Row],[Discount%]]/100</f>
        <v>449.25</v>
      </c>
      <c r="O2005" s="6">
        <f>Table1[[#This Row],[Revenue]]-Table1[[#This Row],[Disc_amount]]</f>
        <v>2545.75</v>
      </c>
      <c r="P2005" t="s">
        <v>33</v>
      </c>
      <c r="Q2005" t="s">
        <v>27</v>
      </c>
    </row>
    <row r="2006" spans="1:17">
      <c r="A2006" t="s">
        <v>2852</v>
      </c>
      <c r="B2006" s="1" t="s">
        <v>211</v>
      </c>
      <c r="C2006" s="1" t="s">
        <v>2752</v>
      </c>
      <c r="D2006" s="1" t="s">
        <v>20</v>
      </c>
      <c r="E2006" t="s">
        <v>182</v>
      </c>
      <c r="F2006" t="s">
        <v>183</v>
      </c>
      <c r="G2006" t="s">
        <v>38</v>
      </c>
      <c r="H2006" t="s">
        <v>46</v>
      </c>
      <c r="I2006" t="s">
        <v>47</v>
      </c>
      <c r="J2006">
        <v>5</v>
      </c>
      <c r="K2006">
        <v>249</v>
      </c>
      <c r="L2006">
        <f>Table1[[#This Row],[Quantity]] * Table1[[#This Row],[UnitPrice]]</f>
        <v>1245</v>
      </c>
      <c r="M2006" s="25">
        <v>25</v>
      </c>
      <c r="N2006">
        <f>Table1[[#This Row],[Revenue]]*Table1[[#This Row],[Discount%]]/100</f>
        <v>311.25</v>
      </c>
      <c r="O2006" s="6">
        <f>Table1[[#This Row],[Revenue]]-Table1[[#This Row],[Disc_amount]]</f>
        <v>933.75</v>
      </c>
      <c r="P2006" t="s">
        <v>52</v>
      </c>
      <c r="Q2006" t="s">
        <v>34</v>
      </c>
    </row>
    <row r="2007" spans="1:17">
      <c r="A2007" t="s">
        <v>2853</v>
      </c>
      <c r="B2007" s="1" t="s">
        <v>211</v>
      </c>
      <c r="C2007" s="1" t="s">
        <v>2752</v>
      </c>
      <c r="D2007" s="1" t="s">
        <v>20</v>
      </c>
      <c r="E2007" t="s">
        <v>709</v>
      </c>
      <c r="F2007" t="s">
        <v>694</v>
      </c>
      <c r="G2007" t="s">
        <v>56</v>
      </c>
      <c r="H2007" t="s">
        <v>108</v>
      </c>
      <c r="I2007" t="s">
        <v>130</v>
      </c>
      <c r="J2007">
        <v>1</v>
      </c>
      <c r="K2007">
        <v>699</v>
      </c>
      <c r="L2007">
        <f>Table1[[#This Row],[Quantity]] * Table1[[#This Row],[UnitPrice]]</f>
        <v>699</v>
      </c>
      <c r="M2007" s="25">
        <v>15</v>
      </c>
      <c r="N2007">
        <f>Table1[[#This Row],[Revenue]]*Table1[[#This Row],[Discount%]]/100</f>
        <v>104.85</v>
      </c>
      <c r="O2007" s="6">
        <f>Table1[[#This Row],[Revenue]]-Table1[[#This Row],[Disc_amount]]</f>
        <v>594.15</v>
      </c>
      <c r="P2007" t="s">
        <v>26</v>
      </c>
      <c r="Q2007" t="s">
        <v>34</v>
      </c>
    </row>
    <row r="2008" spans="1:17">
      <c r="A2008" t="s">
        <v>2854</v>
      </c>
      <c r="B2008" s="1" t="s">
        <v>227</v>
      </c>
      <c r="C2008" s="1" t="s">
        <v>2752</v>
      </c>
      <c r="D2008" s="1" t="s">
        <v>20</v>
      </c>
      <c r="E2008" t="s">
        <v>244</v>
      </c>
      <c r="F2008" t="s">
        <v>245</v>
      </c>
      <c r="G2008" t="s">
        <v>45</v>
      </c>
      <c r="H2008" t="s">
        <v>46</v>
      </c>
      <c r="I2008" t="s">
        <v>154</v>
      </c>
      <c r="J2008">
        <v>3</v>
      </c>
      <c r="K2008">
        <v>299</v>
      </c>
      <c r="L2008">
        <f>Table1[[#This Row],[Quantity]] * Table1[[#This Row],[UnitPrice]]</f>
        <v>897</v>
      </c>
      <c r="M2008" s="25">
        <v>10</v>
      </c>
      <c r="N2008">
        <f>Table1[[#This Row],[Revenue]]*Table1[[#This Row],[Discount%]]/100</f>
        <v>89.7</v>
      </c>
      <c r="O2008" s="6">
        <f>Table1[[#This Row],[Revenue]]-Table1[[#This Row],[Disc_amount]]</f>
        <v>807.3</v>
      </c>
      <c r="P2008" t="s">
        <v>41</v>
      </c>
      <c r="Q2008" t="s">
        <v>27</v>
      </c>
    </row>
    <row r="2009" spans="1:17">
      <c r="A2009" t="s">
        <v>2855</v>
      </c>
      <c r="B2009" s="1" t="s">
        <v>227</v>
      </c>
      <c r="C2009" s="1" t="s">
        <v>2752</v>
      </c>
      <c r="D2009" s="1" t="s">
        <v>20</v>
      </c>
      <c r="E2009" t="s">
        <v>175</v>
      </c>
      <c r="F2009" t="s">
        <v>176</v>
      </c>
      <c r="G2009" t="s">
        <v>31</v>
      </c>
      <c r="H2009" t="s">
        <v>70</v>
      </c>
      <c r="I2009" t="s">
        <v>71</v>
      </c>
      <c r="J2009">
        <v>3</v>
      </c>
      <c r="K2009">
        <v>349</v>
      </c>
      <c r="L2009">
        <f>Table1[[#This Row],[Quantity]] * Table1[[#This Row],[UnitPrice]]</f>
        <v>1047</v>
      </c>
      <c r="M2009" s="25">
        <v>0</v>
      </c>
      <c r="N2009">
        <f>Table1[[#This Row],[Revenue]]*Table1[[#This Row],[Discount%]]/100</f>
        <v>0</v>
      </c>
      <c r="O2009" s="6">
        <f>Table1[[#This Row],[Revenue]]-Table1[[#This Row],[Disc_amount]]</f>
        <v>1047</v>
      </c>
      <c r="P2009" t="s">
        <v>86</v>
      </c>
      <c r="Q2009" t="s">
        <v>27</v>
      </c>
    </row>
    <row r="2010" spans="1:17">
      <c r="A2010" t="s">
        <v>2856</v>
      </c>
      <c r="B2010" s="1" t="s">
        <v>227</v>
      </c>
      <c r="C2010" s="1" t="s">
        <v>2752</v>
      </c>
      <c r="D2010" s="1" t="s">
        <v>20</v>
      </c>
      <c r="E2010" t="s">
        <v>680</v>
      </c>
      <c r="F2010" t="s">
        <v>22</v>
      </c>
      <c r="G2010" t="s">
        <v>23</v>
      </c>
      <c r="H2010" t="s">
        <v>39</v>
      </c>
      <c r="I2010" t="s">
        <v>40</v>
      </c>
      <c r="J2010">
        <v>2</v>
      </c>
      <c r="K2010">
        <v>599</v>
      </c>
      <c r="L2010">
        <f>Table1[[#This Row],[Quantity]] * Table1[[#This Row],[UnitPrice]]</f>
        <v>1198</v>
      </c>
      <c r="M2010" s="25">
        <v>5</v>
      </c>
      <c r="N2010">
        <f>Table1[[#This Row],[Revenue]]*Table1[[#This Row],[Discount%]]/100</f>
        <v>59.9</v>
      </c>
      <c r="O2010" s="6">
        <f>Table1[[#This Row],[Revenue]]-Table1[[#This Row],[Disc_amount]]</f>
        <v>1138.0999999999999</v>
      </c>
      <c r="P2010" t="s">
        <v>26</v>
      </c>
      <c r="Q2010" t="s">
        <v>27</v>
      </c>
    </row>
    <row r="2011" spans="1:17">
      <c r="A2011" t="s">
        <v>2857</v>
      </c>
      <c r="B2011" s="1" t="s">
        <v>227</v>
      </c>
      <c r="C2011" s="1" t="s">
        <v>2752</v>
      </c>
      <c r="D2011" s="1" t="s">
        <v>20</v>
      </c>
      <c r="E2011" t="s">
        <v>1711</v>
      </c>
      <c r="F2011" t="s">
        <v>1712</v>
      </c>
      <c r="G2011" t="s">
        <v>45</v>
      </c>
      <c r="H2011" t="s">
        <v>24</v>
      </c>
      <c r="I2011" t="s">
        <v>32</v>
      </c>
      <c r="J2011">
        <v>1</v>
      </c>
      <c r="K2011">
        <v>199</v>
      </c>
      <c r="L2011">
        <f>Table1[[#This Row],[Quantity]] * Table1[[#This Row],[UnitPrice]]</f>
        <v>199</v>
      </c>
      <c r="M2011" s="25">
        <v>15</v>
      </c>
      <c r="N2011">
        <f>Table1[[#This Row],[Revenue]]*Table1[[#This Row],[Discount%]]/100</f>
        <v>29.85</v>
      </c>
      <c r="O2011" s="6">
        <f>Table1[[#This Row],[Revenue]]-Table1[[#This Row],[Disc_amount]]</f>
        <v>169.15</v>
      </c>
      <c r="P2011" t="s">
        <v>33</v>
      </c>
      <c r="Q2011" t="s">
        <v>27</v>
      </c>
    </row>
    <row r="2012" spans="1:17">
      <c r="A2012" t="s">
        <v>2858</v>
      </c>
      <c r="B2012" s="1" t="s">
        <v>227</v>
      </c>
      <c r="C2012" s="1" t="s">
        <v>2752</v>
      </c>
      <c r="D2012" s="1" t="s">
        <v>20</v>
      </c>
      <c r="E2012" t="s">
        <v>82</v>
      </c>
      <c r="F2012" t="s">
        <v>83</v>
      </c>
      <c r="G2012" t="s">
        <v>45</v>
      </c>
      <c r="H2012" t="s">
        <v>24</v>
      </c>
      <c r="I2012" t="s">
        <v>32</v>
      </c>
      <c r="J2012">
        <v>3</v>
      </c>
      <c r="K2012">
        <v>199</v>
      </c>
      <c r="L2012">
        <f>Table1[[#This Row],[Quantity]] * Table1[[#This Row],[UnitPrice]]</f>
        <v>597</v>
      </c>
      <c r="M2012" s="25">
        <v>10</v>
      </c>
      <c r="N2012">
        <f>Table1[[#This Row],[Revenue]]*Table1[[#This Row],[Discount%]]/100</f>
        <v>59.7</v>
      </c>
      <c r="O2012" s="6">
        <f>Table1[[#This Row],[Revenue]]-Table1[[#This Row],[Disc_amount]]</f>
        <v>537.29999999999995</v>
      </c>
      <c r="P2012" t="s">
        <v>26</v>
      </c>
      <c r="Q2012" t="s">
        <v>27</v>
      </c>
    </row>
    <row r="2013" spans="1:17">
      <c r="A2013" t="s">
        <v>2859</v>
      </c>
      <c r="B2013" s="1" t="s">
        <v>227</v>
      </c>
      <c r="C2013" s="1" t="s">
        <v>2752</v>
      </c>
      <c r="D2013" s="1" t="s">
        <v>20</v>
      </c>
      <c r="E2013" t="s">
        <v>2860</v>
      </c>
      <c r="F2013" t="s">
        <v>2861</v>
      </c>
      <c r="G2013" t="s">
        <v>45</v>
      </c>
      <c r="H2013" t="s">
        <v>24</v>
      </c>
      <c r="I2013" t="s">
        <v>32</v>
      </c>
      <c r="J2013">
        <v>2</v>
      </c>
      <c r="K2013">
        <v>199</v>
      </c>
      <c r="L2013">
        <f>Table1[[#This Row],[Quantity]] * Table1[[#This Row],[UnitPrice]]</f>
        <v>398</v>
      </c>
      <c r="M2013" s="25">
        <v>15</v>
      </c>
      <c r="N2013">
        <f>Table1[[#This Row],[Revenue]]*Table1[[#This Row],[Discount%]]/100</f>
        <v>59.7</v>
      </c>
      <c r="O2013" s="6">
        <f>Table1[[#This Row],[Revenue]]-Table1[[#This Row],[Disc_amount]]</f>
        <v>338.3</v>
      </c>
      <c r="P2013" t="s">
        <v>52</v>
      </c>
      <c r="Q2013" t="s">
        <v>34</v>
      </c>
    </row>
    <row r="2014" spans="1:17">
      <c r="A2014" t="s">
        <v>2862</v>
      </c>
      <c r="B2014" s="1" t="s">
        <v>227</v>
      </c>
      <c r="C2014" s="1" t="s">
        <v>2752</v>
      </c>
      <c r="D2014" s="1" t="s">
        <v>20</v>
      </c>
      <c r="E2014" t="s">
        <v>769</v>
      </c>
      <c r="F2014" t="s">
        <v>101</v>
      </c>
      <c r="G2014" t="s">
        <v>56</v>
      </c>
      <c r="H2014" t="s">
        <v>24</v>
      </c>
      <c r="I2014" t="s">
        <v>32</v>
      </c>
      <c r="J2014">
        <v>1</v>
      </c>
      <c r="K2014">
        <v>199</v>
      </c>
      <c r="L2014">
        <f>Table1[[#This Row],[Quantity]] * Table1[[#This Row],[UnitPrice]]</f>
        <v>199</v>
      </c>
      <c r="M2014" s="25">
        <v>10</v>
      </c>
      <c r="N2014">
        <f>Table1[[#This Row],[Revenue]]*Table1[[#This Row],[Discount%]]/100</f>
        <v>19.899999999999999</v>
      </c>
      <c r="O2014" s="6">
        <f>Table1[[#This Row],[Revenue]]-Table1[[#This Row],[Disc_amount]]</f>
        <v>179.1</v>
      </c>
      <c r="P2014" t="s">
        <v>41</v>
      </c>
      <c r="Q2014" t="s">
        <v>34</v>
      </c>
    </row>
    <row r="2015" spans="1:17">
      <c r="A2015" t="s">
        <v>2863</v>
      </c>
      <c r="B2015" s="1" t="s">
        <v>227</v>
      </c>
      <c r="C2015" s="1" t="s">
        <v>2752</v>
      </c>
      <c r="D2015" s="1" t="s">
        <v>20</v>
      </c>
      <c r="E2015" t="s">
        <v>795</v>
      </c>
      <c r="F2015" t="s">
        <v>796</v>
      </c>
      <c r="G2015" t="s">
        <v>38</v>
      </c>
      <c r="H2015" t="s">
        <v>70</v>
      </c>
      <c r="I2015" t="s">
        <v>91</v>
      </c>
      <c r="J2015">
        <v>2</v>
      </c>
      <c r="K2015">
        <v>549</v>
      </c>
      <c r="L2015">
        <f>Table1[[#This Row],[Quantity]] * Table1[[#This Row],[UnitPrice]]</f>
        <v>1098</v>
      </c>
      <c r="M2015" s="25">
        <v>25</v>
      </c>
      <c r="N2015">
        <f>Table1[[#This Row],[Revenue]]*Table1[[#This Row],[Discount%]]/100</f>
        <v>274.5</v>
      </c>
      <c r="O2015" s="6">
        <f>Table1[[#This Row],[Revenue]]-Table1[[#This Row],[Disc_amount]]</f>
        <v>823.5</v>
      </c>
      <c r="P2015" t="s">
        <v>26</v>
      </c>
      <c r="Q2015" t="s">
        <v>27</v>
      </c>
    </row>
    <row r="2016" spans="1:17">
      <c r="A2016" t="s">
        <v>2864</v>
      </c>
      <c r="B2016" s="1" t="s">
        <v>227</v>
      </c>
      <c r="C2016" s="1" t="s">
        <v>2752</v>
      </c>
      <c r="D2016" s="1" t="s">
        <v>20</v>
      </c>
      <c r="E2016" t="s">
        <v>2865</v>
      </c>
      <c r="F2016" t="s">
        <v>209</v>
      </c>
      <c r="G2016" t="s">
        <v>31</v>
      </c>
      <c r="H2016" t="s">
        <v>39</v>
      </c>
      <c r="I2016" t="s">
        <v>51</v>
      </c>
      <c r="J2016">
        <v>2</v>
      </c>
      <c r="K2016">
        <v>2999</v>
      </c>
      <c r="L2016">
        <f>Table1[[#This Row],[Quantity]] * Table1[[#This Row],[UnitPrice]]</f>
        <v>5998</v>
      </c>
      <c r="M2016" s="25">
        <v>10</v>
      </c>
      <c r="N2016">
        <f>Table1[[#This Row],[Revenue]]*Table1[[#This Row],[Discount%]]/100</f>
        <v>599.79999999999995</v>
      </c>
      <c r="O2016" s="6">
        <f>Table1[[#This Row],[Revenue]]-Table1[[#This Row],[Disc_amount]]</f>
        <v>5398.2</v>
      </c>
      <c r="P2016" t="s">
        <v>52</v>
      </c>
      <c r="Q2016" t="s">
        <v>27</v>
      </c>
    </row>
    <row r="2017" spans="1:17">
      <c r="A2017" t="s">
        <v>2866</v>
      </c>
      <c r="B2017" s="1" t="s">
        <v>227</v>
      </c>
      <c r="C2017" s="1" t="s">
        <v>2752</v>
      </c>
      <c r="D2017" s="1" t="s">
        <v>20</v>
      </c>
      <c r="E2017" t="s">
        <v>1946</v>
      </c>
      <c r="F2017" t="s">
        <v>74</v>
      </c>
      <c r="G2017" t="s">
        <v>56</v>
      </c>
      <c r="H2017" t="s">
        <v>39</v>
      </c>
      <c r="I2017" t="s">
        <v>40</v>
      </c>
      <c r="J2017">
        <v>2</v>
      </c>
      <c r="K2017">
        <v>599</v>
      </c>
      <c r="L2017">
        <f>Table1[[#This Row],[Quantity]] * Table1[[#This Row],[UnitPrice]]</f>
        <v>1198</v>
      </c>
      <c r="M2017" s="25">
        <v>20</v>
      </c>
      <c r="N2017">
        <f>Table1[[#This Row],[Revenue]]*Table1[[#This Row],[Discount%]]/100</f>
        <v>239.6</v>
      </c>
      <c r="O2017" s="6">
        <f>Table1[[#This Row],[Revenue]]-Table1[[#This Row],[Disc_amount]]</f>
        <v>958.4</v>
      </c>
      <c r="P2017" t="s">
        <v>86</v>
      </c>
      <c r="Q2017" t="s">
        <v>27</v>
      </c>
    </row>
    <row r="2018" spans="1:17">
      <c r="A2018" t="s">
        <v>2867</v>
      </c>
      <c r="B2018" s="1" t="s">
        <v>233</v>
      </c>
      <c r="C2018" s="1" t="s">
        <v>2752</v>
      </c>
      <c r="D2018" s="1" t="s">
        <v>20</v>
      </c>
      <c r="E2018" t="s">
        <v>495</v>
      </c>
      <c r="F2018" t="s">
        <v>187</v>
      </c>
      <c r="G2018" t="s">
        <v>38</v>
      </c>
      <c r="H2018" t="s">
        <v>65</v>
      </c>
      <c r="I2018" t="s">
        <v>98</v>
      </c>
      <c r="J2018">
        <v>4</v>
      </c>
      <c r="K2018">
        <v>499</v>
      </c>
      <c r="L2018">
        <f>Table1[[#This Row],[Quantity]] * Table1[[#This Row],[UnitPrice]]</f>
        <v>1996</v>
      </c>
      <c r="M2018" s="25">
        <v>0</v>
      </c>
      <c r="N2018">
        <f>Table1[[#This Row],[Revenue]]*Table1[[#This Row],[Discount%]]/100</f>
        <v>0</v>
      </c>
      <c r="O2018" s="6">
        <f>Table1[[#This Row],[Revenue]]-Table1[[#This Row],[Disc_amount]]</f>
        <v>1996</v>
      </c>
      <c r="P2018" t="s">
        <v>26</v>
      </c>
      <c r="Q2018" t="s">
        <v>34</v>
      </c>
    </row>
    <row r="2019" spans="1:17">
      <c r="A2019" t="s">
        <v>2868</v>
      </c>
      <c r="B2019" s="1" t="s">
        <v>233</v>
      </c>
      <c r="C2019" s="1" t="s">
        <v>2752</v>
      </c>
      <c r="D2019" s="1" t="s">
        <v>20</v>
      </c>
      <c r="E2019" t="s">
        <v>995</v>
      </c>
      <c r="F2019" t="s">
        <v>900</v>
      </c>
      <c r="G2019" t="s">
        <v>23</v>
      </c>
      <c r="H2019" t="s">
        <v>108</v>
      </c>
      <c r="I2019" t="s">
        <v>130</v>
      </c>
      <c r="J2019">
        <v>1</v>
      </c>
      <c r="K2019">
        <v>699</v>
      </c>
      <c r="L2019">
        <f>Table1[[#This Row],[Quantity]] * Table1[[#This Row],[UnitPrice]]</f>
        <v>699</v>
      </c>
      <c r="M2019" s="25">
        <v>30</v>
      </c>
      <c r="N2019">
        <f>Table1[[#This Row],[Revenue]]*Table1[[#This Row],[Discount%]]/100</f>
        <v>209.7</v>
      </c>
      <c r="O2019" s="6">
        <f>Table1[[#This Row],[Revenue]]-Table1[[#This Row],[Disc_amount]]</f>
        <v>489.3</v>
      </c>
      <c r="P2019" t="s">
        <v>33</v>
      </c>
      <c r="Q2019" t="s">
        <v>27</v>
      </c>
    </row>
    <row r="2020" spans="1:17">
      <c r="A2020" t="s">
        <v>2869</v>
      </c>
      <c r="B2020" s="1" t="s">
        <v>233</v>
      </c>
      <c r="C2020" s="1" t="s">
        <v>2752</v>
      </c>
      <c r="D2020" s="1" t="s">
        <v>20</v>
      </c>
      <c r="E2020" t="s">
        <v>325</v>
      </c>
      <c r="F2020" t="s">
        <v>326</v>
      </c>
      <c r="G2020" t="s">
        <v>56</v>
      </c>
      <c r="H2020" t="s">
        <v>108</v>
      </c>
      <c r="I2020" t="s">
        <v>109</v>
      </c>
      <c r="J2020">
        <v>1</v>
      </c>
      <c r="K2020">
        <v>1499</v>
      </c>
      <c r="L2020">
        <f>Table1[[#This Row],[Quantity]] * Table1[[#This Row],[UnitPrice]]</f>
        <v>1499</v>
      </c>
      <c r="M2020" s="25">
        <v>30</v>
      </c>
      <c r="N2020">
        <f>Table1[[#This Row],[Revenue]]*Table1[[#This Row],[Discount%]]/100</f>
        <v>449.7</v>
      </c>
      <c r="O2020" s="6">
        <f>Table1[[#This Row],[Revenue]]-Table1[[#This Row],[Disc_amount]]</f>
        <v>1049.3</v>
      </c>
      <c r="P2020" t="s">
        <v>41</v>
      </c>
      <c r="Q2020" t="s">
        <v>27</v>
      </c>
    </row>
    <row r="2021" spans="1:17">
      <c r="A2021" t="s">
        <v>2870</v>
      </c>
      <c r="B2021" s="1" t="s">
        <v>233</v>
      </c>
      <c r="C2021" s="1" t="s">
        <v>2752</v>
      </c>
      <c r="D2021" s="1" t="s">
        <v>20</v>
      </c>
      <c r="E2021" t="s">
        <v>178</v>
      </c>
      <c r="F2021" t="s">
        <v>179</v>
      </c>
      <c r="G2021" t="s">
        <v>23</v>
      </c>
      <c r="H2021" t="s">
        <v>108</v>
      </c>
      <c r="I2021" t="s">
        <v>130</v>
      </c>
      <c r="J2021">
        <v>1</v>
      </c>
      <c r="K2021">
        <v>699</v>
      </c>
      <c r="L2021">
        <f>Table1[[#This Row],[Quantity]] * Table1[[#This Row],[UnitPrice]]</f>
        <v>699</v>
      </c>
      <c r="M2021" s="25">
        <v>0</v>
      </c>
      <c r="N2021">
        <f>Table1[[#This Row],[Revenue]]*Table1[[#This Row],[Discount%]]/100</f>
        <v>0</v>
      </c>
      <c r="O2021" s="6">
        <f>Table1[[#This Row],[Revenue]]-Table1[[#This Row],[Disc_amount]]</f>
        <v>699</v>
      </c>
      <c r="P2021" t="s">
        <v>26</v>
      </c>
      <c r="Q2021" t="s">
        <v>27</v>
      </c>
    </row>
    <row r="2022" spans="1:17">
      <c r="A2022" t="s">
        <v>2871</v>
      </c>
      <c r="B2022" s="1" t="s">
        <v>233</v>
      </c>
      <c r="C2022" s="1" t="s">
        <v>2752</v>
      </c>
      <c r="D2022" s="1" t="s">
        <v>20</v>
      </c>
      <c r="E2022" t="s">
        <v>2688</v>
      </c>
      <c r="F2022" t="s">
        <v>873</v>
      </c>
      <c r="G2022" t="s">
        <v>45</v>
      </c>
      <c r="H2022" t="s">
        <v>57</v>
      </c>
      <c r="I2022" t="s">
        <v>62</v>
      </c>
      <c r="J2022">
        <v>1</v>
      </c>
      <c r="K2022">
        <v>799</v>
      </c>
      <c r="L2022">
        <f>Table1[[#This Row],[Quantity]] * Table1[[#This Row],[UnitPrice]]</f>
        <v>799</v>
      </c>
      <c r="M2022" s="25">
        <v>30</v>
      </c>
      <c r="N2022">
        <f>Table1[[#This Row],[Revenue]]*Table1[[#This Row],[Discount%]]/100</f>
        <v>239.7</v>
      </c>
      <c r="O2022" s="6">
        <f>Table1[[#This Row],[Revenue]]-Table1[[#This Row],[Disc_amount]]</f>
        <v>559.29999999999995</v>
      </c>
      <c r="P2022" t="s">
        <v>33</v>
      </c>
      <c r="Q2022" t="s">
        <v>34</v>
      </c>
    </row>
    <row r="2023" spans="1:17">
      <c r="A2023" t="s">
        <v>2872</v>
      </c>
      <c r="B2023" s="1" t="s">
        <v>233</v>
      </c>
      <c r="C2023" s="1" t="s">
        <v>2752</v>
      </c>
      <c r="D2023" s="1" t="s">
        <v>20</v>
      </c>
      <c r="E2023" t="s">
        <v>1165</v>
      </c>
      <c r="F2023" t="s">
        <v>272</v>
      </c>
      <c r="G2023" t="s">
        <v>45</v>
      </c>
      <c r="H2023" t="s">
        <v>65</v>
      </c>
      <c r="I2023" t="s">
        <v>66</v>
      </c>
      <c r="J2023">
        <v>2</v>
      </c>
      <c r="K2023">
        <v>1999</v>
      </c>
      <c r="L2023">
        <f>Table1[[#This Row],[Quantity]] * Table1[[#This Row],[UnitPrice]]</f>
        <v>3998</v>
      </c>
      <c r="M2023" s="25">
        <v>0</v>
      </c>
      <c r="N2023">
        <f>Table1[[#This Row],[Revenue]]*Table1[[#This Row],[Discount%]]/100</f>
        <v>0</v>
      </c>
      <c r="O2023" s="6">
        <f>Table1[[#This Row],[Revenue]]-Table1[[#This Row],[Disc_amount]]</f>
        <v>3998</v>
      </c>
      <c r="P2023" t="s">
        <v>41</v>
      </c>
      <c r="Q2023" t="s">
        <v>27</v>
      </c>
    </row>
    <row r="2024" spans="1:17">
      <c r="A2024" t="s">
        <v>2873</v>
      </c>
      <c r="B2024" s="1" t="s">
        <v>233</v>
      </c>
      <c r="C2024" s="1" t="s">
        <v>2752</v>
      </c>
      <c r="D2024" s="1" t="s">
        <v>20</v>
      </c>
      <c r="E2024" t="s">
        <v>680</v>
      </c>
      <c r="F2024" t="s">
        <v>22</v>
      </c>
      <c r="G2024" t="s">
        <v>23</v>
      </c>
      <c r="H2024" t="s">
        <v>24</v>
      </c>
      <c r="I2024" t="s">
        <v>32</v>
      </c>
      <c r="J2024">
        <v>2</v>
      </c>
      <c r="K2024">
        <v>199</v>
      </c>
      <c r="L2024">
        <f>Table1[[#This Row],[Quantity]] * Table1[[#This Row],[UnitPrice]]</f>
        <v>398</v>
      </c>
      <c r="M2024" s="25">
        <v>30</v>
      </c>
      <c r="N2024">
        <f>Table1[[#This Row],[Revenue]]*Table1[[#This Row],[Discount%]]/100</f>
        <v>119.4</v>
      </c>
      <c r="O2024" s="6">
        <f>Table1[[#This Row],[Revenue]]-Table1[[#This Row],[Disc_amount]]</f>
        <v>278.60000000000002</v>
      </c>
      <c r="P2024" t="s">
        <v>33</v>
      </c>
      <c r="Q2024" t="s">
        <v>27</v>
      </c>
    </row>
    <row r="2025" spans="1:17">
      <c r="A2025" t="s">
        <v>2874</v>
      </c>
      <c r="B2025" s="1" t="s">
        <v>233</v>
      </c>
      <c r="C2025" s="1" t="s">
        <v>2752</v>
      </c>
      <c r="D2025" s="1" t="s">
        <v>20</v>
      </c>
      <c r="E2025" t="s">
        <v>1172</v>
      </c>
      <c r="F2025" t="s">
        <v>248</v>
      </c>
      <c r="G2025" t="s">
        <v>31</v>
      </c>
      <c r="H2025" t="s">
        <v>46</v>
      </c>
      <c r="I2025" t="s">
        <v>47</v>
      </c>
      <c r="J2025">
        <v>1</v>
      </c>
      <c r="K2025">
        <v>249</v>
      </c>
      <c r="L2025">
        <f>Table1[[#This Row],[Quantity]] * Table1[[#This Row],[UnitPrice]]</f>
        <v>249</v>
      </c>
      <c r="M2025" s="25">
        <v>5</v>
      </c>
      <c r="N2025">
        <f>Table1[[#This Row],[Revenue]]*Table1[[#This Row],[Discount%]]/100</f>
        <v>12.45</v>
      </c>
      <c r="O2025" s="6">
        <f>Table1[[#This Row],[Revenue]]-Table1[[#This Row],[Disc_amount]]</f>
        <v>236.55</v>
      </c>
      <c r="P2025" t="s">
        <v>33</v>
      </c>
      <c r="Q2025" t="s">
        <v>34</v>
      </c>
    </row>
    <row r="2026" spans="1:17">
      <c r="A2026" t="s">
        <v>2875</v>
      </c>
      <c r="B2026" s="1" t="s">
        <v>233</v>
      </c>
      <c r="C2026" s="1" t="s">
        <v>2752</v>
      </c>
      <c r="D2026" s="1" t="s">
        <v>20</v>
      </c>
      <c r="E2026" t="s">
        <v>1473</v>
      </c>
      <c r="F2026" t="s">
        <v>617</v>
      </c>
      <c r="G2026" t="s">
        <v>45</v>
      </c>
      <c r="H2026" t="s">
        <v>57</v>
      </c>
      <c r="I2026" t="s">
        <v>58</v>
      </c>
      <c r="J2026">
        <v>4</v>
      </c>
      <c r="K2026">
        <v>1299</v>
      </c>
      <c r="L2026">
        <f>Table1[[#This Row],[Quantity]] * Table1[[#This Row],[UnitPrice]]</f>
        <v>5196</v>
      </c>
      <c r="M2026" s="25">
        <v>15</v>
      </c>
      <c r="N2026">
        <f>Table1[[#This Row],[Revenue]]*Table1[[#This Row],[Discount%]]/100</f>
        <v>779.4</v>
      </c>
      <c r="O2026" s="6">
        <f>Table1[[#This Row],[Revenue]]-Table1[[#This Row],[Disc_amount]]</f>
        <v>4416.6000000000004</v>
      </c>
      <c r="P2026" t="s">
        <v>41</v>
      </c>
      <c r="Q2026" t="s">
        <v>27</v>
      </c>
    </row>
    <row r="2027" spans="1:17">
      <c r="A2027" t="s">
        <v>2876</v>
      </c>
      <c r="B2027" s="1" t="s">
        <v>233</v>
      </c>
      <c r="C2027" s="1" t="s">
        <v>2752</v>
      </c>
      <c r="D2027" s="1" t="s">
        <v>20</v>
      </c>
      <c r="E2027" t="s">
        <v>1337</v>
      </c>
      <c r="F2027" t="s">
        <v>584</v>
      </c>
      <c r="G2027" t="s">
        <v>56</v>
      </c>
      <c r="H2027" t="s">
        <v>65</v>
      </c>
      <c r="I2027" t="s">
        <v>98</v>
      </c>
      <c r="J2027">
        <v>3</v>
      </c>
      <c r="K2027">
        <v>499</v>
      </c>
      <c r="L2027">
        <f>Table1[[#This Row],[Quantity]] * Table1[[#This Row],[UnitPrice]]</f>
        <v>1497</v>
      </c>
      <c r="M2027" s="25">
        <v>10</v>
      </c>
      <c r="N2027">
        <f>Table1[[#This Row],[Revenue]]*Table1[[#This Row],[Discount%]]/100</f>
        <v>149.69999999999999</v>
      </c>
      <c r="O2027" s="6">
        <f>Table1[[#This Row],[Revenue]]-Table1[[#This Row],[Disc_amount]]</f>
        <v>1347.3</v>
      </c>
      <c r="P2027" t="s">
        <v>52</v>
      </c>
      <c r="Q2027" t="s">
        <v>27</v>
      </c>
    </row>
    <row r="2028" spans="1:17">
      <c r="A2028" t="s">
        <v>2877</v>
      </c>
      <c r="B2028" s="1" t="s">
        <v>233</v>
      </c>
      <c r="C2028" s="1" t="s">
        <v>2752</v>
      </c>
      <c r="D2028" s="1" t="s">
        <v>20</v>
      </c>
      <c r="E2028" t="s">
        <v>1434</v>
      </c>
      <c r="F2028" t="s">
        <v>326</v>
      </c>
      <c r="G2028" t="s">
        <v>56</v>
      </c>
      <c r="H2028" t="s">
        <v>39</v>
      </c>
      <c r="I2028" t="s">
        <v>140</v>
      </c>
      <c r="J2028">
        <v>1</v>
      </c>
      <c r="K2028">
        <v>1799</v>
      </c>
      <c r="L2028">
        <f>Table1[[#This Row],[Quantity]] * Table1[[#This Row],[UnitPrice]]</f>
        <v>1799</v>
      </c>
      <c r="M2028" s="25">
        <v>20</v>
      </c>
      <c r="N2028">
        <f>Table1[[#This Row],[Revenue]]*Table1[[#This Row],[Discount%]]/100</f>
        <v>359.8</v>
      </c>
      <c r="O2028" s="6">
        <f>Table1[[#This Row],[Revenue]]-Table1[[#This Row],[Disc_amount]]</f>
        <v>1439.2</v>
      </c>
      <c r="P2028" t="s">
        <v>33</v>
      </c>
      <c r="Q2028" t="s">
        <v>27</v>
      </c>
    </row>
    <row r="2029" spans="1:17">
      <c r="A2029" t="s">
        <v>2878</v>
      </c>
      <c r="B2029" s="1" t="s">
        <v>233</v>
      </c>
      <c r="C2029" s="1" t="s">
        <v>2752</v>
      </c>
      <c r="D2029" s="1" t="s">
        <v>20</v>
      </c>
      <c r="E2029" t="s">
        <v>289</v>
      </c>
      <c r="F2029" t="s">
        <v>290</v>
      </c>
      <c r="G2029" t="s">
        <v>38</v>
      </c>
      <c r="H2029" t="s">
        <v>108</v>
      </c>
      <c r="I2029" t="s">
        <v>109</v>
      </c>
      <c r="J2029">
        <v>1</v>
      </c>
      <c r="K2029">
        <v>1499</v>
      </c>
      <c r="L2029">
        <f>Table1[[#This Row],[Quantity]] * Table1[[#This Row],[UnitPrice]]</f>
        <v>1499</v>
      </c>
      <c r="M2029" s="25">
        <v>10</v>
      </c>
      <c r="N2029">
        <f>Table1[[#This Row],[Revenue]]*Table1[[#This Row],[Discount%]]/100</f>
        <v>149.9</v>
      </c>
      <c r="O2029" s="6">
        <f>Table1[[#This Row],[Revenue]]-Table1[[#This Row],[Disc_amount]]</f>
        <v>1349.1</v>
      </c>
      <c r="P2029" t="s">
        <v>33</v>
      </c>
      <c r="Q2029" t="s">
        <v>34</v>
      </c>
    </row>
    <row r="2030" spans="1:17">
      <c r="A2030" t="s">
        <v>2879</v>
      </c>
      <c r="B2030" s="1" t="s">
        <v>233</v>
      </c>
      <c r="C2030" s="1" t="s">
        <v>2752</v>
      </c>
      <c r="D2030" s="1" t="s">
        <v>20</v>
      </c>
      <c r="E2030" t="s">
        <v>165</v>
      </c>
      <c r="F2030" t="s">
        <v>166</v>
      </c>
      <c r="G2030" t="s">
        <v>31</v>
      </c>
      <c r="H2030" t="s">
        <v>65</v>
      </c>
      <c r="I2030" t="s">
        <v>98</v>
      </c>
      <c r="J2030">
        <v>3</v>
      </c>
      <c r="K2030">
        <v>499</v>
      </c>
      <c r="L2030">
        <f>Table1[[#This Row],[Quantity]] * Table1[[#This Row],[UnitPrice]]</f>
        <v>1497</v>
      </c>
      <c r="M2030" s="25">
        <v>0</v>
      </c>
      <c r="N2030">
        <f>Table1[[#This Row],[Revenue]]*Table1[[#This Row],[Discount%]]/100</f>
        <v>0</v>
      </c>
      <c r="O2030" s="6">
        <f>Table1[[#This Row],[Revenue]]-Table1[[#This Row],[Disc_amount]]</f>
        <v>1497</v>
      </c>
      <c r="P2030" t="s">
        <v>33</v>
      </c>
      <c r="Q2030" t="s">
        <v>27</v>
      </c>
    </row>
    <row r="2031" spans="1:17">
      <c r="A2031" t="s">
        <v>2880</v>
      </c>
      <c r="B2031" s="1" t="s">
        <v>233</v>
      </c>
      <c r="C2031" s="1" t="s">
        <v>2752</v>
      </c>
      <c r="D2031" s="1" t="s">
        <v>20</v>
      </c>
      <c r="E2031" t="s">
        <v>536</v>
      </c>
      <c r="F2031" t="s">
        <v>295</v>
      </c>
      <c r="G2031" t="s">
        <v>56</v>
      </c>
      <c r="H2031" t="s">
        <v>39</v>
      </c>
      <c r="I2031" t="s">
        <v>140</v>
      </c>
      <c r="J2031">
        <v>4</v>
      </c>
      <c r="K2031">
        <v>1799</v>
      </c>
      <c r="L2031">
        <f>Table1[[#This Row],[Quantity]] * Table1[[#This Row],[UnitPrice]]</f>
        <v>7196</v>
      </c>
      <c r="M2031" s="25">
        <v>10</v>
      </c>
      <c r="N2031">
        <f>Table1[[#This Row],[Revenue]]*Table1[[#This Row],[Discount%]]/100</f>
        <v>719.6</v>
      </c>
      <c r="O2031" s="6">
        <f>Table1[[#This Row],[Revenue]]-Table1[[#This Row],[Disc_amount]]</f>
        <v>6476.4</v>
      </c>
      <c r="P2031" t="s">
        <v>41</v>
      </c>
      <c r="Q2031" t="s">
        <v>27</v>
      </c>
    </row>
    <row r="2032" spans="1:17">
      <c r="A2032" t="s">
        <v>2881</v>
      </c>
      <c r="B2032" s="1" t="s">
        <v>233</v>
      </c>
      <c r="C2032" s="1" t="s">
        <v>2752</v>
      </c>
      <c r="D2032" s="1" t="s">
        <v>20</v>
      </c>
      <c r="E2032" t="s">
        <v>36</v>
      </c>
      <c r="F2032" t="s">
        <v>37</v>
      </c>
      <c r="G2032" t="s">
        <v>45</v>
      </c>
      <c r="H2032" t="s">
        <v>39</v>
      </c>
      <c r="I2032" t="s">
        <v>140</v>
      </c>
      <c r="J2032">
        <v>1</v>
      </c>
      <c r="K2032">
        <v>1799</v>
      </c>
      <c r="L2032">
        <f>Table1[[#This Row],[Quantity]] * Table1[[#This Row],[UnitPrice]]</f>
        <v>1799</v>
      </c>
      <c r="M2032" s="25">
        <v>25</v>
      </c>
      <c r="N2032">
        <f>Table1[[#This Row],[Revenue]]*Table1[[#This Row],[Discount%]]/100</f>
        <v>449.75</v>
      </c>
      <c r="O2032" s="6">
        <f>Table1[[#This Row],[Revenue]]-Table1[[#This Row],[Disc_amount]]</f>
        <v>1349.25</v>
      </c>
      <c r="P2032" t="s">
        <v>33</v>
      </c>
      <c r="Q2032" t="s">
        <v>27</v>
      </c>
    </row>
    <row r="2033" spans="1:17">
      <c r="A2033" t="s">
        <v>2882</v>
      </c>
      <c r="B2033" s="1" t="s">
        <v>233</v>
      </c>
      <c r="C2033" s="1" t="s">
        <v>2752</v>
      </c>
      <c r="D2033" s="1" t="s">
        <v>20</v>
      </c>
      <c r="E2033" t="s">
        <v>328</v>
      </c>
      <c r="F2033" t="s">
        <v>329</v>
      </c>
      <c r="G2033" t="s">
        <v>56</v>
      </c>
      <c r="H2033" t="s">
        <v>39</v>
      </c>
      <c r="I2033" t="s">
        <v>51</v>
      </c>
      <c r="J2033">
        <v>1</v>
      </c>
      <c r="K2033">
        <v>2999</v>
      </c>
      <c r="L2033">
        <f>Table1[[#This Row],[Quantity]] * Table1[[#This Row],[UnitPrice]]</f>
        <v>2999</v>
      </c>
      <c r="M2033" s="25">
        <v>25</v>
      </c>
      <c r="N2033">
        <f>Table1[[#This Row],[Revenue]]*Table1[[#This Row],[Discount%]]/100</f>
        <v>749.75</v>
      </c>
      <c r="O2033" s="6">
        <f>Table1[[#This Row],[Revenue]]-Table1[[#This Row],[Disc_amount]]</f>
        <v>2249.25</v>
      </c>
      <c r="P2033" t="s">
        <v>41</v>
      </c>
      <c r="Q2033" t="s">
        <v>27</v>
      </c>
    </row>
    <row r="2034" spans="1:17">
      <c r="A2034" t="s">
        <v>2883</v>
      </c>
      <c r="B2034" s="1" t="s">
        <v>250</v>
      </c>
      <c r="C2034" s="1" t="s">
        <v>2752</v>
      </c>
      <c r="D2034" s="1" t="s">
        <v>20</v>
      </c>
      <c r="E2034" t="s">
        <v>89</v>
      </c>
      <c r="F2034" t="s">
        <v>90</v>
      </c>
      <c r="G2034" t="s">
        <v>23</v>
      </c>
      <c r="H2034" t="s">
        <v>57</v>
      </c>
      <c r="I2034" t="s">
        <v>62</v>
      </c>
      <c r="J2034">
        <v>2</v>
      </c>
      <c r="K2034">
        <v>799</v>
      </c>
      <c r="L2034">
        <f>Table1[[#This Row],[Quantity]] * Table1[[#This Row],[UnitPrice]]</f>
        <v>1598</v>
      </c>
      <c r="M2034" s="25">
        <v>25</v>
      </c>
      <c r="N2034">
        <f>Table1[[#This Row],[Revenue]]*Table1[[#This Row],[Discount%]]/100</f>
        <v>399.5</v>
      </c>
      <c r="O2034" s="6">
        <f>Table1[[#This Row],[Revenue]]-Table1[[#This Row],[Disc_amount]]</f>
        <v>1198.5</v>
      </c>
      <c r="P2034" t="s">
        <v>52</v>
      </c>
      <c r="Q2034" t="s">
        <v>34</v>
      </c>
    </row>
    <row r="2035" spans="1:17">
      <c r="A2035" t="s">
        <v>2884</v>
      </c>
      <c r="B2035" s="1" t="s">
        <v>250</v>
      </c>
      <c r="C2035" s="1" t="s">
        <v>2752</v>
      </c>
      <c r="D2035" s="1" t="s">
        <v>20</v>
      </c>
      <c r="E2035" t="s">
        <v>1913</v>
      </c>
      <c r="F2035" t="s">
        <v>462</v>
      </c>
      <c r="G2035" t="s">
        <v>23</v>
      </c>
      <c r="H2035" t="s">
        <v>65</v>
      </c>
      <c r="I2035" t="s">
        <v>98</v>
      </c>
      <c r="J2035">
        <v>1</v>
      </c>
      <c r="K2035">
        <v>499</v>
      </c>
      <c r="L2035">
        <f>Table1[[#This Row],[Quantity]] * Table1[[#This Row],[UnitPrice]]</f>
        <v>499</v>
      </c>
      <c r="M2035" s="25">
        <v>15</v>
      </c>
      <c r="N2035">
        <f>Table1[[#This Row],[Revenue]]*Table1[[#This Row],[Discount%]]/100</f>
        <v>74.849999999999994</v>
      </c>
      <c r="O2035" s="6">
        <f>Table1[[#This Row],[Revenue]]-Table1[[#This Row],[Disc_amount]]</f>
        <v>424.15</v>
      </c>
      <c r="P2035" t="s">
        <v>26</v>
      </c>
      <c r="Q2035" t="s">
        <v>27</v>
      </c>
    </row>
    <row r="2036" spans="1:17">
      <c r="A2036" t="s">
        <v>2885</v>
      </c>
      <c r="B2036" s="1" t="s">
        <v>250</v>
      </c>
      <c r="C2036" s="1" t="s">
        <v>2752</v>
      </c>
      <c r="D2036" s="1" t="s">
        <v>20</v>
      </c>
      <c r="E2036" t="s">
        <v>1264</v>
      </c>
      <c r="F2036" t="s">
        <v>462</v>
      </c>
      <c r="G2036" t="s">
        <v>45</v>
      </c>
      <c r="H2036" t="s">
        <v>65</v>
      </c>
      <c r="I2036" t="s">
        <v>94</v>
      </c>
      <c r="J2036">
        <v>4</v>
      </c>
      <c r="K2036">
        <v>899</v>
      </c>
      <c r="L2036">
        <f>Table1[[#This Row],[Quantity]] * Table1[[#This Row],[UnitPrice]]</f>
        <v>3596</v>
      </c>
      <c r="M2036" s="25">
        <v>20</v>
      </c>
      <c r="N2036">
        <f>Table1[[#This Row],[Revenue]]*Table1[[#This Row],[Discount%]]/100</f>
        <v>719.2</v>
      </c>
      <c r="O2036" s="6">
        <f>Table1[[#This Row],[Revenue]]-Table1[[#This Row],[Disc_amount]]</f>
        <v>2876.8</v>
      </c>
      <c r="P2036" t="s">
        <v>41</v>
      </c>
      <c r="Q2036" t="s">
        <v>34</v>
      </c>
    </row>
    <row r="2037" spans="1:17">
      <c r="A2037" t="s">
        <v>2886</v>
      </c>
      <c r="B2037" s="1" t="s">
        <v>250</v>
      </c>
      <c r="C2037" s="1" t="s">
        <v>2752</v>
      </c>
      <c r="D2037" s="1" t="s">
        <v>20</v>
      </c>
      <c r="E2037" t="s">
        <v>182</v>
      </c>
      <c r="F2037" t="s">
        <v>183</v>
      </c>
      <c r="G2037" t="s">
        <v>56</v>
      </c>
      <c r="H2037" t="s">
        <v>65</v>
      </c>
      <c r="I2037" t="s">
        <v>66</v>
      </c>
      <c r="J2037">
        <v>1</v>
      </c>
      <c r="K2037">
        <v>1999</v>
      </c>
      <c r="L2037">
        <f>Table1[[#This Row],[Quantity]] * Table1[[#This Row],[UnitPrice]]</f>
        <v>1999</v>
      </c>
      <c r="M2037" s="25">
        <v>25</v>
      </c>
      <c r="N2037">
        <f>Table1[[#This Row],[Revenue]]*Table1[[#This Row],[Discount%]]/100</f>
        <v>499.75</v>
      </c>
      <c r="O2037" s="6">
        <f>Table1[[#This Row],[Revenue]]-Table1[[#This Row],[Disc_amount]]</f>
        <v>1499.25</v>
      </c>
      <c r="P2037" t="s">
        <v>33</v>
      </c>
      <c r="Q2037" t="s">
        <v>27</v>
      </c>
    </row>
    <row r="2038" spans="1:17">
      <c r="A2038" t="s">
        <v>2887</v>
      </c>
      <c r="B2038" s="1" t="s">
        <v>250</v>
      </c>
      <c r="C2038" s="1" t="s">
        <v>2752</v>
      </c>
      <c r="D2038" s="1" t="s">
        <v>20</v>
      </c>
      <c r="E2038" t="s">
        <v>114</v>
      </c>
      <c r="F2038" t="s">
        <v>115</v>
      </c>
      <c r="G2038" t="s">
        <v>31</v>
      </c>
      <c r="H2038" t="s">
        <v>70</v>
      </c>
      <c r="I2038" t="s">
        <v>91</v>
      </c>
      <c r="J2038">
        <v>2</v>
      </c>
      <c r="K2038">
        <v>549</v>
      </c>
      <c r="L2038">
        <f>Table1[[#This Row],[Quantity]] * Table1[[#This Row],[UnitPrice]]</f>
        <v>1098</v>
      </c>
      <c r="M2038" s="25">
        <v>10</v>
      </c>
      <c r="N2038">
        <f>Table1[[#This Row],[Revenue]]*Table1[[#This Row],[Discount%]]/100</f>
        <v>109.8</v>
      </c>
      <c r="O2038" s="6">
        <f>Table1[[#This Row],[Revenue]]-Table1[[#This Row],[Disc_amount]]</f>
        <v>988.2</v>
      </c>
      <c r="P2038" t="s">
        <v>41</v>
      </c>
      <c r="Q2038" t="s">
        <v>27</v>
      </c>
    </row>
    <row r="2039" spans="1:17">
      <c r="A2039" t="s">
        <v>2888</v>
      </c>
      <c r="B2039" s="1" t="s">
        <v>250</v>
      </c>
      <c r="C2039" s="1" t="s">
        <v>2752</v>
      </c>
      <c r="D2039" s="1" t="s">
        <v>20</v>
      </c>
      <c r="E2039" t="s">
        <v>1592</v>
      </c>
      <c r="F2039" t="s">
        <v>876</v>
      </c>
      <c r="G2039" t="s">
        <v>23</v>
      </c>
      <c r="H2039" t="s">
        <v>24</v>
      </c>
      <c r="I2039" t="s">
        <v>25</v>
      </c>
      <c r="J2039">
        <v>2</v>
      </c>
      <c r="K2039">
        <v>99</v>
      </c>
      <c r="L2039">
        <f>Table1[[#This Row],[Quantity]] * Table1[[#This Row],[UnitPrice]]</f>
        <v>198</v>
      </c>
      <c r="M2039" s="25">
        <v>20</v>
      </c>
      <c r="N2039">
        <f>Table1[[#This Row],[Revenue]]*Table1[[#This Row],[Discount%]]/100</f>
        <v>39.6</v>
      </c>
      <c r="O2039" s="6">
        <f>Table1[[#This Row],[Revenue]]-Table1[[#This Row],[Disc_amount]]</f>
        <v>158.4</v>
      </c>
      <c r="P2039" t="s">
        <v>26</v>
      </c>
      <c r="Q2039" t="s">
        <v>34</v>
      </c>
    </row>
    <row r="2040" spans="1:17">
      <c r="A2040" t="s">
        <v>2889</v>
      </c>
      <c r="B2040" s="1" t="s">
        <v>250</v>
      </c>
      <c r="C2040" s="1" t="s">
        <v>2752</v>
      </c>
      <c r="D2040" s="1" t="s">
        <v>20</v>
      </c>
      <c r="E2040" t="s">
        <v>373</v>
      </c>
      <c r="F2040" t="s">
        <v>183</v>
      </c>
      <c r="G2040" t="s">
        <v>31</v>
      </c>
      <c r="H2040" t="s">
        <v>46</v>
      </c>
      <c r="I2040" t="s">
        <v>154</v>
      </c>
      <c r="J2040">
        <v>3</v>
      </c>
      <c r="K2040">
        <v>299</v>
      </c>
      <c r="L2040">
        <f>Table1[[#This Row],[Quantity]] * Table1[[#This Row],[UnitPrice]]</f>
        <v>897</v>
      </c>
      <c r="M2040" s="25">
        <v>0</v>
      </c>
      <c r="N2040">
        <f>Table1[[#This Row],[Revenue]]*Table1[[#This Row],[Discount%]]/100</f>
        <v>0</v>
      </c>
      <c r="O2040" s="6">
        <f>Table1[[#This Row],[Revenue]]-Table1[[#This Row],[Disc_amount]]</f>
        <v>897</v>
      </c>
      <c r="P2040" t="s">
        <v>52</v>
      </c>
      <c r="Q2040" t="s">
        <v>34</v>
      </c>
    </row>
    <row r="2041" spans="1:17">
      <c r="A2041" t="s">
        <v>2890</v>
      </c>
      <c r="B2041" s="1" t="s">
        <v>250</v>
      </c>
      <c r="C2041" s="1" t="s">
        <v>2752</v>
      </c>
      <c r="D2041" s="1" t="s">
        <v>20</v>
      </c>
      <c r="E2041" t="s">
        <v>1214</v>
      </c>
      <c r="F2041" t="s">
        <v>376</v>
      </c>
      <c r="G2041" t="s">
        <v>56</v>
      </c>
      <c r="H2041" t="s">
        <v>108</v>
      </c>
      <c r="I2041" t="s">
        <v>130</v>
      </c>
      <c r="J2041">
        <v>2</v>
      </c>
      <c r="K2041">
        <v>699</v>
      </c>
      <c r="L2041">
        <f>Table1[[#This Row],[Quantity]] * Table1[[#This Row],[UnitPrice]]</f>
        <v>1398</v>
      </c>
      <c r="M2041" s="25">
        <v>5</v>
      </c>
      <c r="N2041">
        <f>Table1[[#This Row],[Revenue]]*Table1[[#This Row],[Discount%]]/100</f>
        <v>69.900000000000006</v>
      </c>
      <c r="O2041" s="6">
        <f>Table1[[#This Row],[Revenue]]-Table1[[#This Row],[Disc_amount]]</f>
        <v>1328.1</v>
      </c>
      <c r="P2041" t="s">
        <v>33</v>
      </c>
      <c r="Q2041" t="s">
        <v>34</v>
      </c>
    </row>
    <row r="2042" spans="1:17">
      <c r="A2042" t="s">
        <v>2891</v>
      </c>
      <c r="B2042" s="1" t="s">
        <v>274</v>
      </c>
      <c r="C2042" s="1" t="s">
        <v>2752</v>
      </c>
      <c r="D2042" s="1" t="s">
        <v>20</v>
      </c>
      <c r="E2042" t="s">
        <v>578</v>
      </c>
      <c r="F2042" t="s">
        <v>579</v>
      </c>
      <c r="G2042" t="s">
        <v>23</v>
      </c>
      <c r="H2042" t="s">
        <v>24</v>
      </c>
      <c r="I2042" t="s">
        <v>32</v>
      </c>
      <c r="J2042">
        <v>3</v>
      </c>
      <c r="K2042">
        <v>199</v>
      </c>
      <c r="L2042">
        <f>Table1[[#This Row],[Quantity]] * Table1[[#This Row],[UnitPrice]]</f>
        <v>597</v>
      </c>
      <c r="M2042" s="25">
        <v>20</v>
      </c>
      <c r="N2042">
        <f>Table1[[#This Row],[Revenue]]*Table1[[#This Row],[Discount%]]/100</f>
        <v>119.4</v>
      </c>
      <c r="O2042" s="6">
        <f>Table1[[#This Row],[Revenue]]-Table1[[#This Row],[Disc_amount]]</f>
        <v>477.6</v>
      </c>
      <c r="P2042" t="s">
        <v>26</v>
      </c>
      <c r="Q2042" t="s">
        <v>27</v>
      </c>
    </row>
    <row r="2043" spans="1:17">
      <c r="A2043" t="s">
        <v>2892</v>
      </c>
      <c r="B2043" s="1" t="s">
        <v>274</v>
      </c>
      <c r="C2043" s="1" t="s">
        <v>2752</v>
      </c>
      <c r="D2043" s="1" t="s">
        <v>20</v>
      </c>
      <c r="E2043" t="s">
        <v>755</v>
      </c>
      <c r="F2043" t="s">
        <v>756</v>
      </c>
      <c r="G2043" t="s">
        <v>38</v>
      </c>
      <c r="H2043" t="s">
        <v>65</v>
      </c>
      <c r="I2043" t="s">
        <v>66</v>
      </c>
      <c r="J2043">
        <v>3</v>
      </c>
      <c r="K2043">
        <v>1999</v>
      </c>
      <c r="L2043">
        <f>Table1[[#This Row],[Quantity]] * Table1[[#This Row],[UnitPrice]]</f>
        <v>5997</v>
      </c>
      <c r="M2043" s="25">
        <v>5</v>
      </c>
      <c r="N2043">
        <f>Table1[[#This Row],[Revenue]]*Table1[[#This Row],[Discount%]]/100</f>
        <v>299.85000000000002</v>
      </c>
      <c r="O2043" s="6">
        <f>Table1[[#This Row],[Revenue]]-Table1[[#This Row],[Disc_amount]]</f>
        <v>5697.15</v>
      </c>
      <c r="P2043" t="s">
        <v>33</v>
      </c>
      <c r="Q2043" t="s">
        <v>34</v>
      </c>
    </row>
    <row r="2044" spans="1:17">
      <c r="A2044" t="s">
        <v>2893</v>
      </c>
      <c r="B2044" s="1" t="s">
        <v>274</v>
      </c>
      <c r="C2044" s="1" t="s">
        <v>2752</v>
      </c>
      <c r="D2044" s="1" t="s">
        <v>20</v>
      </c>
      <c r="E2044" t="s">
        <v>1110</v>
      </c>
      <c r="F2044" t="s">
        <v>279</v>
      </c>
      <c r="G2044" t="s">
        <v>31</v>
      </c>
      <c r="H2044" t="s">
        <v>57</v>
      </c>
      <c r="I2044" t="s">
        <v>58</v>
      </c>
      <c r="J2044">
        <v>1</v>
      </c>
      <c r="K2044">
        <v>1299</v>
      </c>
      <c r="L2044">
        <f>Table1[[#This Row],[Quantity]] * Table1[[#This Row],[UnitPrice]]</f>
        <v>1299</v>
      </c>
      <c r="M2044" s="25">
        <v>0</v>
      </c>
      <c r="N2044">
        <f>Table1[[#This Row],[Revenue]]*Table1[[#This Row],[Discount%]]/100</f>
        <v>0</v>
      </c>
      <c r="O2044" s="6">
        <f>Table1[[#This Row],[Revenue]]-Table1[[#This Row],[Disc_amount]]</f>
        <v>1299</v>
      </c>
      <c r="P2044" t="s">
        <v>33</v>
      </c>
      <c r="Q2044" t="s">
        <v>34</v>
      </c>
    </row>
    <row r="2045" spans="1:17">
      <c r="A2045" t="s">
        <v>2894</v>
      </c>
      <c r="B2045" s="1" t="s">
        <v>274</v>
      </c>
      <c r="C2045" s="1" t="s">
        <v>2752</v>
      </c>
      <c r="D2045" s="1" t="s">
        <v>20</v>
      </c>
      <c r="E2045" t="s">
        <v>561</v>
      </c>
      <c r="F2045" t="s">
        <v>562</v>
      </c>
      <c r="G2045" t="s">
        <v>31</v>
      </c>
      <c r="H2045" t="s">
        <v>65</v>
      </c>
      <c r="I2045" t="s">
        <v>66</v>
      </c>
      <c r="J2045">
        <v>2</v>
      </c>
      <c r="K2045">
        <v>1999</v>
      </c>
      <c r="L2045">
        <f>Table1[[#This Row],[Quantity]] * Table1[[#This Row],[UnitPrice]]</f>
        <v>3998</v>
      </c>
      <c r="M2045" s="25">
        <v>30</v>
      </c>
      <c r="N2045">
        <f>Table1[[#This Row],[Revenue]]*Table1[[#This Row],[Discount%]]/100</f>
        <v>1199.4000000000001</v>
      </c>
      <c r="O2045" s="6">
        <f>Table1[[#This Row],[Revenue]]-Table1[[#This Row],[Disc_amount]]</f>
        <v>2798.6</v>
      </c>
      <c r="P2045" t="s">
        <v>41</v>
      </c>
      <c r="Q2045" t="s">
        <v>34</v>
      </c>
    </row>
    <row r="2046" spans="1:17">
      <c r="A2046" t="s">
        <v>2895</v>
      </c>
      <c r="B2046" s="1" t="s">
        <v>274</v>
      </c>
      <c r="C2046" s="1" t="s">
        <v>2752</v>
      </c>
      <c r="D2046" s="1" t="s">
        <v>20</v>
      </c>
      <c r="E2046" t="s">
        <v>763</v>
      </c>
      <c r="F2046" t="s">
        <v>118</v>
      </c>
      <c r="G2046" t="s">
        <v>56</v>
      </c>
      <c r="H2046" t="s">
        <v>39</v>
      </c>
      <c r="I2046" t="s">
        <v>51</v>
      </c>
      <c r="J2046">
        <v>2</v>
      </c>
      <c r="K2046">
        <v>2999</v>
      </c>
      <c r="L2046">
        <f>Table1[[#This Row],[Quantity]] * Table1[[#This Row],[UnitPrice]]</f>
        <v>5998</v>
      </c>
      <c r="M2046" s="25">
        <v>20</v>
      </c>
      <c r="N2046">
        <f>Table1[[#This Row],[Revenue]]*Table1[[#This Row],[Discount%]]/100</f>
        <v>1199.5999999999999</v>
      </c>
      <c r="O2046" s="6">
        <f>Table1[[#This Row],[Revenue]]-Table1[[#This Row],[Disc_amount]]</f>
        <v>4798.3999999999996</v>
      </c>
      <c r="P2046" t="s">
        <v>52</v>
      </c>
      <c r="Q2046" t="s">
        <v>27</v>
      </c>
    </row>
    <row r="2047" spans="1:17">
      <c r="A2047" t="s">
        <v>2896</v>
      </c>
      <c r="B2047" s="1" t="s">
        <v>274</v>
      </c>
      <c r="C2047" s="1" t="s">
        <v>2752</v>
      </c>
      <c r="D2047" s="1" t="s">
        <v>20</v>
      </c>
      <c r="E2047" t="s">
        <v>368</v>
      </c>
      <c r="F2047" t="s">
        <v>369</v>
      </c>
      <c r="G2047" t="s">
        <v>45</v>
      </c>
      <c r="H2047" t="s">
        <v>65</v>
      </c>
      <c r="I2047" t="s">
        <v>94</v>
      </c>
      <c r="J2047">
        <v>2</v>
      </c>
      <c r="K2047">
        <v>899</v>
      </c>
      <c r="L2047">
        <f>Table1[[#This Row],[Quantity]] * Table1[[#This Row],[UnitPrice]]</f>
        <v>1798</v>
      </c>
      <c r="M2047" s="25">
        <v>10</v>
      </c>
      <c r="N2047">
        <f>Table1[[#This Row],[Revenue]]*Table1[[#This Row],[Discount%]]/100</f>
        <v>179.8</v>
      </c>
      <c r="O2047" s="6">
        <f>Table1[[#This Row],[Revenue]]-Table1[[#This Row],[Disc_amount]]</f>
        <v>1618.2</v>
      </c>
      <c r="P2047" t="s">
        <v>41</v>
      </c>
      <c r="Q2047" t="s">
        <v>27</v>
      </c>
    </row>
    <row r="2048" spans="1:17">
      <c r="A2048" t="s">
        <v>2897</v>
      </c>
      <c r="B2048" s="1" t="s">
        <v>274</v>
      </c>
      <c r="C2048" s="1" t="s">
        <v>2752</v>
      </c>
      <c r="D2048" s="1" t="s">
        <v>20</v>
      </c>
      <c r="E2048" t="s">
        <v>194</v>
      </c>
      <c r="F2048" t="s">
        <v>195</v>
      </c>
      <c r="G2048" t="s">
        <v>31</v>
      </c>
      <c r="H2048" t="s">
        <v>108</v>
      </c>
      <c r="I2048" t="s">
        <v>130</v>
      </c>
      <c r="J2048">
        <v>2</v>
      </c>
      <c r="K2048">
        <v>699</v>
      </c>
      <c r="L2048">
        <f>Table1[[#This Row],[Quantity]] * Table1[[#This Row],[UnitPrice]]</f>
        <v>1398</v>
      </c>
      <c r="M2048" s="25">
        <v>15</v>
      </c>
      <c r="N2048">
        <f>Table1[[#This Row],[Revenue]]*Table1[[#This Row],[Discount%]]/100</f>
        <v>209.7</v>
      </c>
      <c r="O2048" s="6">
        <f>Table1[[#This Row],[Revenue]]-Table1[[#This Row],[Disc_amount]]</f>
        <v>1188.3</v>
      </c>
      <c r="P2048" t="s">
        <v>41</v>
      </c>
      <c r="Q2048" t="s">
        <v>27</v>
      </c>
    </row>
    <row r="2049" spans="1:17">
      <c r="A2049" t="s">
        <v>2898</v>
      </c>
      <c r="B2049" s="1" t="s">
        <v>274</v>
      </c>
      <c r="C2049" s="1" t="s">
        <v>2752</v>
      </c>
      <c r="D2049" s="1" t="s">
        <v>20</v>
      </c>
      <c r="E2049" t="s">
        <v>200</v>
      </c>
      <c r="F2049" t="s">
        <v>22</v>
      </c>
      <c r="G2049" t="s">
        <v>23</v>
      </c>
      <c r="H2049" t="s">
        <v>46</v>
      </c>
      <c r="I2049" t="s">
        <v>154</v>
      </c>
      <c r="J2049">
        <v>2</v>
      </c>
      <c r="K2049">
        <v>299</v>
      </c>
      <c r="L2049">
        <f>Table1[[#This Row],[Quantity]] * Table1[[#This Row],[UnitPrice]]</f>
        <v>598</v>
      </c>
      <c r="M2049" s="25">
        <v>0</v>
      </c>
      <c r="N2049">
        <f>Table1[[#This Row],[Revenue]]*Table1[[#This Row],[Discount%]]/100</f>
        <v>0</v>
      </c>
      <c r="O2049" s="6">
        <f>Table1[[#This Row],[Revenue]]-Table1[[#This Row],[Disc_amount]]</f>
        <v>598</v>
      </c>
      <c r="P2049" t="s">
        <v>41</v>
      </c>
      <c r="Q2049" t="s">
        <v>27</v>
      </c>
    </row>
    <row r="2050" spans="1:17">
      <c r="A2050" t="s">
        <v>2899</v>
      </c>
      <c r="B2050" s="1" t="s">
        <v>274</v>
      </c>
      <c r="C2050" s="1" t="s">
        <v>2752</v>
      </c>
      <c r="D2050" s="1" t="s">
        <v>20</v>
      </c>
      <c r="E2050" t="s">
        <v>791</v>
      </c>
      <c r="F2050" t="s">
        <v>37</v>
      </c>
      <c r="G2050" t="s">
        <v>45</v>
      </c>
      <c r="H2050" t="s">
        <v>108</v>
      </c>
      <c r="I2050" t="s">
        <v>130</v>
      </c>
      <c r="J2050">
        <v>1</v>
      </c>
      <c r="K2050">
        <v>699</v>
      </c>
      <c r="L2050">
        <f>Table1[[#This Row],[Quantity]] * Table1[[#This Row],[UnitPrice]]</f>
        <v>699</v>
      </c>
      <c r="M2050" s="25">
        <v>0</v>
      </c>
      <c r="N2050">
        <f>Table1[[#This Row],[Revenue]]*Table1[[#This Row],[Discount%]]/100</f>
        <v>0</v>
      </c>
      <c r="O2050" s="6">
        <f>Table1[[#This Row],[Revenue]]-Table1[[#This Row],[Disc_amount]]</f>
        <v>699</v>
      </c>
      <c r="P2050" t="s">
        <v>41</v>
      </c>
      <c r="Q2050" t="s">
        <v>34</v>
      </c>
    </row>
    <row r="2051" spans="1:17">
      <c r="A2051" t="s">
        <v>2900</v>
      </c>
      <c r="B2051" s="1" t="s">
        <v>274</v>
      </c>
      <c r="C2051" s="1" t="s">
        <v>2752</v>
      </c>
      <c r="D2051" s="1" t="s">
        <v>20</v>
      </c>
      <c r="E2051" t="s">
        <v>1521</v>
      </c>
      <c r="F2051" t="s">
        <v>960</v>
      </c>
      <c r="G2051" t="s">
        <v>45</v>
      </c>
      <c r="H2051" t="s">
        <v>39</v>
      </c>
      <c r="I2051" t="s">
        <v>51</v>
      </c>
      <c r="J2051">
        <v>1</v>
      </c>
      <c r="K2051">
        <v>2999</v>
      </c>
      <c r="L2051">
        <f>Table1[[#This Row],[Quantity]] * Table1[[#This Row],[UnitPrice]]</f>
        <v>2999</v>
      </c>
      <c r="M2051" s="25">
        <v>15</v>
      </c>
      <c r="N2051">
        <f>Table1[[#This Row],[Revenue]]*Table1[[#This Row],[Discount%]]/100</f>
        <v>449.85</v>
      </c>
      <c r="O2051" s="6">
        <f>Table1[[#This Row],[Revenue]]-Table1[[#This Row],[Disc_amount]]</f>
        <v>2549.15</v>
      </c>
      <c r="P2051" t="s">
        <v>33</v>
      </c>
      <c r="Q2051" t="s">
        <v>27</v>
      </c>
    </row>
    <row r="2052" spans="1:17">
      <c r="A2052" t="s">
        <v>2901</v>
      </c>
      <c r="B2052" s="1" t="s">
        <v>274</v>
      </c>
      <c r="C2052" s="1" t="s">
        <v>2752</v>
      </c>
      <c r="D2052" s="1" t="s">
        <v>20</v>
      </c>
      <c r="E2052" t="s">
        <v>352</v>
      </c>
      <c r="F2052" t="s">
        <v>134</v>
      </c>
      <c r="G2052" t="s">
        <v>56</v>
      </c>
      <c r="H2052" t="s">
        <v>46</v>
      </c>
      <c r="I2052" t="s">
        <v>47</v>
      </c>
      <c r="J2052">
        <v>1</v>
      </c>
      <c r="K2052">
        <v>249</v>
      </c>
      <c r="L2052">
        <f>Table1[[#This Row],[Quantity]] * Table1[[#This Row],[UnitPrice]]</f>
        <v>249</v>
      </c>
      <c r="M2052" s="25">
        <v>10</v>
      </c>
      <c r="N2052">
        <f>Table1[[#This Row],[Revenue]]*Table1[[#This Row],[Discount%]]/100</f>
        <v>24.9</v>
      </c>
      <c r="O2052" s="6">
        <f>Table1[[#This Row],[Revenue]]-Table1[[#This Row],[Disc_amount]]</f>
        <v>224.1</v>
      </c>
      <c r="P2052" t="s">
        <v>52</v>
      </c>
      <c r="Q2052" t="s">
        <v>34</v>
      </c>
    </row>
    <row r="2053" spans="1:17">
      <c r="A2053" t="s">
        <v>2902</v>
      </c>
      <c r="B2053" s="1" t="s">
        <v>274</v>
      </c>
      <c r="C2053" s="1" t="s">
        <v>2752</v>
      </c>
      <c r="D2053" s="1" t="s">
        <v>20</v>
      </c>
      <c r="E2053" t="s">
        <v>278</v>
      </c>
      <c r="F2053" t="s">
        <v>279</v>
      </c>
      <c r="G2053" t="s">
        <v>31</v>
      </c>
      <c r="H2053" t="s">
        <v>39</v>
      </c>
      <c r="I2053" t="s">
        <v>40</v>
      </c>
      <c r="J2053">
        <v>1</v>
      </c>
      <c r="K2053">
        <v>599</v>
      </c>
      <c r="L2053">
        <f>Table1[[#This Row],[Quantity]] * Table1[[#This Row],[UnitPrice]]</f>
        <v>599</v>
      </c>
      <c r="M2053" s="25">
        <v>25</v>
      </c>
      <c r="N2053">
        <f>Table1[[#This Row],[Revenue]]*Table1[[#This Row],[Discount%]]/100</f>
        <v>149.75</v>
      </c>
      <c r="O2053" s="6">
        <f>Table1[[#This Row],[Revenue]]-Table1[[#This Row],[Disc_amount]]</f>
        <v>449.25</v>
      </c>
      <c r="P2053" t="s">
        <v>41</v>
      </c>
      <c r="Q2053" t="s">
        <v>27</v>
      </c>
    </row>
    <row r="2054" spans="1:17">
      <c r="A2054" t="s">
        <v>2903</v>
      </c>
      <c r="B2054" s="1" t="s">
        <v>274</v>
      </c>
      <c r="C2054" s="1" t="s">
        <v>2752</v>
      </c>
      <c r="D2054" s="1" t="s">
        <v>20</v>
      </c>
      <c r="E2054" t="s">
        <v>194</v>
      </c>
      <c r="F2054" t="s">
        <v>195</v>
      </c>
      <c r="G2054" t="s">
        <v>45</v>
      </c>
      <c r="H2054" t="s">
        <v>65</v>
      </c>
      <c r="I2054" t="s">
        <v>66</v>
      </c>
      <c r="J2054">
        <v>1</v>
      </c>
      <c r="K2054">
        <v>1999</v>
      </c>
      <c r="L2054">
        <f>Table1[[#This Row],[Quantity]] * Table1[[#This Row],[UnitPrice]]</f>
        <v>1999</v>
      </c>
      <c r="M2054" s="25">
        <v>5</v>
      </c>
      <c r="N2054">
        <f>Table1[[#This Row],[Revenue]]*Table1[[#This Row],[Discount%]]/100</f>
        <v>99.95</v>
      </c>
      <c r="O2054" s="6">
        <f>Table1[[#This Row],[Revenue]]-Table1[[#This Row],[Disc_amount]]</f>
        <v>1899.05</v>
      </c>
      <c r="P2054" t="s">
        <v>26</v>
      </c>
      <c r="Q2054" t="s">
        <v>27</v>
      </c>
    </row>
    <row r="2055" spans="1:17">
      <c r="A2055" t="s">
        <v>2904</v>
      </c>
      <c r="B2055" s="1" t="s">
        <v>274</v>
      </c>
      <c r="C2055" s="1" t="s">
        <v>2752</v>
      </c>
      <c r="D2055" s="1" t="s">
        <v>20</v>
      </c>
      <c r="E2055" t="s">
        <v>440</v>
      </c>
      <c r="F2055" t="s">
        <v>259</v>
      </c>
      <c r="G2055" t="s">
        <v>56</v>
      </c>
      <c r="H2055" t="s">
        <v>24</v>
      </c>
      <c r="I2055" t="s">
        <v>25</v>
      </c>
      <c r="J2055">
        <v>1</v>
      </c>
      <c r="K2055">
        <v>99</v>
      </c>
      <c r="L2055">
        <f>Table1[[#This Row],[Quantity]] * Table1[[#This Row],[UnitPrice]]</f>
        <v>99</v>
      </c>
      <c r="M2055" s="25">
        <v>5</v>
      </c>
      <c r="N2055">
        <f>Table1[[#This Row],[Revenue]]*Table1[[#This Row],[Discount%]]/100</f>
        <v>4.95</v>
      </c>
      <c r="O2055" s="6">
        <f>Table1[[#This Row],[Revenue]]-Table1[[#This Row],[Disc_amount]]</f>
        <v>94.05</v>
      </c>
      <c r="P2055" t="s">
        <v>26</v>
      </c>
      <c r="Q2055" t="s">
        <v>34</v>
      </c>
    </row>
    <row r="2056" spans="1:17">
      <c r="A2056" t="s">
        <v>2905</v>
      </c>
      <c r="B2056" s="1" t="s">
        <v>274</v>
      </c>
      <c r="C2056" s="1" t="s">
        <v>2752</v>
      </c>
      <c r="D2056" s="1" t="s">
        <v>20</v>
      </c>
      <c r="E2056" t="s">
        <v>1473</v>
      </c>
      <c r="F2056" t="s">
        <v>617</v>
      </c>
      <c r="G2056" t="s">
        <v>23</v>
      </c>
      <c r="H2056" t="s">
        <v>39</v>
      </c>
      <c r="I2056" t="s">
        <v>51</v>
      </c>
      <c r="J2056">
        <v>1</v>
      </c>
      <c r="K2056">
        <v>2999</v>
      </c>
      <c r="L2056">
        <f>Table1[[#This Row],[Quantity]] * Table1[[#This Row],[UnitPrice]]</f>
        <v>2999</v>
      </c>
      <c r="M2056" s="25">
        <v>0</v>
      </c>
      <c r="N2056">
        <f>Table1[[#This Row],[Revenue]]*Table1[[#This Row],[Discount%]]/100</f>
        <v>0</v>
      </c>
      <c r="O2056" s="6">
        <f>Table1[[#This Row],[Revenue]]-Table1[[#This Row],[Disc_amount]]</f>
        <v>2999</v>
      </c>
      <c r="P2056" t="s">
        <v>41</v>
      </c>
      <c r="Q2056" t="s">
        <v>27</v>
      </c>
    </row>
    <row r="2057" spans="1:17">
      <c r="A2057" t="s">
        <v>2906</v>
      </c>
      <c r="B2057" s="1" t="s">
        <v>274</v>
      </c>
      <c r="C2057" s="1" t="s">
        <v>2752</v>
      </c>
      <c r="D2057" s="1" t="s">
        <v>20</v>
      </c>
      <c r="E2057" t="s">
        <v>722</v>
      </c>
      <c r="F2057" t="s">
        <v>723</v>
      </c>
      <c r="G2057" t="s">
        <v>31</v>
      </c>
      <c r="H2057" t="s">
        <v>39</v>
      </c>
      <c r="I2057" t="s">
        <v>140</v>
      </c>
      <c r="J2057">
        <v>4</v>
      </c>
      <c r="K2057">
        <v>1799</v>
      </c>
      <c r="L2057">
        <f>Table1[[#This Row],[Quantity]] * Table1[[#This Row],[UnitPrice]]</f>
        <v>7196</v>
      </c>
      <c r="M2057" s="25">
        <v>0</v>
      </c>
      <c r="N2057">
        <f>Table1[[#This Row],[Revenue]]*Table1[[#This Row],[Discount%]]/100</f>
        <v>0</v>
      </c>
      <c r="O2057" s="6">
        <f>Table1[[#This Row],[Revenue]]-Table1[[#This Row],[Disc_amount]]</f>
        <v>7196</v>
      </c>
      <c r="P2057" t="s">
        <v>26</v>
      </c>
      <c r="Q2057" t="s">
        <v>27</v>
      </c>
    </row>
    <row r="2058" spans="1:17">
      <c r="A2058" t="s">
        <v>2907</v>
      </c>
      <c r="B2058" s="1" t="s">
        <v>281</v>
      </c>
      <c r="C2058" s="1" t="s">
        <v>2752</v>
      </c>
      <c r="D2058" s="1" t="s">
        <v>20</v>
      </c>
      <c r="E2058" t="s">
        <v>964</v>
      </c>
      <c r="F2058" t="s">
        <v>265</v>
      </c>
      <c r="G2058" t="s">
        <v>38</v>
      </c>
      <c r="H2058" t="s">
        <v>57</v>
      </c>
      <c r="I2058" t="s">
        <v>62</v>
      </c>
      <c r="J2058">
        <v>1</v>
      </c>
      <c r="K2058">
        <v>799</v>
      </c>
      <c r="L2058">
        <f>Table1[[#This Row],[Quantity]] * Table1[[#This Row],[UnitPrice]]</f>
        <v>799</v>
      </c>
      <c r="M2058" s="25">
        <v>0</v>
      </c>
      <c r="N2058">
        <f>Table1[[#This Row],[Revenue]]*Table1[[#This Row],[Discount%]]/100</f>
        <v>0</v>
      </c>
      <c r="O2058" s="6">
        <f>Table1[[#This Row],[Revenue]]-Table1[[#This Row],[Disc_amount]]</f>
        <v>799</v>
      </c>
      <c r="P2058" t="s">
        <v>26</v>
      </c>
      <c r="Q2058" t="s">
        <v>34</v>
      </c>
    </row>
    <row r="2059" spans="1:17">
      <c r="A2059" t="s">
        <v>2908</v>
      </c>
      <c r="B2059" s="1" t="s">
        <v>281</v>
      </c>
      <c r="C2059" s="1" t="s">
        <v>2752</v>
      </c>
      <c r="D2059" s="1" t="s">
        <v>20</v>
      </c>
      <c r="E2059" t="s">
        <v>1407</v>
      </c>
      <c r="F2059" t="s">
        <v>907</v>
      </c>
      <c r="G2059" t="s">
        <v>31</v>
      </c>
      <c r="H2059" t="s">
        <v>24</v>
      </c>
      <c r="I2059" t="s">
        <v>32</v>
      </c>
      <c r="J2059">
        <v>1</v>
      </c>
      <c r="K2059">
        <v>199</v>
      </c>
      <c r="L2059">
        <f>Table1[[#This Row],[Quantity]] * Table1[[#This Row],[UnitPrice]]</f>
        <v>199</v>
      </c>
      <c r="M2059" s="25">
        <v>0</v>
      </c>
      <c r="N2059">
        <f>Table1[[#This Row],[Revenue]]*Table1[[#This Row],[Discount%]]/100</f>
        <v>0</v>
      </c>
      <c r="O2059" s="6">
        <f>Table1[[#This Row],[Revenue]]-Table1[[#This Row],[Disc_amount]]</f>
        <v>199</v>
      </c>
      <c r="P2059" t="s">
        <v>26</v>
      </c>
      <c r="Q2059" t="s">
        <v>27</v>
      </c>
    </row>
    <row r="2060" spans="1:17">
      <c r="A2060" t="s">
        <v>2909</v>
      </c>
      <c r="B2060" s="1" t="s">
        <v>281</v>
      </c>
      <c r="C2060" s="1" t="s">
        <v>2752</v>
      </c>
      <c r="D2060" s="1" t="s">
        <v>20</v>
      </c>
      <c r="E2060" t="s">
        <v>2039</v>
      </c>
      <c r="F2060" t="s">
        <v>358</v>
      </c>
      <c r="G2060" t="s">
        <v>56</v>
      </c>
      <c r="H2060" t="s">
        <v>70</v>
      </c>
      <c r="I2060" t="s">
        <v>91</v>
      </c>
      <c r="J2060">
        <v>3</v>
      </c>
      <c r="K2060">
        <v>549</v>
      </c>
      <c r="L2060">
        <f>Table1[[#This Row],[Quantity]] * Table1[[#This Row],[UnitPrice]]</f>
        <v>1647</v>
      </c>
      <c r="M2060" s="25">
        <v>25</v>
      </c>
      <c r="N2060">
        <f>Table1[[#This Row],[Revenue]]*Table1[[#This Row],[Discount%]]/100</f>
        <v>411.75</v>
      </c>
      <c r="O2060" s="6">
        <f>Table1[[#This Row],[Revenue]]-Table1[[#This Row],[Disc_amount]]</f>
        <v>1235.25</v>
      </c>
      <c r="P2060" t="s">
        <v>26</v>
      </c>
      <c r="Q2060" t="s">
        <v>27</v>
      </c>
    </row>
    <row r="2061" spans="1:17">
      <c r="A2061" t="s">
        <v>2910</v>
      </c>
      <c r="B2061" s="1" t="s">
        <v>281</v>
      </c>
      <c r="C2061" s="1" t="s">
        <v>2752</v>
      </c>
      <c r="D2061" s="1" t="s">
        <v>20</v>
      </c>
      <c r="E2061" t="s">
        <v>701</v>
      </c>
      <c r="F2061" t="s">
        <v>379</v>
      </c>
      <c r="G2061" t="s">
        <v>45</v>
      </c>
      <c r="H2061" t="s">
        <v>108</v>
      </c>
      <c r="I2061" t="s">
        <v>130</v>
      </c>
      <c r="J2061">
        <v>2</v>
      </c>
      <c r="K2061">
        <v>699</v>
      </c>
      <c r="L2061">
        <f>Table1[[#This Row],[Quantity]] * Table1[[#This Row],[UnitPrice]]</f>
        <v>1398</v>
      </c>
      <c r="M2061" s="25">
        <v>30</v>
      </c>
      <c r="N2061">
        <f>Table1[[#This Row],[Revenue]]*Table1[[#This Row],[Discount%]]/100</f>
        <v>419.4</v>
      </c>
      <c r="O2061" s="6">
        <f>Table1[[#This Row],[Revenue]]-Table1[[#This Row],[Disc_amount]]</f>
        <v>978.6</v>
      </c>
      <c r="P2061" t="s">
        <v>86</v>
      </c>
      <c r="Q2061" t="s">
        <v>34</v>
      </c>
    </row>
    <row r="2062" spans="1:17">
      <c r="A2062" t="s">
        <v>2911</v>
      </c>
      <c r="B2062" s="1" t="s">
        <v>281</v>
      </c>
      <c r="C2062" s="1" t="s">
        <v>2752</v>
      </c>
      <c r="D2062" s="1" t="s">
        <v>20</v>
      </c>
      <c r="E2062" t="s">
        <v>389</v>
      </c>
      <c r="F2062" t="s">
        <v>390</v>
      </c>
      <c r="G2062" t="s">
        <v>38</v>
      </c>
      <c r="H2062" t="s">
        <v>57</v>
      </c>
      <c r="I2062" t="s">
        <v>58</v>
      </c>
      <c r="J2062">
        <v>2</v>
      </c>
      <c r="K2062">
        <v>1299</v>
      </c>
      <c r="L2062">
        <f>Table1[[#This Row],[Quantity]] * Table1[[#This Row],[UnitPrice]]</f>
        <v>2598</v>
      </c>
      <c r="M2062" s="25">
        <v>0</v>
      </c>
      <c r="N2062">
        <f>Table1[[#This Row],[Revenue]]*Table1[[#This Row],[Discount%]]/100</f>
        <v>0</v>
      </c>
      <c r="O2062" s="6">
        <f>Table1[[#This Row],[Revenue]]-Table1[[#This Row],[Disc_amount]]</f>
        <v>2598</v>
      </c>
      <c r="P2062" t="s">
        <v>26</v>
      </c>
      <c r="Q2062" t="s">
        <v>34</v>
      </c>
    </row>
    <row r="2063" spans="1:17">
      <c r="A2063" t="s">
        <v>2912</v>
      </c>
      <c r="B2063" s="1" t="s">
        <v>281</v>
      </c>
      <c r="C2063" s="1" t="s">
        <v>2752</v>
      </c>
      <c r="D2063" s="1" t="s">
        <v>20</v>
      </c>
      <c r="E2063" t="s">
        <v>386</v>
      </c>
      <c r="F2063" t="s">
        <v>183</v>
      </c>
      <c r="G2063" t="s">
        <v>23</v>
      </c>
      <c r="H2063" t="s">
        <v>65</v>
      </c>
      <c r="I2063" t="s">
        <v>66</v>
      </c>
      <c r="J2063">
        <v>1</v>
      </c>
      <c r="K2063">
        <v>1999</v>
      </c>
      <c r="L2063">
        <f>Table1[[#This Row],[Quantity]] * Table1[[#This Row],[UnitPrice]]</f>
        <v>1999</v>
      </c>
      <c r="M2063" s="25">
        <v>25</v>
      </c>
      <c r="N2063">
        <f>Table1[[#This Row],[Revenue]]*Table1[[#This Row],[Discount%]]/100</f>
        <v>499.75</v>
      </c>
      <c r="O2063" s="6">
        <f>Table1[[#This Row],[Revenue]]-Table1[[#This Row],[Disc_amount]]</f>
        <v>1499.25</v>
      </c>
      <c r="P2063" t="s">
        <v>33</v>
      </c>
      <c r="Q2063" t="s">
        <v>27</v>
      </c>
    </row>
    <row r="2064" spans="1:17">
      <c r="A2064" t="s">
        <v>2913</v>
      </c>
      <c r="B2064" s="1" t="s">
        <v>281</v>
      </c>
      <c r="C2064" s="1" t="s">
        <v>2752</v>
      </c>
      <c r="D2064" s="1" t="s">
        <v>20</v>
      </c>
      <c r="E2064" t="s">
        <v>596</v>
      </c>
      <c r="F2064" t="s">
        <v>597</v>
      </c>
      <c r="G2064" t="s">
        <v>45</v>
      </c>
      <c r="H2064" t="s">
        <v>70</v>
      </c>
      <c r="I2064" t="s">
        <v>91</v>
      </c>
      <c r="J2064">
        <v>1</v>
      </c>
      <c r="K2064">
        <v>549</v>
      </c>
      <c r="L2064">
        <f>Table1[[#This Row],[Quantity]] * Table1[[#This Row],[UnitPrice]]</f>
        <v>549</v>
      </c>
      <c r="M2064" s="25">
        <v>30</v>
      </c>
      <c r="N2064">
        <f>Table1[[#This Row],[Revenue]]*Table1[[#This Row],[Discount%]]/100</f>
        <v>164.7</v>
      </c>
      <c r="O2064" s="6">
        <f>Table1[[#This Row],[Revenue]]-Table1[[#This Row],[Disc_amount]]</f>
        <v>384.3</v>
      </c>
      <c r="P2064" t="s">
        <v>26</v>
      </c>
      <c r="Q2064" t="s">
        <v>34</v>
      </c>
    </row>
    <row r="2065" spans="1:17">
      <c r="A2065" t="s">
        <v>2914</v>
      </c>
      <c r="B2065" s="1" t="s">
        <v>309</v>
      </c>
      <c r="C2065" s="1" t="s">
        <v>2752</v>
      </c>
      <c r="D2065" s="1" t="s">
        <v>20</v>
      </c>
      <c r="E2065" t="s">
        <v>801</v>
      </c>
      <c r="F2065" t="s">
        <v>802</v>
      </c>
      <c r="G2065" t="s">
        <v>23</v>
      </c>
      <c r="H2065" t="s">
        <v>24</v>
      </c>
      <c r="I2065" t="s">
        <v>32</v>
      </c>
      <c r="J2065">
        <v>1</v>
      </c>
      <c r="K2065">
        <v>199</v>
      </c>
      <c r="L2065">
        <f>Table1[[#This Row],[Quantity]] * Table1[[#This Row],[UnitPrice]]</f>
        <v>199</v>
      </c>
      <c r="M2065" s="25">
        <v>10</v>
      </c>
      <c r="N2065">
        <f>Table1[[#This Row],[Revenue]]*Table1[[#This Row],[Discount%]]/100</f>
        <v>19.899999999999999</v>
      </c>
      <c r="O2065" s="6">
        <f>Table1[[#This Row],[Revenue]]-Table1[[#This Row],[Disc_amount]]</f>
        <v>179.1</v>
      </c>
      <c r="P2065" t="s">
        <v>86</v>
      </c>
      <c r="Q2065" t="s">
        <v>27</v>
      </c>
    </row>
    <row r="2066" spans="1:17">
      <c r="A2066" t="s">
        <v>2915</v>
      </c>
      <c r="B2066" s="1" t="s">
        <v>309</v>
      </c>
      <c r="C2066" s="1" t="s">
        <v>2752</v>
      </c>
      <c r="D2066" s="1" t="s">
        <v>20</v>
      </c>
      <c r="E2066" t="s">
        <v>1873</v>
      </c>
      <c r="F2066" t="s">
        <v>501</v>
      </c>
      <c r="G2066" t="s">
        <v>23</v>
      </c>
      <c r="H2066" t="s">
        <v>46</v>
      </c>
      <c r="I2066" t="s">
        <v>47</v>
      </c>
      <c r="J2066">
        <v>2</v>
      </c>
      <c r="K2066">
        <v>249</v>
      </c>
      <c r="L2066">
        <f>Table1[[#This Row],[Quantity]] * Table1[[#This Row],[UnitPrice]]</f>
        <v>498</v>
      </c>
      <c r="M2066" s="25">
        <v>10</v>
      </c>
      <c r="N2066">
        <f>Table1[[#This Row],[Revenue]]*Table1[[#This Row],[Discount%]]/100</f>
        <v>49.8</v>
      </c>
      <c r="O2066" s="6">
        <f>Table1[[#This Row],[Revenue]]-Table1[[#This Row],[Disc_amount]]</f>
        <v>448.2</v>
      </c>
      <c r="P2066" t="s">
        <v>33</v>
      </c>
      <c r="Q2066" t="s">
        <v>27</v>
      </c>
    </row>
    <row r="2067" spans="1:17">
      <c r="A2067" t="s">
        <v>2916</v>
      </c>
      <c r="B2067" s="1" t="s">
        <v>309</v>
      </c>
      <c r="C2067" s="1" t="s">
        <v>2752</v>
      </c>
      <c r="D2067" s="1" t="s">
        <v>20</v>
      </c>
      <c r="E2067" t="s">
        <v>401</v>
      </c>
      <c r="F2067" t="s">
        <v>355</v>
      </c>
      <c r="G2067" t="s">
        <v>23</v>
      </c>
      <c r="H2067" t="s">
        <v>57</v>
      </c>
      <c r="I2067" t="s">
        <v>62</v>
      </c>
      <c r="J2067">
        <v>2</v>
      </c>
      <c r="K2067">
        <v>799</v>
      </c>
      <c r="L2067">
        <f>Table1[[#This Row],[Quantity]] * Table1[[#This Row],[UnitPrice]]</f>
        <v>1598</v>
      </c>
      <c r="M2067" s="25">
        <v>20</v>
      </c>
      <c r="N2067">
        <f>Table1[[#This Row],[Revenue]]*Table1[[#This Row],[Discount%]]/100</f>
        <v>319.60000000000002</v>
      </c>
      <c r="O2067" s="6">
        <f>Table1[[#This Row],[Revenue]]-Table1[[#This Row],[Disc_amount]]</f>
        <v>1278.4000000000001</v>
      </c>
      <c r="P2067" t="s">
        <v>41</v>
      </c>
      <c r="Q2067" t="s">
        <v>27</v>
      </c>
    </row>
    <row r="2068" spans="1:17">
      <c r="A2068" t="s">
        <v>2917</v>
      </c>
      <c r="B2068" s="1" t="s">
        <v>309</v>
      </c>
      <c r="C2068" s="1" t="s">
        <v>2752</v>
      </c>
      <c r="D2068" s="1" t="s">
        <v>20</v>
      </c>
      <c r="E2068" t="s">
        <v>968</v>
      </c>
      <c r="F2068" t="s">
        <v>907</v>
      </c>
      <c r="G2068" t="s">
        <v>38</v>
      </c>
      <c r="H2068" t="s">
        <v>46</v>
      </c>
      <c r="I2068" t="s">
        <v>47</v>
      </c>
      <c r="J2068">
        <v>1</v>
      </c>
      <c r="K2068">
        <v>249</v>
      </c>
      <c r="L2068">
        <f>Table1[[#This Row],[Quantity]] * Table1[[#This Row],[UnitPrice]]</f>
        <v>249</v>
      </c>
      <c r="M2068" s="25">
        <v>15</v>
      </c>
      <c r="N2068">
        <f>Table1[[#This Row],[Revenue]]*Table1[[#This Row],[Discount%]]/100</f>
        <v>37.35</v>
      </c>
      <c r="O2068" s="6">
        <f>Table1[[#This Row],[Revenue]]-Table1[[#This Row],[Disc_amount]]</f>
        <v>211.65</v>
      </c>
      <c r="P2068" t="s">
        <v>86</v>
      </c>
      <c r="Q2068" t="s">
        <v>34</v>
      </c>
    </row>
    <row r="2069" spans="1:17">
      <c r="A2069" t="s">
        <v>2918</v>
      </c>
      <c r="B2069" s="1" t="s">
        <v>309</v>
      </c>
      <c r="C2069" s="1" t="s">
        <v>2752</v>
      </c>
      <c r="D2069" s="1" t="s">
        <v>20</v>
      </c>
      <c r="E2069" t="s">
        <v>1549</v>
      </c>
      <c r="F2069" t="s">
        <v>562</v>
      </c>
      <c r="G2069" t="s">
        <v>31</v>
      </c>
      <c r="H2069" t="s">
        <v>57</v>
      </c>
      <c r="I2069" t="s">
        <v>58</v>
      </c>
      <c r="J2069">
        <v>5</v>
      </c>
      <c r="K2069">
        <v>1299</v>
      </c>
      <c r="L2069">
        <f>Table1[[#This Row],[Quantity]] * Table1[[#This Row],[UnitPrice]]</f>
        <v>6495</v>
      </c>
      <c r="M2069" s="25">
        <v>20</v>
      </c>
      <c r="N2069">
        <f>Table1[[#This Row],[Revenue]]*Table1[[#This Row],[Discount%]]/100</f>
        <v>1299</v>
      </c>
      <c r="O2069" s="6">
        <f>Table1[[#This Row],[Revenue]]-Table1[[#This Row],[Disc_amount]]</f>
        <v>5196</v>
      </c>
      <c r="P2069" t="s">
        <v>41</v>
      </c>
      <c r="Q2069" t="s">
        <v>34</v>
      </c>
    </row>
    <row r="2070" spans="1:17">
      <c r="A2070" t="s">
        <v>2919</v>
      </c>
      <c r="B2070" s="1" t="s">
        <v>309</v>
      </c>
      <c r="C2070" s="1" t="s">
        <v>2752</v>
      </c>
      <c r="D2070" s="1" t="s">
        <v>20</v>
      </c>
      <c r="E2070" t="s">
        <v>241</v>
      </c>
      <c r="F2070" t="s">
        <v>242</v>
      </c>
      <c r="G2070" t="s">
        <v>38</v>
      </c>
      <c r="H2070" t="s">
        <v>46</v>
      </c>
      <c r="I2070" t="s">
        <v>154</v>
      </c>
      <c r="J2070">
        <v>4</v>
      </c>
      <c r="K2070">
        <v>299</v>
      </c>
      <c r="L2070">
        <f>Table1[[#This Row],[Quantity]] * Table1[[#This Row],[UnitPrice]]</f>
        <v>1196</v>
      </c>
      <c r="M2070" s="25">
        <v>0</v>
      </c>
      <c r="N2070">
        <f>Table1[[#This Row],[Revenue]]*Table1[[#This Row],[Discount%]]/100</f>
        <v>0</v>
      </c>
      <c r="O2070" s="6">
        <f>Table1[[#This Row],[Revenue]]-Table1[[#This Row],[Disc_amount]]</f>
        <v>1196</v>
      </c>
      <c r="P2070" t="s">
        <v>86</v>
      </c>
      <c r="Q2070" t="s">
        <v>27</v>
      </c>
    </row>
    <row r="2071" spans="1:17">
      <c r="A2071" t="s">
        <v>2920</v>
      </c>
      <c r="B2071" s="1" t="s">
        <v>309</v>
      </c>
      <c r="C2071" s="1" t="s">
        <v>2752</v>
      </c>
      <c r="D2071" s="1" t="s">
        <v>20</v>
      </c>
      <c r="E2071" t="s">
        <v>1462</v>
      </c>
      <c r="F2071" t="s">
        <v>1463</v>
      </c>
      <c r="G2071" t="s">
        <v>38</v>
      </c>
      <c r="H2071" t="s">
        <v>24</v>
      </c>
      <c r="I2071" t="s">
        <v>25</v>
      </c>
      <c r="J2071">
        <v>2</v>
      </c>
      <c r="K2071">
        <v>99</v>
      </c>
      <c r="L2071">
        <f>Table1[[#This Row],[Quantity]] * Table1[[#This Row],[UnitPrice]]</f>
        <v>198</v>
      </c>
      <c r="M2071" s="25">
        <v>10</v>
      </c>
      <c r="N2071">
        <f>Table1[[#This Row],[Revenue]]*Table1[[#This Row],[Discount%]]/100</f>
        <v>19.8</v>
      </c>
      <c r="O2071" s="6">
        <f>Table1[[#This Row],[Revenue]]-Table1[[#This Row],[Disc_amount]]</f>
        <v>178.2</v>
      </c>
      <c r="P2071" t="s">
        <v>86</v>
      </c>
      <c r="Q2071" t="s">
        <v>27</v>
      </c>
    </row>
    <row r="2072" spans="1:17">
      <c r="A2072" t="s">
        <v>2921</v>
      </c>
      <c r="B2072" s="1" t="s">
        <v>309</v>
      </c>
      <c r="C2072" s="1" t="s">
        <v>2752</v>
      </c>
      <c r="D2072" s="1" t="s">
        <v>20</v>
      </c>
      <c r="E2072" t="s">
        <v>235</v>
      </c>
      <c r="F2072" t="s">
        <v>236</v>
      </c>
      <c r="G2072" t="s">
        <v>45</v>
      </c>
      <c r="H2072" t="s">
        <v>65</v>
      </c>
      <c r="I2072" t="s">
        <v>94</v>
      </c>
      <c r="J2072">
        <v>1</v>
      </c>
      <c r="K2072">
        <v>899</v>
      </c>
      <c r="L2072">
        <f>Table1[[#This Row],[Quantity]] * Table1[[#This Row],[UnitPrice]]</f>
        <v>899</v>
      </c>
      <c r="M2072" s="25">
        <v>0</v>
      </c>
      <c r="N2072">
        <f>Table1[[#This Row],[Revenue]]*Table1[[#This Row],[Discount%]]/100</f>
        <v>0</v>
      </c>
      <c r="O2072" s="6">
        <f>Table1[[#This Row],[Revenue]]-Table1[[#This Row],[Disc_amount]]</f>
        <v>899</v>
      </c>
      <c r="P2072" t="s">
        <v>52</v>
      </c>
      <c r="Q2072" t="s">
        <v>34</v>
      </c>
    </row>
    <row r="2073" spans="1:17">
      <c r="A2073" t="s">
        <v>2922</v>
      </c>
      <c r="B2073" s="1" t="s">
        <v>309</v>
      </c>
      <c r="C2073" s="1" t="s">
        <v>2752</v>
      </c>
      <c r="D2073" s="1" t="s">
        <v>20</v>
      </c>
      <c r="E2073" t="s">
        <v>622</v>
      </c>
      <c r="F2073" t="s">
        <v>623</v>
      </c>
      <c r="G2073" t="s">
        <v>38</v>
      </c>
      <c r="H2073" t="s">
        <v>108</v>
      </c>
      <c r="I2073" t="s">
        <v>130</v>
      </c>
      <c r="J2073">
        <v>1</v>
      </c>
      <c r="K2073">
        <v>699</v>
      </c>
      <c r="L2073">
        <f>Table1[[#This Row],[Quantity]] * Table1[[#This Row],[UnitPrice]]</f>
        <v>699</v>
      </c>
      <c r="M2073" s="25">
        <v>15</v>
      </c>
      <c r="N2073">
        <f>Table1[[#This Row],[Revenue]]*Table1[[#This Row],[Discount%]]/100</f>
        <v>104.85</v>
      </c>
      <c r="O2073" s="6">
        <f>Table1[[#This Row],[Revenue]]-Table1[[#This Row],[Disc_amount]]</f>
        <v>594.15</v>
      </c>
      <c r="P2073" t="s">
        <v>33</v>
      </c>
      <c r="Q2073" t="s">
        <v>34</v>
      </c>
    </row>
    <row r="2074" spans="1:17">
      <c r="A2074" t="s">
        <v>2923</v>
      </c>
      <c r="B2074" s="1" t="s">
        <v>309</v>
      </c>
      <c r="C2074" s="1" t="s">
        <v>2752</v>
      </c>
      <c r="D2074" s="1" t="s">
        <v>20</v>
      </c>
      <c r="E2074" t="s">
        <v>1674</v>
      </c>
      <c r="F2074" t="s">
        <v>176</v>
      </c>
      <c r="G2074" t="s">
        <v>31</v>
      </c>
      <c r="H2074" t="s">
        <v>46</v>
      </c>
      <c r="I2074" t="s">
        <v>154</v>
      </c>
      <c r="J2074">
        <v>1</v>
      </c>
      <c r="K2074">
        <v>299</v>
      </c>
      <c r="L2074">
        <f>Table1[[#This Row],[Quantity]] * Table1[[#This Row],[UnitPrice]]</f>
        <v>299</v>
      </c>
      <c r="M2074" s="25">
        <v>5</v>
      </c>
      <c r="N2074">
        <f>Table1[[#This Row],[Revenue]]*Table1[[#This Row],[Discount%]]/100</f>
        <v>14.95</v>
      </c>
      <c r="O2074" s="6">
        <f>Table1[[#This Row],[Revenue]]-Table1[[#This Row],[Disc_amount]]</f>
        <v>284.05</v>
      </c>
      <c r="P2074" t="s">
        <v>41</v>
      </c>
      <c r="Q2074" t="s">
        <v>34</v>
      </c>
    </row>
    <row r="2075" spans="1:17">
      <c r="A2075" t="s">
        <v>2924</v>
      </c>
      <c r="B2075" s="1" t="s">
        <v>309</v>
      </c>
      <c r="C2075" s="1" t="s">
        <v>2752</v>
      </c>
      <c r="D2075" s="1" t="s">
        <v>20</v>
      </c>
      <c r="E2075" t="s">
        <v>430</v>
      </c>
      <c r="F2075" t="s">
        <v>101</v>
      </c>
      <c r="G2075" t="s">
        <v>38</v>
      </c>
      <c r="H2075" t="s">
        <v>65</v>
      </c>
      <c r="I2075" t="s">
        <v>94</v>
      </c>
      <c r="J2075">
        <v>1</v>
      </c>
      <c r="K2075">
        <v>899</v>
      </c>
      <c r="L2075">
        <f>Table1[[#This Row],[Quantity]] * Table1[[#This Row],[UnitPrice]]</f>
        <v>899</v>
      </c>
      <c r="M2075" s="25">
        <v>20</v>
      </c>
      <c r="N2075">
        <f>Table1[[#This Row],[Revenue]]*Table1[[#This Row],[Discount%]]/100</f>
        <v>179.8</v>
      </c>
      <c r="O2075" s="6">
        <f>Table1[[#This Row],[Revenue]]-Table1[[#This Row],[Disc_amount]]</f>
        <v>719.2</v>
      </c>
      <c r="P2075" t="s">
        <v>26</v>
      </c>
      <c r="Q2075" t="s">
        <v>27</v>
      </c>
    </row>
    <row r="2076" spans="1:17">
      <c r="A2076" t="s">
        <v>2925</v>
      </c>
      <c r="B2076" s="1" t="s">
        <v>331</v>
      </c>
      <c r="C2076" s="1" t="s">
        <v>2752</v>
      </c>
      <c r="D2076" s="1" t="s">
        <v>20</v>
      </c>
      <c r="E2076" t="s">
        <v>968</v>
      </c>
      <c r="F2076" t="s">
        <v>907</v>
      </c>
      <c r="G2076" t="s">
        <v>31</v>
      </c>
      <c r="H2076" t="s">
        <v>108</v>
      </c>
      <c r="I2076" t="s">
        <v>109</v>
      </c>
      <c r="J2076">
        <v>1</v>
      </c>
      <c r="K2076">
        <v>1499</v>
      </c>
      <c r="L2076">
        <f>Table1[[#This Row],[Quantity]] * Table1[[#This Row],[UnitPrice]]</f>
        <v>1499</v>
      </c>
      <c r="M2076" s="25">
        <v>5</v>
      </c>
      <c r="N2076">
        <f>Table1[[#This Row],[Revenue]]*Table1[[#This Row],[Discount%]]/100</f>
        <v>74.95</v>
      </c>
      <c r="O2076" s="6">
        <f>Table1[[#This Row],[Revenue]]-Table1[[#This Row],[Disc_amount]]</f>
        <v>1424.05</v>
      </c>
      <c r="P2076" t="s">
        <v>41</v>
      </c>
      <c r="Q2076" t="s">
        <v>27</v>
      </c>
    </row>
    <row r="2077" spans="1:17">
      <c r="A2077" t="s">
        <v>2926</v>
      </c>
      <c r="B2077" s="1" t="s">
        <v>331</v>
      </c>
      <c r="C2077" s="1" t="s">
        <v>2752</v>
      </c>
      <c r="D2077" s="1" t="s">
        <v>20</v>
      </c>
      <c r="E2077" t="s">
        <v>421</v>
      </c>
      <c r="F2077" t="s">
        <v>422</v>
      </c>
      <c r="G2077" t="s">
        <v>23</v>
      </c>
      <c r="H2077" t="s">
        <v>70</v>
      </c>
      <c r="I2077" t="s">
        <v>91</v>
      </c>
      <c r="J2077">
        <v>3</v>
      </c>
      <c r="K2077">
        <v>549</v>
      </c>
      <c r="L2077">
        <f>Table1[[#This Row],[Quantity]] * Table1[[#This Row],[UnitPrice]]</f>
        <v>1647</v>
      </c>
      <c r="M2077" s="25">
        <v>20</v>
      </c>
      <c r="N2077">
        <f>Table1[[#This Row],[Revenue]]*Table1[[#This Row],[Discount%]]/100</f>
        <v>329.4</v>
      </c>
      <c r="O2077" s="6">
        <f>Table1[[#This Row],[Revenue]]-Table1[[#This Row],[Disc_amount]]</f>
        <v>1317.6</v>
      </c>
      <c r="P2077" t="s">
        <v>41</v>
      </c>
      <c r="Q2077" t="s">
        <v>27</v>
      </c>
    </row>
    <row r="2078" spans="1:17">
      <c r="A2078" t="s">
        <v>2927</v>
      </c>
      <c r="B2078" s="1" t="s">
        <v>331</v>
      </c>
      <c r="C2078" s="1" t="s">
        <v>2752</v>
      </c>
      <c r="D2078" s="1" t="s">
        <v>20</v>
      </c>
      <c r="E2078" t="s">
        <v>484</v>
      </c>
      <c r="F2078" t="s">
        <v>485</v>
      </c>
      <c r="G2078" t="s">
        <v>38</v>
      </c>
      <c r="H2078" t="s">
        <v>24</v>
      </c>
      <c r="I2078" t="s">
        <v>25</v>
      </c>
      <c r="J2078">
        <v>1</v>
      </c>
      <c r="K2078">
        <v>99</v>
      </c>
      <c r="L2078">
        <f>Table1[[#This Row],[Quantity]] * Table1[[#This Row],[UnitPrice]]</f>
        <v>99</v>
      </c>
      <c r="M2078" s="25">
        <v>5</v>
      </c>
      <c r="N2078">
        <f>Table1[[#This Row],[Revenue]]*Table1[[#This Row],[Discount%]]/100</f>
        <v>4.95</v>
      </c>
      <c r="O2078" s="6">
        <f>Table1[[#This Row],[Revenue]]-Table1[[#This Row],[Disc_amount]]</f>
        <v>94.05</v>
      </c>
      <c r="P2078" t="s">
        <v>41</v>
      </c>
      <c r="Q2078" t="s">
        <v>27</v>
      </c>
    </row>
    <row r="2079" spans="1:17">
      <c r="A2079" t="s">
        <v>2928</v>
      </c>
      <c r="B2079" s="1" t="s">
        <v>331</v>
      </c>
      <c r="C2079" s="1" t="s">
        <v>2752</v>
      </c>
      <c r="D2079" s="1" t="s">
        <v>20</v>
      </c>
      <c r="E2079" t="s">
        <v>405</v>
      </c>
      <c r="F2079" t="s">
        <v>248</v>
      </c>
      <c r="G2079" t="s">
        <v>23</v>
      </c>
      <c r="H2079" t="s">
        <v>24</v>
      </c>
      <c r="I2079" t="s">
        <v>25</v>
      </c>
      <c r="J2079">
        <v>1</v>
      </c>
      <c r="K2079">
        <v>99</v>
      </c>
      <c r="L2079">
        <f>Table1[[#This Row],[Quantity]] * Table1[[#This Row],[UnitPrice]]</f>
        <v>99</v>
      </c>
      <c r="M2079" s="25">
        <v>20</v>
      </c>
      <c r="N2079">
        <f>Table1[[#This Row],[Revenue]]*Table1[[#This Row],[Discount%]]/100</f>
        <v>19.8</v>
      </c>
      <c r="O2079" s="6">
        <f>Table1[[#This Row],[Revenue]]-Table1[[#This Row],[Disc_amount]]</f>
        <v>79.2</v>
      </c>
      <c r="P2079" t="s">
        <v>33</v>
      </c>
      <c r="Q2079" t="s">
        <v>27</v>
      </c>
    </row>
    <row r="2080" spans="1:17">
      <c r="A2080" t="s">
        <v>2929</v>
      </c>
      <c r="B2080" s="1" t="s">
        <v>331</v>
      </c>
      <c r="C2080" s="1" t="s">
        <v>2752</v>
      </c>
      <c r="D2080" s="1" t="s">
        <v>20</v>
      </c>
      <c r="E2080" t="s">
        <v>865</v>
      </c>
      <c r="F2080" t="s">
        <v>355</v>
      </c>
      <c r="G2080" t="s">
        <v>38</v>
      </c>
      <c r="H2080" t="s">
        <v>24</v>
      </c>
      <c r="I2080" t="s">
        <v>32</v>
      </c>
      <c r="J2080">
        <v>1</v>
      </c>
      <c r="K2080">
        <v>199</v>
      </c>
      <c r="L2080">
        <f>Table1[[#This Row],[Quantity]] * Table1[[#This Row],[UnitPrice]]</f>
        <v>199</v>
      </c>
      <c r="M2080" s="25">
        <v>10</v>
      </c>
      <c r="N2080">
        <f>Table1[[#This Row],[Revenue]]*Table1[[#This Row],[Discount%]]/100</f>
        <v>19.899999999999999</v>
      </c>
      <c r="O2080" s="6">
        <f>Table1[[#This Row],[Revenue]]-Table1[[#This Row],[Disc_amount]]</f>
        <v>179.1</v>
      </c>
      <c r="P2080" t="s">
        <v>26</v>
      </c>
      <c r="Q2080" t="s">
        <v>27</v>
      </c>
    </row>
    <row r="2081" spans="1:17">
      <c r="A2081" t="s">
        <v>2930</v>
      </c>
      <c r="B2081" s="1" t="s">
        <v>331</v>
      </c>
      <c r="C2081" s="1" t="s">
        <v>2752</v>
      </c>
      <c r="D2081" s="1" t="s">
        <v>20</v>
      </c>
      <c r="E2081" t="s">
        <v>512</v>
      </c>
      <c r="F2081" t="s">
        <v>513</v>
      </c>
      <c r="G2081" t="s">
        <v>23</v>
      </c>
      <c r="H2081" t="s">
        <v>39</v>
      </c>
      <c r="I2081" t="s">
        <v>51</v>
      </c>
      <c r="J2081">
        <v>2</v>
      </c>
      <c r="K2081">
        <v>2999</v>
      </c>
      <c r="L2081">
        <f>Table1[[#This Row],[Quantity]] * Table1[[#This Row],[UnitPrice]]</f>
        <v>5998</v>
      </c>
      <c r="M2081" s="25">
        <v>30</v>
      </c>
      <c r="N2081">
        <f>Table1[[#This Row],[Revenue]]*Table1[[#This Row],[Discount%]]/100</f>
        <v>1799.4</v>
      </c>
      <c r="O2081" s="6">
        <f>Table1[[#This Row],[Revenue]]-Table1[[#This Row],[Disc_amount]]</f>
        <v>4198.6000000000004</v>
      </c>
      <c r="P2081" t="s">
        <v>52</v>
      </c>
      <c r="Q2081" t="s">
        <v>27</v>
      </c>
    </row>
    <row r="2082" spans="1:17">
      <c r="A2082" t="s">
        <v>2931</v>
      </c>
      <c r="B2082" s="1" t="s">
        <v>331</v>
      </c>
      <c r="C2082" s="1" t="s">
        <v>2752</v>
      </c>
      <c r="D2082" s="1" t="s">
        <v>20</v>
      </c>
      <c r="E2082" t="s">
        <v>525</v>
      </c>
      <c r="F2082" t="s">
        <v>470</v>
      </c>
      <c r="G2082" t="s">
        <v>38</v>
      </c>
      <c r="H2082" t="s">
        <v>108</v>
      </c>
      <c r="I2082" t="s">
        <v>130</v>
      </c>
      <c r="J2082">
        <v>1</v>
      </c>
      <c r="K2082">
        <v>699</v>
      </c>
      <c r="L2082">
        <f>Table1[[#This Row],[Quantity]] * Table1[[#This Row],[UnitPrice]]</f>
        <v>699</v>
      </c>
      <c r="M2082" s="25">
        <v>0</v>
      </c>
      <c r="N2082">
        <f>Table1[[#This Row],[Revenue]]*Table1[[#This Row],[Discount%]]/100</f>
        <v>0</v>
      </c>
      <c r="O2082" s="6">
        <f>Table1[[#This Row],[Revenue]]-Table1[[#This Row],[Disc_amount]]</f>
        <v>699</v>
      </c>
      <c r="P2082" t="s">
        <v>41</v>
      </c>
      <c r="Q2082" t="s">
        <v>27</v>
      </c>
    </row>
    <row r="2083" spans="1:17">
      <c r="A2083" t="s">
        <v>2932</v>
      </c>
      <c r="B2083" s="1" t="s">
        <v>331</v>
      </c>
      <c r="C2083" s="1" t="s">
        <v>2752</v>
      </c>
      <c r="D2083" s="1" t="s">
        <v>20</v>
      </c>
      <c r="E2083" t="s">
        <v>442</v>
      </c>
      <c r="F2083" t="s">
        <v>443</v>
      </c>
      <c r="G2083" t="s">
        <v>45</v>
      </c>
      <c r="H2083" t="s">
        <v>108</v>
      </c>
      <c r="I2083" t="s">
        <v>109</v>
      </c>
      <c r="J2083">
        <v>1</v>
      </c>
      <c r="K2083">
        <v>1499</v>
      </c>
      <c r="L2083">
        <f>Table1[[#This Row],[Quantity]] * Table1[[#This Row],[UnitPrice]]</f>
        <v>1499</v>
      </c>
      <c r="M2083" s="25">
        <v>25</v>
      </c>
      <c r="N2083">
        <f>Table1[[#This Row],[Revenue]]*Table1[[#This Row],[Discount%]]/100</f>
        <v>374.75</v>
      </c>
      <c r="O2083" s="6">
        <f>Table1[[#This Row],[Revenue]]-Table1[[#This Row],[Disc_amount]]</f>
        <v>1124.25</v>
      </c>
      <c r="P2083" t="s">
        <v>86</v>
      </c>
      <c r="Q2083" t="s">
        <v>27</v>
      </c>
    </row>
    <row r="2084" spans="1:17">
      <c r="A2084" t="s">
        <v>2933</v>
      </c>
      <c r="B2084" s="1" t="s">
        <v>331</v>
      </c>
      <c r="C2084" s="1" t="s">
        <v>2752</v>
      </c>
      <c r="D2084" s="1" t="s">
        <v>20</v>
      </c>
      <c r="E2084" t="s">
        <v>430</v>
      </c>
      <c r="F2084" t="s">
        <v>101</v>
      </c>
      <c r="G2084" t="s">
        <v>56</v>
      </c>
      <c r="H2084" t="s">
        <v>108</v>
      </c>
      <c r="I2084" t="s">
        <v>130</v>
      </c>
      <c r="J2084">
        <v>2</v>
      </c>
      <c r="K2084">
        <v>699</v>
      </c>
      <c r="L2084">
        <f>Table1[[#This Row],[Quantity]] * Table1[[#This Row],[UnitPrice]]</f>
        <v>1398</v>
      </c>
      <c r="M2084" s="25">
        <v>10</v>
      </c>
      <c r="N2084">
        <f>Table1[[#This Row],[Revenue]]*Table1[[#This Row],[Discount%]]/100</f>
        <v>139.80000000000001</v>
      </c>
      <c r="O2084" s="6">
        <f>Table1[[#This Row],[Revenue]]-Table1[[#This Row],[Disc_amount]]</f>
        <v>1258.2</v>
      </c>
      <c r="P2084" t="s">
        <v>52</v>
      </c>
      <c r="Q2084" t="s">
        <v>34</v>
      </c>
    </row>
    <row r="2085" spans="1:17">
      <c r="A2085" t="s">
        <v>2934</v>
      </c>
      <c r="B2085" s="1" t="s">
        <v>331</v>
      </c>
      <c r="C2085" s="1" t="s">
        <v>2752</v>
      </c>
      <c r="D2085" s="1" t="s">
        <v>20</v>
      </c>
      <c r="E2085" t="s">
        <v>968</v>
      </c>
      <c r="F2085" t="s">
        <v>907</v>
      </c>
      <c r="G2085" t="s">
        <v>38</v>
      </c>
      <c r="H2085" t="s">
        <v>46</v>
      </c>
      <c r="I2085" t="s">
        <v>47</v>
      </c>
      <c r="J2085">
        <v>1</v>
      </c>
      <c r="K2085">
        <v>249</v>
      </c>
      <c r="L2085">
        <f>Table1[[#This Row],[Quantity]] * Table1[[#This Row],[UnitPrice]]</f>
        <v>249</v>
      </c>
      <c r="M2085" s="25">
        <v>30</v>
      </c>
      <c r="N2085">
        <f>Table1[[#This Row],[Revenue]]*Table1[[#This Row],[Discount%]]/100</f>
        <v>74.7</v>
      </c>
      <c r="O2085" s="6">
        <f>Table1[[#This Row],[Revenue]]-Table1[[#This Row],[Disc_amount]]</f>
        <v>174.3</v>
      </c>
      <c r="P2085" t="s">
        <v>26</v>
      </c>
      <c r="Q2085" t="s">
        <v>27</v>
      </c>
    </row>
    <row r="2086" spans="1:17">
      <c r="A2086" t="s">
        <v>2935</v>
      </c>
      <c r="B2086" s="1" t="s">
        <v>331</v>
      </c>
      <c r="C2086" s="1" t="s">
        <v>2752</v>
      </c>
      <c r="D2086" s="1" t="s">
        <v>20</v>
      </c>
      <c r="E2086" t="s">
        <v>222</v>
      </c>
      <c r="F2086" t="s">
        <v>166</v>
      </c>
      <c r="G2086" t="s">
        <v>23</v>
      </c>
      <c r="H2086" t="s">
        <v>57</v>
      </c>
      <c r="I2086" t="s">
        <v>62</v>
      </c>
      <c r="J2086">
        <v>1</v>
      </c>
      <c r="K2086">
        <v>799</v>
      </c>
      <c r="L2086">
        <f>Table1[[#This Row],[Quantity]] * Table1[[#This Row],[UnitPrice]]</f>
        <v>799</v>
      </c>
      <c r="M2086" s="25">
        <v>30</v>
      </c>
      <c r="N2086">
        <f>Table1[[#This Row],[Revenue]]*Table1[[#This Row],[Discount%]]/100</f>
        <v>239.7</v>
      </c>
      <c r="O2086" s="6">
        <f>Table1[[#This Row],[Revenue]]-Table1[[#This Row],[Disc_amount]]</f>
        <v>559.29999999999995</v>
      </c>
      <c r="P2086" t="s">
        <v>52</v>
      </c>
      <c r="Q2086" t="s">
        <v>34</v>
      </c>
    </row>
    <row r="2087" spans="1:17">
      <c r="A2087" t="s">
        <v>2936</v>
      </c>
      <c r="B2087" s="1" t="s">
        <v>331</v>
      </c>
      <c r="C2087" s="1" t="s">
        <v>2752</v>
      </c>
      <c r="D2087" s="1" t="s">
        <v>20</v>
      </c>
      <c r="E2087" t="s">
        <v>294</v>
      </c>
      <c r="F2087" t="s">
        <v>295</v>
      </c>
      <c r="G2087" t="s">
        <v>23</v>
      </c>
      <c r="H2087" t="s">
        <v>108</v>
      </c>
      <c r="I2087" t="s">
        <v>130</v>
      </c>
      <c r="J2087">
        <v>3</v>
      </c>
      <c r="K2087">
        <v>699</v>
      </c>
      <c r="L2087">
        <f>Table1[[#This Row],[Quantity]] * Table1[[#This Row],[UnitPrice]]</f>
        <v>2097</v>
      </c>
      <c r="M2087" s="25">
        <v>5</v>
      </c>
      <c r="N2087">
        <f>Table1[[#This Row],[Revenue]]*Table1[[#This Row],[Discount%]]/100</f>
        <v>104.85</v>
      </c>
      <c r="O2087" s="6">
        <f>Table1[[#This Row],[Revenue]]-Table1[[#This Row],[Disc_amount]]</f>
        <v>1992.15</v>
      </c>
      <c r="P2087" t="s">
        <v>52</v>
      </c>
      <c r="Q2087" t="s">
        <v>27</v>
      </c>
    </row>
    <row r="2088" spans="1:17">
      <c r="A2088" t="s">
        <v>2937</v>
      </c>
      <c r="B2088" s="1" t="s">
        <v>331</v>
      </c>
      <c r="C2088" s="1" t="s">
        <v>2752</v>
      </c>
      <c r="D2088" s="1" t="s">
        <v>20</v>
      </c>
      <c r="E2088" t="s">
        <v>747</v>
      </c>
      <c r="F2088" t="s">
        <v>748</v>
      </c>
      <c r="G2088" t="s">
        <v>45</v>
      </c>
      <c r="H2088" t="s">
        <v>39</v>
      </c>
      <c r="I2088" t="s">
        <v>51</v>
      </c>
      <c r="J2088">
        <v>3</v>
      </c>
      <c r="K2088">
        <v>2999</v>
      </c>
      <c r="L2088">
        <f>Table1[[#This Row],[Quantity]] * Table1[[#This Row],[UnitPrice]]</f>
        <v>8997</v>
      </c>
      <c r="M2088" s="25">
        <v>20</v>
      </c>
      <c r="N2088">
        <f>Table1[[#This Row],[Revenue]]*Table1[[#This Row],[Discount%]]/100</f>
        <v>1799.4</v>
      </c>
      <c r="O2088" s="6">
        <f>Table1[[#This Row],[Revenue]]-Table1[[#This Row],[Disc_amount]]</f>
        <v>7197.6</v>
      </c>
      <c r="P2088" t="s">
        <v>41</v>
      </c>
      <c r="Q2088" t="s">
        <v>34</v>
      </c>
    </row>
    <row r="2089" spans="1:17">
      <c r="A2089" t="s">
        <v>2938</v>
      </c>
      <c r="B2089" s="1" t="s">
        <v>350</v>
      </c>
      <c r="C2089" s="1" t="s">
        <v>2752</v>
      </c>
      <c r="D2089" s="1" t="s">
        <v>20</v>
      </c>
      <c r="E2089" t="s">
        <v>247</v>
      </c>
      <c r="F2089" t="s">
        <v>248</v>
      </c>
      <c r="G2089" t="s">
        <v>31</v>
      </c>
      <c r="H2089" t="s">
        <v>65</v>
      </c>
      <c r="I2089" t="s">
        <v>94</v>
      </c>
      <c r="J2089">
        <v>1</v>
      </c>
      <c r="K2089">
        <v>899</v>
      </c>
      <c r="L2089">
        <f>Table1[[#This Row],[Quantity]] * Table1[[#This Row],[UnitPrice]]</f>
        <v>899</v>
      </c>
      <c r="M2089" s="25">
        <v>5</v>
      </c>
      <c r="N2089">
        <f>Table1[[#This Row],[Revenue]]*Table1[[#This Row],[Discount%]]/100</f>
        <v>44.95</v>
      </c>
      <c r="O2089" s="6">
        <f>Table1[[#This Row],[Revenue]]-Table1[[#This Row],[Disc_amount]]</f>
        <v>854.05</v>
      </c>
      <c r="P2089" t="s">
        <v>26</v>
      </c>
      <c r="Q2089" t="s">
        <v>27</v>
      </c>
    </row>
    <row r="2090" spans="1:17">
      <c r="A2090" t="s">
        <v>2939</v>
      </c>
      <c r="B2090" s="1" t="s">
        <v>350</v>
      </c>
      <c r="C2090" s="1" t="s">
        <v>2752</v>
      </c>
      <c r="D2090" s="1" t="s">
        <v>20</v>
      </c>
      <c r="E2090" t="s">
        <v>138</v>
      </c>
      <c r="F2090" t="s">
        <v>139</v>
      </c>
      <c r="G2090" t="s">
        <v>31</v>
      </c>
      <c r="H2090" t="s">
        <v>46</v>
      </c>
      <c r="I2090" t="s">
        <v>47</v>
      </c>
      <c r="J2090">
        <v>1</v>
      </c>
      <c r="K2090">
        <v>249</v>
      </c>
      <c r="L2090">
        <f>Table1[[#This Row],[Quantity]] * Table1[[#This Row],[UnitPrice]]</f>
        <v>249</v>
      </c>
      <c r="M2090" s="25">
        <v>0</v>
      </c>
      <c r="N2090">
        <f>Table1[[#This Row],[Revenue]]*Table1[[#This Row],[Discount%]]/100</f>
        <v>0</v>
      </c>
      <c r="O2090" s="6">
        <f>Table1[[#This Row],[Revenue]]-Table1[[#This Row],[Disc_amount]]</f>
        <v>249</v>
      </c>
      <c r="P2090" t="s">
        <v>52</v>
      </c>
      <c r="Q2090" t="s">
        <v>27</v>
      </c>
    </row>
    <row r="2091" spans="1:17">
      <c r="A2091" t="s">
        <v>2940</v>
      </c>
      <c r="B2091" s="1" t="s">
        <v>350</v>
      </c>
      <c r="C2091" s="1" t="s">
        <v>2752</v>
      </c>
      <c r="D2091" s="1" t="s">
        <v>20</v>
      </c>
      <c r="E2091" t="s">
        <v>79</v>
      </c>
      <c r="F2091" t="s">
        <v>80</v>
      </c>
      <c r="G2091" t="s">
        <v>31</v>
      </c>
      <c r="H2091" t="s">
        <v>39</v>
      </c>
      <c r="I2091" t="s">
        <v>51</v>
      </c>
      <c r="J2091">
        <v>2</v>
      </c>
      <c r="K2091">
        <v>2999</v>
      </c>
      <c r="L2091">
        <f>Table1[[#This Row],[Quantity]] * Table1[[#This Row],[UnitPrice]]</f>
        <v>5998</v>
      </c>
      <c r="M2091" s="25">
        <v>5</v>
      </c>
      <c r="N2091">
        <f>Table1[[#This Row],[Revenue]]*Table1[[#This Row],[Discount%]]/100</f>
        <v>299.89999999999998</v>
      </c>
      <c r="O2091" s="6">
        <f>Table1[[#This Row],[Revenue]]-Table1[[#This Row],[Disc_amount]]</f>
        <v>5698.1</v>
      </c>
      <c r="P2091" t="s">
        <v>33</v>
      </c>
      <c r="Q2091" t="s">
        <v>34</v>
      </c>
    </row>
    <row r="2092" spans="1:17">
      <c r="A2092" t="s">
        <v>2941</v>
      </c>
      <c r="B2092" s="1" t="s">
        <v>350</v>
      </c>
      <c r="C2092" s="1" t="s">
        <v>2752</v>
      </c>
      <c r="D2092" s="1" t="s">
        <v>20</v>
      </c>
      <c r="E2092" t="s">
        <v>589</v>
      </c>
      <c r="F2092" t="s">
        <v>501</v>
      </c>
      <c r="G2092" t="s">
        <v>31</v>
      </c>
      <c r="H2092" t="s">
        <v>24</v>
      </c>
      <c r="I2092" t="s">
        <v>32</v>
      </c>
      <c r="J2092">
        <v>4</v>
      </c>
      <c r="K2092">
        <v>199</v>
      </c>
      <c r="L2092">
        <f>Table1[[#This Row],[Quantity]] * Table1[[#This Row],[UnitPrice]]</f>
        <v>796</v>
      </c>
      <c r="M2092" s="25">
        <v>25</v>
      </c>
      <c r="N2092">
        <f>Table1[[#This Row],[Revenue]]*Table1[[#This Row],[Discount%]]/100</f>
        <v>199</v>
      </c>
      <c r="O2092" s="6">
        <f>Table1[[#This Row],[Revenue]]-Table1[[#This Row],[Disc_amount]]</f>
        <v>597</v>
      </c>
      <c r="P2092" t="s">
        <v>52</v>
      </c>
      <c r="Q2092" t="s">
        <v>27</v>
      </c>
    </row>
    <row r="2093" spans="1:17">
      <c r="A2093" t="s">
        <v>2942</v>
      </c>
      <c r="B2093" s="1" t="s">
        <v>350</v>
      </c>
      <c r="C2093" s="1" t="s">
        <v>2752</v>
      </c>
      <c r="D2093" s="1" t="s">
        <v>20</v>
      </c>
      <c r="E2093" t="s">
        <v>648</v>
      </c>
      <c r="F2093" t="s">
        <v>213</v>
      </c>
      <c r="G2093" t="s">
        <v>23</v>
      </c>
      <c r="H2093" t="s">
        <v>65</v>
      </c>
      <c r="I2093" t="s">
        <v>66</v>
      </c>
      <c r="J2093">
        <v>3</v>
      </c>
      <c r="K2093">
        <v>1999</v>
      </c>
      <c r="L2093">
        <f>Table1[[#This Row],[Quantity]] * Table1[[#This Row],[UnitPrice]]</f>
        <v>5997</v>
      </c>
      <c r="M2093" s="25">
        <v>25</v>
      </c>
      <c r="N2093">
        <f>Table1[[#This Row],[Revenue]]*Table1[[#This Row],[Discount%]]/100</f>
        <v>1499.25</v>
      </c>
      <c r="O2093" s="6">
        <f>Table1[[#This Row],[Revenue]]-Table1[[#This Row],[Disc_amount]]</f>
        <v>4497.75</v>
      </c>
      <c r="P2093" t="s">
        <v>33</v>
      </c>
      <c r="Q2093" t="s">
        <v>27</v>
      </c>
    </row>
    <row r="2094" spans="1:17">
      <c r="A2094" t="s">
        <v>2943</v>
      </c>
      <c r="B2094" s="1" t="s">
        <v>350</v>
      </c>
      <c r="C2094" s="1" t="s">
        <v>2752</v>
      </c>
      <c r="D2094" s="1" t="s">
        <v>20</v>
      </c>
      <c r="E2094" t="s">
        <v>1734</v>
      </c>
      <c r="F2094" t="s">
        <v>1735</v>
      </c>
      <c r="G2094" t="s">
        <v>38</v>
      </c>
      <c r="H2094" t="s">
        <v>39</v>
      </c>
      <c r="I2094" t="s">
        <v>140</v>
      </c>
      <c r="J2094">
        <v>2</v>
      </c>
      <c r="K2094">
        <v>1799</v>
      </c>
      <c r="L2094">
        <f>Table1[[#This Row],[Quantity]] * Table1[[#This Row],[UnitPrice]]</f>
        <v>3598</v>
      </c>
      <c r="M2094" s="25">
        <v>0</v>
      </c>
      <c r="N2094">
        <f>Table1[[#This Row],[Revenue]]*Table1[[#This Row],[Discount%]]/100</f>
        <v>0</v>
      </c>
      <c r="O2094" s="6">
        <f>Table1[[#This Row],[Revenue]]-Table1[[#This Row],[Disc_amount]]</f>
        <v>3598</v>
      </c>
      <c r="P2094" t="s">
        <v>41</v>
      </c>
      <c r="Q2094" t="s">
        <v>34</v>
      </c>
    </row>
    <row r="2095" spans="1:17">
      <c r="A2095" t="s">
        <v>2944</v>
      </c>
      <c r="B2095" s="1" t="s">
        <v>350</v>
      </c>
      <c r="C2095" s="1" t="s">
        <v>2752</v>
      </c>
      <c r="D2095" s="1" t="s">
        <v>20</v>
      </c>
      <c r="E2095" t="s">
        <v>1015</v>
      </c>
      <c r="F2095" t="s">
        <v>123</v>
      </c>
      <c r="G2095" t="s">
        <v>56</v>
      </c>
      <c r="H2095" t="s">
        <v>57</v>
      </c>
      <c r="I2095" t="s">
        <v>58</v>
      </c>
      <c r="J2095">
        <v>3</v>
      </c>
      <c r="K2095">
        <v>1299</v>
      </c>
      <c r="L2095">
        <f>Table1[[#This Row],[Quantity]] * Table1[[#This Row],[UnitPrice]]</f>
        <v>3897</v>
      </c>
      <c r="M2095" s="25">
        <v>5</v>
      </c>
      <c r="N2095">
        <f>Table1[[#This Row],[Revenue]]*Table1[[#This Row],[Discount%]]/100</f>
        <v>194.85</v>
      </c>
      <c r="O2095" s="6">
        <f>Table1[[#This Row],[Revenue]]-Table1[[#This Row],[Disc_amount]]</f>
        <v>3702.15</v>
      </c>
      <c r="P2095" t="s">
        <v>26</v>
      </c>
      <c r="Q2095" t="s">
        <v>34</v>
      </c>
    </row>
    <row r="2096" spans="1:17">
      <c r="A2096" t="s">
        <v>2945</v>
      </c>
      <c r="B2096" s="1" t="s">
        <v>350</v>
      </c>
      <c r="C2096" s="1" t="s">
        <v>2752</v>
      </c>
      <c r="D2096" s="1" t="s">
        <v>20</v>
      </c>
      <c r="E2096" t="s">
        <v>228</v>
      </c>
      <c r="F2096" t="s">
        <v>229</v>
      </c>
      <c r="G2096" t="s">
        <v>45</v>
      </c>
      <c r="H2096" t="s">
        <v>24</v>
      </c>
      <c r="I2096" t="s">
        <v>25</v>
      </c>
      <c r="J2096">
        <v>3</v>
      </c>
      <c r="K2096">
        <v>99</v>
      </c>
      <c r="L2096">
        <f>Table1[[#This Row],[Quantity]] * Table1[[#This Row],[UnitPrice]]</f>
        <v>297</v>
      </c>
      <c r="M2096" s="25">
        <v>20</v>
      </c>
      <c r="N2096">
        <f>Table1[[#This Row],[Revenue]]*Table1[[#This Row],[Discount%]]/100</f>
        <v>59.4</v>
      </c>
      <c r="O2096" s="6">
        <f>Table1[[#This Row],[Revenue]]-Table1[[#This Row],[Disc_amount]]</f>
        <v>237.6</v>
      </c>
      <c r="P2096" t="s">
        <v>33</v>
      </c>
      <c r="Q2096" t="s">
        <v>27</v>
      </c>
    </row>
    <row r="2097" spans="1:17">
      <c r="A2097" t="s">
        <v>2946</v>
      </c>
      <c r="B2097" s="1" t="s">
        <v>350</v>
      </c>
      <c r="C2097" s="1" t="s">
        <v>2752</v>
      </c>
      <c r="D2097" s="1" t="s">
        <v>20</v>
      </c>
      <c r="E2097" t="s">
        <v>817</v>
      </c>
      <c r="F2097" t="s">
        <v>150</v>
      </c>
      <c r="G2097" t="s">
        <v>45</v>
      </c>
      <c r="H2097" t="s">
        <v>39</v>
      </c>
      <c r="I2097" t="s">
        <v>40</v>
      </c>
      <c r="J2097">
        <v>1</v>
      </c>
      <c r="K2097">
        <v>599</v>
      </c>
      <c r="L2097">
        <f>Table1[[#This Row],[Quantity]] * Table1[[#This Row],[UnitPrice]]</f>
        <v>599</v>
      </c>
      <c r="M2097" s="25">
        <v>25</v>
      </c>
      <c r="N2097">
        <f>Table1[[#This Row],[Revenue]]*Table1[[#This Row],[Discount%]]/100</f>
        <v>149.75</v>
      </c>
      <c r="O2097" s="6">
        <f>Table1[[#This Row],[Revenue]]-Table1[[#This Row],[Disc_amount]]</f>
        <v>449.25</v>
      </c>
      <c r="P2097" t="s">
        <v>33</v>
      </c>
      <c r="Q2097" t="s">
        <v>27</v>
      </c>
    </row>
    <row r="2098" spans="1:17">
      <c r="A2098" t="s">
        <v>2947</v>
      </c>
      <c r="B2098" s="1" t="s">
        <v>350</v>
      </c>
      <c r="C2098" s="1" t="s">
        <v>2752</v>
      </c>
      <c r="D2098" s="1" t="s">
        <v>20</v>
      </c>
      <c r="E2098" t="s">
        <v>565</v>
      </c>
      <c r="F2098" t="s">
        <v>203</v>
      </c>
      <c r="G2098" t="s">
        <v>45</v>
      </c>
      <c r="H2098" t="s">
        <v>57</v>
      </c>
      <c r="I2098" t="s">
        <v>58</v>
      </c>
      <c r="J2098">
        <v>2</v>
      </c>
      <c r="K2098">
        <v>1299</v>
      </c>
      <c r="L2098">
        <f>Table1[[#This Row],[Quantity]] * Table1[[#This Row],[UnitPrice]]</f>
        <v>2598</v>
      </c>
      <c r="M2098" s="25">
        <v>15</v>
      </c>
      <c r="N2098">
        <f>Table1[[#This Row],[Revenue]]*Table1[[#This Row],[Discount%]]/100</f>
        <v>389.7</v>
      </c>
      <c r="O2098" s="6">
        <f>Table1[[#This Row],[Revenue]]-Table1[[#This Row],[Disc_amount]]</f>
        <v>2208.3000000000002</v>
      </c>
      <c r="P2098" t="s">
        <v>33</v>
      </c>
      <c r="Q2098" t="s">
        <v>34</v>
      </c>
    </row>
    <row r="2099" spans="1:17">
      <c r="A2099" t="s">
        <v>2948</v>
      </c>
      <c r="B2099" s="1" t="s">
        <v>350</v>
      </c>
      <c r="C2099" s="1" t="s">
        <v>2752</v>
      </c>
      <c r="D2099" s="1" t="s">
        <v>20</v>
      </c>
      <c r="E2099" t="s">
        <v>2039</v>
      </c>
      <c r="F2099" t="s">
        <v>358</v>
      </c>
      <c r="G2099" t="s">
        <v>38</v>
      </c>
      <c r="H2099" t="s">
        <v>24</v>
      </c>
      <c r="I2099" t="s">
        <v>32</v>
      </c>
      <c r="J2099">
        <v>1</v>
      </c>
      <c r="K2099">
        <v>199</v>
      </c>
      <c r="L2099">
        <f>Table1[[#This Row],[Quantity]] * Table1[[#This Row],[UnitPrice]]</f>
        <v>199</v>
      </c>
      <c r="M2099" s="25">
        <v>5</v>
      </c>
      <c r="N2099">
        <f>Table1[[#This Row],[Revenue]]*Table1[[#This Row],[Discount%]]/100</f>
        <v>9.9499999999999993</v>
      </c>
      <c r="O2099" s="6">
        <f>Table1[[#This Row],[Revenue]]-Table1[[#This Row],[Disc_amount]]</f>
        <v>189.05</v>
      </c>
      <c r="P2099" t="s">
        <v>41</v>
      </c>
      <c r="Q2099" t="s">
        <v>27</v>
      </c>
    </row>
    <row r="2100" spans="1:17">
      <c r="A2100" t="s">
        <v>2949</v>
      </c>
      <c r="B2100" s="1" t="s">
        <v>364</v>
      </c>
      <c r="C2100" s="1" t="s">
        <v>2752</v>
      </c>
      <c r="D2100" s="1" t="s">
        <v>20</v>
      </c>
      <c r="E2100" t="s">
        <v>986</v>
      </c>
      <c r="F2100" t="s">
        <v>209</v>
      </c>
      <c r="G2100" t="s">
        <v>56</v>
      </c>
      <c r="H2100" t="s">
        <v>108</v>
      </c>
      <c r="I2100" t="s">
        <v>130</v>
      </c>
      <c r="J2100">
        <v>1</v>
      </c>
      <c r="K2100">
        <v>699</v>
      </c>
      <c r="L2100">
        <f>Table1[[#This Row],[Quantity]] * Table1[[#This Row],[UnitPrice]]</f>
        <v>699</v>
      </c>
      <c r="M2100" s="25">
        <v>0</v>
      </c>
      <c r="N2100">
        <f>Table1[[#This Row],[Revenue]]*Table1[[#This Row],[Discount%]]/100</f>
        <v>0</v>
      </c>
      <c r="O2100" s="6">
        <f>Table1[[#This Row],[Revenue]]-Table1[[#This Row],[Disc_amount]]</f>
        <v>699</v>
      </c>
      <c r="P2100" t="s">
        <v>86</v>
      </c>
      <c r="Q2100" t="s">
        <v>27</v>
      </c>
    </row>
    <row r="2101" spans="1:17">
      <c r="A2101" t="s">
        <v>2950</v>
      </c>
      <c r="B2101" s="1" t="s">
        <v>364</v>
      </c>
      <c r="C2101" s="1" t="s">
        <v>2752</v>
      </c>
      <c r="D2101" s="1" t="s">
        <v>20</v>
      </c>
      <c r="E2101" t="s">
        <v>693</v>
      </c>
      <c r="F2101" t="s">
        <v>694</v>
      </c>
      <c r="G2101" t="s">
        <v>38</v>
      </c>
      <c r="H2101" t="s">
        <v>70</v>
      </c>
      <c r="I2101" t="s">
        <v>91</v>
      </c>
      <c r="J2101">
        <v>2</v>
      </c>
      <c r="K2101">
        <v>549</v>
      </c>
      <c r="L2101">
        <f>Table1[[#This Row],[Quantity]] * Table1[[#This Row],[UnitPrice]]</f>
        <v>1098</v>
      </c>
      <c r="M2101" s="25">
        <v>0</v>
      </c>
      <c r="N2101">
        <f>Table1[[#This Row],[Revenue]]*Table1[[#This Row],[Discount%]]/100</f>
        <v>0</v>
      </c>
      <c r="O2101" s="6">
        <f>Table1[[#This Row],[Revenue]]-Table1[[#This Row],[Disc_amount]]</f>
        <v>1098</v>
      </c>
      <c r="P2101" t="s">
        <v>86</v>
      </c>
      <c r="Q2101" t="s">
        <v>34</v>
      </c>
    </row>
    <row r="2102" spans="1:17">
      <c r="A2102" t="s">
        <v>2951</v>
      </c>
      <c r="B2102" s="1" t="s">
        <v>364</v>
      </c>
      <c r="C2102" s="1" t="s">
        <v>2752</v>
      </c>
      <c r="D2102" s="1" t="s">
        <v>20</v>
      </c>
      <c r="E2102" t="s">
        <v>589</v>
      </c>
      <c r="F2102" t="s">
        <v>501</v>
      </c>
      <c r="G2102" t="s">
        <v>38</v>
      </c>
      <c r="H2102" t="s">
        <v>39</v>
      </c>
      <c r="I2102" t="s">
        <v>40</v>
      </c>
      <c r="J2102">
        <v>1</v>
      </c>
      <c r="K2102">
        <v>599</v>
      </c>
      <c r="L2102">
        <f>Table1[[#This Row],[Quantity]] * Table1[[#This Row],[UnitPrice]]</f>
        <v>599</v>
      </c>
      <c r="M2102" s="25">
        <v>15</v>
      </c>
      <c r="N2102">
        <f>Table1[[#This Row],[Revenue]]*Table1[[#This Row],[Discount%]]/100</f>
        <v>89.85</v>
      </c>
      <c r="O2102" s="6">
        <f>Table1[[#This Row],[Revenue]]-Table1[[#This Row],[Disc_amount]]</f>
        <v>509.15</v>
      </c>
      <c r="P2102" t="s">
        <v>86</v>
      </c>
      <c r="Q2102" t="s">
        <v>27</v>
      </c>
    </row>
    <row r="2103" spans="1:17">
      <c r="A2103" t="s">
        <v>2952</v>
      </c>
      <c r="B2103" s="1" t="s">
        <v>364</v>
      </c>
      <c r="C2103" s="1" t="s">
        <v>2752</v>
      </c>
      <c r="D2103" s="1" t="s">
        <v>20</v>
      </c>
      <c r="E2103" t="s">
        <v>2207</v>
      </c>
      <c r="F2103" t="s">
        <v>2208</v>
      </c>
      <c r="G2103" t="s">
        <v>56</v>
      </c>
      <c r="H2103" t="s">
        <v>108</v>
      </c>
      <c r="I2103" t="s">
        <v>109</v>
      </c>
      <c r="J2103">
        <v>1</v>
      </c>
      <c r="K2103">
        <v>1499</v>
      </c>
      <c r="L2103">
        <f>Table1[[#This Row],[Quantity]] * Table1[[#This Row],[UnitPrice]]</f>
        <v>1499</v>
      </c>
      <c r="M2103" s="25">
        <v>10</v>
      </c>
      <c r="N2103">
        <f>Table1[[#This Row],[Revenue]]*Table1[[#This Row],[Discount%]]/100</f>
        <v>149.9</v>
      </c>
      <c r="O2103" s="6">
        <f>Table1[[#This Row],[Revenue]]-Table1[[#This Row],[Disc_amount]]</f>
        <v>1349.1</v>
      </c>
      <c r="P2103" t="s">
        <v>33</v>
      </c>
      <c r="Q2103" t="s">
        <v>34</v>
      </c>
    </row>
    <row r="2104" spans="1:17">
      <c r="A2104" t="s">
        <v>2953</v>
      </c>
      <c r="B2104" s="1" t="s">
        <v>364</v>
      </c>
      <c r="C2104" s="1" t="s">
        <v>2752</v>
      </c>
      <c r="D2104" s="1" t="s">
        <v>20</v>
      </c>
      <c r="E2104" t="s">
        <v>310</v>
      </c>
      <c r="F2104" t="s">
        <v>311</v>
      </c>
      <c r="G2104" t="s">
        <v>31</v>
      </c>
      <c r="H2104" t="s">
        <v>46</v>
      </c>
      <c r="I2104" t="s">
        <v>47</v>
      </c>
      <c r="J2104">
        <v>4</v>
      </c>
      <c r="K2104">
        <v>249</v>
      </c>
      <c r="L2104">
        <f>Table1[[#This Row],[Quantity]] * Table1[[#This Row],[UnitPrice]]</f>
        <v>996</v>
      </c>
      <c r="M2104" s="25">
        <v>20</v>
      </c>
      <c r="N2104">
        <f>Table1[[#This Row],[Revenue]]*Table1[[#This Row],[Discount%]]/100</f>
        <v>199.2</v>
      </c>
      <c r="O2104" s="6">
        <f>Table1[[#This Row],[Revenue]]-Table1[[#This Row],[Disc_amount]]</f>
        <v>796.8</v>
      </c>
      <c r="P2104" t="s">
        <v>41</v>
      </c>
      <c r="Q2104" t="s">
        <v>27</v>
      </c>
    </row>
    <row r="2105" spans="1:17">
      <c r="A2105" t="s">
        <v>2954</v>
      </c>
      <c r="B2105" s="1" t="s">
        <v>364</v>
      </c>
      <c r="C2105" s="1" t="s">
        <v>2752</v>
      </c>
      <c r="D2105" s="1" t="s">
        <v>20</v>
      </c>
      <c r="E2105" t="s">
        <v>750</v>
      </c>
      <c r="F2105" t="s">
        <v>83</v>
      </c>
      <c r="G2105" t="s">
        <v>23</v>
      </c>
      <c r="H2105" t="s">
        <v>57</v>
      </c>
      <c r="I2105" t="s">
        <v>62</v>
      </c>
      <c r="J2105">
        <v>4</v>
      </c>
      <c r="K2105">
        <v>799</v>
      </c>
      <c r="L2105">
        <f>Table1[[#This Row],[Quantity]] * Table1[[#This Row],[UnitPrice]]</f>
        <v>3196</v>
      </c>
      <c r="M2105" s="25">
        <v>10</v>
      </c>
      <c r="N2105">
        <f>Table1[[#This Row],[Revenue]]*Table1[[#This Row],[Discount%]]/100</f>
        <v>319.60000000000002</v>
      </c>
      <c r="O2105" s="6">
        <f>Table1[[#This Row],[Revenue]]-Table1[[#This Row],[Disc_amount]]</f>
        <v>2876.4</v>
      </c>
      <c r="P2105" t="s">
        <v>26</v>
      </c>
      <c r="Q2105" t="s">
        <v>27</v>
      </c>
    </row>
    <row r="2106" spans="1:17">
      <c r="A2106" t="s">
        <v>2955</v>
      </c>
      <c r="B2106" s="1" t="s">
        <v>364</v>
      </c>
      <c r="C2106" s="1" t="s">
        <v>2752</v>
      </c>
      <c r="D2106" s="1" t="s">
        <v>20</v>
      </c>
      <c r="E2106" t="s">
        <v>872</v>
      </c>
      <c r="F2106" t="s">
        <v>873</v>
      </c>
      <c r="G2106" t="s">
        <v>31</v>
      </c>
      <c r="H2106" t="s">
        <v>39</v>
      </c>
      <c r="I2106" t="s">
        <v>140</v>
      </c>
      <c r="J2106">
        <v>1</v>
      </c>
      <c r="K2106">
        <v>1799</v>
      </c>
      <c r="L2106">
        <f>Table1[[#This Row],[Quantity]] * Table1[[#This Row],[UnitPrice]]</f>
        <v>1799</v>
      </c>
      <c r="M2106" s="25">
        <v>10</v>
      </c>
      <c r="N2106">
        <f>Table1[[#This Row],[Revenue]]*Table1[[#This Row],[Discount%]]/100</f>
        <v>179.9</v>
      </c>
      <c r="O2106" s="6">
        <f>Table1[[#This Row],[Revenue]]-Table1[[#This Row],[Disc_amount]]</f>
        <v>1619.1</v>
      </c>
      <c r="P2106" t="s">
        <v>52</v>
      </c>
      <c r="Q2106" t="s">
        <v>34</v>
      </c>
    </row>
    <row r="2107" spans="1:17">
      <c r="A2107" t="s">
        <v>2956</v>
      </c>
      <c r="B2107" s="1" t="s">
        <v>364</v>
      </c>
      <c r="C2107" s="1" t="s">
        <v>2752</v>
      </c>
      <c r="D2107" s="1" t="s">
        <v>20</v>
      </c>
      <c r="E2107" t="s">
        <v>1044</v>
      </c>
      <c r="F2107" t="s">
        <v>587</v>
      </c>
      <c r="G2107" t="s">
        <v>23</v>
      </c>
      <c r="H2107" t="s">
        <v>65</v>
      </c>
      <c r="I2107" t="s">
        <v>66</v>
      </c>
      <c r="J2107">
        <v>1</v>
      </c>
      <c r="K2107">
        <v>1999</v>
      </c>
      <c r="L2107">
        <f>Table1[[#This Row],[Quantity]] * Table1[[#This Row],[UnitPrice]]</f>
        <v>1999</v>
      </c>
      <c r="M2107" s="25">
        <v>15</v>
      </c>
      <c r="N2107">
        <f>Table1[[#This Row],[Revenue]]*Table1[[#This Row],[Discount%]]/100</f>
        <v>299.85000000000002</v>
      </c>
      <c r="O2107" s="6">
        <f>Table1[[#This Row],[Revenue]]-Table1[[#This Row],[Disc_amount]]</f>
        <v>1699.15</v>
      </c>
      <c r="P2107" t="s">
        <v>26</v>
      </c>
      <c r="Q2107" t="s">
        <v>34</v>
      </c>
    </row>
    <row r="2108" spans="1:17">
      <c r="A2108" t="s">
        <v>2957</v>
      </c>
      <c r="B2108" s="1" t="s">
        <v>364</v>
      </c>
      <c r="C2108" s="1" t="s">
        <v>2752</v>
      </c>
      <c r="D2108" s="1" t="s">
        <v>20</v>
      </c>
      <c r="E2108" t="s">
        <v>347</v>
      </c>
      <c r="F2108" t="s">
        <v>348</v>
      </c>
      <c r="G2108" t="s">
        <v>31</v>
      </c>
      <c r="H2108" t="s">
        <v>39</v>
      </c>
      <c r="I2108" t="s">
        <v>40</v>
      </c>
      <c r="J2108">
        <v>1</v>
      </c>
      <c r="K2108">
        <v>599</v>
      </c>
      <c r="L2108">
        <f>Table1[[#This Row],[Quantity]] * Table1[[#This Row],[UnitPrice]]</f>
        <v>599</v>
      </c>
      <c r="M2108" s="25">
        <v>10</v>
      </c>
      <c r="N2108">
        <f>Table1[[#This Row],[Revenue]]*Table1[[#This Row],[Discount%]]/100</f>
        <v>59.9</v>
      </c>
      <c r="O2108" s="6">
        <f>Table1[[#This Row],[Revenue]]-Table1[[#This Row],[Disc_amount]]</f>
        <v>539.1</v>
      </c>
      <c r="P2108" t="s">
        <v>33</v>
      </c>
      <c r="Q2108" t="s">
        <v>34</v>
      </c>
    </row>
    <row r="2109" spans="1:17">
      <c r="A2109" t="s">
        <v>2958</v>
      </c>
      <c r="B2109" s="1" t="s">
        <v>364</v>
      </c>
      <c r="C2109" s="1" t="s">
        <v>2752</v>
      </c>
      <c r="D2109" s="1" t="s">
        <v>20</v>
      </c>
      <c r="E2109" t="s">
        <v>977</v>
      </c>
      <c r="F2109" t="s">
        <v>209</v>
      </c>
      <c r="G2109" t="s">
        <v>23</v>
      </c>
      <c r="H2109" t="s">
        <v>70</v>
      </c>
      <c r="I2109" t="s">
        <v>71</v>
      </c>
      <c r="J2109">
        <v>1</v>
      </c>
      <c r="K2109">
        <v>349</v>
      </c>
      <c r="L2109">
        <f>Table1[[#This Row],[Quantity]] * Table1[[#This Row],[UnitPrice]]</f>
        <v>349</v>
      </c>
      <c r="M2109" s="25">
        <v>0</v>
      </c>
      <c r="N2109">
        <f>Table1[[#This Row],[Revenue]]*Table1[[#This Row],[Discount%]]/100</f>
        <v>0</v>
      </c>
      <c r="O2109" s="6">
        <f>Table1[[#This Row],[Revenue]]-Table1[[#This Row],[Disc_amount]]</f>
        <v>349</v>
      </c>
      <c r="P2109" t="s">
        <v>33</v>
      </c>
      <c r="Q2109" t="s">
        <v>27</v>
      </c>
    </row>
    <row r="2110" spans="1:17">
      <c r="A2110" t="s">
        <v>2959</v>
      </c>
      <c r="B2110" s="1" t="s">
        <v>364</v>
      </c>
      <c r="C2110" s="1" t="s">
        <v>2752</v>
      </c>
      <c r="D2110" s="1" t="s">
        <v>20</v>
      </c>
      <c r="E2110" t="s">
        <v>952</v>
      </c>
      <c r="F2110" t="s">
        <v>134</v>
      </c>
      <c r="G2110" t="s">
        <v>38</v>
      </c>
      <c r="H2110" t="s">
        <v>65</v>
      </c>
      <c r="I2110" t="s">
        <v>98</v>
      </c>
      <c r="J2110">
        <v>2</v>
      </c>
      <c r="K2110">
        <v>499</v>
      </c>
      <c r="L2110">
        <f>Table1[[#This Row],[Quantity]] * Table1[[#This Row],[UnitPrice]]</f>
        <v>998</v>
      </c>
      <c r="M2110" s="25">
        <v>5</v>
      </c>
      <c r="N2110">
        <f>Table1[[#This Row],[Revenue]]*Table1[[#This Row],[Discount%]]/100</f>
        <v>49.9</v>
      </c>
      <c r="O2110" s="6">
        <f>Table1[[#This Row],[Revenue]]-Table1[[#This Row],[Disc_amount]]</f>
        <v>948.1</v>
      </c>
      <c r="P2110" t="s">
        <v>86</v>
      </c>
      <c r="Q2110" t="s">
        <v>27</v>
      </c>
    </row>
    <row r="2111" spans="1:17">
      <c r="A2111" t="s">
        <v>2960</v>
      </c>
      <c r="B2111" s="1" t="s">
        <v>381</v>
      </c>
      <c r="C2111" s="1" t="s">
        <v>2752</v>
      </c>
      <c r="D2111" s="1" t="s">
        <v>20</v>
      </c>
      <c r="E2111" t="s">
        <v>421</v>
      </c>
      <c r="F2111" t="s">
        <v>422</v>
      </c>
      <c r="G2111" t="s">
        <v>31</v>
      </c>
      <c r="H2111" t="s">
        <v>65</v>
      </c>
      <c r="I2111" t="s">
        <v>66</v>
      </c>
      <c r="J2111">
        <v>5</v>
      </c>
      <c r="K2111">
        <v>1999</v>
      </c>
      <c r="L2111">
        <f>Table1[[#This Row],[Quantity]] * Table1[[#This Row],[UnitPrice]]</f>
        <v>9995</v>
      </c>
      <c r="M2111" s="25">
        <v>10</v>
      </c>
      <c r="N2111">
        <f>Table1[[#This Row],[Revenue]]*Table1[[#This Row],[Discount%]]/100</f>
        <v>999.5</v>
      </c>
      <c r="O2111" s="6">
        <f>Table1[[#This Row],[Revenue]]-Table1[[#This Row],[Disc_amount]]</f>
        <v>8995.5</v>
      </c>
      <c r="P2111" t="s">
        <v>52</v>
      </c>
      <c r="Q2111" t="s">
        <v>27</v>
      </c>
    </row>
    <row r="2112" spans="1:17">
      <c r="A2112" t="s">
        <v>2961</v>
      </c>
      <c r="B2112" s="1" t="s">
        <v>381</v>
      </c>
      <c r="C2112" s="1" t="s">
        <v>2752</v>
      </c>
      <c r="D2112" s="1" t="s">
        <v>20</v>
      </c>
      <c r="E2112" t="s">
        <v>515</v>
      </c>
      <c r="F2112" t="s">
        <v>516</v>
      </c>
      <c r="G2112" t="s">
        <v>31</v>
      </c>
      <c r="H2112" t="s">
        <v>46</v>
      </c>
      <c r="I2112" t="s">
        <v>154</v>
      </c>
      <c r="J2112">
        <v>4</v>
      </c>
      <c r="K2112">
        <v>299</v>
      </c>
      <c r="L2112">
        <f>Table1[[#This Row],[Quantity]] * Table1[[#This Row],[UnitPrice]]</f>
        <v>1196</v>
      </c>
      <c r="M2112" s="25">
        <v>10</v>
      </c>
      <c r="N2112">
        <f>Table1[[#This Row],[Revenue]]*Table1[[#This Row],[Discount%]]/100</f>
        <v>119.6</v>
      </c>
      <c r="O2112" s="6">
        <f>Table1[[#This Row],[Revenue]]-Table1[[#This Row],[Disc_amount]]</f>
        <v>1076.4000000000001</v>
      </c>
      <c r="P2112" t="s">
        <v>41</v>
      </c>
      <c r="Q2112" t="s">
        <v>27</v>
      </c>
    </row>
    <row r="2113" spans="1:17">
      <c r="A2113" t="s">
        <v>2962</v>
      </c>
      <c r="B2113" s="1" t="s">
        <v>381</v>
      </c>
      <c r="C2113" s="1" t="s">
        <v>2752</v>
      </c>
      <c r="D2113" s="1" t="s">
        <v>20</v>
      </c>
      <c r="E2113" t="s">
        <v>1554</v>
      </c>
      <c r="F2113" t="s">
        <v>268</v>
      </c>
      <c r="G2113" t="s">
        <v>23</v>
      </c>
      <c r="H2113" t="s">
        <v>46</v>
      </c>
      <c r="I2113" t="s">
        <v>47</v>
      </c>
      <c r="J2113">
        <v>2</v>
      </c>
      <c r="K2113">
        <v>249</v>
      </c>
      <c r="L2113">
        <f>Table1[[#This Row],[Quantity]] * Table1[[#This Row],[UnitPrice]]</f>
        <v>498</v>
      </c>
      <c r="M2113" s="25">
        <v>20</v>
      </c>
      <c r="N2113">
        <f>Table1[[#This Row],[Revenue]]*Table1[[#This Row],[Discount%]]/100</f>
        <v>99.6</v>
      </c>
      <c r="O2113" s="6">
        <f>Table1[[#This Row],[Revenue]]-Table1[[#This Row],[Disc_amount]]</f>
        <v>398.4</v>
      </c>
      <c r="P2113" t="s">
        <v>86</v>
      </c>
      <c r="Q2113" t="s">
        <v>34</v>
      </c>
    </row>
    <row r="2114" spans="1:17">
      <c r="A2114" t="s">
        <v>2963</v>
      </c>
      <c r="B2114" s="1" t="s">
        <v>381</v>
      </c>
      <c r="C2114" s="1" t="s">
        <v>2752</v>
      </c>
      <c r="D2114" s="1" t="s">
        <v>20</v>
      </c>
      <c r="E2114" t="s">
        <v>1772</v>
      </c>
      <c r="F2114" t="s">
        <v>1292</v>
      </c>
      <c r="G2114" t="s">
        <v>31</v>
      </c>
      <c r="H2114" t="s">
        <v>57</v>
      </c>
      <c r="I2114" t="s">
        <v>58</v>
      </c>
      <c r="J2114">
        <v>1</v>
      </c>
      <c r="K2114">
        <v>1299</v>
      </c>
      <c r="L2114">
        <f>Table1[[#This Row],[Quantity]] * Table1[[#This Row],[UnitPrice]]</f>
        <v>1299</v>
      </c>
      <c r="M2114" s="25">
        <v>5</v>
      </c>
      <c r="N2114">
        <f>Table1[[#This Row],[Revenue]]*Table1[[#This Row],[Discount%]]/100</f>
        <v>64.95</v>
      </c>
      <c r="O2114" s="6">
        <f>Table1[[#This Row],[Revenue]]-Table1[[#This Row],[Disc_amount]]</f>
        <v>1234.05</v>
      </c>
      <c r="P2114" t="s">
        <v>26</v>
      </c>
      <c r="Q2114" t="s">
        <v>27</v>
      </c>
    </row>
    <row r="2115" spans="1:17">
      <c r="A2115" t="s">
        <v>2964</v>
      </c>
      <c r="B2115" s="1" t="s">
        <v>381</v>
      </c>
      <c r="C2115" s="1" t="s">
        <v>2752</v>
      </c>
      <c r="D2115" s="1" t="s">
        <v>20</v>
      </c>
      <c r="E2115" t="s">
        <v>1259</v>
      </c>
      <c r="F2115" t="s">
        <v>1260</v>
      </c>
      <c r="G2115" t="s">
        <v>56</v>
      </c>
      <c r="H2115" t="s">
        <v>108</v>
      </c>
      <c r="I2115" t="s">
        <v>130</v>
      </c>
      <c r="J2115">
        <v>1</v>
      </c>
      <c r="K2115">
        <v>699</v>
      </c>
      <c r="L2115">
        <f>Table1[[#This Row],[Quantity]] * Table1[[#This Row],[UnitPrice]]</f>
        <v>699</v>
      </c>
      <c r="M2115" s="25">
        <v>25</v>
      </c>
      <c r="N2115">
        <f>Table1[[#This Row],[Revenue]]*Table1[[#This Row],[Discount%]]/100</f>
        <v>174.75</v>
      </c>
      <c r="O2115" s="6">
        <f>Table1[[#This Row],[Revenue]]-Table1[[#This Row],[Disc_amount]]</f>
        <v>524.25</v>
      </c>
      <c r="P2115" t="s">
        <v>26</v>
      </c>
      <c r="Q2115" t="s">
        <v>27</v>
      </c>
    </row>
    <row r="2116" spans="1:17">
      <c r="A2116" t="s">
        <v>2965</v>
      </c>
      <c r="B2116" s="1" t="s">
        <v>381</v>
      </c>
      <c r="C2116" s="1" t="s">
        <v>2752</v>
      </c>
      <c r="D2116" s="1" t="s">
        <v>20</v>
      </c>
      <c r="E2116" t="s">
        <v>389</v>
      </c>
      <c r="F2116" t="s">
        <v>390</v>
      </c>
      <c r="G2116" t="s">
        <v>45</v>
      </c>
      <c r="H2116" t="s">
        <v>65</v>
      </c>
      <c r="I2116" t="s">
        <v>66</v>
      </c>
      <c r="J2116">
        <v>1</v>
      </c>
      <c r="K2116">
        <v>1999</v>
      </c>
      <c r="L2116">
        <f>Table1[[#This Row],[Quantity]] * Table1[[#This Row],[UnitPrice]]</f>
        <v>1999</v>
      </c>
      <c r="M2116" s="25">
        <v>5</v>
      </c>
      <c r="N2116">
        <f>Table1[[#This Row],[Revenue]]*Table1[[#This Row],[Discount%]]/100</f>
        <v>99.95</v>
      </c>
      <c r="O2116" s="6">
        <f>Table1[[#This Row],[Revenue]]-Table1[[#This Row],[Disc_amount]]</f>
        <v>1899.05</v>
      </c>
      <c r="P2116" t="s">
        <v>41</v>
      </c>
      <c r="Q2116" t="s">
        <v>34</v>
      </c>
    </row>
    <row r="2117" spans="1:17">
      <c r="A2117" t="s">
        <v>2966</v>
      </c>
      <c r="B2117" s="1" t="s">
        <v>381</v>
      </c>
      <c r="C2117" s="1" t="s">
        <v>2752</v>
      </c>
      <c r="D2117" s="1" t="s">
        <v>20</v>
      </c>
      <c r="E2117" t="s">
        <v>791</v>
      </c>
      <c r="F2117" t="s">
        <v>37</v>
      </c>
      <c r="G2117" t="s">
        <v>45</v>
      </c>
      <c r="H2117" t="s">
        <v>46</v>
      </c>
      <c r="I2117" t="s">
        <v>47</v>
      </c>
      <c r="J2117">
        <v>1</v>
      </c>
      <c r="K2117">
        <v>249</v>
      </c>
      <c r="L2117">
        <f>Table1[[#This Row],[Quantity]] * Table1[[#This Row],[UnitPrice]]</f>
        <v>249</v>
      </c>
      <c r="M2117" s="25">
        <v>0</v>
      </c>
      <c r="N2117">
        <f>Table1[[#This Row],[Revenue]]*Table1[[#This Row],[Discount%]]/100</f>
        <v>0</v>
      </c>
      <c r="O2117" s="6">
        <f>Table1[[#This Row],[Revenue]]-Table1[[#This Row],[Disc_amount]]</f>
        <v>249</v>
      </c>
      <c r="P2117" t="s">
        <v>52</v>
      </c>
      <c r="Q2117" t="s">
        <v>27</v>
      </c>
    </row>
    <row r="2118" spans="1:17">
      <c r="A2118" t="s">
        <v>2967</v>
      </c>
      <c r="B2118" s="1" t="s">
        <v>381</v>
      </c>
      <c r="C2118" s="1" t="s">
        <v>2752</v>
      </c>
      <c r="D2118" s="1" t="s">
        <v>20</v>
      </c>
      <c r="E2118" t="s">
        <v>677</v>
      </c>
      <c r="F2118" t="s">
        <v>597</v>
      </c>
      <c r="G2118" t="s">
        <v>56</v>
      </c>
      <c r="H2118" t="s">
        <v>46</v>
      </c>
      <c r="I2118" t="s">
        <v>154</v>
      </c>
      <c r="J2118">
        <v>2</v>
      </c>
      <c r="K2118">
        <v>299</v>
      </c>
      <c r="L2118">
        <f>Table1[[#This Row],[Quantity]] * Table1[[#This Row],[UnitPrice]]</f>
        <v>598</v>
      </c>
      <c r="M2118" s="25">
        <v>5</v>
      </c>
      <c r="N2118">
        <f>Table1[[#This Row],[Revenue]]*Table1[[#This Row],[Discount%]]/100</f>
        <v>29.9</v>
      </c>
      <c r="O2118" s="6">
        <f>Table1[[#This Row],[Revenue]]-Table1[[#This Row],[Disc_amount]]</f>
        <v>568.1</v>
      </c>
      <c r="P2118" t="s">
        <v>41</v>
      </c>
      <c r="Q2118" t="s">
        <v>27</v>
      </c>
    </row>
    <row r="2119" spans="1:17">
      <c r="A2119" t="s">
        <v>2968</v>
      </c>
      <c r="B2119" s="1" t="s">
        <v>381</v>
      </c>
      <c r="C2119" s="1" t="s">
        <v>2752</v>
      </c>
      <c r="D2119" s="1" t="s">
        <v>20</v>
      </c>
      <c r="E2119" t="s">
        <v>1088</v>
      </c>
      <c r="F2119" t="s">
        <v>160</v>
      </c>
      <c r="G2119" t="s">
        <v>38</v>
      </c>
      <c r="H2119" t="s">
        <v>57</v>
      </c>
      <c r="I2119" t="s">
        <v>58</v>
      </c>
      <c r="J2119">
        <v>3</v>
      </c>
      <c r="K2119">
        <v>1299</v>
      </c>
      <c r="L2119">
        <f>Table1[[#This Row],[Quantity]] * Table1[[#This Row],[UnitPrice]]</f>
        <v>3897</v>
      </c>
      <c r="M2119" s="25">
        <v>0</v>
      </c>
      <c r="N2119">
        <f>Table1[[#This Row],[Revenue]]*Table1[[#This Row],[Discount%]]/100</f>
        <v>0</v>
      </c>
      <c r="O2119" s="6">
        <f>Table1[[#This Row],[Revenue]]-Table1[[#This Row],[Disc_amount]]</f>
        <v>3897</v>
      </c>
      <c r="P2119" t="s">
        <v>52</v>
      </c>
      <c r="Q2119" t="s">
        <v>34</v>
      </c>
    </row>
    <row r="2120" spans="1:17">
      <c r="A2120" t="s">
        <v>2969</v>
      </c>
      <c r="B2120" s="1" t="s">
        <v>381</v>
      </c>
      <c r="C2120" s="1" t="s">
        <v>2752</v>
      </c>
      <c r="D2120" s="1" t="s">
        <v>20</v>
      </c>
      <c r="E2120" t="s">
        <v>884</v>
      </c>
      <c r="F2120" t="s">
        <v>160</v>
      </c>
      <c r="G2120" t="s">
        <v>56</v>
      </c>
      <c r="H2120" t="s">
        <v>24</v>
      </c>
      <c r="I2120" t="s">
        <v>32</v>
      </c>
      <c r="J2120">
        <v>1</v>
      </c>
      <c r="K2120">
        <v>199</v>
      </c>
      <c r="L2120">
        <f>Table1[[#This Row],[Quantity]] * Table1[[#This Row],[UnitPrice]]</f>
        <v>199</v>
      </c>
      <c r="M2120" s="25">
        <v>10</v>
      </c>
      <c r="N2120">
        <f>Table1[[#This Row],[Revenue]]*Table1[[#This Row],[Discount%]]/100</f>
        <v>19.899999999999999</v>
      </c>
      <c r="O2120" s="6">
        <f>Table1[[#This Row],[Revenue]]-Table1[[#This Row],[Disc_amount]]</f>
        <v>179.1</v>
      </c>
      <c r="P2120" t="s">
        <v>41</v>
      </c>
      <c r="Q2120" t="s">
        <v>27</v>
      </c>
    </row>
    <row r="2121" spans="1:17">
      <c r="A2121" t="s">
        <v>2970</v>
      </c>
      <c r="B2121" s="1" t="s">
        <v>381</v>
      </c>
      <c r="C2121" s="1" t="s">
        <v>2752</v>
      </c>
      <c r="D2121" s="1" t="s">
        <v>20</v>
      </c>
      <c r="E2121" t="s">
        <v>1240</v>
      </c>
      <c r="F2121" t="s">
        <v>115</v>
      </c>
      <c r="G2121" t="s">
        <v>31</v>
      </c>
      <c r="H2121" t="s">
        <v>57</v>
      </c>
      <c r="I2121" t="s">
        <v>58</v>
      </c>
      <c r="J2121">
        <v>1</v>
      </c>
      <c r="K2121">
        <v>1299</v>
      </c>
      <c r="L2121">
        <f>Table1[[#This Row],[Quantity]] * Table1[[#This Row],[UnitPrice]]</f>
        <v>1299</v>
      </c>
      <c r="M2121" s="25">
        <v>10</v>
      </c>
      <c r="N2121">
        <f>Table1[[#This Row],[Revenue]]*Table1[[#This Row],[Discount%]]/100</f>
        <v>129.9</v>
      </c>
      <c r="O2121" s="6">
        <f>Table1[[#This Row],[Revenue]]-Table1[[#This Row],[Disc_amount]]</f>
        <v>1169.0999999999999</v>
      </c>
      <c r="P2121" t="s">
        <v>52</v>
      </c>
      <c r="Q2121" t="s">
        <v>34</v>
      </c>
    </row>
    <row r="2122" spans="1:17">
      <c r="A2122" t="s">
        <v>2971</v>
      </c>
      <c r="B2122" s="1" t="s">
        <v>381</v>
      </c>
      <c r="C2122" s="1" t="s">
        <v>2752</v>
      </c>
      <c r="D2122" s="1" t="s">
        <v>20</v>
      </c>
      <c r="E2122" t="s">
        <v>365</v>
      </c>
      <c r="F2122" t="s">
        <v>366</v>
      </c>
      <c r="G2122" t="s">
        <v>38</v>
      </c>
      <c r="H2122" t="s">
        <v>70</v>
      </c>
      <c r="I2122" t="s">
        <v>91</v>
      </c>
      <c r="J2122">
        <v>1</v>
      </c>
      <c r="K2122">
        <v>549</v>
      </c>
      <c r="L2122">
        <f>Table1[[#This Row],[Quantity]] * Table1[[#This Row],[UnitPrice]]</f>
        <v>549</v>
      </c>
      <c r="M2122" s="25">
        <v>20</v>
      </c>
      <c r="N2122">
        <f>Table1[[#This Row],[Revenue]]*Table1[[#This Row],[Discount%]]/100</f>
        <v>109.8</v>
      </c>
      <c r="O2122" s="6">
        <f>Table1[[#This Row],[Revenue]]-Table1[[#This Row],[Disc_amount]]</f>
        <v>439.2</v>
      </c>
      <c r="P2122" t="s">
        <v>33</v>
      </c>
      <c r="Q2122" t="s">
        <v>34</v>
      </c>
    </row>
    <row r="2123" spans="1:17">
      <c r="A2123" t="s">
        <v>2972</v>
      </c>
      <c r="B2123" s="1" t="s">
        <v>388</v>
      </c>
      <c r="C2123" s="1" t="s">
        <v>2752</v>
      </c>
      <c r="D2123" s="1" t="s">
        <v>20</v>
      </c>
      <c r="E2123" t="s">
        <v>114</v>
      </c>
      <c r="F2123" t="s">
        <v>115</v>
      </c>
      <c r="G2123" t="s">
        <v>31</v>
      </c>
      <c r="H2123" t="s">
        <v>57</v>
      </c>
      <c r="I2123" t="s">
        <v>62</v>
      </c>
      <c r="J2123">
        <v>4</v>
      </c>
      <c r="K2123">
        <v>799</v>
      </c>
      <c r="L2123">
        <f>Table1[[#This Row],[Quantity]] * Table1[[#This Row],[UnitPrice]]</f>
        <v>3196</v>
      </c>
      <c r="M2123" s="25">
        <v>20</v>
      </c>
      <c r="N2123">
        <f>Table1[[#This Row],[Revenue]]*Table1[[#This Row],[Discount%]]/100</f>
        <v>639.20000000000005</v>
      </c>
      <c r="O2123" s="6">
        <f>Table1[[#This Row],[Revenue]]-Table1[[#This Row],[Disc_amount]]</f>
        <v>2556.8000000000002</v>
      </c>
      <c r="P2123" t="s">
        <v>41</v>
      </c>
      <c r="Q2123" t="s">
        <v>34</v>
      </c>
    </row>
    <row r="2124" spans="1:17">
      <c r="A2124" t="s">
        <v>2973</v>
      </c>
      <c r="B2124" s="1" t="s">
        <v>388</v>
      </c>
      <c r="C2124" s="1" t="s">
        <v>2752</v>
      </c>
      <c r="D2124" s="1" t="s">
        <v>20</v>
      </c>
      <c r="E2124" t="s">
        <v>2024</v>
      </c>
      <c r="F2124" t="s">
        <v>2025</v>
      </c>
      <c r="G2124" t="s">
        <v>56</v>
      </c>
      <c r="H2124" t="s">
        <v>65</v>
      </c>
      <c r="I2124" t="s">
        <v>94</v>
      </c>
      <c r="J2124">
        <v>3</v>
      </c>
      <c r="K2124">
        <v>899</v>
      </c>
      <c r="L2124">
        <f>Table1[[#This Row],[Quantity]] * Table1[[#This Row],[UnitPrice]]</f>
        <v>2697</v>
      </c>
      <c r="M2124" s="25">
        <v>15</v>
      </c>
      <c r="N2124">
        <f>Table1[[#This Row],[Revenue]]*Table1[[#This Row],[Discount%]]/100</f>
        <v>404.55</v>
      </c>
      <c r="O2124" s="6">
        <f>Table1[[#This Row],[Revenue]]-Table1[[#This Row],[Disc_amount]]</f>
        <v>2292.4499999999998</v>
      </c>
      <c r="P2124" t="s">
        <v>33</v>
      </c>
      <c r="Q2124" t="s">
        <v>27</v>
      </c>
    </row>
    <row r="2125" spans="1:17">
      <c r="A2125" t="s">
        <v>2974</v>
      </c>
      <c r="B2125" s="1" t="s">
        <v>388</v>
      </c>
      <c r="C2125" s="1" t="s">
        <v>2752</v>
      </c>
      <c r="D2125" s="1" t="s">
        <v>20</v>
      </c>
      <c r="E2125" t="s">
        <v>365</v>
      </c>
      <c r="F2125" t="s">
        <v>366</v>
      </c>
      <c r="G2125" t="s">
        <v>45</v>
      </c>
      <c r="H2125" t="s">
        <v>24</v>
      </c>
      <c r="I2125" t="s">
        <v>32</v>
      </c>
      <c r="J2125">
        <v>1</v>
      </c>
      <c r="K2125">
        <v>199</v>
      </c>
      <c r="L2125">
        <f>Table1[[#This Row],[Quantity]] * Table1[[#This Row],[UnitPrice]]</f>
        <v>199</v>
      </c>
      <c r="M2125" s="25">
        <v>30</v>
      </c>
      <c r="N2125">
        <f>Table1[[#This Row],[Revenue]]*Table1[[#This Row],[Discount%]]/100</f>
        <v>59.7</v>
      </c>
      <c r="O2125" s="6">
        <f>Table1[[#This Row],[Revenue]]-Table1[[#This Row],[Disc_amount]]</f>
        <v>139.30000000000001</v>
      </c>
      <c r="P2125" t="s">
        <v>52</v>
      </c>
      <c r="Q2125" t="s">
        <v>27</v>
      </c>
    </row>
    <row r="2126" spans="1:17">
      <c r="A2126" t="s">
        <v>2975</v>
      </c>
      <c r="B2126" s="1" t="s">
        <v>388</v>
      </c>
      <c r="C2126" s="1" t="s">
        <v>2752</v>
      </c>
      <c r="D2126" s="1" t="s">
        <v>20</v>
      </c>
      <c r="E2126" t="s">
        <v>539</v>
      </c>
      <c r="F2126" t="s">
        <v>298</v>
      </c>
      <c r="G2126" t="s">
        <v>23</v>
      </c>
      <c r="H2126" t="s">
        <v>46</v>
      </c>
      <c r="I2126" t="s">
        <v>47</v>
      </c>
      <c r="J2126">
        <v>2</v>
      </c>
      <c r="K2126">
        <v>249</v>
      </c>
      <c r="L2126">
        <f>Table1[[#This Row],[Quantity]] * Table1[[#This Row],[UnitPrice]]</f>
        <v>498</v>
      </c>
      <c r="M2126" s="25">
        <v>30</v>
      </c>
      <c r="N2126">
        <f>Table1[[#This Row],[Revenue]]*Table1[[#This Row],[Discount%]]/100</f>
        <v>149.4</v>
      </c>
      <c r="O2126" s="6">
        <f>Table1[[#This Row],[Revenue]]-Table1[[#This Row],[Disc_amount]]</f>
        <v>348.6</v>
      </c>
      <c r="P2126" t="s">
        <v>33</v>
      </c>
      <c r="Q2126" t="s">
        <v>34</v>
      </c>
    </row>
    <row r="2127" spans="1:17">
      <c r="A2127" t="s">
        <v>2976</v>
      </c>
      <c r="B2127" s="1" t="s">
        <v>388</v>
      </c>
      <c r="C2127" s="1" t="s">
        <v>2752</v>
      </c>
      <c r="D2127" s="1" t="s">
        <v>20</v>
      </c>
      <c r="E2127" t="s">
        <v>114</v>
      </c>
      <c r="F2127" t="s">
        <v>115</v>
      </c>
      <c r="G2127" t="s">
        <v>31</v>
      </c>
      <c r="H2127" t="s">
        <v>39</v>
      </c>
      <c r="I2127" t="s">
        <v>40</v>
      </c>
      <c r="J2127">
        <v>1</v>
      </c>
      <c r="K2127">
        <v>599</v>
      </c>
      <c r="L2127">
        <f>Table1[[#This Row],[Quantity]] * Table1[[#This Row],[UnitPrice]]</f>
        <v>599</v>
      </c>
      <c r="M2127" s="25">
        <v>0</v>
      </c>
      <c r="N2127">
        <f>Table1[[#This Row],[Revenue]]*Table1[[#This Row],[Discount%]]/100</f>
        <v>0</v>
      </c>
      <c r="O2127" s="6">
        <f>Table1[[#This Row],[Revenue]]-Table1[[#This Row],[Disc_amount]]</f>
        <v>599</v>
      </c>
      <c r="P2127" t="s">
        <v>41</v>
      </c>
      <c r="Q2127" t="s">
        <v>27</v>
      </c>
    </row>
    <row r="2128" spans="1:17">
      <c r="A2128" t="s">
        <v>2977</v>
      </c>
      <c r="B2128" s="1" t="s">
        <v>388</v>
      </c>
      <c r="C2128" s="1" t="s">
        <v>2752</v>
      </c>
      <c r="D2128" s="1" t="s">
        <v>20</v>
      </c>
      <c r="E2128" t="s">
        <v>626</v>
      </c>
      <c r="F2128" t="s">
        <v>376</v>
      </c>
      <c r="G2128" t="s">
        <v>45</v>
      </c>
      <c r="H2128" t="s">
        <v>39</v>
      </c>
      <c r="I2128" t="s">
        <v>40</v>
      </c>
      <c r="J2128">
        <v>2</v>
      </c>
      <c r="K2128">
        <v>599</v>
      </c>
      <c r="L2128">
        <f>Table1[[#This Row],[Quantity]] * Table1[[#This Row],[UnitPrice]]</f>
        <v>1198</v>
      </c>
      <c r="M2128" s="25">
        <v>30</v>
      </c>
      <c r="N2128">
        <f>Table1[[#This Row],[Revenue]]*Table1[[#This Row],[Discount%]]/100</f>
        <v>359.4</v>
      </c>
      <c r="O2128" s="6">
        <f>Table1[[#This Row],[Revenue]]-Table1[[#This Row],[Disc_amount]]</f>
        <v>838.6</v>
      </c>
      <c r="P2128" t="s">
        <v>41</v>
      </c>
      <c r="Q2128" t="s">
        <v>27</v>
      </c>
    </row>
    <row r="2129" spans="1:17">
      <c r="A2129" t="s">
        <v>2978</v>
      </c>
      <c r="B2129" s="1" t="s">
        <v>388</v>
      </c>
      <c r="C2129" s="1" t="s">
        <v>2752</v>
      </c>
      <c r="D2129" s="1" t="s">
        <v>20</v>
      </c>
      <c r="E2129" t="s">
        <v>747</v>
      </c>
      <c r="F2129" t="s">
        <v>748</v>
      </c>
      <c r="G2129" t="s">
        <v>38</v>
      </c>
      <c r="H2129" t="s">
        <v>24</v>
      </c>
      <c r="I2129" t="s">
        <v>32</v>
      </c>
      <c r="J2129">
        <v>1</v>
      </c>
      <c r="K2129">
        <v>199</v>
      </c>
      <c r="L2129">
        <f>Table1[[#This Row],[Quantity]] * Table1[[#This Row],[UnitPrice]]</f>
        <v>199</v>
      </c>
      <c r="M2129" s="25">
        <v>5</v>
      </c>
      <c r="N2129">
        <f>Table1[[#This Row],[Revenue]]*Table1[[#This Row],[Discount%]]/100</f>
        <v>9.9499999999999993</v>
      </c>
      <c r="O2129" s="6">
        <f>Table1[[#This Row],[Revenue]]-Table1[[#This Row],[Disc_amount]]</f>
        <v>189.05</v>
      </c>
      <c r="P2129" t="s">
        <v>41</v>
      </c>
      <c r="Q2129" t="s">
        <v>27</v>
      </c>
    </row>
    <row r="2130" spans="1:17">
      <c r="A2130" t="s">
        <v>2979</v>
      </c>
      <c r="B2130" s="1" t="s">
        <v>388</v>
      </c>
      <c r="C2130" s="1" t="s">
        <v>2752</v>
      </c>
      <c r="D2130" s="1" t="s">
        <v>20</v>
      </c>
      <c r="E2130" t="s">
        <v>262</v>
      </c>
      <c r="F2130" t="s">
        <v>77</v>
      </c>
      <c r="G2130" t="s">
        <v>56</v>
      </c>
      <c r="H2130" t="s">
        <v>39</v>
      </c>
      <c r="I2130" t="s">
        <v>140</v>
      </c>
      <c r="J2130">
        <v>4</v>
      </c>
      <c r="K2130">
        <v>1799</v>
      </c>
      <c r="L2130">
        <f>Table1[[#This Row],[Quantity]] * Table1[[#This Row],[UnitPrice]]</f>
        <v>7196</v>
      </c>
      <c r="M2130" s="25">
        <v>0</v>
      </c>
      <c r="N2130">
        <f>Table1[[#This Row],[Revenue]]*Table1[[#This Row],[Discount%]]/100</f>
        <v>0</v>
      </c>
      <c r="O2130" s="6">
        <f>Table1[[#This Row],[Revenue]]-Table1[[#This Row],[Disc_amount]]</f>
        <v>7196</v>
      </c>
      <c r="P2130" t="s">
        <v>26</v>
      </c>
      <c r="Q2130" t="s">
        <v>34</v>
      </c>
    </row>
    <row r="2131" spans="1:17">
      <c r="A2131" t="s">
        <v>2980</v>
      </c>
      <c r="B2131" s="1" t="s">
        <v>399</v>
      </c>
      <c r="C2131" s="1" t="s">
        <v>2752</v>
      </c>
      <c r="D2131" s="1" t="s">
        <v>20</v>
      </c>
      <c r="E2131" t="s">
        <v>1803</v>
      </c>
      <c r="F2131" t="s">
        <v>1463</v>
      </c>
      <c r="G2131" t="s">
        <v>45</v>
      </c>
      <c r="H2131" t="s">
        <v>24</v>
      </c>
      <c r="I2131" t="s">
        <v>25</v>
      </c>
      <c r="J2131">
        <v>1</v>
      </c>
      <c r="K2131">
        <v>99</v>
      </c>
      <c r="L2131">
        <f>Table1[[#This Row],[Quantity]] * Table1[[#This Row],[UnitPrice]]</f>
        <v>99</v>
      </c>
      <c r="M2131" s="25">
        <v>5</v>
      </c>
      <c r="N2131">
        <f>Table1[[#This Row],[Revenue]]*Table1[[#This Row],[Discount%]]/100</f>
        <v>4.95</v>
      </c>
      <c r="O2131" s="6">
        <f>Table1[[#This Row],[Revenue]]-Table1[[#This Row],[Disc_amount]]</f>
        <v>94.05</v>
      </c>
      <c r="P2131" t="s">
        <v>26</v>
      </c>
      <c r="Q2131" t="s">
        <v>34</v>
      </c>
    </row>
    <row r="2132" spans="1:17">
      <c r="A2132" t="s">
        <v>2981</v>
      </c>
      <c r="B2132" s="1" t="s">
        <v>399</v>
      </c>
      <c r="C2132" s="1" t="s">
        <v>2752</v>
      </c>
      <c r="D2132" s="1" t="s">
        <v>20</v>
      </c>
      <c r="E2132" t="s">
        <v>142</v>
      </c>
      <c r="F2132" t="s">
        <v>143</v>
      </c>
      <c r="G2132" t="s">
        <v>45</v>
      </c>
      <c r="H2132" t="s">
        <v>70</v>
      </c>
      <c r="I2132" t="s">
        <v>91</v>
      </c>
      <c r="J2132">
        <v>3</v>
      </c>
      <c r="K2132">
        <v>549</v>
      </c>
      <c r="L2132">
        <f>Table1[[#This Row],[Quantity]] * Table1[[#This Row],[UnitPrice]]</f>
        <v>1647</v>
      </c>
      <c r="M2132" s="25">
        <v>30</v>
      </c>
      <c r="N2132">
        <f>Table1[[#This Row],[Revenue]]*Table1[[#This Row],[Discount%]]/100</f>
        <v>494.1</v>
      </c>
      <c r="O2132" s="6">
        <f>Table1[[#This Row],[Revenue]]-Table1[[#This Row],[Disc_amount]]</f>
        <v>1152.9000000000001</v>
      </c>
      <c r="P2132" t="s">
        <v>86</v>
      </c>
      <c r="Q2132" t="s">
        <v>27</v>
      </c>
    </row>
    <row r="2133" spans="1:17">
      <c r="A2133" t="s">
        <v>2982</v>
      </c>
      <c r="B2133" s="1" t="s">
        <v>399</v>
      </c>
      <c r="C2133" s="1" t="s">
        <v>2752</v>
      </c>
      <c r="D2133" s="1" t="s">
        <v>20</v>
      </c>
      <c r="E2133" t="s">
        <v>1481</v>
      </c>
      <c r="F2133" t="s">
        <v>853</v>
      </c>
      <c r="G2133" t="s">
        <v>45</v>
      </c>
      <c r="H2133" t="s">
        <v>108</v>
      </c>
      <c r="I2133" t="s">
        <v>130</v>
      </c>
      <c r="J2133">
        <v>1</v>
      </c>
      <c r="K2133">
        <v>699</v>
      </c>
      <c r="L2133">
        <f>Table1[[#This Row],[Quantity]] * Table1[[#This Row],[UnitPrice]]</f>
        <v>699</v>
      </c>
      <c r="M2133" s="25">
        <v>5</v>
      </c>
      <c r="N2133">
        <f>Table1[[#This Row],[Revenue]]*Table1[[#This Row],[Discount%]]/100</f>
        <v>34.950000000000003</v>
      </c>
      <c r="O2133" s="6">
        <f>Table1[[#This Row],[Revenue]]-Table1[[#This Row],[Disc_amount]]</f>
        <v>664.05</v>
      </c>
      <c r="P2133" t="s">
        <v>41</v>
      </c>
      <c r="Q2133" t="s">
        <v>27</v>
      </c>
    </row>
    <row r="2134" spans="1:17">
      <c r="A2134" t="s">
        <v>2983</v>
      </c>
      <c r="B2134" s="1" t="s">
        <v>399</v>
      </c>
      <c r="C2134" s="1" t="s">
        <v>2752</v>
      </c>
      <c r="D2134" s="1" t="s">
        <v>20</v>
      </c>
      <c r="E2134" t="s">
        <v>407</v>
      </c>
      <c r="F2134" t="s">
        <v>329</v>
      </c>
      <c r="G2134" t="s">
        <v>56</v>
      </c>
      <c r="H2134" t="s">
        <v>65</v>
      </c>
      <c r="I2134" t="s">
        <v>94</v>
      </c>
      <c r="J2134">
        <v>1</v>
      </c>
      <c r="K2134">
        <v>899</v>
      </c>
      <c r="L2134">
        <f>Table1[[#This Row],[Quantity]] * Table1[[#This Row],[UnitPrice]]</f>
        <v>899</v>
      </c>
      <c r="M2134" s="25">
        <v>15</v>
      </c>
      <c r="N2134">
        <f>Table1[[#This Row],[Revenue]]*Table1[[#This Row],[Discount%]]/100</f>
        <v>134.85</v>
      </c>
      <c r="O2134" s="6">
        <f>Table1[[#This Row],[Revenue]]-Table1[[#This Row],[Disc_amount]]</f>
        <v>764.15</v>
      </c>
      <c r="P2134" t="s">
        <v>41</v>
      </c>
      <c r="Q2134" t="s">
        <v>27</v>
      </c>
    </row>
    <row r="2135" spans="1:17">
      <c r="A2135" t="s">
        <v>2984</v>
      </c>
      <c r="B2135" s="1" t="s">
        <v>399</v>
      </c>
      <c r="C2135" s="1" t="s">
        <v>2752</v>
      </c>
      <c r="D2135" s="1" t="s">
        <v>20</v>
      </c>
      <c r="E2135" t="s">
        <v>952</v>
      </c>
      <c r="F2135" t="s">
        <v>134</v>
      </c>
      <c r="G2135" t="s">
        <v>31</v>
      </c>
      <c r="H2135" t="s">
        <v>70</v>
      </c>
      <c r="I2135" t="s">
        <v>91</v>
      </c>
      <c r="J2135">
        <v>2</v>
      </c>
      <c r="K2135">
        <v>549</v>
      </c>
      <c r="L2135">
        <f>Table1[[#This Row],[Quantity]] * Table1[[#This Row],[UnitPrice]]</f>
        <v>1098</v>
      </c>
      <c r="M2135" s="25">
        <v>15</v>
      </c>
      <c r="N2135">
        <f>Table1[[#This Row],[Revenue]]*Table1[[#This Row],[Discount%]]/100</f>
        <v>164.7</v>
      </c>
      <c r="O2135" s="6">
        <f>Table1[[#This Row],[Revenue]]-Table1[[#This Row],[Disc_amount]]</f>
        <v>933.3</v>
      </c>
      <c r="P2135" t="s">
        <v>52</v>
      </c>
      <c r="Q2135" t="s">
        <v>27</v>
      </c>
    </row>
    <row r="2136" spans="1:17">
      <c r="A2136" t="s">
        <v>2985</v>
      </c>
      <c r="B2136" s="1" t="s">
        <v>399</v>
      </c>
      <c r="C2136" s="1" t="s">
        <v>2752</v>
      </c>
      <c r="D2136" s="1" t="s">
        <v>20</v>
      </c>
      <c r="E2136" t="s">
        <v>36</v>
      </c>
      <c r="F2136" t="s">
        <v>37</v>
      </c>
      <c r="G2136" t="s">
        <v>31</v>
      </c>
      <c r="H2136" t="s">
        <v>108</v>
      </c>
      <c r="I2136" t="s">
        <v>130</v>
      </c>
      <c r="J2136">
        <v>1</v>
      </c>
      <c r="K2136">
        <v>699</v>
      </c>
      <c r="L2136">
        <f>Table1[[#This Row],[Quantity]] * Table1[[#This Row],[UnitPrice]]</f>
        <v>699</v>
      </c>
      <c r="M2136" s="25">
        <v>0</v>
      </c>
      <c r="N2136">
        <f>Table1[[#This Row],[Revenue]]*Table1[[#This Row],[Discount%]]/100</f>
        <v>0</v>
      </c>
      <c r="O2136" s="6">
        <f>Table1[[#This Row],[Revenue]]-Table1[[#This Row],[Disc_amount]]</f>
        <v>699</v>
      </c>
      <c r="P2136" t="s">
        <v>26</v>
      </c>
      <c r="Q2136" t="s">
        <v>27</v>
      </c>
    </row>
    <row r="2137" spans="1:17">
      <c r="A2137" t="s">
        <v>2986</v>
      </c>
      <c r="B2137" s="1" t="s">
        <v>399</v>
      </c>
      <c r="C2137" s="1" t="s">
        <v>2752</v>
      </c>
      <c r="D2137" s="1" t="s">
        <v>20</v>
      </c>
      <c r="E2137" t="s">
        <v>1015</v>
      </c>
      <c r="F2137" t="s">
        <v>123</v>
      </c>
      <c r="G2137" t="s">
        <v>31</v>
      </c>
      <c r="H2137" t="s">
        <v>70</v>
      </c>
      <c r="I2137" t="s">
        <v>71</v>
      </c>
      <c r="J2137">
        <v>1</v>
      </c>
      <c r="K2137">
        <v>349</v>
      </c>
      <c r="L2137">
        <f>Table1[[#This Row],[Quantity]] * Table1[[#This Row],[UnitPrice]]</f>
        <v>349</v>
      </c>
      <c r="M2137" s="25">
        <v>30</v>
      </c>
      <c r="N2137">
        <f>Table1[[#This Row],[Revenue]]*Table1[[#This Row],[Discount%]]/100</f>
        <v>104.7</v>
      </c>
      <c r="O2137" s="6">
        <f>Table1[[#This Row],[Revenue]]-Table1[[#This Row],[Disc_amount]]</f>
        <v>244.3</v>
      </c>
      <c r="P2137" t="s">
        <v>26</v>
      </c>
      <c r="Q2137" t="s">
        <v>27</v>
      </c>
    </row>
    <row r="2138" spans="1:17">
      <c r="A2138" t="s">
        <v>2987</v>
      </c>
      <c r="B2138" s="1" t="s">
        <v>399</v>
      </c>
      <c r="C2138" s="1" t="s">
        <v>2752</v>
      </c>
      <c r="D2138" s="1" t="s">
        <v>20</v>
      </c>
      <c r="E2138" t="s">
        <v>1364</v>
      </c>
      <c r="F2138" t="s">
        <v>326</v>
      </c>
      <c r="G2138" t="s">
        <v>45</v>
      </c>
      <c r="H2138" t="s">
        <v>65</v>
      </c>
      <c r="I2138" t="s">
        <v>98</v>
      </c>
      <c r="J2138">
        <v>2</v>
      </c>
      <c r="K2138">
        <v>499</v>
      </c>
      <c r="L2138">
        <f>Table1[[#This Row],[Quantity]] * Table1[[#This Row],[UnitPrice]]</f>
        <v>998</v>
      </c>
      <c r="M2138" s="25">
        <v>25</v>
      </c>
      <c r="N2138">
        <f>Table1[[#This Row],[Revenue]]*Table1[[#This Row],[Discount%]]/100</f>
        <v>249.5</v>
      </c>
      <c r="O2138" s="6">
        <f>Table1[[#This Row],[Revenue]]-Table1[[#This Row],[Disc_amount]]</f>
        <v>748.5</v>
      </c>
      <c r="P2138" t="s">
        <v>26</v>
      </c>
      <c r="Q2138" t="s">
        <v>34</v>
      </c>
    </row>
    <row r="2139" spans="1:17">
      <c r="A2139" t="s">
        <v>2988</v>
      </c>
      <c r="B2139" s="1" t="s">
        <v>399</v>
      </c>
      <c r="C2139" s="1" t="s">
        <v>2752</v>
      </c>
      <c r="D2139" s="1" t="s">
        <v>20</v>
      </c>
      <c r="E2139" t="s">
        <v>652</v>
      </c>
      <c r="F2139" t="s">
        <v>443</v>
      </c>
      <c r="G2139" t="s">
        <v>31</v>
      </c>
      <c r="H2139" t="s">
        <v>24</v>
      </c>
      <c r="I2139" t="s">
        <v>32</v>
      </c>
      <c r="J2139">
        <v>1</v>
      </c>
      <c r="K2139">
        <v>199</v>
      </c>
      <c r="L2139">
        <f>Table1[[#This Row],[Quantity]] * Table1[[#This Row],[UnitPrice]]</f>
        <v>199</v>
      </c>
      <c r="M2139" s="25">
        <v>0</v>
      </c>
      <c r="N2139">
        <f>Table1[[#This Row],[Revenue]]*Table1[[#This Row],[Discount%]]/100</f>
        <v>0</v>
      </c>
      <c r="O2139" s="6">
        <f>Table1[[#This Row],[Revenue]]-Table1[[#This Row],[Disc_amount]]</f>
        <v>199</v>
      </c>
      <c r="P2139" t="s">
        <v>26</v>
      </c>
      <c r="Q2139" t="s">
        <v>27</v>
      </c>
    </row>
    <row r="2140" spans="1:17">
      <c r="A2140" t="s">
        <v>2989</v>
      </c>
      <c r="B2140" s="1" t="s">
        <v>412</v>
      </c>
      <c r="C2140" s="1" t="s">
        <v>2752</v>
      </c>
      <c r="D2140" s="1" t="s">
        <v>20</v>
      </c>
      <c r="E2140" t="s">
        <v>1101</v>
      </c>
      <c r="F2140" t="s">
        <v>989</v>
      </c>
      <c r="G2140" t="s">
        <v>31</v>
      </c>
      <c r="H2140" t="s">
        <v>108</v>
      </c>
      <c r="I2140" t="s">
        <v>130</v>
      </c>
      <c r="J2140">
        <v>1</v>
      </c>
      <c r="K2140">
        <v>699</v>
      </c>
      <c r="L2140">
        <f>Table1[[#This Row],[Quantity]] * Table1[[#This Row],[UnitPrice]]</f>
        <v>699</v>
      </c>
      <c r="M2140" s="25">
        <v>20</v>
      </c>
      <c r="N2140">
        <f>Table1[[#This Row],[Revenue]]*Table1[[#This Row],[Discount%]]/100</f>
        <v>139.80000000000001</v>
      </c>
      <c r="O2140" s="6">
        <f>Table1[[#This Row],[Revenue]]-Table1[[#This Row],[Disc_amount]]</f>
        <v>559.20000000000005</v>
      </c>
      <c r="P2140" t="s">
        <v>41</v>
      </c>
      <c r="Q2140" t="s">
        <v>27</v>
      </c>
    </row>
    <row r="2141" spans="1:17">
      <c r="A2141" t="s">
        <v>2990</v>
      </c>
      <c r="B2141" s="1" t="s">
        <v>412</v>
      </c>
      <c r="C2141" s="1" t="s">
        <v>2752</v>
      </c>
      <c r="D2141" s="1" t="s">
        <v>20</v>
      </c>
      <c r="E2141" t="s">
        <v>362</v>
      </c>
      <c r="F2141" t="s">
        <v>101</v>
      </c>
      <c r="G2141" t="s">
        <v>31</v>
      </c>
      <c r="H2141" t="s">
        <v>39</v>
      </c>
      <c r="I2141" t="s">
        <v>40</v>
      </c>
      <c r="J2141">
        <v>2</v>
      </c>
      <c r="K2141">
        <v>599</v>
      </c>
      <c r="L2141">
        <f>Table1[[#This Row],[Quantity]] * Table1[[#This Row],[UnitPrice]]</f>
        <v>1198</v>
      </c>
      <c r="M2141" s="25">
        <v>10</v>
      </c>
      <c r="N2141">
        <f>Table1[[#This Row],[Revenue]]*Table1[[#This Row],[Discount%]]/100</f>
        <v>119.8</v>
      </c>
      <c r="O2141" s="6">
        <f>Table1[[#This Row],[Revenue]]-Table1[[#This Row],[Disc_amount]]</f>
        <v>1078.2</v>
      </c>
      <c r="P2141" t="s">
        <v>86</v>
      </c>
      <c r="Q2141" t="s">
        <v>27</v>
      </c>
    </row>
    <row r="2142" spans="1:17">
      <c r="A2142" t="s">
        <v>2991</v>
      </c>
      <c r="B2142" s="1" t="s">
        <v>412</v>
      </c>
      <c r="C2142" s="1" t="s">
        <v>2752</v>
      </c>
      <c r="D2142" s="1" t="s">
        <v>20</v>
      </c>
      <c r="E2142" t="s">
        <v>1658</v>
      </c>
      <c r="F2142" t="s">
        <v>61</v>
      </c>
      <c r="G2142" t="s">
        <v>38</v>
      </c>
      <c r="H2142" t="s">
        <v>57</v>
      </c>
      <c r="I2142" t="s">
        <v>62</v>
      </c>
      <c r="J2142">
        <v>2</v>
      </c>
      <c r="K2142">
        <v>799</v>
      </c>
      <c r="L2142">
        <f>Table1[[#This Row],[Quantity]] * Table1[[#This Row],[UnitPrice]]</f>
        <v>1598</v>
      </c>
      <c r="M2142" s="25">
        <v>15</v>
      </c>
      <c r="N2142">
        <f>Table1[[#This Row],[Revenue]]*Table1[[#This Row],[Discount%]]/100</f>
        <v>239.7</v>
      </c>
      <c r="O2142" s="6">
        <f>Table1[[#This Row],[Revenue]]-Table1[[#This Row],[Disc_amount]]</f>
        <v>1358.3</v>
      </c>
      <c r="P2142" t="s">
        <v>41</v>
      </c>
      <c r="Q2142" t="s">
        <v>27</v>
      </c>
    </row>
    <row r="2143" spans="1:17">
      <c r="A2143" t="s">
        <v>2992</v>
      </c>
      <c r="B2143" s="1" t="s">
        <v>412</v>
      </c>
      <c r="C2143" s="1" t="s">
        <v>2752</v>
      </c>
      <c r="D2143" s="1" t="s">
        <v>20</v>
      </c>
      <c r="E2143" t="s">
        <v>89</v>
      </c>
      <c r="F2143" t="s">
        <v>90</v>
      </c>
      <c r="G2143" t="s">
        <v>45</v>
      </c>
      <c r="H2143" t="s">
        <v>39</v>
      </c>
      <c r="I2143" t="s">
        <v>51</v>
      </c>
      <c r="J2143">
        <v>3</v>
      </c>
      <c r="K2143">
        <v>2999</v>
      </c>
      <c r="L2143">
        <f>Table1[[#This Row],[Quantity]] * Table1[[#This Row],[UnitPrice]]</f>
        <v>8997</v>
      </c>
      <c r="M2143" s="25">
        <v>25</v>
      </c>
      <c r="N2143">
        <f>Table1[[#This Row],[Revenue]]*Table1[[#This Row],[Discount%]]/100</f>
        <v>2249.25</v>
      </c>
      <c r="O2143" s="6">
        <f>Table1[[#This Row],[Revenue]]-Table1[[#This Row],[Disc_amount]]</f>
        <v>6747.75</v>
      </c>
      <c r="P2143" t="s">
        <v>52</v>
      </c>
      <c r="Q2143" t="s">
        <v>34</v>
      </c>
    </row>
    <row r="2144" spans="1:17">
      <c r="A2144" t="s">
        <v>2993</v>
      </c>
      <c r="B2144" s="1" t="s">
        <v>412</v>
      </c>
      <c r="C2144" s="1" t="s">
        <v>2752</v>
      </c>
      <c r="D2144" s="1" t="s">
        <v>20</v>
      </c>
      <c r="E2144" t="s">
        <v>1051</v>
      </c>
      <c r="F2144" t="s">
        <v>462</v>
      </c>
      <c r="G2144" t="s">
        <v>45</v>
      </c>
      <c r="H2144" t="s">
        <v>57</v>
      </c>
      <c r="I2144" t="s">
        <v>58</v>
      </c>
      <c r="J2144">
        <v>1</v>
      </c>
      <c r="K2144">
        <v>1299</v>
      </c>
      <c r="L2144">
        <f>Table1[[#This Row],[Quantity]] * Table1[[#This Row],[UnitPrice]]</f>
        <v>1299</v>
      </c>
      <c r="M2144" s="25">
        <v>25</v>
      </c>
      <c r="N2144">
        <f>Table1[[#This Row],[Revenue]]*Table1[[#This Row],[Discount%]]/100</f>
        <v>324.75</v>
      </c>
      <c r="O2144" s="6">
        <f>Table1[[#This Row],[Revenue]]-Table1[[#This Row],[Disc_amount]]</f>
        <v>974.25</v>
      </c>
      <c r="P2144" t="s">
        <v>33</v>
      </c>
      <c r="Q2144" t="s">
        <v>34</v>
      </c>
    </row>
    <row r="2145" spans="1:17">
      <c r="A2145" t="s">
        <v>2994</v>
      </c>
      <c r="B2145" s="1" t="s">
        <v>412</v>
      </c>
      <c r="C2145" s="1" t="s">
        <v>2752</v>
      </c>
      <c r="D2145" s="1" t="s">
        <v>20</v>
      </c>
      <c r="E2145" t="s">
        <v>1197</v>
      </c>
      <c r="F2145" t="s">
        <v>256</v>
      </c>
      <c r="G2145" t="s">
        <v>45</v>
      </c>
      <c r="H2145" t="s">
        <v>46</v>
      </c>
      <c r="I2145" t="s">
        <v>154</v>
      </c>
      <c r="J2145">
        <v>1</v>
      </c>
      <c r="K2145">
        <v>299</v>
      </c>
      <c r="L2145">
        <f>Table1[[#This Row],[Quantity]] * Table1[[#This Row],[UnitPrice]]</f>
        <v>299</v>
      </c>
      <c r="M2145" s="25">
        <v>0</v>
      </c>
      <c r="N2145">
        <f>Table1[[#This Row],[Revenue]]*Table1[[#This Row],[Discount%]]/100</f>
        <v>0</v>
      </c>
      <c r="O2145" s="6">
        <f>Table1[[#This Row],[Revenue]]-Table1[[#This Row],[Disc_amount]]</f>
        <v>299</v>
      </c>
      <c r="P2145" t="s">
        <v>52</v>
      </c>
      <c r="Q2145" t="s">
        <v>34</v>
      </c>
    </row>
    <row r="2146" spans="1:17">
      <c r="A2146" t="s">
        <v>2995</v>
      </c>
      <c r="B2146" s="1" t="s">
        <v>412</v>
      </c>
      <c r="C2146" s="1" t="s">
        <v>2752</v>
      </c>
      <c r="D2146" s="1" t="s">
        <v>20</v>
      </c>
      <c r="E2146" t="s">
        <v>484</v>
      </c>
      <c r="F2146" t="s">
        <v>485</v>
      </c>
      <c r="G2146" t="s">
        <v>23</v>
      </c>
      <c r="H2146" t="s">
        <v>46</v>
      </c>
      <c r="I2146" t="s">
        <v>47</v>
      </c>
      <c r="J2146">
        <v>1</v>
      </c>
      <c r="K2146">
        <v>249</v>
      </c>
      <c r="L2146">
        <f>Table1[[#This Row],[Quantity]] * Table1[[#This Row],[UnitPrice]]</f>
        <v>249</v>
      </c>
      <c r="M2146" s="25">
        <v>0</v>
      </c>
      <c r="N2146">
        <f>Table1[[#This Row],[Revenue]]*Table1[[#This Row],[Discount%]]/100</f>
        <v>0</v>
      </c>
      <c r="O2146" s="6">
        <f>Table1[[#This Row],[Revenue]]-Table1[[#This Row],[Disc_amount]]</f>
        <v>249</v>
      </c>
      <c r="P2146" t="s">
        <v>41</v>
      </c>
      <c r="Q2146" t="s">
        <v>27</v>
      </c>
    </row>
    <row r="2147" spans="1:17">
      <c r="A2147" t="s">
        <v>2996</v>
      </c>
      <c r="B2147" s="1" t="s">
        <v>412</v>
      </c>
      <c r="C2147" s="1" t="s">
        <v>2752</v>
      </c>
      <c r="D2147" s="1" t="s">
        <v>20</v>
      </c>
      <c r="E2147" t="s">
        <v>334</v>
      </c>
      <c r="F2147" t="s">
        <v>335</v>
      </c>
      <c r="G2147" t="s">
        <v>38</v>
      </c>
      <c r="H2147" t="s">
        <v>57</v>
      </c>
      <c r="I2147" t="s">
        <v>62</v>
      </c>
      <c r="J2147">
        <v>1</v>
      </c>
      <c r="K2147">
        <v>799</v>
      </c>
      <c r="L2147">
        <f>Table1[[#This Row],[Quantity]] * Table1[[#This Row],[UnitPrice]]</f>
        <v>799</v>
      </c>
      <c r="M2147" s="25">
        <v>25</v>
      </c>
      <c r="N2147">
        <f>Table1[[#This Row],[Revenue]]*Table1[[#This Row],[Discount%]]/100</f>
        <v>199.75</v>
      </c>
      <c r="O2147" s="6">
        <f>Table1[[#This Row],[Revenue]]-Table1[[#This Row],[Disc_amount]]</f>
        <v>599.25</v>
      </c>
      <c r="P2147" t="s">
        <v>86</v>
      </c>
      <c r="Q2147" t="s">
        <v>34</v>
      </c>
    </row>
    <row r="2148" spans="1:17">
      <c r="A2148" t="s">
        <v>2997</v>
      </c>
      <c r="B2148" s="1" t="s">
        <v>412</v>
      </c>
      <c r="C2148" s="1" t="s">
        <v>2752</v>
      </c>
      <c r="D2148" s="1" t="s">
        <v>20</v>
      </c>
      <c r="E2148" t="s">
        <v>657</v>
      </c>
      <c r="F2148" t="s">
        <v>147</v>
      </c>
      <c r="G2148" t="s">
        <v>38</v>
      </c>
      <c r="H2148" t="s">
        <v>46</v>
      </c>
      <c r="I2148" t="s">
        <v>154</v>
      </c>
      <c r="J2148">
        <v>1</v>
      </c>
      <c r="K2148">
        <v>299</v>
      </c>
      <c r="L2148">
        <f>Table1[[#This Row],[Quantity]] * Table1[[#This Row],[UnitPrice]]</f>
        <v>299</v>
      </c>
      <c r="M2148" s="25">
        <v>0</v>
      </c>
      <c r="N2148">
        <f>Table1[[#This Row],[Revenue]]*Table1[[#This Row],[Discount%]]/100</f>
        <v>0</v>
      </c>
      <c r="O2148" s="6">
        <f>Table1[[#This Row],[Revenue]]-Table1[[#This Row],[Disc_amount]]</f>
        <v>299</v>
      </c>
      <c r="P2148" t="s">
        <v>86</v>
      </c>
      <c r="Q2148" t="s">
        <v>34</v>
      </c>
    </row>
    <row r="2149" spans="1:17">
      <c r="A2149" t="s">
        <v>2998</v>
      </c>
      <c r="B2149" s="1" t="s">
        <v>412</v>
      </c>
      <c r="C2149" s="1" t="s">
        <v>2752</v>
      </c>
      <c r="D2149" s="1" t="s">
        <v>20</v>
      </c>
      <c r="E2149" t="s">
        <v>344</v>
      </c>
      <c r="F2149" t="s">
        <v>345</v>
      </c>
      <c r="G2149" t="s">
        <v>56</v>
      </c>
      <c r="H2149" t="s">
        <v>24</v>
      </c>
      <c r="I2149" t="s">
        <v>25</v>
      </c>
      <c r="J2149">
        <v>4</v>
      </c>
      <c r="K2149">
        <v>99</v>
      </c>
      <c r="L2149">
        <f>Table1[[#This Row],[Quantity]] * Table1[[#This Row],[UnitPrice]]</f>
        <v>396</v>
      </c>
      <c r="M2149" s="25">
        <v>10</v>
      </c>
      <c r="N2149">
        <f>Table1[[#This Row],[Revenue]]*Table1[[#This Row],[Discount%]]/100</f>
        <v>39.6</v>
      </c>
      <c r="O2149" s="6">
        <f>Table1[[#This Row],[Revenue]]-Table1[[#This Row],[Disc_amount]]</f>
        <v>356.4</v>
      </c>
      <c r="P2149" t="s">
        <v>52</v>
      </c>
      <c r="Q2149" t="s">
        <v>27</v>
      </c>
    </row>
    <row r="2150" spans="1:17">
      <c r="A2150" t="s">
        <v>2999</v>
      </c>
      <c r="B2150" s="1" t="s">
        <v>412</v>
      </c>
      <c r="C2150" s="1" t="s">
        <v>2752</v>
      </c>
      <c r="D2150" s="1" t="s">
        <v>20</v>
      </c>
      <c r="E2150" t="s">
        <v>235</v>
      </c>
      <c r="F2150" t="s">
        <v>236</v>
      </c>
      <c r="G2150" t="s">
        <v>31</v>
      </c>
      <c r="H2150" t="s">
        <v>65</v>
      </c>
      <c r="I2150" t="s">
        <v>66</v>
      </c>
      <c r="J2150">
        <v>1</v>
      </c>
      <c r="K2150">
        <v>1999</v>
      </c>
      <c r="L2150">
        <f>Table1[[#This Row],[Quantity]] * Table1[[#This Row],[UnitPrice]]</f>
        <v>1999</v>
      </c>
      <c r="M2150" s="25">
        <v>30</v>
      </c>
      <c r="N2150">
        <f>Table1[[#This Row],[Revenue]]*Table1[[#This Row],[Discount%]]/100</f>
        <v>599.70000000000005</v>
      </c>
      <c r="O2150" s="6">
        <f>Table1[[#This Row],[Revenue]]-Table1[[#This Row],[Disc_amount]]</f>
        <v>1399.3</v>
      </c>
      <c r="P2150" t="s">
        <v>52</v>
      </c>
      <c r="Q2150" t="s">
        <v>34</v>
      </c>
    </row>
    <row r="2151" spans="1:17">
      <c r="A2151" t="s">
        <v>3000</v>
      </c>
      <c r="B2151" s="1" t="s">
        <v>412</v>
      </c>
      <c r="C2151" s="1" t="s">
        <v>2752</v>
      </c>
      <c r="D2151" s="1" t="s">
        <v>20</v>
      </c>
      <c r="E2151" t="s">
        <v>241</v>
      </c>
      <c r="F2151" t="s">
        <v>242</v>
      </c>
      <c r="G2151" t="s">
        <v>38</v>
      </c>
      <c r="H2151" t="s">
        <v>39</v>
      </c>
      <c r="I2151" t="s">
        <v>40</v>
      </c>
      <c r="J2151">
        <v>1</v>
      </c>
      <c r="K2151">
        <v>599</v>
      </c>
      <c r="L2151">
        <f>Table1[[#This Row],[Quantity]] * Table1[[#This Row],[UnitPrice]]</f>
        <v>599</v>
      </c>
      <c r="M2151" s="25">
        <v>10</v>
      </c>
      <c r="N2151">
        <f>Table1[[#This Row],[Revenue]]*Table1[[#This Row],[Discount%]]/100</f>
        <v>59.9</v>
      </c>
      <c r="O2151" s="6">
        <f>Table1[[#This Row],[Revenue]]-Table1[[#This Row],[Disc_amount]]</f>
        <v>539.1</v>
      </c>
      <c r="P2151" t="s">
        <v>52</v>
      </c>
      <c r="Q2151" t="s">
        <v>27</v>
      </c>
    </row>
    <row r="2152" spans="1:17">
      <c r="A2152" t="s">
        <v>3001</v>
      </c>
      <c r="B2152" s="1" t="s">
        <v>412</v>
      </c>
      <c r="C2152" s="1" t="s">
        <v>2752</v>
      </c>
      <c r="D2152" s="1" t="s">
        <v>20</v>
      </c>
      <c r="E2152" t="s">
        <v>2042</v>
      </c>
      <c r="F2152" t="s">
        <v>160</v>
      </c>
      <c r="G2152" t="s">
        <v>45</v>
      </c>
      <c r="H2152" t="s">
        <v>65</v>
      </c>
      <c r="I2152" t="s">
        <v>66</v>
      </c>
      <c r="J2152">
        <v>4</v>
      </c>
      <c r="K2152">
        <v>1999</v>
      </c>
      <c r="L2152">
        <f>Table1[[#This Row],[Quantity]] * Table1[[#This Row],[UnitPrice]]</f>
        <v>7996</v>
      </c>
      <c r="M2152" s="25">
        <v>5</v>
      </c>
      <c r="N2152">
        <f>Table1[[#This Row],[Revenue]]*Table1[[#This Row],[Discount%]]/100</f>
        <v>399.8</v>
      </c>
      <c r="O2152" s="6">
        <f>Table1[[#This Row],[Revenue]]-Table1[[#This Row],[Disc_amount]]</f>
        <v>7596.2</v>
      </c>
      <c r="P2152" t="s">
        <v>52</v>
      </c>
      <c r="Q2152" t="s">
        <v>34</v>
      </c>
    </row>
    <row r="2153" spans="1:17">
      <c r="A2153" t="s">
        <v>3002</v>
      </c>
      <c r="B2153" s="1" t="s">
        <v>412</v>
      </c>
      <c r="C2153" s="1" t="s">
        <v>2752</v>
      </c>
      <c r="D2153" s="1" t="s">
        <v>20</v>
      </c>
      <c r="E2153" t="s">
        <v>1129</v>
      </c>
      <c r="F2153" t="s">
        <v>345</v>
      </c>
      <c r="G2153" t="s">
        <v>45</v>
      </c>
      <c r="H2153" t="s">
        <v>65</v>
      </c>
      <c r="I2153" t="s">
        <v>94</v>
      </c>
      <c r="J2153">
        <v>4</v>
      </c>
      <c r="K2153">
        <v>899</v>
      </c>
      <c r="L2153">
        <f>Table1[[#This Row],[Quantity]] * Table1[[#This Row],[UnitPrice]]</f>
        <v>3596</v>
      </c>
      <c r="M2153" s="25">
        <v>20</v>
      </c>
      <c r="N2153">
        <f>Table1[[#This Row],[Revenue]]*Table1[[#This Row],[Discount%]]/100</f>
        <v>719.2</v>
      </c>
      <c r="O2153" s="6">
        <f>Table1[[#This Row],[Revenue]]-Table1[[#This Row],[Disc_amount]]</f>
        <v>2876.8</v>
      </c>
      <c r="P2153" t="s">
        <v>26</v>
      </c>
      <c r="Q2153" t="s">
        <v>27</v>
      </c>
    </row>
    <row r="2154" spans="1:17">
      <c r="A2154" t="s">
        <v>3003</v>
      </c>
      <c r="B2154" s="1" t="s">
        <v>412</v>
      </c>
      <c r="C2154" s="1" t="s">
        <v>2752</v>
      </c>
      <c r="D2154" s="1" t="s">
        <v>20</v>
      </c>
      <c r="E2154" t="s">
        <v>677</v>
      </c>
      <c r="F2154" t="s">
        <v>597</v>
      </c>
      <c r="G2154" t="s">
        <v>31</v>
      </c>
      <c r="H2154" t="s">
        <v>70</v>
      </c>
      <c r="I2154" t="s">
        <v>91</v>
      </c>
      <c r="J2154">
        <v>2</v>
      </c>
      <c r="K2154">
        <v>549</v>
      </c>
      <c r="L2154">
        <f>Table1[[#This Row],[Quantity]] * Table1[[#This Row],[UnitPrice]]</f>
        <v>1098</v>
      </c>
      <c r="M2154" s="25">
        <v>15</v>
      </c>
      <c r="N2154">
        <f>Table1[[#This Row],[Revenue]]*Table1[[#This Row],[Discount%]]/100</f>
        <v>164.7</v>
      </c>
      <c r="O2154" s="6">
        <f>Table1[[#This Row],[Revenue]]-Table1[[#This Row],[Disc_amount]]</f>
        <v>933.3</v>
      </c>
      <c r="P2154" t="s">
        <v>41</v>
      </c>
      <c r="Q2154" t="s">
        <v>27</v>
      </c>
    </row>
    <row r="2155" spans="1:17">
      <c r="A2155" t="s">
        <v>3004</v>
      </c>
      <c r="B2155" s="1" t="s">
        <v>427</v>
      </c>
      <c r="C2155" s="1" t="s">
        <v>2752</v>
      </c>
      <c r="D2155" s="1" t="s">
        <v>20</v>
      </c>
      <c r="E2155" t="s">
        <v>178</v>
      </c>
      <c r="F2155" t="s">
        <v>179</v>
      </c>
      <c r="G2155" t="s">
        <v>31</v>
      </c>
      <c r="H2155" t="s">
        <v>65</v>
      </c>
      <c r="I2155" t="s">
        <v>66</v>
      </c>
      <c r="J2155">
        <v>2</v>
      </c>
      <c r="K2155">
        <v>1999</v>
      </c>
      <c r="L2155">
        <f>Table1[[#This Row],[Quantity]] * Table1[[#This Row],[UnitPrice]]</f>
        <v>3998</v>
      </c>
      <c r="M2155" s="25">
        <v>25</v>
      </c>
      <c r="N2155">
        <f>Table1[[#This Row],[Revenue]]*Table1[[#This Row],[Discount%]]/100</f>
        <v>999.5</v>
      </c>
      <c r="O2155" s="6">
        <f>Table1[[#This Row],[Revenue]]-Table1[[#This Row],[Disc_amount]]</f>
        <v>2998.5</v>
      </c>
      <c r="P2155" t="s">
        <v>86</v>
      </c>
      <c r="Q2155" t="s">
        <v>27</v>
      </c>
    </row>
    <row r="2156" spans="1:17">
      <c r="A2156" t="s">
        <v>3005</v>
      </c>
      <c r="B2156" s="1" t="s">
        <v>427</v>
      </c>
      <c r="C2156" s="1" t="s">
        <v>2752</v>
      </c>
      <c r="D2156" s="1" t="s">
        <v>20</v>
      </c>
      <c r="E2156" t="s">
        <v>194</v>
      </c>
      <c r="F2156" t="s">
        <v>195</v>
      </c>
      <c r="G2156" t="s">
        <v>56</v>
      </c>
      <c r="H2156" t="s">
        <v>39</v>
      </c>
      <c r="I2156" t="s">
        <v>51</v>
      </c>
      <c r="J2156">
        <v>1</v>
      </c>
      <c r="K2156">
        <v>2999</v>
      </c>
      <c r="L2156">
        <f>Table1[[#This Row],[Quantity]] * Table1[[#This Row],[UnitPrice]]</f>
        <v>2999</v>
      </c>
      <c r="M2156" s="25">
        <v>15</v>
      </c>
      <c r="N2156">
        <f>Table1[[#This Row],[Revenue]]*Table1[[#This Row],[Discount%]]/100</f>
        <v>449.85</v>
      </c>
      <c r="O2156" s="6">
        <f>Table1[[#This Row],[Revenue]]-Table1[[#This Row],[Disc_amount]]</f>
        <v>2549.15</v>
      </c>
      <c r="P2156" t="s">
        <v>33</v>
      </c>
      <c r="Q2156" t="s">
        <v>34</v>
      </c>
    </row>
    <row r="2157" spans="1:17">
      <c r="A2157" t="s">
        <v>3006</v>
      </c>
      <c r="B2157" s="1" t="s">
        <v>427</v>
      </c>
      <c r="C2157" s="1" t="s">
        <v>2752</v>
      </c>
      <c r="D2157" s="1" t="s">
        <v>20</v>
      </c>
      <c r="E2157" t="s">
        <v>674</v>
      </c>
      <c r="F2157" t="s">
        <v>675</v>
      </c>
      <c r="G2157" t="s">
        <v>45</v>
      </c>
      <c r="H2157" t="s">
        <v>57</v>
      </c>
      <c r="I2157" t="s">
        <v>58</v>
      </c>
      <c r="J2157">
        <v>3</v>
      </c>
      <c r="K2157">
        <v>1299</v>
      </c>
      <c r="L2157">
        <f>Table1[[#This Row],[Quantity]] * Table1[[#This Row],[UnitPrice]]</f>
        <v>3897</v>
      </c>
      <c r="M2157" s="25">
        <v>5</v>
      </c>
      <c r="N2157">
        <f>Table1[[#This Row],[Revenue]]*Table1[[#This Row],[Discount%]]/100</f>
        <v>194.85</v>
      </c>
      <c r="O2157" s="6">
        <f>Table1[[#This Row],[Revenue]]-Table1[[#This Row],[Disc_amount]]</f>
        <v>3702.15</v>
      </c>
      <c r="P2157" t="s">
        <v>33</v>
      </c>
      <c r="Q2157" t="s">
        <v>34</v>
      </c>
    </row>
    <row r="2158" spans="1:17">
      <c r="A2158" t="s">
        <v>3007</v>
      </c>
      <c r="B2158" s="1" t="s">
        <v>427</v>
      </c>
      <c r="C2158" s="1" t="s">
        <v>2752</v>
      </c>
      <c r="D2158" s="1" t="s">
        <v>20</v>
      </c>
      <c r="E2158" t="s">
        <v>328</v>
      </c>
      <c r="F2158" t="s">
        <v>329</v>
      </c>
      <c r="G2158" t="s">
        <v>45</v>
      </c>
      <c r="H2158" t="s">
        <v>57</v>
      </c>
      <c r="I2158" t="s">
        <v>62</v>
      </c>
      <c r="J2158">
        <v>1</v>
      </c>
      <c r="K2158">
        <v>799</v>
      </c>
      <c r="L2158">
        <f>Table1[[#This Row],[Quantity]] * Table1[[#This Row],[UnitPrice]]</f>
        <v>799</v>
      </c>
      <c r="M2158" s="25">
        <v>25</v>
      </c>
      <c r="N2158">
        <f>Table1[[#This Row],[Revenue]]*Table1[[#This Row],[Discount%]]/100</f>
        <v>199.75</v>
      </c>
      <c r="O2158" s="6">
        <f>Table1[[#This Row],[Revenue]]-Table1[[#This Row],[Disc_amount]]</f>
        <v>599.25</v>
      </c>
      <c r="P2158" t="s">
        <v>52</v>
      </c>
      <c r="Q2158" t="s">
        <v>34</v>
      </c>
    </row>
    <row r="2159" spans="1:17">
      <c r="A2159" t="s">
        <v>3008</v>
      </c>
      <c r="B2159" s="1" t="s">
        <v>427</v>
      </c>
      <c r="C2159" s="1" t="s">
        <v>2752</v>
      </c>
      <c r="D2159" s="1" t="s">
        <v>20</v>
      </c>
      <c r="E2159" t="s">
        <v>1085</v>
      </c>
      <c r="F2159" t="s">
        <v>425</v>
      </c>
      <c r="G2159" t="s">
        <v>23</v>
      </c>
      <c r="H2159" t="s">
        <v>108</v>
      </c>
      <c r="I2159" t="s">
        <v>130</v>
      </c>
      <c r="J2159">
        <v>1</v>
      </c>
      <c r="K2159">
        <v>699</v>
      </c>
      <c r="L2159">
        <f>Table1[[#This Row],[Quantity]] * Table1[[#This Row],[UnitPrice]]</f>
        <v>699</v>
      </c>
      <c r="M2159" s="25">
        <v>25</v>
      </c>
      <c r="N2159">
        <f>Table1[[#This Row],[Revenue]]*Table1[[#This Row],[Discount%]]/100</f>
        <v>174.75</v>
      </c>
      <c r="O2159" s="6">
        <f>Table1[[#This Row],[Revenue]]-Table1[[#This Row],[Disc_amount]]</f>
        <v>524.25</v>
      </c>
      <c r="P2159" t="s">
        <v>52</v>
      </c>
      <c r="Q2159" t="s">
        <v>27</v>
      </c>
    </row>
    <row r="2160" spans="1:17">
      <c r="A2160" t="s">
        <v>3009</v>
      </c>
      <c r="B2160" s="1" t="s">
        <v>427</v>
      </c>
      <c r="C2160" s="1" t="s">
        <v>2752</v>
      </c>
      <c r="D2160" s="1" t="s">
        <v>20</v>
      </c>
      <c r="E2160" t="s">
        <v>680</v>
      </c>
      <c r="F2160" t="s">
        <v>22</v>
      </c>
      <c r="G2160" t="s">
        <v>31</v>
      </c>
      <c r="H2160" t="s">
        <v>24</v>
      </c>
      <c r="I2160" t="s">
        <v>32</v>
      </c>
      <c r="J2160">
        <v>1</v>
      </c>
      <c r="K2160">
        <v>199</v>
      </c>
      <c r="L2160">
        <f>Table1[[#This Row],[Quantity]] * Table1[[#This Row],[UnitPrice]]</f>
        <v>199</v>
      </c>
      <c r="M2160" s="25">
        <v>5</v>
      </c>
      <c r="N2160">
        <f>Table1[[#This Row],[Revenue]]*Table1[[#This Row],[Discount%]]/100</f>
        <v>9.9499999999999993</v>
      </c>
      <c r="O2160" s="6">
        <f>Table1[[#This Row],[Revenue]]-Table1[[#This Row],[Disc_amount]]</f>
        <v>189.05</v>
      </c>
      <c r="P2160" t="s">
        <v>86</v>
      </c>
      <c r="Q2160" t="s">
        <v>27</v>
      </c>
    </row>
    <row r="2161" spans="1:17">
      <c r="A2161" t="s">
        <v>3010</v>
      </c>
      <c r="B2161" s="1" t="s">
        <v>427</v>
      </c>
      <c r="C2161" s="1" t="s">
        <v>2752</v>
      </c>
      <c r="D2161" s="1" t="s">
        <v>20</v>
      </c>
      <c r="E2161" t="s">
        <v>979</v>
      </c>
      <c r="F2161" t="s">
        <v>604</v>
      </c>
      <c r="G2161" t="s">
        <v>56</v>
      </c>
      <c r="H2161" t="s">
        <v>65</v>
      </c>
      <c r="I2161" t="s">
        <v>66</v>
      </c>
      <c r="J2161">
        <v>2</v>
      </c>
      <c r="K2161">
        <v>1999</v>
      </c>
      <c r="L2161">
        <f>Table1[[#This Row],[Quantity]] * Table1[[#This Row],[UnitPrice]]</f>
        <v>3998</v>
      </c>
      <c r="M2161" s="25">
        <v>30</v>
      </c>
      <c r="N2161">
        <f>Table1[[#This Row],[Revenue]]*Table1[[#This Row],[Discount%]]/100</f>
        <v>1199.4000000000001</v>
      </c>
      <c r="O2161" s="6">
        <f>Table1[[#This Row],[Revenue]]-Table1[[#This Row],[Disc_amount]]</f>
        <v>2798.6</v>
      </c>
      <c r="P2161" t="s">
        <v>41</v>
      </c>
      <c r="Q2161" t="s">
        <v>27</v>
      </c>
    </row>
    <row r="2162" spans="1:17">
      <c r="A2162" t="s">
        <v>3011</v>
      </c>
      <c r="B2162" s="1" t="s">
        <v>427</v>
      </c>
      <c r="C2162" s="1" t="s">
        <v>2752</v>
      </c>
      <c r="D2162" s="1" t="s">
        <v>20</v>
      </c>
      <c r="E2162" t="s">
        <v>1312</v>
      </c>
      <c r="F2162" t="s">
        <v>465</v>
      </c>
      <c r="G2162" t="s">
        <v>23</v>
      </c>
      <c r="H2162" t="s">
        <v>46</v>
      </c>
      <c r="I2162" t="s">
        <v>154</v>
      </c>
      <c r="J2162">
        <v>2</v>
      </c>
      <c r="K2162">
        <v>299</v>
      </c>
      <c r="L2162">
        <f>Table1[[#This Row],[Quantity]] * Table1[[#This Row],[UnitPrice]]</f>
        <v>598</v>
      </c>
      <c r="M2162" s="25">
        <v>30</v>
      </c>
      <c r="N2162">
        <f>Table1[[#This Row],[Revenue]]*Table1[[#This Row],[Discount%]]/100</f>
        <v>179.4</v>
      </c>
      <c r="O2162" s="6">
        <f>Table1[[#This Row],[Revenue]]-Table1[[#This Row],[Disc_amount]]</f>
        <v>418.6</v>
      </c>
      <c r="P2162" t="s">
        <v>33</v>
      </c>
      <c r="Q2162" t="s">
        <v>34</v>
      </c>
    </row>
    <row r="2163" spans="1:17">
      <c r="A2163" t="s">
        <v>3012</v>
      </c>
      <c r="B2163" s="1" t="s">
        <v>427</v>
      </c>
      <c r="C2163" s="1" t="s">
        <v>2752</v>
      </c>
      <c r="D2163" s="1" t="s">
        <v>20</v>
      </c>
      <c r="E2163" t="s">
        <v>1318</v>
      </c>
      <c r="F2163" t="s">
        <v>470</v>
      </c>
      <c r="G2163" t="s">
        <v>23</v>
      </c>
      <c r="H2163" t="s">
        <v>108</v>
      </c>
      <c r="I2163" t="s">
        <v>130</v>
      </c>
      <c r="J2163">
        <v>1</v>
      </c>
      <c r="K2163">
        <v>699</v>
      </c>
      <c r="L2163">
        <f>Table1[[#This Row],[Quantity]] * Table1[[#This Row],[UnitPrice]]</f>
        <v>699</v>
      </c>
      <c r="M2163" s="25">
        <v>15</v>
      </c>
      <c r="N2163">
        <f>Table1[[#This Row],[Revenue]]*Table1[[#This Row],[Discount%]]/100</f>
        <v>104.85</v>
      </c>
      <c r="O2163" s="6">
        <f>Table1[[#This Row],[Revenue]]-Table1[[#This Row],[Disc_amount]]</f>
        <v>594.15</v>
      </c>
      <c r="P2163" t="s">
        <v>52</v>
      </c>
      <c r="Q2163" t="s">
        <v>27</v>
      </c>
    </row>
    <row r="2164" spans="1:17">
      <c r="A2164" t="s">
        <v>3013</v>
      </c>
      <c r="B2164" s="1" t="s">
        <v>427</v>
      </c>
      <c r="C2164" s="1" t="s">
        <v>2752</v>
      </c>
      <c r="D2164" s="1" t="s">
        <v>20</v>
      </c>
      <c r="E2164" t="s">
        <v>303</v>
      </c>
      <c r="F2164" t="s">
        <v>304</v>
      </c>
      <c r="G2164" t="s">
        <v>23</v>
      </c>
      <c r="H2164" t="s">
        <v>70</v>
      </c>
      <c r="I2164" t="s">
        <v>71</v>
      </c>
      <c r="J2164">
        <v>2</v>
      </c>
      <c r="K2164">
        <v>349</v>
      </c>
      <c r="L2164">
        <f>Table1[[#This Row],[Quantity]] * Table1[[#This Row],[UnitPrice]]</f>
        <v>698</v>
      </c>
      <c r="M2164" s="25">
        <v>15</v>
      </c>
      <c r="N2164">
        <f>Table1[[#This Row],[Revenue]]*Table1[[#This Row],[Discount%]]/100</f>
        <v>104.7</v>
      </c>
      <c r="O2164" s="6">
        <f>Table1[[#This Row],[Revenue]]-Table1[[#This Row],[Disc_amount]]</f>
        <v>593.29999999999995</v>
      </c>
      <c r="P2164" t="s">
        <v>26</v>
      </c>
      <c r="Q2164" t="s">
        <v>34</v>
      </c>
    </row>
    <row r="2165" spans="1:17">
      <c r="A2165" t="s">
        <v>3014</v>
      </c>
      <c r="B2165" s="1" t="s">
        <v>427</v>
      </c>
      <c r="C2165" s="1" t="s">
        <v>2752</v>
      </c>
      <c r="D2165" s="1" t="s">
        <v>20</v>
      </c>
      <c r="E2165" t="s">
        <v>539</v>
      </c>
      <c r="F2165" t="s">
        <v>298</v>
      </c>
      <c r="G2165" t="s">
        <v>31</v>
      </c>
      <c r="H2165" t="s">
        <v>70</v>
      </c>
      <c r="I2165" t="s">
        <v>91</v>
      </c>
      <c r="J2165">
        <v>1</v>
      </c>
      <c r="K2165">
        <v>549</v>
      </c>
      <c r="L2165">
        <f>Table1[[#This Row],[Quantity]] * Table1[[#This Row],[UnitPrice]]</f>
        <v>549</v>
      </c>
      <c r="M2165" s="25">
        <v>30</v>
      </c>
      <c r="N2165">
        <f>Table1[[#This Row],[Revenue]]*Table1[[#This Row],[Discount%]]/100</f>
        <v>164.7</v>
      </c>
      <c r="O2165" s="6">
        <f>Table1[[#This Row],[Revenue]]-Table1[[#This Row],[Disc_amount]]</f>
        <v>384.3</v>
      </c>
      <c r="P2165" t="s">
        <v>86</v>
      </c>
      <c r="Q2165" t="s">
        <v>27</v>
      </c>
    </row>
    <row r="2166" spans="1:17">
      <c r="A2166" t="s">
        <v>3015</v>
      </c>
      <c r="B2166" s="1" t="s">
        <v>427</v>
      </c>
      <c r="C2166" s="1" t="s">
        <v>2752</v>
      </c>
      <c r="D2166" s="1" t="s">
        <v>20</v>
      </c>
      <c r="E2166" t="s">
        <v>1420</v>
      </c>
      <c r="F2166" t="s">
        <v>1396</v>
      </c>
      <c r="G2166" t="s">
        <v>38</v>
      </c>
      <c r="H2166" t="s">
        <v>39</v>
      </c>
      <c r="I2166" t="s">
        <v>140</v>
      </c>
      <c r="J2166">
        <v>1</v>
      </c>
      <c r="K2166">
        <v>1799</v>
      </c>
      <c r="L2166">
        <f>Table1[[#This Row],[Quantity]] * Table1[[#This Row],[UnitPrice]]</f>
        <v>1799</v>
      </c>
      <c r="M2166" s="25">
        <v>10</v>
      </c>
      <c r="N2166">
        <f>Table1[[#This Row],[Revenue]]*Table1[[#This Row],[Discount%]]/100</f>
        <v>179.9</v>
      </c>
      <c r="O2166" s="6">
        <f>Table1[[#This Row],[Revenue]]-Table1[[#This Row],[Disc_amount]]</f>
        <v>1619.1</v>
      </c>
      <c r="P2166" t="s">
        <v>52</v>
      </c>
      <c r="Q2166" t="s">
        <v>27</v>
      </c>
    </row>
    <row r="2167" spans="1:17">
      <c r="A2167" t="s">
        <v>3016</v>
      </c>
      <c r="B2167" s="1" t="s">
        <v>427</v>
      </c>
      <c r="C2167" s="1" t="s">
        <v>2752</v>
      </c>
      <c r="D2167" s="1" t="s">
        <v>20</v>
      </c>
      <c r="E2167" t="s">
        <v>979</v>
      </c>
      <c r="F2167" t="s">
        <v>604</v>
      </c>
      <c r="G2167" t="s">
        <v>31</v>
      </c>
      <c r="H2167" t="s">
        <v>65</v>
      </c>
      <c r="I2167" t="s">
        <v>98</v>
      </c>
      <c r="J2167">
        <v>5</v>
      </c>
      <c r="K2167">
        <v>499</v>
      </c>
      <c r="L2167">
        <f>Table1[[#This Row],[Quantity]] * Table1[[#This Row],[UnitPrice]]</f>
        <v>2495</v>
      </c>
      <c r="M2167" s="25">
        <v>5</v>
      </c>
      <c r="N2167">
        <f>Table1[[#This Row],[Revenue]]*Table1[[#This Row],[Discount%]]/100</f>
        <v>124.75</v>
      </c>
      <c r="O2167" s="6">
        <f>Table1[[#This Row],[Revenue]]-Table1[[#This Row],[Disc_amount]]</f>
        <v>2370.25</v>
      </c>
      <c r="P2167" t="s">
        <v>26</v>
      </c>
      <c r="Q2167" t="s">
        <v>34</v>
      </c>
    </row>
    <row r="2168" spans="1:17">
      <c r="A2168" t="s">
        <v>3017</v>
      </c>
      <c r="B2168" s="1" t="s">
        <v>427</v>
      </c>
      <c r="C2168" s="1" t="s">
        <v>2752</v>
      </c>
      <c r="D2168" s="1" t="s">
        <v>20</v>
      </c>
      <c r="E2168" t="s">
        <v>1129</v>
      </c>
      <c r="F2168" t="s">
        <v>345</v>
      </c>
      <c r="G2168" t="s">
        <v>23</v>
      </c>
      <c r="H2168" t="s">
        <v>46</v>
      </c>
      <c r="I2168" t="s">
        <v>154</v>
      </c>
      <c r="J2168">
        <v>1</v>
      </c>
      <c r="K2168">
        <v>299</v>
      </c>
      <c r="L2168">
        <f>Table1[[#This Row],[Quantity]] * Table1[[#This Row],[UnitPrice]]</f>
        <v>299</v>
      </c>
      <c r="M2168" s="25">
        <v>30</v>
      </c>
      <c r="N2168">
        <f>Table1[[#This Row],[Revenue]]*Table1[[#This Row],[Discount%]]/100</f>
        <v>89.7</v>
      </c>
      <c r="O2168" s="6">
        <f>Table1[[#This Row],[Revenue]]-Table1[[#This Row],[Disc_amount]]</f>
        <v>209.3</v>
      </c>
      <c r="P2168" t="s">
        <v>33</v>
      </c>
      <c r="Q2168" t="s">
        <v>34</v>
      </c>
    </row>
    <row r="2169" spans="1:17">
      <c r="A2169" t="s">
        <v>3018</v>
      </c>
      <c r="B2169" s="1" t="s">
        <v>427</v>
      </c>
      <c r="C2169" s="1" t="s">
        <v>2752</v>
      </c>
      <c r="D2169" s="1" t="s">
        <v>20</v>
      </c>
      <c r="E2169" t="s">
        <v>835</v>
      </c>
      <c r="F2169" t="s">
        <v>836</v>
      </c>
      <c r="G2169" t="s">
        <v>56</v>
      </c>
      <c r="H2169" t="s">
        <v>39</v>
      </c>
      <c r="I2169" t="s">
        <v>40</v>
      </c>
      <c r="J2169">
        <v>1</v>
      </c>
      <c r="K2169">
        <v>599</v>
      </c>
      <c r="L2169">
        <f>Table1[[#This Row],[Quantity]] * Table1[[#This Row],[UnitPrice]]</f>
        <v>599</v>
      </c>
      <c r="M2169" s="25">
        <v>10</v>
      </c>
      <c r="N2169">
        <f>Table1[[#This Row],[Revenue]]*Table1[[#This Row],[Discount%]]/100</f>
        <v>59.9</v>
      </c>
      <c r="O2169" s="6">
        <f>Table1[[#This Row],[Revenue]]-Table1[[#This Row],[Disc_amount]]</f>
        <v>539.1</v>
      </c>
      <c r="P2169" t="s">
        <v>86</v>
      </c>
      <c r="Q2169" t="s">
        <v>27</v>
      </c>
    </row>
    <row r="2170" spans="1:17">
      <c r="A2170" t="s">
        <v>3019</v>
      </c>
      <c r="B2170" s="1" t="s">
        <v>445</v>
      </c>
      <c r="C2170" s="1" t="s">
        <v>2752</v>
      </c>
      <c r="D2170" s="1" t="s">
        <v>20</v>
      </c>
      <c r="E2170" t="s">
        <v>222</v>
      </c>
      <c r="F2170" t="s">
        <v>166</v>
      </c>
      <c r="G2170" t="s">
        <v>38</v>
      </c>
      <c r="H2170" t="s">
        <v>65</v>
      </c>
      <c r="I2170" t="s">
        <v>66</v>
      </c>
      <c r="J2170">
        <v>1</v>
      </c>
      <c r="K2170">
        <v>1999</v>
      </c>
      <c r="L2170">
        <f>Table1[[#This Row],[Quantity]] * Table1[[#This Row],[UnitPrice]]</f>
        <v>1999</v>
      </c>
      <c r="M2170" s="25">
        <v>25</v>
      </c>
      <c r="N2170">
        <f>Table1[[#This Row],[Revenue]]*Table1[[#This Row],[Discount%]]/100</f>
        <v>499.75</v>
      </c>
      <c r="O2170" s="6">
        <f>Table1[[#This Row],[Revenue]]-Table1[[#This Row],[Disc_amount]]</f>
        <v>1499.25</v>
      </c>
      <c r="P2170" t="s">
        <v>86</v>
      </c>
      <c r="Q2170" t="s">
        <v>27</v>
      </c>
    </row>
    <row r="2171" spans="1:17">
      <c r="A2171" t="s">
        <v>3020</v>
      </c>
      <c r="B2171" s="1" t="s">
        <v>445</v>
      </c>
      <c r="C2171" s="1" t="s">
        <v>2752</v>
      </c>
      <c r="D2171" s="1" t="s">
        <v>20</v>
      </c>
      <c r="E2171" t="s">
        <v>561</v>
      </c>
      <c r="F2171" t="s">
        <v>562</v>
      </c>
      <c r="G2171" t="s">
        <v>23</v>
      </c>
      <c r="H2171" t="s">
        <v>24</v>
      </c>
      <c r="I2171" t="s">
        <v>25</v>
      </c>
      <c r="J2171">
        <v>1</v>
      </c>
      <c r="K2171">
        <v>99</v>
      </c>
      <c r="L2171">
        <f>Table1[[#This Row],[Quantity]] * Table1[[#This Row],[UnitPrice]]</f>
        <v>99</v>
      </c>
      <c r="M2171" s="25">
        <v>0</v>
      </c>
      <c r="N2171">
        <f>Table1[[#This Row],[Revenue]]*Table1[[#This Row],[Discount%]]/100</f>
        <v>0</v>
      </c>
      <c r="O2171" s="6">
        <f>Table1[[#This Row],[Revenue]]-Table1[[#This Row],[Disc_amount]]</f>
        <v>99</v>
      </c>
      <c r="P2171" t="s">
        <v>26</v>
      </c>
      <c r="Q2171" t="s">
        <v>27</v>
      </c>
    </row>
    <row r="2172" spans="1:17">
      <c r="A2172" t="s">
        <v>3021</v>
      </c>
      <c r="B2172" s="1" t="s">
        <v>445</v>
      </c>
      <c r="C2172" s="1" t="s">
        <v>2752</v>
      </c>
      <c r="D2172" s="1" t="s">
        <v>20</v>
      </c>
      <c r="E2172" t="s">
        <v>733</v>
      </c>
      <c r="F2172" t="s">
        <v>734</v>
      </c>
      <c r="G2172" t="s">
        <v>45</v>
      </c>
      <c r="H2172" t="s">
        <v>39</v>
      </c>
      <c r="I2172" t="s">
        <v>40</v>
      </c>
      <c r="J2172">
        <v>1</v>
      </c>
      <c r="K2172">
        <v>599</v>
      </c>
      <c r="L2172">
        <f>Table1[[#This Row],[Quantity]] * Table1[[#This Row],[UnitPrice]]</f>
        <v>599</v>
      </c>
      <c r="M2172" s="25">
        <v>15</v>
      </c>
      <c r="N2172">
        <f>Table1[[#This Row],[Revenue]]*Table1[[#This Row],[Discount%]]/100</f>
        <v>89.85</v>
      </c>
      <c r="O2172" s="6">
        <f>Table1[[#This Row],[Revenue]]-Table1[[#This Row],[Disc_amount]]</f>
        <v>509.15</v>
      </c>
      <c r="P2172" t="s">
        <v>33</v>
      </c>
      <c r="Q2172" t="s">
        <v>27</v>
      </c>
    </row>
    <row r="2173" spans="1:17">
      <c r="A2173" t="s">
        <v>3022</v>
      </c>
      <c r="B2173" s="1" t="s">
        <v>445</v>
      </c>
      <c r="C2173" s="1" t="s">
        <v>2752</v>
      </c>
      <c r="D2173" s="1" t="s">
        <v>20</v>
      </c>
      <c r="E2173" t="s">
        <v>172</v>
      </c>
      <c r="F2173" t="s">
        <v>173</v>
      </c>
      <c r="G2173" t="s">
        <v>56</v>
      </c>
      <c r="H2173" t="s">
        <v>39</v>
      </c>
      <c r="I2173" t="s">
        <v>51</v>
      </c>
      <c r="J2173">
        <v>5</v>
      </c>
      <c r="K2173">
        <v>2999</v>
      </c>
      <c r="L2173">
        <f>Table1[[#This Row],[Quantity]] * Table1[[#This Row],[UnitPrice]]</f>
        <v>14995</v>
      </c>
      <c r="M2173" s="25">
        <v>10</v>
      </c>
      <c r="N2173">
        <f>Table1[[#This Row],[Revenue]]*Table1[[#This Row],[Discount%]]/100</f>
        <v>1499.5</v>
      </c>
      <c r="O2173" s="6">
        <f>Table1[[#This Row],[Revenue]]-Table1[[#This Row],[Disc_amount]]</f>
        <v>13495.5</v>
      </c>
      <c r="P2173" t="s">
        <v>41</v>
      </c>
      <c r="Q2173" t="s">
        <v>34</v>
      </c>
    </row>
    <row r="2174" spans="1:17">
      <c r="A2174" t="s">
        <v>3023</v>
      </c>
      <c r="B2174" s="1" t="s">
        <v>445</v>
      </c>
      <c r="C2174" s="1" t="s">
        <v>2752</v>
      </c>
      <c r="D2174" s="1" t="s">
        <v>20</v>
      </c>
      <c r="E2174" t="s">
        <v>1001</v>
      </c>
      <c r="F2174" t="s">
        <v>90</v>
      </c>
      <c r="G2174" t="s">
        <v>56</v>
      </c>
      <c r="H2174" t="s">
        <v>24</v>
      </c>
      <c r="I2174" t="s">
        <v>25</v>
      </c>
      <c r="J2174">
        <v>2</v>
      </c>
      <c r="K2174">
        <v>99</v>
      </c>
      <c r="L2174">
        <f>Table1[[#This Row],[Quantity]] * Table1[[#This Row],[UnitPrice]]</f>
        <v>198</v>
      </c>
      <c r="M2174" s="25">
        <v>15</v>
      </c>
      <c r="N2174">
        <f>Table1[[#This Row],[Revenue]]*Table1[[#This Row],[Discount%]]/100</f>
        <v>29.7</v>
      </c>
      <c r="O2174" s="6">
        <f>Table1[[#This Row],[Revenue]]-Table1[[#This Row],[Disc_amount]]</f>
        <v>168.3</v>
      </c>
      <c r="P2174" t="s">
        <v>26</v>
      </c>
      <c r="Q2174" t="s">
        <v>34</v>
      </c>
    </row>
    <row r="2175" spans="1:17">
      <c r="A2175" t="s">
        <v>3024</v>
      </c>
      <c r="B2175" s="1" t="s">
        <v>445</v>
      </c>
      <c r="C2175" s="1" t="s">
        <v>2752</v>
      </c>
      <c r="D2175" s="1" t="s">
        <v>20</v>
      </c>
      <c r="E2175" t="s">
        <v>899</v>
      </c>
      <c r="F2175" t="s">
        <v>900</v>
      </c>
      <c r="G2175" t="s">
        <v>23</v>
      </c>
      <c r="H2175" t="s">
        <v>39</v>
      </c>
      <c r="I2175" t="s">
        <v>140</v>
      </c>
      <c r="J2175">
        <v>1</v>
      </c>
      <c r="K2175">
        <v>1799</v>
      </c>
      <c r="L2175">
        <f>Table1[[#This Row],[Quantity]] * Table1[[#This Row],[UnitPrice]]</f>
        <v>1799</v>
      </c>
      <c r="M2175" s="25">
        <v>5</v>
      </c>
      <c r="N2175">
        <f>Table1[[#This Row],[Revenue]]*Table1[[#This Row],[Discount%]]/100</f>
        <v>89.95</v>
      </c>
      <c r="O2175" s="6">
        <f>Table1[[#This Row],[Revenue]]-Table1[[#This Row],[Disc_amount]]</f>
        <v>1709.05</v>
      </c>
      <c r="P2175" t="s">
        <v>41</v>
      </c>
      <c r="Q2175" t="s">
        <v>34</v>
      </c>
    </row>
    <row r="2176" spans="1:17">
      <c r="A2176" t="s">
        <v>3025</v>
      </c>
      <c r="B2176" s="1" t="s">
        <v>445</v>
      </c>
      <c r="C2176" s="1" t="s">
        <v>2752</v>
      </c>
      <c r="D2176" s="1" t="s">
        <v>20</v>
      </c>
      <c r="E2176" t="s">
        <v>2865</v>
      </c>
      <c r="F2176" t="s">
        <v>209</v>
      </c>
      <c r="G2176" t="s">
        <v>31</v>
      </c>
      <c r="H2176" t="s">
        <v>57</v>
      </c>
      <c r="I2176" t="s">
        <v>62</v>
      </c>
      <c r="J2176">
        <v>1</v>
      </c>
      <c r="K2176">
        <v>799</v>
      </c>
      <c r="L2176">
        <f>Table1[[#This Row],[Quantity]] * Table1[[#This Row],[UnitPrice]]</f>
        <v>799</v>
      </c>
      <c r="M2176" s="25">
        <v>30</v>
      </c>
      <c r="N2176">
        <f>Table1[[#This Row],[Revenue]]*Table1[[#This Row],[Discount%]]/100</f>
        <v>239.7</v>
      </c>
      <c r="O2176" s="6">
        <f>Table1[[#This Row],[Revenue]]-Table1[[#This Row],[Disc_amount]]</f>
        <v>559.29999999999995</v>
      </c>
      <c r="P2176" t="s">
        <v>33</v>
      </c>
      <c r="Q2176" t="s">
        <v>34</v>
      </c>
    </row>
    <row r="2177" spans="1:17">
      <c r="A2177" t="s">
        <v>3026</v>
      </c>
      <c r="B2177" s="1" t="s">
        <v>445</v>
      </c>
      <c r="C2177" s="1" t="s">
        <v>2752</v>
      </c>
      <c r="D2177" s="1" t="s">
        <v>20</v>
      </c>
      <c r="E2177" t="s">
        <v>793</v>
      </c>
      <c r="F2177" t="s">
        <v>129</v>
      </c>
      <c r="G2177" t="s">
        <v>38</v>
      </c>
      <c r="H2177" t="s">
        <v>108</v>
      </c>
      <c r="I2177" t="s">
        <v>130</v>
      </c>
      <c r="J2177">
        <v>1</v>
      </c>
      <c r="K2177">
        <v>699</v>
      </c>
      <c r="L2177">
        <f>Table1[[#This Row],[Quantity]] * Table1[[#This Row],[UnitPrice]]</f>
        <v>699</v>
      </c>
      <c r="M2177" s="25">
        <v>0</v>
      </c>
      <c r="N2177">
        <f>Table1[[#This Row],[Revenue]]*Table1[[#This Row],[Discount%]]/100</f>
        <v>0</v>
      </c>
      <c r="O2177" s="6">
        <f>Table1[[#This Row],[Revenue]]-Table1[[#This Row],[Disc_amount]]</f>
        <v>699</v>
      </c>
      <c r="P2177" t="s">
        <v>26</v>
      </c>
      <c r="Q2177" t="s">
        <v>34</v>
      </c>
    </row>
    <row r="2178" spans="1:17">
      <c r="A2178" t="s">
        <v>3027</v>
      </c>
      <c r="B2178" s="1" t="s">
        <v>445</v>
      </c>
      <c r="C2178" s="1" t="s">
        <v>2752</v>
      </c>
      <c r="D2178" s="1" t="s">
        <v>20</v>
      </c>
      <c r="E2178" t="s">
        <v>1861</v>
      </c>
      <c r="F2178" t="s">
        <v>1862</v>
      </c>
      <c r="G2178" t="s">
        <v>38</v>
      </c>
      <c r="H2178" t="s">
        <v>65</v>
      </c>
      <c r="I2178" t="s">
        <v>66</v>
      </c>
      <c r="J2178">
        <v>1</v>
      </c>
      <c r="K2178">
        <v>1999</v>
      </c>
      <c r="L2178">
        <f>Table1[[#This Row],[Quantity]] * Table1[[#This Row],[UnitPrice]]</f>
        <v>1999</v>
      </c>
      <c r="M2178" s="25">
        <v>0</v>
      </c>
      <c r="N2178">
        <f>Table1[[#This Row],[Revenue]]*Table1[[#This Row],[Discount%]]/100</f>
        <v>0</v>
      </c>
      <c r="O2178" s="6">
        <f>Table1[[#This Row],[Revenue]]-Table1[[#This Row],[Disc_amount]]</f>
        <v>1999</v>
      </c>
      <c r="P2178" t="s">
        <v>33</v>
      </c>
      <c r="Q2178" t="s">
        <v>34</v>
      </c>
    </row>
    <row r="2179" spans="1:17">
      <c r="A2179" t="s">
        <v>3028</v>
      </c>
      <c r="B2179" s="1" t="s">
        <v>445</v>
      </c>
      <c r="C2179" s="1" t="s">
        <v>2752</v>
      </c>
      <c r="D2179" s="1" t="s">
        <v>20</v>
      </c>
      <c r="E2179" t="s">
        <v>843</v>
      </c>
      <c r="F2179" t="s">
        <v>501</v>
      </c>
      <c r="G2179" t="s">
        <v>45</v>
      </c>
      <c r="H2179" t="s">
        <v>39</v>
      </c>
      <c r="I2179" t="s">
        <v>51</v>
      </c>
      <c r="J2179">
        <v>1</v>
      </c>
      <c r="K2179">
        <v>2999</v>
      </c>
      <c r="L2179">
        <f>Table1[[#This Row],[Quantity]] * Table1[[#This Row],[UnitPrice]]</f>
        <v>2999</v>
      </c>
      <c r="M2179" s="25">
        <v>20</v>
      </c>
      <c r="N2179">
        <f>Table1[[#This Row],[Revenue]]*Table1[[#This Row],[Discount%]]/100</f>
        <v>599.79999999999995</v>
      </c>
      <c r="O2179" s="6">
        <f>Table1[[#This Row],[Revenue]]-Table1[[#This Row],[Disc_amount]]</f>
        <v>2399.1999999999998</v>
      </c>
      <c r="P2179" t="s">
        <v>86</v>
      </c>
      <c r="Q2179" t="s">
        <v>27</v>
      </c>
    </row>
    <row r="2180" spans="1:17">
      <c r="A2180" t="s">
        <v>3029</v>
      </c>
      <c r="B2180" s="1" t="s">
        <v>445</v>
      </c>
      <c r="C2180" s="1" t="s">
        <v>2752</v>
      </c>
      <c r="D2180" s="1" t="s">
        <v>20</v>
      </c>
      <c r="E2180" t="s">
        <v>82</v>
      </c>
      <c r="F2180" t="s">
        <v>83</v>
      </c>
      <c r="G2180" t="s">
        <v>23</v>
      </c>
      <c r="H2180" t="s">
        <v>39</v>
      </c>
      <c r="I2180" t="s">
        <v>140</v>
      </c>
      <c r="J2180">
        <v>2</v>
      </c>
      <c r="K2180">
        <v>1799</v>
      </c>
      <c r="L2180">
        <f>Table1[[#This Row],[Quantity]] * Table1[[#This Row],[UnitPrice]]</f>
        <v>3598</v>
      </c>
      <c r="M2180" s="25">
        <v>25</v>
      </c>
      <c r="N2180">
        <f>Table1[[#This Row],[Revenue]]*Table1[[#This Row],[Discount%]]/100</f>
        <v>899.5</v>
      </c>
      <c r="O2180" s="6">
        <f>Table1[[#This Row],[Revenue]]-Table1[[#This Row],[Disc_amount]]</f>
        <v>2698.5</v>
      </c>
      <c r="P2180" t="s">
        <v>41</v>
      </c>
      <c r="Q2180" t="s">
        <v>27</v>
      </c>
    </row>
    <row r="2181" spans="1:17">
      <c r="A2181" t="s">
        <v>3030</v>
      </c>
      <c r="B2181" s="1" t="s">
        <v>459</v>
      </c>
      <c r="C2181" s="1" t="s">
        <v>2752</v>
      </c>
      <c r="D2181" s="1" t="s">
        <v>20</v>
      </c>
      <c r="E2181" t="s">
        <v>472</v>
      </c>
      <c r="F2181" t="s">
        <v>473</v>
      </c>
      <c r="G2181" t="s">
        <v>31</v>
      </c>
      <c r="H2181" t="s">
        <v>24</v>
      </c>
      <c r="I2181" t="s">
        <v>32</v>
      </c>
      <c r="J2181">
        <v>1</v>
      </c>
      <c r="K2181">
        <v>199</v>
      </c>
      <c r="L2181">
        <f>Table1[[#This Row],[Quantity]] * Table1[[#This Row],[UnitPrice]]</f>
        <v>199</v>
      </c>
      <c r="M2181" s="25">
        <v>30</v>
      </c>
      <c r="N2181">
        <f>Table1[[#This Row],[Revenue]]*Table1[[#This Row],[Discount%]]/100</f>
        <v>59.7</v>
      </c>
      <c r="O2181" s="6">
        <f>Table1[[#This Row],[Revenue]]-Table1[[#This Row],[Disc_amount]]</f>
        <v>139.30000000000001</v>
      </c>
      <c r="P2181" t="s">
        <v>33</v>
      </c>
      <c r="Q2181" t="s">
        <v>27</v>
      </c>
    </row>
    <row r="2182" spans="1:17">
      <c r="A2182" t="s">
        <v>3031</v>
      </c>
      <c r="B2182" s="1" t="s">
        <v>459</v>
      </c>
      <c r="C2182" s="1" t="s">
        <v>2752</v>
      </c>
      <c r="D2182" s="1" t="s">
        <v>20</v>
      </c>
      <c r="E2182" t="s">
        <v>1165</v>
      </c>
      <c r="F2182" t="s">
        <v>272</v>
      </c>
      <c r="G2182" t="s">
        <v>56</v>
      </c>
      <c r="H2182" t="s">
        <v>65</v>
      </c>
      <c r="I2182" t="s">
        <v>66</v>
      </c>
      <c r="J2182">
        <v>1</v>
      </c>
      <c r="K2182">
        <v>1999</v>
      </c>
      <c r="L2182">
        <f>Table1[[#This Row],[Quantity]] * Table1[[#This Row],[UnitPrice]]</f>
        <v>1999</v>
      </c>
      <c r="M2182" s="25">
        <v>30</v>
      </c>
      <c r="N2182">
        <f>Table1[[#This Row],[Revenue]]*Table1[[#This Row],[Discount%]]/100</f>
        <v>599.70000000000005</v>
      </c>
      <c r="O2182" s="6">
        <f>Table1[[#This Row],[Revenue]]-Table1[[#This Row],[Disc_amount]]</f>
        <v>1399.3</v>
      </c>
      <c r="P2182" t="s">
        <v>33</v>
      </c>
      <c r="Q2182" t="s">
        <v>27</v>
      </c>
    </row>
    <row r="2183" spans="1:17">
      <c r="A2183" t="s">
        <v>3032</v>
      </c>
      <c r="B2183" s="1" t="s">
        <v>459</v>
      </c>
      <c r="C2183" s="1" t="s">
        <v>2752</v>
      </c>
      <c r="D2183" s="1" t="s">
        <v>20</v>
      </c>
      <c r="E2183" t="s">
        <v>409</v>
      </c>
      <c r="F2183" t="s">
        <v>410</v>
      </c>
      <c r="G2183" t="s">
        <v>31</v>
      </c>
      <c r="H2183" t="s">
        <v>108</v>
      </c>
      <c r="I2183" t="s">
        <v>130</v>
      </c>
      <c r="J2183">
        <v>2</v>
      </c>
      <c r="K2183">
        <v>699</v>
      </c>
      <c r="L2183">
        <f>Table1[[#This Row],[Quantity]] * Table1[[#This Row],[UnitPrice]]</f>
        <v>1398</v>
      </c>
      <c r="M2183" s="25">
        <v>15</v>
      </c>
      <c r="N2183">
        <f>Table1[[#This Row],[Revenue]]*Table1[[#This Row],[Discount%]]/100</f>
        <v>209.7</v>
      </c>
      <c r="O2183" s="6">
        <f>Table1[[#This Row],[Revenue]]-Table1[[#This Row],[Disc_amount]]</f>
        <v>1188.3</v>
      </c>
      <c r="P2183" t="s">
        <v>33</v>
      </c>
      <c r="Q2183" t="s">
        <v>27</v>
      </c>
    </row>
    <row r="2184" spans="1:17">
      <c r="A2184" t="s">
        <v>3033</v>
      </c>
      <c r="B2184" s="1" t="s">
        <v>459</v>
      </c>
      <c r="C2184" s="1" t="s">
        <v>2752</v>
      </c>
      <c r="D2184" s="1" t="s">
        <v>20</v>
      </c>
      <c r="E2184" t="s">
        <v>146</v>
      </c>
      <c r="F2184" t="s">
        <v>147</v>
      </c>
      <c r="G2184" t="s">
        <v>23</v>
      </c>
      <c r="H2184" t="s">
        <v>24</v>
      </c>
      <c r="I2184" t="s">
        <v>32</v>
      </c>
      <c r="J2184">
        <v>1</v>
      </c>
      <c r="K2184">
        <v>199</v>
      </c>
      <c r="L2184">
        <f>Table1[[#This Row],[Quantity]] * Table1[[#This Row],[UnitPrice]]</f>
        <v>199</v>
      </c>
      <c r="M2184" s="25">
        <v>5</v>
      </c>
      <c r="N2184">
        <f>Table1[[#This Row],[Revenue]]*Table1[[#This Row],[Discount%]]/100</f>
        <v>9.9499999999999993</v>
      </c>
      <c r="O2184" s="6">
        <f>Table1[[#This Row],[Revenue]]-Table1[[#This Row],[Disc_amount]]</f>
        <v>189.05</v>
      </c>
      <c r="P2184" t="s">
        <v>33</v>
      </c>
      <c r="Q2184" t="s">
        <v>27</v>
      </c>
    </row>
    <row r="2185" spans="1:17">
      <c r="A2185" t="s">
        <v>3034</v>
      </c>
      <c r="B2185" s="1" t="s">
        <v>459</v>
      </c>
      <c r="C2185" s="1" t="s">
        <v>2752</v>
      </c>
      <c r="D2185" s="1" t="s">
        <v>20</v>
      </c>
      <c r="E2185" t="s">
        <v>1279</v>
      </c>
      <c r="F2185" t="s">
        <v>355</v>
      </c>
      <c r="G2185" t="s">
        <v>31</v>
      </c>
      <c r="H2185" t="s">
        <v>57</v>
      </c>
      <c r="I2185" t="s">
        <v>62</v>
      </c>
      <c r="J2185">
        <v>4</v>
      </c>
      <c r="K2185">
        <v>799</v>
      </c>
      <c r="L2185">
        <f>Table1[[#This Row],[Quantity]] * Table1[[#This Row],[UnitPrice]]</f>
        <v>3196</v>
      </c>
      <c r="M2185" s="25">
        <v>5</v>
      </c>
      <c r="N2185">
        <f>Table1[[#This Row],[Revenue]]*Table1[[#This Row],[Discount%]]/100</f>
        <v>159.80000000000001</v>
      </c>
      <c r="O2185" s="6">
        <f>Table1[[#This Row],[Revenue]]-Table1[[#This Row],[Disc_amount]]</f>
        <v>3036.2</v>
      </c>
      <c r="P2185" t="s">
        <v>86</v>
      </c>
      <c r="Q2185" t="s">
        <v>27</v>
      </c>
    </row>
    <row r="2186" spans="1:17">
      <c r="A2186" t="s">
        <v>3035</v>
      </c>
      <c r="B2186" s="1" t="s">
        <v>459</v>
      </c>
      <c r="C2186" s="1" t="s">
        <v>2752</v>
      </c>
      <c r="D2186" s="1" t="s">
        <v>20</v>
      </c>
      <c r="E2186" t="s">
        <v>1355</v>
      </c>
      <c r="F2186" t="s">
        <v>265</v>
      </c>
      <c r="G2186" t="s">
        <v>45</v>
      </c>
      <c r="H2186" t="s">
        <v>108</v>
      </c>
      <c r="I2186" t="s">
        <v>130</v>
      </c>
      <c r="J2186">
        <v>1</v>
      </c>
      <c r="K2186">
        <v>699</v>
      </c>
      <c r="L2186">
        <f>Table1[[#This Row],[Quantity]] * Table1[[#This Row],[UnitPrice]]</f>
        <v>699</v>
      </c>
      <c r="M2186" s="25">
        <v>10</v>
      </c>
      <c r="N2186">
        <f>Table1[[#This Row],[Revenue]]*Table1[[#This Row],[Discount%]]/100</f>
        <v>69.900000000000006</v>
      </c>
      <c r="O2186" s="6">
        <f>Table1[[#This Row],[Revenue]]-Table1[[#This Row],[Disc_amount]]</f>
        <v>629.1</v>
      </c>
      <c r="P2186" t="s">
        <v>41</v>
      </c>
      <c r="Q2186" t="s">
        <v>27</v>
      </c>
    </row>
    <row r="2187" spans="1:17">
      <c r="A2187" t="s">
        <v>3036</v>
      </c>
      <c r="B2187" s="1" t="s">
        <v>459</v>
      </c>
      <c r="C2187" s="1" t="s">
        <v>2752</v>
      </c>
      <c r="D2187" s="1" t="s">
        <v>20</v>
      </c>
      <c r="E2187" t="s">
        <v>461</v>
      </c>
      <c r="F2187" t="s">
        <v>462</v>
      </c>
      <c r="G2187" t="s">
        <v>45</v>
      </c>
      <c r="H2187" t="s">
        <v>65</v>
      </c>
      <c r="I2187" t="s">
        <v>94</v>
      </c>
      <c r="J2187">
        <v>1</v>
      </c>
      <c r="K2187">
        <v>899</v>
      </c>
      <c r="L2187">
        <f>Table1[[#This Row],[Quantity]] * Table1[[#This Row],[UnitPrice]]</f>
        <v>899</v>
      </c>
      <c r="M2187" s="25">
        <v>30</v>
      </c>
      <c r="N2187">
        <f>Table1[[#This Row],[Revenue]]*Table1[[#This Row],[Discount%]]/100</f>
        <v>269.7</v>
      </c>
      <c r="O2187" s="6">
        <f>Table1[[#This Row],[Revenue]]-Table1[[#This Row],[Disc_amount]]</f>
        <v>629.29999999999995</v>
      </c>
      <c r="P2187" t="s">
        <v>26</v>
      </c>
      <c r="Q2187" t="s">
        <v>27</v>
      </c>
    </row>
    <row r="2188" spans="1:17">
      <c r="A2188" t="s">
        <v>3037</v>
      </c>
      <c r="B2188" s="1" t="s">
        <v>459</v>
      </c>
      <c r="C2188" s="1" t="s">
        <v>2752</v>
      </c>
      <c r="D2188" s="1" t="s">
        <v>20</v>
      </c>
      <c r="E2188" t="s">
        <v>936</v>
      </c>
      <c r="F2188" t="s">
        <v>229</v>
      </c>
      <c r="G2188" t="s">
        <v>45</v>
      </c>
      <c r="H2188" t="s">
        <v>24</v>
      </c>
      <c r="I2188" t="s">
        <v>25</v>
      </c>
      <c r="J2188">
        <v>2</v>
      </c>
      <c r="K2188">
        <v>99</v>
      </c>
      <c r="L2188">
        <f>Table1[[#This Row],[Quantity]] * Table1[[#This Row],[UnitPrice]]</f>
        <v>198</v>
      </c>
      <c r="M2188" s="25">
        <v>20</v>
      </c>
      <c r="N2188">
        <f>Table1[[#This Row],[Revenue]]*Table1[[#This Row],[Discount%]]/100</f>
        <v>39.6</v>
      </c>
      <c r="O2188" s="6">
        <f>Table1[[#This Row],[Revenue]]-Table1[[#This Row],[Disc_amount]]</f>
        <v>158.4</v>
      </c>
      <c r="P2188" t="s">
        <v>33</v>
      </c>
      <c r="Q2188" t="s">
        <v>27</v>
      </c>
    </row>
    <row r="2189" spans="1:17">
      <c r="A2189" t="s">
        <v>3038</v>
      </c>
      <c r="B2189" s="1" t="s">
        <v>459</v>
      </c>
      <c r="C2189" s="1" t="s">
        <v>2752</v>
      </c>
      <c r="D2189" s="1" t="s">
        <v>20</v>
      </c>
      <c r="E2189" t="s">
        <v>1064</v>
      </c>
      <c r="F2189" t="s">
        <v>183</v>
      </c>
      <c r="G2189" t="s">
        <v>31</v>
      </c>
      <c r="H2189" t="s">
        <v>46</v>
      </c>
      <c r="I2189" t="s">
        <v>47</v>
      </c>
      <c r="J2189">
        <v>1</v>
      </c>
      <c r="K2189">
        <v>249</v>
      </c>
      <c r="L2189">
        <f>Table1[[#This Row],[Quantity]] * Table1[[#This Row],[UnitPrice]]</f>
        <v>249</v>
      </c>
      <c r="M2189" s="25">
        <v>20</v>
      </c>
      <c r="N2189">
        <f>Table1[[#This Row],[Revenue]]*Table1[[#This Row],[Discount%]]/100</f>
        <v>49.8</v>
      </c>
      <c r="O2189" s="6">
        <f>Table1[[#This Row],[Revenue]]-Table1[[#This Row],[Disc_amount]]</f>
        <v>199.2</v>
      </c>
      <c r="P2189" t="s">
        <v>26</v>
      </c>
      <c r="Q2189" t="s">
        <v>34</v>
      </c>
    </row>
    <row r="2190" spans="1:17">
      <c r="A2190" t="s">
        <v>3039</v>
      </c>
      <c r="B2190" s="1" t="s">
        <v>459</v>
      </c>
      <c r="C2190" s="1" t="s">
        <v>2752</v>
      </c>
      <c r="D2190" s="1" t="s">
        <v>20</v>
      </c>
      <c r="E2190" t="s">
        <v>21</v>
      </c>
      <c r="F2190" t="s">
        <v>22</v>
      </c>
      <c r="G2190" t="s">
        <v>23</v>
      </c>
      <c r="H2190" t="s">
        <v>70</v>
      </c>
      <c r="I2190" t="s">
        <v>91</v>
      </c>
      <c r="J2190">
        <v>2</v>
      </c>
      <c r="K2190">
        <v>549</v>
      </c>
      <c r="L2190">
        <f>Table1[[#This Row],[Quantity]] * Table1[[#This Row],[UnitPrice]]</f>
        <v>1098</v>
      </c>
      <c r="M2190" s="25">
        <v>5</v>
      </c>
      <c r="N2190">
        <f>Table1[[#This Row],[Revenue]]*Table1[[#This Row],[Discount%]]/100</f>
        <v>54.9</v>
      </c>
      <c r="O2190" s="6">
        <f>Table1[[#This Row],[Revenue]]-Table1[[#This Row],[Disc_amount]]</f>
        <v>1043.0999999999999</v>
      </c>
      <c r="P2190" t="s">
        <v>26</v>
      </c>
      <c r="Q2190" t="s">
        <v>27</v>
      </c>
    </row>
    <row r="2191" spans="1:17">
      <c r="A2191" t="s">
        <v>3040</v>
      </c>
      <c r="B2191" s="1" t="s">
        <v>459</v>
      </c>
      <c r="C2191" s="1" t="s">
        <v>2752</v>
      </c>
      <c r="D2191" s="1" t="s">
        <v>20</v>
      </c>
      <c r="E2191" t="s">
        <v>418</v>
      </c>
      <c r="F2191" t="s">
        <v>147</v>
      </c>
      <c r="G2191" t="s">
        <v>23</v>
      </c>
      <c r="H2191" t="s">
        <v>65</v>
      </c>
      <c r="I2191" t="s">
        <v>94</v>
      </c>
      <c r="J2191">
        <v>1</v>
      </c>
      <c r="K2191">
        <v>899</v>
      </c>
      <c r="L2191">
        <f>Table1[[#This Row],[Quantity]] * Table1[[#This Row],[UnitPrice]]</f>
        <v>899</v>
      </c>
      <c r="M2191" s="25">
        <v>10</v>
      </c>
      <c r="N2191">
        <f>Table1[[#This Row],[Revenue]]*Table1[[#This Row],[Discount%]]/100</f>
        <v>89.9</v>
      </c>
      <c r="O2191" s="6">
        <f>Table1[[#This Row],[Revenue]]-Table1[[#This Row],[Disc_amount]]</f>
        <v>809.1</v>
      </c>
      <c r="P2191" t="s">
        <v>86</v>
      </c>
      <c r="Q2191" t="s">
        <v>27</v>
      </c>
    </row>
    <row r="2192" spans="1:17">
      <c r="A2192" t="s">
        <v>3041</v>
      </c>
      <c r="B2192" s="1" t="s">
        <v>482</v>
      </c>
      <c r="C2192" s="1" t="s">
        <v>2752</v>
      </c>
      <c r="D2192" s="1" t="s">
        <v>20</v>
      </c>
      <c r="E2192" t="s">
        <v>943</v>
      </c>
      <c r="F2192" t="s">
        <v>944</v>
      </c>
      <c r="G2192" t="s">
        <v>56</v>
      </c>
      <c r="H2192" t="s">
        <v>65</v>
      </c>
      <c r="I2192" t="s">
        <v>98</v>
      </c>
      <c r="J2192">
        <v>2</v>
      </c>
      <c r="K2192">
        <v>499</v>
      </c>
      <c r="L2192">
        <f>Table1[[#This Row],[Quantity]] * Table1[[#This Row],[UnitPrice]]</f>
        <v>998</v>
      </c>
      <c r="M2192" s="25">
        <v>15</v>
      </c>
      <c r="N2192">
        <f>Table1[[#This Row],[Revenue]]*Table1[[#This Row],[Discount%]]/100</f>
        <v>149.69999999999999</v>
      </c>
      <c r="O2192" s="6">
        <f>Table1[[#This Row],[Revenue]]-Table1[[#This Row],[Disc_amount]]</f>
        <v>848.3</v>
      </c>
      <c r="P2192" t="s">
        <v>52</v>
      </c>
      <c r="Q2192" t="s">
        <v>34</v>
      </c>
    </row>
    <row r="2193" spans="1:17">
      <c r="A2193" t="s">
        <v>3042</v>
      </c>
      <c r="B2193" s="1" t="s">
        <v>482</v>
      </c>
      <c r="C2193" s="1" t="s">
        <v>2752</v>
      </c>
      <c r="D2193" s="1" t="s">
        <v>20</v>
      </c>
      <c r="E2193" t="s">
        <v>959</v>
      </c>
      <c r="F2193" t="s">
        <v>960</v>
      </c>
      <c r="G2193" t="s">
        <v>38</v>
      </c>
      <c r="H2193" t="s">
        <v>46</v>
      </c>
      <c r="I2193" t="s">
        <v>47</v>
      </c>
      <c r="J2193">
        <v>1</v>
      </c>
      <c r="K2193">
        <v>249</v>
      </c>
      <c r="L2193">
        <f>Table1[[#This Row],[Quantity]] * Table1[[#This Row],[UnitPrice]]</f>
        <v>249</v>
      </c>
      <c r="M2193" s="25">
        <v>0</v>
      </c>
      <c r="N2193">
        <f>Table1[[#This Row],[Revenue]]*Table1[[#This Row],[Discount%]]/100</f>
        <v>0</v>
      </c>
      <c r="O2193" s="6">
        <f>Table1[[#This Row],[Revenue]]-Table1[[#This Row],[Disc_amount]]</f>
        <v>249</v>
      </c>
      <c r="P2193" t="s">
        <v>26</v>
      </c>
      <c r="Q2193" t="s">
        <v>27</v>
      </c>
    </row>
    <row r="2194" spans="1:17">
      <c r="A2194" t="s">
        <v>3043</v>
      </c>
      <c r="B2194" s="1" t="s">
        <v>482</v>
      </c>
      <c r="C2194" s="1" t="s">
        <v>2752</v>
      </c>
      <c r="D2194" s="1" t="s">
        <v>20</v>
      </c>
      <c r="E2194" t="s">
        <v>424</v>
      </c>
      <c r="F2194" t="s">
        <v>425</v>
      </c>
      <c r="G2194" t="s">
        <v>56</v>
      </c>
      <c r="H2194" t="s">
        <v>65</v>
      </c>
      <c r="I2194" t="s">
        <v>94</v>
      </c>
      <c r="J2194">
        <v>1</v>
      </c>
      <c r="K2194">
        <v>899</v>
      </c>
      <c r="L2194">
        <f>Table1[[#This Row],[Quantity]] * Table1[[#This Row],[UnitPrice]]</f>
        <v>899</v>
      </c>
      <c r="M2194" s="25">
        <v>25</v>
      </c>
      <c r="N2194">
        <f>Table1[[#This Row],[Revenue]]*Table1[[#This Row],[Discount%]]/100</f>
        <v>224.75</v>
      </c>
      <c r="O2194" s="6">
        <f>Table1[[#This Row],[Revenue]]-Table1[[#This Row],[Disc_amount]]</f>
        <v>674.25</v>
      </c>
      <c r="P2194" t="s">
        <v>41</v>
      </c>
      <c r="Q2194" t="s">
        <v>27</v>
      </c>
    </row>
    <row r="2195" spans="1:17">
      <c r="A2195" t="s">
        <v>3044</v>
      </c>
      <c r="B2195" s="1" t="s">
        <v>482</v>
      </c>
      <c r="C2195" s="1" t="s">
        <v>2752</v>
      </c>
      <c r="D2195" s="1" t="s">
        <v>20</v>
      </c>
      <c r="E2195" t="s">
        <v>282</v>
      </c>
      <c r="F2195" t="s">
        <v>283</v>
      </c>
      <c r="G2195" t="s">
        <v>31</v>
      </c>
      <c r="H2195" t="s">
        <v>46</v>
      </c>
      <c r="I2195" t="s">
        <v>154</v>
      </c>
      <c r="J2195">
        <v>2</v>
      </c>
      <c r="K2195">
        <v>299</v>
      </c>
      <c r="L2195">
        <f>Table1[[#This Row],[Quantity]] * Table1[[#This Row],[UnitPrice]]</f>
        <v>598</v>
      </c>
      <c r="M2195" s="25">
        <v>5</v>
      </c>
      <c r="N2195">
        <f>Table1[[#This Row],[Revenue]]*Table1[[#This Row],[Discount%]]/100</f>
        <v>29.9</v>
      </c>
      <c r="O2195" s="6">
        <f>Table1[[#This Row],[Revenue]]-Table1[[#This Row],[Disc_amount]]</f>
        <v>568.1</v>
      </c>
      <c r="P2195" t="s">
        <v>33</v>
      </c>
      <c r="Q2195" t="s">
        <v>27</v>
      </c>
    </row>
    <row r="2196" spans="1:17">
      <c r="A2196" t="s">
        <v>3045</v>
      </c>
      <c r="B2196" s="1" t="s">
        <v>487</v>
      </c>
      <c r="C2196" s="1" t="s">
        <v>2752</v>
      </c>
      <c r="D2196" s="1" t="s">
        <v>20</v>
      </c>
      <c r="E2196" t="s">
        <v>693</v>
      </c>
      <c r="F2196" t="s">
        <v>694</v>
      </c>
      <c r="G2196" t="s">
        <v>23</v>
      </c>
      <c r="H2196" t="s">
        <v>70</v>
      </c>
      <c r="I2196" t="s">
        <v>91</v>
      </c>
      <c r="J2196">
        <v>1</v>
      </c>
      <c r="K2196">
        <v>549</v>
      </c>
      <c r="L2196">
        <f>Table1[[#This Row],[Quantity]] * Table1[[#This Row],[UnitPrice]]</f>
        <v>549</v>
      </c>
      <c r="M2196" s="25">
        <v>0</v>
      </c>
      <c r="N2196">
        <f>Table1[[#This Row],[Revenue]]*Table1[[#This Row],[Discount%]]/100</f>
        <v>0</v>
      </c>
      <c r="O2196" s="6">
        <f>Table1[[#This Row],[Revenue]]-Table1[[#This Row],[Disc_amount]]</f>
        <v>549</v>
      </c>
      <c r="P2196" t="s">
        <v>26</v>
      </c>
      <c r="Q2196" t="s">
        <v>27</v>
      </c>
    </row>
    <row r="2197" spans="1:17">
      <c r="A2197" t="s">
        <v>3046</v>
      </c>
      <c r="B2197" s="1" t="s">
        <v>487</v>
      </c>
      <c r="C2197" s="1" t="s">
        <v>2752</v>
      </c>
      <c r="D2197" s="1" t="s">
        <v>20</v>
      </c>
      <c r="E2197" t="s">
        <v>594</v>
      </c>
      <c r="F2197" t="s">
        <v>546</v>
      </c>
      <c r="G2197" t="s">
        <v>31</v>
      </c>
      <c r="H2197" t="s">
        <v>57</v>
      </c>
      <c r="I2197" t="s">
        <v>62</v>
      </c>
      <c r="J2197">
        <v>2</v>
      </c>
      <c r="K2197">
        <v>799</v>
      </c>
      <c r="L2197">
        <f>Table1[[#This Row],[Quantity]] * Table1[[#This Row],[UnitPrice]]</f>
        <v>1598</v>
      </c>
      <c r="M2197" s="25">
        <v>25</v>
      </c>
      <c r="N2197">
        <f>Table1[[#This Row],[Revenue]]*Table1[[#This Row],[Discount%]]/100</f>
        <v>399.5</v>
      </c>
      <c r="O2197" s="6">
        <f>Table1[[#This Row],[Revenue]]-Table1[[#This Row],[Disc_amount]]</f>
        <v>1198.5</v>
      </c>
      <c r="P2197" t="s">
        <v>26</v>
      </c>
      <c r="Q2197" t="s">
        <v>34</v>
      </c>
    </row>
    <row r="2198" spans="1:17">
      <c r="A2198" t="s">
        <v>3047</v>
      </c>
      <c r="B2198" s="1" t="s">
        <v>487</v>
      </c>
      <c r="C2198" s="1" t="s">
        <v>2752</v>
      </c>
      <c r="D2198" s="1" t="s">
        <v>20</v>
      </c>
      <c r="E2198" t="s">
        <v>1434</v>
      </c>
      <c r="F2198" t="s">
        <v>326</v>
      </c>
      <c r="G2198" t="s">
        <v>31</v>
      </c>
      <c r="H2198" t="s">
        <v>24</v>
      </c>
      <c r="I2198" t="s">
        <v>32</v>
      </c>
      <c r="J2198">
        <v>2</v>
      </c>
      <c r="K2198">
        <v>199</v>
      </c>
      <c r="L2198">
        <f>Table1[[#This Row],[Quantity]] * Table1[[#This Row],[UnitPrice]]</f>
        <v>398</v>
      </c>
      <c r="M2198" s="25">
        <v>10</v>
      </c>
      <c r="N2198">
        <f>Table1[[#This Row],[Revenue]]*Table1[[#This Row],[Discount%]]/100</f>
        <v>39.799999999999997</v>
      </c>
      <c r="O2198" s="6">
        <f>Table1[[#This Row],[Revenue]]-Table1[[#This Row],[Disc_amount]]</f>
        <v>358.2</v>
      </c>
      <c r="P2198" t="s">
        <v>33</v>
      </c>
      <c r="Q2198" t="s">
        <v>27</v>
      </c>
    </row>
    <row r="2199" spans="1:17">
      <c r="A2199" t="s">
        <v>3048</v>
      </c>
      <c r="B2199" s="1" t="s">
        <v>487</v>
      </c>
      <c r="C2199" s="1" t="s">
        <v>2752</v>
      </c>
      <c r="D2199" s="1" t="s">
        <v>20</v>
      </c>
      <c r="E2199" t="s">
        <v>875</v>
      </c>
      <c r="F2199" t="s">
        <v>876</v>
      </c>
      <c r="G2199" t="s">
        <v>56</v>
      </c>
      <c r="H2199" t="s">
        <v>65</v>
      </c>
      <c r="I2199" t="s">
        <v>98</v>
      </c>
      <c r="J2199">
        <v>3</v>
      </c>
      <c r="K2199">
        <v>499</v>
      </c>
      <c r="L2199">
        <f>Table1[[#This Row],[Quantity]] * Table1[[#This Row],[UnitPrice]]</f>
        <v>1497</v>
      </c>
      <c r="M2199" s="25">
        <v>30</v>
      </c>
      <c r="N2199">
        <f>Table1[[#This Row],[Revenue]]*Table1[[#This Row],[Discount%]]/100</f>
        <v>449.1</v>
      </c>
      <c r="O2199" s="6">
        <f>Table1[[#This Row],[Revenue]]-Table1[[#This Row],[Disc_amount]]</f>
        <v>1047.9000000000001</v>
      </c>
      <c r="P2199" t="s">
        <v>33</v>
      </c>
      <c r="Q2199" t="s">
        <v>34</v>
      </c>
    </row>
    <row r="2200" spans="1:17">
      <c r="A2200" t="s">
        <v>3049</v>
      </c>
      <c r="B2200" s="1" t="s">
        <v>487</v>
      </c>
      <c r="C2200" s="1" t="s">
        <v>2752</v>
      </c>
      <c r="D2200" s="1" t="s">
        <v>20</v>
      </c>
      <c r="E2200" t="s">
        <v>915</v>
      </c>
      <c r="F2200" t="s">
        <v>345</v>
      </c>
      <c r="G2200" t="s">
        <v>56</v>
      </c>
      <c r="H2200" t="s">
        <v>57</v>
      </c>
      <c r="I2200" t="s">
        <v>58</v>
      </c>
      <c r="J2200">
        <v>1</v>
      </c>
      <c r="K2200">
        <v>1299</v>
      </c>
      <c r="L2200">
        <f>Table1[[#This Row],[Quantity]] * Table1[[#This Row],[UnitPrice]]</f>
        <v>1299</v>
      </c>
      <c r="M2200" s="25">
        <v>10</v>
      </c>
      <c r="N2200">
        <f>Table1[[#This Row],[Revenue]]*Table1[[#This Row],[Discount%]]/100</f>
        <v>129.9</v>
      </c>
      <c r="O2200" s="6">
        <f>Table1[[#This Row],[Revenue]]-Table1[[#This Row],[Disc_amount]]</f>
        <v>1169.0999999999999</v>
      </c>
      <c r="P2200" t="s">
        <v>52</v>
      </c>
      <c r="Q2200" t="s">
        <v>27</v>
      </c>
    </row>
    <row r="2201" spans="1:17">
      <c r="A2201" t="s">
        <v>3050</v>
      </c>
      <c r="B2201" s="1" t="s">
        <v>487</v>
      </c>
      <c r="C2201" s="1" t="s">
        <v>2752</v>
      </c>
      <c r="D2201" s="1" t="s">
        <v>20</v>
      </c>
      <c r="E2201" t="s">
        <v>583</v>
      </c>
      <c r="F2201" t="s">
        <v>584</v>
      </c>
      <c r="G2201" t="s">
        <v>31</v>
      </c>
      <c r="H2201" t="s">
        <v>70</v>
      </c>
      <c r="I2201" t="s">
        <v>91</v>
      </c>
      <c r="J2201">
        <v>3</v>
      </c>
      <c r="K2201">
        <v>549</v>
      </c>
      <c r="L2201">
        <f>Table1[[#This Row],[Quantity]] * Table1[[#This Row],[UnitPrice]]</f>
        <v>1647</v>
      </c>
      <c r="M2201" s="25">
        <v>5</v>
      </c>
      <c r="N2201">
        <f>Table1[[#This Row],[Revenue]]*Table1[[#This Row],[Discount%]]/100</f>
        <v>82.35</v>
      </c>
      <c r="O2201" s="6">
        <f>Table1[[#This Row],[Revenue]]-Table1[[#This Row],[Disc_amount]]</f>
        <v>1564.65</v>
      </c>
      <c r="P2201" t="s">
        <v>41</v>
      </c>
      <c r="Q2201" t="s">
        <v>34</v>
      </c>
    </row>
    <row r="2202" spans="1:17">
      <c r="A2202" t="s">
        <v>3051</v>
      </c>
      <c r="B2202" s="1" t="s">
        <v>487</v>
      </c>
      <c r="C2202" s="1" t="s">
        <v>2752</v>
      </c>
      <c r="D2202" s="1" t="s">
        <v>20</v>
      </c>
      <c r="E2202" t="s">
        <v>766</v>
      </c>
      <c r="F2202" t="s">
        <v>767</v>
      </c>
      <c r="G2202" t="s">
        <v>31</v>
      </c>
      <c r="H2202" t="s">
        <v>70</v>
      </c>
      <c r="I2202" t="s">
        <v>71</v>
      </c>
      <c r="J2202">
        <v>2</v>
      </c>
      <c r="K2202">
        <v>349</v>
      </c>
      <c r="L2202">
        <f>Table1[[#This Row],[Quantity]] * Table1[[#This Row],[UnitPrice]]</f>
        <v>698</v>
      </c>
      <c r="M2202" s="25">
        <v>10</v>
      </c>
      <c r="N2202">
        <f>Table1[[#This Row],[Revenue]]*Table1[[#This Row],[Discount%]]/100</f>
        <v>69.8</v>
      </c>
      <c r="O2202" s="6">
        <f>Table1[[#This Row],[Revenue]]-Table1[[#This Row],[Disc_amount]]</f>
        <v>628.20000000000005</v>
      </c>
      <c r="P2202" t="s">
        <v>41</v>
      </c>
      <c r="Q2202" t="s">
        <v>34</v>
      </c>
    </row>
    <row r="2203" spans="1:17">
      <c r="A2203" t="s">
        <v>3052</v>
      </c>
      <c r="B2203" s="1" t="s">
        <v>487</v>
      </c>
      <c r="C2203" s="1" t="s">
        <v>2752</v>
      </c>
      <c r="D2203" s="1" t="s">
        <v>20</v>
      </c>
      <c r="E2203" t="s">
        <v>705</v>
      </c>
      <c r="F2203" t="s">
        <v>501</v>
      </c>
      <c r="G2203" t="s">
        <v>31</v>
      </c>
      <c r="H2203" t="s">
        <v>39</v>
      </c>
      <c r="I2203" t="s">
        <v>40</v>
      </c>
      <c r="J2203">
        <v>1</v>
      </c>
      <c r="K2203">
        <v>599</v>
      </c>
      <c r="L2203">
        <f>Table1[[#This Row],[Quantity]] * Table1[[#This Row],[UnitPrice]]</f>
        <v>599</v>
      </c>
      <c r="M2203" s="25">
        <v>15</v>
      </c>
      <c r="N2203">
        <f>Table1[[#This Row],[Revenue]]*Table1[[#This Row],[Discount%]]/100</f>
        <v>89.85</v>
      </c>
      <c r="O2203" s="6">
        <f>Table1[[#This Row],[Revenue]]-Table1[[#This Row],[Disc_amount]]</f>
        <v>509.15</v>
      </c>
      <c r="P2203" t="s">
        <v>86</v>
      </c>
      <c r="Q2203" t="s">
        <v>27</v>
      </c>
    </row>
    <row r="2204" spans="1:17">
      <c r="A2204" t="s">
        <v>3053</v>
      </c>
      <c r="B2204" s="1" t="s">
        <v>487</v>
      </c>
      <c r="C2204" s="1" t="s">
        <v>2752</v>
      </c>
      <c r="D2204" s="1" t="s">
        <v>20</v>
      </c>
      <c r="E2204" t="s">
        <v>783</v>
      </c>
      <c r="F2204" t="s">
        <v>784</v>
      </c>
      <c r="G2204" t="s">
        <v>38</v>
      </c>
      <c r="H2204" t="s">
        <v>70</v>
      </c>
      <c r="I2204" t="s">
        <v>71</v>
      </c>
      <c r="J2204">
        <v>1</v>
      </c>
      <c r="K2204">
        <v>349</v>
      </c>
      <c r="L2204">
        <f>Table1[[#This Row],[Quantity]] * Table1[[#This Row],[UnitPrice]]</f>
        <v>349</v>
      </c>
      <c r="M2204" s="25">
        <v>15</v>
      </c>
      <c r="N2204">
        <f>Table1[[#This Row],[Revenue]]*Table1[[#This Row],[Discount%]]/100</f>
        <v>52.35</v>
      </c>
      <c r="O2204" s="6">
        <f>Table1[[#This Row],[Revenue]]-Table1[[#This Row],[Disc_amount]]</f>
        <v>296.64999999999998</v>
      </c>
      <c r="P2204" t="s">
        <v>52</v>
      </c>
      <c r="Q2204" t="s">
        <v>27</v>
      </c>
    </row>
    <row r="2205" spans="1:17">
      <c r="A2205" t="s">
        <v>3054</v>
      </c>
      <c r="B2205" s="1" t="s">
        <v>489</v>
      </c>
      <c r="C2205" s="1" t="s">
        <v>2752</v>
      </c>
      <c r="D2205" s="1" t="s">
        <v>20</v>
      </c>
      <c r="E2205" t="s">
        <v>394</v>
      </c>
      <c r="F2205" t="s">
        <v>338</v>
      </c>
      <c r="G2205" t="s">
        <v>45</v>
      </c>
      <c r="H2205" t="s">
        <v>57</v>
      </c>
      <c r="I2205" t="s">
        <v>58</v>
      </c>
      <c r="J2205">
        <v>4</v>
      </c>
      <c r="K2205">
        <v>1299</v>
      </c>
      <c r="L2205">
        <f>Table1[[#This Row],[Quantity]] * Table1[[#This Row],[UnitPrice]]</f>
        <v>5196</v>
      </c>
      <c r="M2205" s="25">
        <v>30</v>
      </c>
      <c r="N2205">
        <f>Table1[[#This Row],[Revenue]]*Table1[[#This Row],[Discount%]]/100</f>
        <v>1558.8</v>
      </c>
      <c r="O2205" s="6">
        <f>Table1[[#This Row],[Revenue]]-Table1[[#This Row],[Disc_amount]]</f>
        <v>3637.2</v>
      </c>
      <c r="P2205" t="s">
        <v>26</v>
      </c>
      <c r="Q2205" t="s">
        <v>27</v>
      </c>
    </row>
    <row r="2206" spans="1:17">
      <c r="A2206" t="s">
        <v>3055</v>
      </c>
      <c r="B2206" s="1" t="s">
        <v>489</v>
      </c>
      <c r="C2206" s="1" t="s">
        <v>2752</v>
      </c>
      <c r="D2206" s="1" t="s">
        <v>20</v>
      </c>
      <c r="E2206" t="s">
        <v>855</v>
      </c>
      <c r="F2206" t="s">
        <v>856</v>
      </c>
      <c r="G2206" t="s">
        <v>38</v>
      </c>
      <c r="H2206" t="s">
        <v>46</v>
      </c>
      <c r="I2206" t="s">
        <v>47</v>
      </c>
      <c r="J2206">
        <v>1</v>
      </c>
      <c r="K2206">
        <v>249</v>
      </c>
      <c r="L2206">
        <f>Table1[[#This Row],[Quantity]] * Table1[[#This Row],[UnitPrice]]</f>
        <v>249</v>
      </c>
      <c r="M2206" s="25">
        <v>5</v>
      </c>
      <c r="N2206">
        <f>Table1[[#This Row],[Revenue]]*Table1[[#This Row],[Discount%]]/100</f>
        <v>12.45</v>
      </c>
      <c r="O2206" s="6">
        <f>Table1[[#This Row],[Revenue]]-Table1[[#This Row],[Disc_amount]]</f>
        <v>236.55</v>
      </c>
      <c r="P2206" t="s">
        <v>33</v>
      </c>
      <c r="Q2206" t="s">
        <v>27</v>
      </c>
    </row>
    <row r="2207" spans="1:17">
      <c r="A2207" t="s">
        <v>3056</v>
      </c>
      <c r="B2207" s="1" t="s">
        <v>489</v>
      </c>
      <c r="C2207" s="1" t="s">
        <v>2752</v>
      </c>
      <c r="D2207" s="1" t="s">
        <v>20</v>
      </c>
      <c r="E2207" t="s">
        <v>503</v>
      </c>
      <c r="F2207" t="s">
        <v>504</v>
      </c>
      <c r="G2207" t="s">
        <v>45</v>
      </c>
      <c r="H2207" t="s">
        <v>108</v>
      </c>
      <c r="I2207" t="s">
        <v>130</v>
      </c>
      <c r="J2207">
        <v>3</v>
      </c>
      <c r="K2207">
        <v>699</v>
      </c>
      <c r="L2207">
        <f>Table1[[#This Row],[Quantity]] * Table1[[#This Row],[UnitPrice]]</f>
        <v>2097</v>
      </c>
      <c r="M2207" s="25">
        <v>0</v>
      </c>
      <c r="N2207">
        <f>Table1[[#This Row],[Revenue]]*Table1[[#This Row],[Discount%]]/100</f>
        <v>0</v>
      </c>
      <c r="O2207" s="6">
        <f>Table1[[#This Row],[Revenue]]-Table1[[#This Row],[Disc_amount]]</f>
        <v>2097</v>
      </c>
      <c r="P2207" t="s">
        <v>33</v>
      </c>
      <c r="Q2207" t="s">
        <v>34</v>
      </c>
    </row>
    <row r="2208" spans="1:17">
      <c r="A2208" t="s">
        <v>3057</v>
      </c>
      <c r="B2208" s="1" t="s">
        <v>489</v>
      </c>
      <c r="C2208" s="1" t="s">
        <v>2752</v>
      </c>
      <c r="D2208" s="1" t="s">
        <v>20</v>
      </c>
      <c r="E2208" t="s">
        <v>1264</v>
      </c>
      <c r="F2208" t="s">
        <v>462</v>
      </c>
      <c r="G2208" t="s">
        <v>38</v>
      </c>
      <c r="H2208" t="s">
        <v>70</v>
      </c>
      <c r="I2208" t="s">
        <v>91</v>
      </c>
      <c r="J2208">
        <v>1</v>
      </c>
      <c r="K2208">
        <v>549</v>
      </c>
      <c r="L2208">
        <f>Table1[[#This Row],[Quantity]] * Table1[[#This Row],[UnitPrice]]</f>
        <v>549</v>
      </c>
      <c r="M2208" s="25">
        <v>10</v>
      </c>
      <c r="N2208">
        <f>Table1[[#This Row],[Revenue]]*Table1[[#This Row],[Discount%]]/100</f>
        <v>54.9</v>
      </c>
      <c r="O2208" s="6">
        <f>Table1[[#This Row],[Revenue]]-Table1[[#This Row],[Disc_amount]]</f>
        <v>494.1</v>
      </c>
      <c r="P2208" t="s">
        <v>26</v>
      </c>
      <c r="Q2208" t="s">
        <v>34</v>
      </c>
    </row>
    <row r="2209" spans="1:17">
      <c r="A2209" t="s">
        <v>3058</v>
      </c>
      <c r="B2209" s="1" t="s">
        <v>489</v>
      </c>
      <c r="C2209" s="1" t="s">
        <v>2752</v>
      </c>
      <c r="D2209" s="1" t="s">
        <v>20</v>
      </c>
      <c r="E2209" t="s">
        <v>1197</v>
      </c>
      <c r="F2209" t="s">
        <v>256</v>
      </c>
      <c r="G2209" t="s">
        <v>45</v>
      </c>
      <c r="H2209" t="s">
        <v>65</v>
      </c>
      <c r="I2209" t="s">
        <v>98</v>
      </c>
      <c r="J2209">
        <v>1</v>
      </c>
      <c r="K2209">
        <v>499</v>
      </c>
      <c r="L2209">
        <f>Table1[[#This Row],[Quantity]] * Table1[[#This Row],[UnitPrice]]</f>
        <v>499</v>
      </c>
      <c r="M2209" s="25">
        <v>15</v>
      </c>
      <c r="N2209">
        <f>Table1[[#This Row],[Revenue]]*Table1[[#This Row],[Discount%]]/100</f>
        <v>74.849999999999994</v>
      </c>
      <c r="O2209" s="6">
        <f>Table1[[#This Row],[Revenue]]-Table1[[#This Row],[Disc_amount]]</f>
        <v>424.15</v>
      </c>
      <c r="P2209" t="s">
        <v>41</v>
      </c>
      <c r="Q2209" t="s">
        <v>34</v>
      </c>
    </row>
    <row r="2210" spans="1:17">
      <c r="A2210" t="s">
        <v>3059</v>
      </c>
      <c r="B2210" s="1" t="s">
        <v>489</v>
      </c>
      <c r="C2210" s="1" t="s">
        <v>2752</v>
      </c>
      <c r="D2210" s="1" t="s">
        <v>20</v>
      </c>
      <c r="E2210" t="s">
        <v>1554</v>
      </c>
      <c r="F2210" t="s">
        <v>268</v>
      </c>
      <c r="G2210" t="s">
        <v>45</v>
      </c>
      <c r="H2210" t="s">
        <v>70</v>
      </c>
      <c r="I2210" t="s">
        <v>91</v>
      </c>
      <c r="J2210">
        <v>3</v>
      </c>
      <c r="K2210">
        <v>549</v>
      </c>
      <c r="L2210">
        <f>Table1[[#This Row],[Quantity]] * Table1[[#This Row],[UnitPrice]]</f>
        <v>1647</v>
      </c>
      <c r="M2210" s="25">
        <v>15</v>
      </c>
      <c r="N2210">
        <f>Table1[[#This Row],[Revenue]]*Table1[[#This Row],[Discount%]]/100</f>
        <v>247.05</v>
      </c>
      <c r="O2210" s="6">
        <f>Table1[[#This Row],[Revenue]]-Table1[[#This Row],[Disc_amount]]</f>
        <v>1399.95</v>
      </c>
      <c r="P2210" t="s">
        <v>86</v>
      </c>
      <c r="Q2210" t="s">
        <v>27</v>
      </c>
    </row>
    <row r="2211" spans="1:17">
      <c r="A2211" t="s">
        <v>3060</v>
      </c>
      <c r="B2211" s="1" t="s">
        <v>489</v>
      </c>
      <c r="C2211" s="1" t="s">
        <v>2752</v>
      </c>
      <c r="D2211" s="1" t="s">
        <v>20</v>
      </c>
      <c r="E2211" t="s">
        <v>447</v>
      </c>
      <c r="F2211" t="s">
        <v>229</v>
      </c>
      <c r="G2211" t="s">
        <v>23</v>
      </c>
      <c r="H2211" t="s">
        <v>65</v>
      </c>
      <c r="I2211" t="s">
        <v>98</v>
      </c>
      <c r="J2211">
        <v>2</v>
      </c>
      <c r="K2211">
        <v>499</v>
      </c>
      <c r="L2211">
        <f>Table1[[#This Row],[Quantity]] * Table1[[#This Row],[UnitPrice]]</f>
        <v>998</v>
      </c>
      <c r="M2211" s="25">
        <v>25</v>
      </c>
      <c r="N2211">
        <f>Table1[[#This Row],[Revenue]]*Table1[[#This Row],[Discount%]]/100</f>
        <v>249.5</v>
      </c>
      <c r="O2211" s="6">
        <f>Table1[[#This Row],[Revenue]]-Table1[[#This Row],[Disc_amount]]</f>
        <v>748.5</v>
      </c>
      <c r="P2211" t="s">
        <v>26</v>
      </c>
      <c r="Q2211" t="s">
        <v>27</v>
      </c>
    </row>
    <row r="2212" spans="1:17">
      <c r="A2212" t="s">
        <v>3061</v>
      </c>
      <c r="B2212" s="1" t="s">
        <v>489</v>
      </c>
      <c r="C2212" s="1" t="s">
        <v>2752</v>
      </c>
      <c r="D2212" s="1" t="s">
        <v>20</v>
      </c>
      <c r="E2212" t="s">
        <v>680</v>
      </c>
      <c r="F2212" t="s">
        <v>22</v>
      </c>
      <c r="G2212" t="s">
        <v>23</v>
      </c>
      <c r="H2212" t="s">
        <v>46</v>
      </c>
      <c r="I2212" t="s">
        <v>47</v>
      </c>
      <c r="J2212">
        <v>5</v>
      </c>
      <c r="K2212">
        <v>249</v>
      </c>
      <c r="L2212">
        <f>Table1[[#This Row],[Quantity]] * Table1[[#This Row],[UnitPrice]]</f>
        <v>1245</v>
      </c>
      <c r="M2212" s="25">
        <v>20</v>
      </c>
      <c r="N2212">
        <f>Table1[[#This Row],[Revenue]]*Table1[[#This Row],[Discount%]]/100</f>
        <v>249</v>
      </c>
      <c r="O2212" s="6">
        <f>Table1[[#This Row],[Revenue]]-Table1[[#This Row],[Disc_amount]]</f>
        <v>996</v>
      </c>
      <c r="P2212" t="s">
        <v>86</v>
      </c>
      <c r="Q2212" t="s">
        <v>34</v>
      </c>
    </row>
    <row r="2213" spans="1:17">
      <c r="A2213" t="s">
        <v>3062</v>
      </c>
      <c r="B2213" s="1" t="s">
        <v>489</v>
      </c>
      <c r="C2213" s="1" t="s">
        <v>2752</v>
      </c>
      <c r="D2213" s="1" t="s">
        <v>20</v>
      </c>
      <c r="E2213" t="s">
        <v>449</v>
      </c>
      <c r="F2213" t="s">
        <v>450</v>
      </c>
      <c r="G2213" t="s">
        <v>31</v>
      </c>
      <c r="H2213" t="s">
        <v>70</v>
      </c>
      <c r="I2213" t="s">
        <v>91</v>
      </c>
      <c r="J2213">
        <v>1</v>
      </c>
      <c r="K2213">
        <v>549</v>
      </c>
      <c r="L2213">
        <f>Table1[[#This Row],[Quantity]] * Table1[[#This Row],[UnitPrice]]</f>
        <v>549</v>
      </c>
      <c r="M2213" s="25">
        <v>10</v>
      </c>
      <c r="N2213">
        <f>Table1[[#This Row],[Revenue]]*Table1[[#This Row],[Discount%]]/100</f>
        <v>54.9</v>
      </c>
      <c r="O2213" s="6">
        <f>Table1[[#This Row],[Revenue]]-Table1[[#This Row],[Disc_amount]]</f>
        <v>494.1</v>
      </c>
      <c r="P2213" t="s">
        <v>26</v>
      </c>
      <c r="Q2213" t="s">
        <v>34</v>
      </c>
    </row>
    <row r="2214" spans="1:17">
      <c r="A2214" t="s">
        <v>3063</v>
      </c>
      <c r="B2214" s="1" t="s">
        <v>489</v>
      </c>
      <c r="C2214" s="1" t="s">
        <v>2752</v>
      </c>
      <c r="D2214" s="1" t="s">
        <v>20</v>
      </c>
      <c r="E2214" t="s">
        <v>638</v>
      </c>
      <c r="F2214" t="s">
        <v>335</v>
      </c>
      <c r="G2214" t="s">
        <v>45</v>
      </c>
      <c r="H2214" t="s">
        <v>39</v>
      </c>
      <c r="I2214" t="s">
        <v>40</v>
      </c>
      <c r="J2214">
        <v>1</v>
      </c>
      <c r="K2214">
        <v>599</v>
      </c>
      <c r="L2214">
        <f>Table1[[#This Row],[Quantity]] * Table1[[#This Row],[UnitPrice]]</f>
        <v>599</v>
      </c>
      <c r="M2214" s="25">
        <v>30</v>
      </c>
      <c r="N2214">
        <f>Table1[[#This Row],[Revenue]]*Table1[[#This Row],[Discount%]]/100</f>
        <v>179.7</v>
      </c>
      <c r="O2214" s="6">
        <f>Table1[[#This Row],[Revenue]]-Table1[[#This Row],[Disc_amount]]</f>
        <v>419.3</v>
      </c>
      <c r="P2214" t="s">
        <v>26</v>
      </c>
      <c r="Q2214" t="s">
        <v>34</v>
      </c>
    </row>
    <row r="2215" spans="1:17">
      <c r="A2215" t="s">
        <v>3064</v>
      </c>
      <c r="B2215" s="1" t="s">
        <v>489</v>
      </c>
      <c r="C2215" s="1" t="s">
        <v>2752</v>
      </c>
      <c r="D2215" s="1" t="s">
        <v>20</v>
      </c>
      <c r="E2215" t="s">
        <v>96</v>
      </c>
      <c r="F2215" t="s">
        <v>97</v>
      </c>
      <c r="G2215" t="s">
        <v>56</v>
      </c>
      <c r="H2215" t="s">
        <v>108</v>
      </c>
      <c r="I2215" t="s">
        <v>130</v>
      </c>
      <c r="J2215">
        <v>1</v>
      </c>
      <c r="K2215">
        <v>699</v>
      </c>
      <c r="L2215">
        <f>Table1[[#This Row],[Quantity]] * Table1[[#This Row],[UnitPrice]]</f>
        <v>699</v>
      </c>
      <c r="M2215" s="25">
        <v>0</v>
      </c>
      <c r="N2215">
        <f>Table1[[#This Row],[Revenue]]*Table1[[#This Row],[Discount%]]/100</f>
        <v>0</v>
      </c>
      <c r="O2215" s="6">
        <f>Table1[[#This Row],[Revenue]]-Table1[[#This Row],[Disc_amount]]</f>
        <v>699</v>
      </c>
      <c r="P2215" t="s">
        <v>26</v>
      </c>
      <c r="Q2215" t="s">
        <v>27</v>
      </c>
    </row>
    <row r="2216" spans="1:17">
      <c r="A2216" t="s">
        <v>3065</v>
      </c>
      <c r="B2216" s="1" t="s">
        <v>497</v>
      </c>
      <c r="C2216" s="1" t="s">
        <v>2752</v>
      </c>
      <c r="D2216" s="1" t="s">
        <v>20</v>
      </c>
      <c r="E2216" t="s">
        <v>680</v>
      </c>
      <c r="F2216" t="s">
        <v>22</v>
      </c>
      <c r="G2216" t="s">
        <v>45</v>
      </c>
      <c r="H2216" t="s">
        <v>65</v>
      </c>
      <c r="I2216" t="s">
        <v>66</v>
      </c>
      <c r="J2216">
        <v>2</v>
      </c>
      <c r="K2216">
        <v>1999</v>
      </c>
      <c r="L2216">
        <f>Table1[[#This Row],[Quantity]] * Table1[[#This Row],[UnitPrice]]</f>
        <v>3998</v>
      </c>
      <c r="M2216" s="25">
        <v>25</v>
      </c>
      <c r="N2216">
        <f>Table1[[#This Row],[Revenue]]*Table1[[#This Row],[Discount%]]/100</f>
        <v>999.5</v>
      </c>
      <c r="O2216" s="6">
        <f>Table1[[#This Row],[Revenue]]-Table1[[#This Row],[Disc_amount]]</f>
        <v>2998.5</v>
      </c>
      <c r="P2216" t="s">
        <v>86</v>
      </c>
      <c r="Q2216" t="s">
        <v>27</v>
      </c>
    </row>
    <row r="2217" spans="1:17">
      <c r="A2217" t="s">
        <v>3066</v>
      </c>
      <c r="B2217" s="1" t="s">
        <v>497</v>
      </c>
      <c r="C2217" s="1" t="s">
        <v>2752</v>
      </c>
      <c r="D2217" s="1" t="s">
        <v>20</v>
      </c>
      <c r="E2217" t="s">
        <v>111</v>
      </c>
      <c r="F2217" t="s">
        <v>107</v>
      </c>
      <c r="G2217" t="s">
        <v>45</v>
      </c>
      <c r="H2217" t="s">
        <v>24</v>
      </c>
      <c r="I2217" t="s">
        <v>32</v>
      </c>
      <c r="J2217">
        <v>5</v>
      </c>
      <c r="K2217">
        <v>199</v>
      </c>
      <c r="L2217">
        <f>Table1[[#This Row],[Quantity]] * Table1[[#This Row],[UnitPrice]]</f>
        <v>995</v>
      </c>
      <c r="M2217" s="25">
        <v>30</v>
      </c>
      <c r="N2217">
        <f>Table1[[#This Row],[Revenue]]*Table1[[#This Row],[Discount%]]/100</f>
        <v>298.5</v>
      </c>
      <c r="O2217" s="6">
        <f>Table1[[#This Row],[Revenue]]-Table1[[#This Row],[Disc_amount]]</f>
        <v>696.5</v>
      </c>
      <c r="P2217" t="s">
        <v>26</v>
      </c>
      <c r="Q2217" t="s">
        <v>27</v>
      </c>
    </row>
    <row r="2218" spans="1:17">
      <c r="A2218" t="s">
        <v>3067</v>
      </c>
      <c r="B2218" s="1" t="s">
        <v>497</v>
      </c>
      <c r="C2218" s="1" t="s">
        <v>2752</v>
      </c>
      <c r="D2218" s="1" t="s">
        <v>20</v>
      </c>
      <c r="E2218" t="s">
        <v>847</v>
      </c>
      <c r="F2218" t="s">
        <v>675</v>
      </c>
      <c r="G2218" t="s">
        <v>31</v>
      </c>
      <c r="H2218" t="s">
        <v>108</v>
      </c>
      <c r="I2218" t="s">
        <v>109</v>
      </c>
      <c r="J2218">
        <v>3</v>
      </c>
      <c r="K2218">
        <v>1499</v>
      </c>
      <c r="L2218">
        <f>Table1[[#This Row],[Quantity]] * Table1[[#This Row],[UnitPrice]]</f>
        <v>4497</v>
      </c>
      <c r="M2218" s="25">
        <v>10</v>
      </c>
      <c r="N2218">
        <f>Table1[[#This Row],[Revenue]]*Table1[[#This Row],[Discount%]]/100</f>
        <v>449.7</v>
      </c>
      <c r="O2218" s="6">
        <f>Table1[[#This Row],[Revenue]]-Table1[[#This Row],[Disc_amount]]</f>
        <v>4047.3</v>
      </c>
      <c r="P2218" t="s">
        <v>26</v>
      </c>
      <c r="Q2218" t="s">
        <v>27</v>
      </c>
    </row>
    <row r="2219" spans="1:17">
      <c r="A2219" t="s">
        <v>3068</v>
      </c>
      <c r="B2219" s="1" t="s">
        <v>497</v>
      </c>
      <c r="C2219" s="1" t="s">
        <v>2752</v>
      </c>
      <c r="D2219" s="1" t="s">
        <v>20</v>
      </c>
      <c r="E2219" t="s">
        <v>252</v>
      </c>
      <c r="F2219" t="s">
        <v>253</v>
      </c>
      <c r="G2219" t="s">
        <v>56</v>
      </c>
      <c r="H2219" t="s">
        <v>39</v>
      </c>
      <c r="I2219" t="s">
        <v>51</v>
      </c>
      <c r="J2219">
        <v>1</v>
      </c>
      <c r="K2219">
        <v>2999</v>
      </c>
      <c r="L2219">
        <f>Table1[[#This Row],[Quantity]] * Table1[[#This Row],[UnitPrice]]</f>
        <v>2999</v>
      </c>
      <c r="M2219" s="25">
        <v>0</v>
      </c>
      <c r="N2219">
        <f>Table1[[#This Row],[Revenue]]*Table1[[#This Row],[Discount%]]/100</f>
        <v>0</v>
      </c>
      <c r="O2219" s="6">
        <f>Table1[[#This Row],[Revenue]]-Table1[[#This Row],[Disc_amount]]</f>
        <v>2999</v>
      </c>
      <c r="P2219" t="s">
        <v>33</v>
      </c>
      <c r="Q2219" t="s">
        <v>34</v>
      </c>
    </row>
    <row r="2220" spans="1:17">
      <c r="A2220" t="s">
        <v>3069</v>
      </c>
      <c r="B2220" s="1" t="s">
        <v>497</v>
      </c>
      <c r="C2220" s="1" t="s">
        <v>2752</v>
      </c>
      <c r="D2220" s="1" t="s">
        <v>20</v>
      </c>
      <c r="E2220" t="s">
        <v>1434</v>
      </c>
      <c r="F2220" t="s">
        <v>326</v>
      </c>
      <c r="G2220" t="s">
        <v>23</v>
      </c>
      <c r="H2220" t="s">
        <v>108</v>
      </c>
      <c r="I2220" t="s">
        <v>130</v>
      </c>
      <c r="J2220">
        <v>2</v>
      </c>
      <c r="K2220">
        <v>699</v>
      </c>
      <c r="L2220">
        <f>Table1[[#This Row],[Quantity]] * Table1[[#This Row],[UnitPrice]]</f>
        <v>1398</v>
      </c>
      <c r="M2220" s="25">
        <v>30</v>
      </c>
      <c r="N2220">
        <f>Table1[[#This Row],[Revenue]]*Table1[[#This Row],[Discount%]]/100</f>
        <v>419.4</v>
      </c>
      <c r="O2220" s="6">
        <f>Table1[[#This Row],[Revenue]]-Table1[[#This Row],[Disc_amount]]</f>
        <v>978.6</v>
      </c>
      <c r="P2220" t="s">
        <v>26</v>
      </c>
      <c r="Q2220" t="s">
        <v>34</v>
      </c>
    </row>
    <row r="2221" spans="1:17">
      <c r="A2221" t="s">
        <v>3070</v>
      </c>
      <c r="B2221" s="1" t="s">
        <v>497</v>
      </c>
      <c r="C2221" s="1" t="s">
        <v>2752</v>
      </c>
      <c r="D2221" s="1" t="s">
        <v>20</v>
      </c>
      <c r="E2221" t="s">
        <v>79</v>
      </c>
      <c r="F2221" t="s">
        <v>80</v>
      </c>
      <c r="G2221" t="s">
        <v>56</v>
      </c>
      <c r="H2221" t="s">
        <v>24</v>
      </c>
      <c r="I2221" t="s">
        <v>32</v>
      </c>
      <c r="J2221">
        <v>1</v>
      </c>
      <c r="K2221">
        <v>199</v>
      </c>
      <c r="L2221">
        <f>Table1[[#This Row],[Quantity]] * Table1[[#This Row],[UnitPrice]]</f>
        <v>199</v>
      </c>
      <c r="M2221" s="25">
        <v>0</v>
      </c>
      <c r="N2221">
        <f>Table1[[#This Row],[Revenue]]*Table1[[#This Row],[Discount%]]/100</f>
        <v>0</v>
      </c>
      <c r="O2221" s="6">
        <f>Table1[[#This Row],[Revenue]]-Table1[[#This Row],[Disc_amount]]</f>
        <v>199</v>
      </c>
      <c r="P2221" t="s">
        <v>41</v>
      </c>
      <c r="Q2221" t="s">
        <v>27</v>
      </c>
    </row>
    <row r="2222" spans="1:17">
      <c r="A2222" t="s">
        <v>3071</v>
      </c>
      <c r="B2222" s="1" t="s">
        <v>497</v>
      </c>
      <c r="C2222" s="1" t="s">
        <v>2752</v>
      </c>
      <c r="D2222" s="1" t="s">
        <v>20</v>
      </c>
      <c r="E2222" t="s">
        <v>172</v>
      </c>
      <c r="F2222" t="s">
        <v>173</v>
      </c>
      <c r="G2222" t="s">
        <v>23</v>
      </c>
      <c r="H2222" t="s">
        <v>65</v>
      </c>
      <c r="I2222" t="s">
        <v>66</v>
      </c>
      <c r="J2222">
        <v>1</v>
      </c>
      <c r="K2222">
        <v>1999</v>
      </c>
      <c r="L2222">
        <f>Table1[[#This Row],[Quantity]] * Table1[[#This Row],[UnitPrice]]</f>
        <v>1999</v>
      </c>
      <c r="M2222" s="25">
        <v>5</v>
      </c>
      <c r="N2222">
        <f>Table1[[#This Row],[Revenue]]*Table1[[#This Row],[Discount%]]/100</f>
        <v>99.95</v>
      </c>
      <c r="O2222" s="6">
        <f>Table1[[#This Row],[Revenue]]-Table1[[#This Row],[Disc_amount]]</f>
        <v>1899.05</v>
      </c>
      <c r="P2222" t="s">
        <v>52</v>
      </c>
      <c r="Q2222" t="s">
        <v>27</v>
      </c>
    </row>
    <row r="2223" spans="1:17">
      <c r="A2223" t="s">
        <v>3072</v>
      </c>
      <c r="B2223" s="1" t="s">
        <v>497</v>
      </c>
      <c r="C2223" s="1" t="s">
        <v>2752</v>
      </c>
      <c r="D2223" s="1" t="s">
        <v>20</v>
      </c>
      <c r="E2223" t="s">
        <v>603</v>
      </c>
      <c r="F2223" t="s">
        <v>604</v>
      </c>
      <c r="G2223" t="s">
        <v>38</v>
      </c>
      <c r="H2223" t="s">
        <v>65</v>
      </c>
      <c r="I2223" t="s">
        <v>66</v>
      </c>
      <c r="J2223">
        <v>1</v>
      </c>
      <c r="K2223">
        <v>1999</v>
      </c>
      <c r="L2223">
        <f>Table1[[#This Row],[Quantity]] * Table1[[#This Row],[UnitPrice]]</f>
        <v>1999</v>
      </c>
      <c r="M2223" s="25">
        <v>30</v>
      </c>
      <c r="N2223">
        <f>Table1[[#This Row],[Revenue]]*Table1[[#This Row],[Discount%]]/100</f>
        <v>599.70000000000005</v>
      </c>
      <c r="O2223" s="6">
        <f>Table1[[#This Row],[Revenue]]-Table1[[#This Row],[Disc_amount]]</f>
        <v>1399.3</v>
      </c>
      <c r="P2223" t="s">
        <v>41</v>
      </c>
      <c r="Q2223" t="s">
        <v>27</v>
      </c>
    </row>
    <row r="2224" spans="1:17">
      <c r="A2224" t="s">
        <v>3073</v>
      </c>
      <c r="B2224" s="1" t="s">
        <v>497</v>
      </c>
      <c r="C2224" s="1" t="s">
        <v>2752</v>
      </c>
      <c r="D2224" s="1" t="s">
        <v>20</v>
      </c>
      <c r="E2224" t="s">
        <v>60</v>
      </c>
      <c r="F2224" t="s">
        <v>61</v>
      </c>
      <c r="G2224" t="s">
        <v>23</v>
      </c>
      <c r="H2224" t="s">
        <v>57</v>
      </c>
      <c r="I2224" t="s">
        <v>62</v>
      </c>
      <c r="J2224">
        <v>1</v>
      </c>
      <c r="K2224">
        <v>799</v>
      </c>
      <c r="L2224">
        <f>Table1[[#This Row],[Quantity]] * Table1[[#This Row],[UnitPrice]]</f>
        <v>799</v>
      </c>
      <c r="M2224" s="25">
        <v>5</v>
      </c>
      <c r="N2224">
        <f>Table1[[#This Row],[Revenue]]*Table1[[#This Row],[Discount%]]/100</f>
        <v>39.950000000000003</v>
      </c>
      <c r="O2224" s="6">
        <f>Table1[[#This Row],[Revenue]]-Table1[[#This Row],[Disc_amount]]</f>
        <v>759.05</v>
      </c>
      <c r="P2224" t="s">
        <v>26</v>
      </c>
      <c r="Q2224" t="s">
        <v>27</v>
      </c>
    </row>
    <row r="2225" spans="1:17">
      <c r="A2225" t="s">
        <v>3074</v>
      </c>
      <c r="B2225" s="1" t="s">
        <v>497</v>
      </c>
      <c r="C2225" s="1" t="s">
        <v>2752</v>
      </c>
      <c r="D2225" s="1" t="s">
        <v>20</v>
      </c>
      <c r="E2225" t="s">
        <v>373</v>
      </c>
      <c r="F2225" t="s">
        <v>183</v>
      </c>
      <c r="G2225" t="s">
        <v>38</v>
      </c>
      <c r="H2225" t="s">
        <v>39</v>
      </c>
      <c r="I2225" t="s">
        <v>40</v>
      </c>
      <c r="J2225">
        <v>1</v>
      </c>
      <c r="K2225">
        <v>599</v>
      </c>
      <c r="L2225">
        <f>Table1[[#This Row],[Quantity]] * Table1[[#This Row],[UnitPrice]]</f>
        <v>599</v>
      </c>
      <c r="M2225" s="25">
        <v>10</v>
      </c>
      <c r="N2225">
        <f>Table1[[#This Row],[Revenue]]*Table1[[#This Row],[Discount%]]/100</f>
        <v>59.9</v>
      </c>
      <c r="O2225" s="6">
        <f>Table1[[#This Row],[Revenue]]-Table1[[#This Row],[Disc_amount]]</f>
        <v>539.1</v>
      </c>
      <c r="P2225" t="s">
        <v>86</v>
      </c>
      <c r="Q2225" t="s">
        <v>27</v>
      </c>
    </row>
    <row r="2226" spans="1:17">
      <c r="A2226" t="s">
        <v>3075</v>
      </c>
      <c r="B2226" s="1" t="s">
        <v>497</v>
      </c>
      <c r="C2226" s="1" t="s">
        <v>2752</v>
      </c>
      <c r="D2226" s="1" t="s">
        <v>20</v>
      </c>
      <c r="E2226" t="s">
        <v>1279</v>
      </c>
      <c r="F2226" t="s">
        <v>355</v>
      </c>
      <c r="G2226" t="s">
        <v>38</v>
      </c>
      <c r="H2226" t="s">
        <v>108</v>
      </c>
      <c r="I2226" t="s">
        <v>130</v>
      </c>
      <c r="J2226">
        <v>2</v>
      </c>
      <c r="K2226">
        <v>699</v>
      </c>
      <c r="L2226">
        <f>Table1[[#This Row],[Quantity]] * Table1[[#This Row],[UnitPrice]]</f>
        <v>1398</v>
      </c>
      <c r="M2226" s="25">
        <v>30</v>
      </c>
      <c r="N2226">
        <f>Table1[[#This Row],[Revenue]]*Table1[[#This Row],[Discount%]]/100</f>
        <v>419.4</v>
      </c>
      <c r="O2226" s="6">
        <f>Table1[[#This Row],[Revenue]]-Table1[[#This Row],[Disc_amount]]</f>
        <v>978.6</v>
      </c>
      <c r="P2226" t="s">
        <v>26</v>
      </c>
      <c r="Q2226" t="s">
        <v>34</v>
      </c>
    </row>
    <row r="2227" spans="1:17">
      <c r="A2227" t="s">
        <v>3076</v>
      </c>
      <c r="B2227" s="1" t="s">
        <v>497</v>
      </c>
      <c r="C2227" s="1" t="s">
        <v>2752</v>
      </c>
      <c r="D2227" s="1" t="s">
        <v>20</v>
      </c>
      <c r="E2227" t="s">
        <v>375</v>
      </c>
      <c r="F2227" t="s">
        <v>376</v>
      </c>
      <c r="G2227" t="s">
        <v>31</v>
      </c>
      <c r="H2227" t="s">
        <v>108</v>
      </c>
      <c r="I2227" t="s">
        <v>130</v>
      </c>
      <c r="J2227">
        <v>1</v>
      </c>
      <c r="K2227">
        <v>699</v>
      </c>
      <c r="L2227">
        <f>Table1[[#This Row],[Quantity]] * Table1[[#This Row],[UnitPrice]]</f>
        <v>699</v>
      </c>
      <c r="M2227" s="25">
        <v>10</v>
      </c>
      <c r="N2227">
        <f>Table1[[#This Row],[Revenue]]*Table1[[#This Row],[Discount%]]/100</f>
        <v>69.900000000000006</v>
      </c>
      <c r="O2227" s="6">
        <f>Table1[[#This Row],[Revenue]]-Table1[[#This Row],[Disc_amount]]</f>
        <v>629.1</v>
      </c>
      <c r="P2227" t="s">
        <v>52</v>
      </c>
      <c r="Q2227" t="s">
        <v>34</v>
      </c>
    </row>
    <row r="2228" spans="1:17">
      <c r="A2228" t="s">
        <v>3077</v>
      </c>
      <c r="B2228" s="1" t="s">
        <v>509</v>
      </c>
      <c r="C2228" s="1" t="s">
        <v>2752</v>
      </c>
      <c r="D2228" s="1" t="s">
        <v>20</v>
      </c>
      <c r="E2228" t="s">
        <v>386</v>
      </c>
      <c r="F2228" t="s">
        <v>183</v>
      </c>
      <c r="G2228" t="s">
        <v>23</v>
      </c>
      <c r="H2228" t="s">
        <v>70</v>
      </c>
      <c r="I2228" t="s">
        <v>71</v>
      </c>
      <c r="J2228">
        <v>1</v>
      </c>
      <c r="K2228">
        <v>349</v>
      </c>
      <c r="L2228">
        <f>Table1[[#This Row],[Quantity]] * Table1[[#This Row],[UnitPrice]]</f>
        <v>349</v>
      </c>
      <c r="M2228" s="25">
        <v>25</v>
      </c>
      <c r="N2228">
        <f>Table1[[#This Row],[Revenue]]*Table1[[#This Row],[Discount%]]/100</f>
        <v>87.25</v>
      </c>
      <c r="O2228" s="6">
        <f>Table1[[#This Row],[Revenue]]-Table1[[#This Row],[Disc_amount]]</f>
        <v>261.75</v>
      </c>
      <c r="P2228" t="s">
        <v>26</v>
      </c>
      <c r="Q2228" t="s">
        <v>27</v>
      </c>
    </row>
    <row r="2229" spans="1:17">
      <c r="A2229" t="s">
        <v>3078</v>
      </c>
      <c r="B2229" s="1" t="s">
        <v>509</v>
      </c>
      <c r="C2229" s="1" t="s">
        <v>2752</v>
      </c>
      <c r="D2229" s="1" t="s">
        <v>20</v>
      </c>
      <c r="E2229" t="s">
        <v>1578</v>
      </c>
      <c r="F2229" t="s">
        <v>44</v>
      </c>
      <c r="G2229" t="s">
        <v>45</v>
      </c>
      <c r="H2229" t="s">
        <v>57</v>
      </c>
      <c r="I2229" t="s">
        <v>62</v>
      </c>
      <c r="J2229">
        <v>3</v>
      </c>
      <c r="K2229">
        <v>799</v>
      </c>
      <c r="L2229">
        <f>Table1[[#This Row],[Quantity]] * Table1[[#This Row],[UnitPrice]]</f>
        <v>2397</v>
      </c>
      <c r="M2229" s="25">
        <v>5</v>
      </c>
      <c r="N2229">
        <f>Table1[[#This Row],[Revenue]]*Table1[[#This Row],[Discount%]]/100</f>
        <v>119.85</v>
      </c>
      <c r="O2229" s="6">
        <f>Table1[[#This Row],[Revenue]]-Table1[[#This Row],[Disc_amount]]</f>
        <v>2277.15</v>
      </c>
      <c r="P2229" t="s">
        <v>41</v>
      </c>
      <c r="Q2229" t="s">
        <v>27</v>
      </c>
    </row>
    <row r="2230" spans="1:17">
      <c r="A2230" t="s">
        <v>3079</v>
      </c>
      <c r="B2230" s="1" t="s">
        <v>509</v>
      </c>
      <c r="C2230" s="1" t="s">
        <v>2752</v>
      </c>
      <c r="D2230" s="1" t="s">
        <v>20</v>
      </c>
      <c r="E2230" t="s">
        <v>515</v>
      </c>
      <c r="F2230" t="s">
        <v>516</v>
      </c>
      <c r="G2230" t="s">
        <v>38</v>
      </c>
      <c r="H2230" t="s">
        <v>70</v>
      </c>
      <c r="I2230" t="s">
        <v>71</v>
      </c>
      <c r="J2230">
        <v>3</v>
      </c>
      <c r="K2230">
        <v>349</v>
      </c>
      <c r="L2230">
        <f>Table1[[#This Row],[Quantity]] * Table1[[#This Row],[UnitPrice]]</f>
        <v>1047</v>
      </c>
      <c r="M2230" s="25">
        <v>15</v>
      </c>
      <c r="N2230">
        <f>Table1[[#This Row],[Revenue]]*Table1[[#This Row],[Discount%]]/100</f>
        <v>157.05000000000001</v>
      </c>
      <c r="O2230" s="6">
        <f>Table1[[#This Row],[Revenue]]-Table1[[#This Row],[Disc_amount]]</f>
        <v>889.95</v>
      </c>
      <c r="P2230" t="s">
        <v>41</v>
      </c>
      <c r="Q2230" t="s">
        <v>34</v>
      </c>
    </row>
    <row r="2231" spans="1:17">
      <c r="A2231" t="s">
        <v>3080</v>
      </c>
      <c r="B2231" s="1" t="s">
        <v>509</v>
      </c>
      <c r="C2231" s="1" t="s">
        <v>2752</v>
      </c>
      <c r="D2231" s="1" t="s">
        <v>20</v>
      </c>
      <c r="E2231" t="s">
        <v>1186</v>
      </c>
      <c r="F2231" t="s">
        <v>1187</v>
      </c>
      <c r="G2231" t="s">
        <v>31</v>
      </c>
      <c r="H2231" t="s">
        <v>65</v>
      </c>
      <c r="I2231" t="s">
        <v>66</v>
      </c>
      <c r="J2231">
        <v>2</v>
      </c>
      <c r="K2231">
        <v>1999</v>
      </c>
      <c r="L2231">
        <f>Table1[[#This Row],[Quantity]] * Table1[[#This Row],[UnitPrice]]</f>
        <v>3998</v>
      </c>
      <c r="M2231" s="25">
        <v>30</v>
      </c>
      <c r="N2231">
        <f>Table1[[#This Row],[Revenue]]*Table1[[#This Row],[Discount%]]/100</f>
        <v>1199.4000000000001</v>
      </c>
      <c r="O2231" s="6">
        <f>Table1[[#This Row],[Revenue]]-Table1[[#This Row],[Disc_amount]]</f>
        <v>2798.6</v>
      </c>
      <c r="P2231" t="s">
        <v>52</v>
      </c>
      <c r="Q2231" t="s">
        <v>27</v>
      </c>
    </row>
    <row r="2232" spans="1:17">
      <c r="A2232" t="s">
        <v>3081</v>
      </c>
      <c r="B2232" s="1" t="s">
        <v>509</v>
      </c>
      <c r="C2232" s="1" t="s">
        <v>2752</v>
      </c>
      <c r="D2232" s="1" t="s">
        <v>20</v>
      </c>
      <c r="E2232" t="s">
        <v>2641</v>
      </c>
      <c r="F2232" t="s">
        <v>97</v>
      </c>
      <c r="G2232" t="s">
        <v>31</v>
      </c>
      <c r="H2232" t="s">
        <v>39</v>
      </c>
      <c r="I2232" t="s">
        <v>40</v>
      </c>
      <c r="J2232">
        <v>1</v>
      </c>
      <c r="K2232">
        <v>599</v>
      </c>
      <c r="L2232">
        <f>Table1[[#This Row],[Quantity]] * Table1[[#This Row],[UnitPrice]]</f>
        <v>599</v>
      </c>
      <c r="M2232" s="25">
        <v>25</v>
      </c>
      <c r="N2232">
        <f>Table1[[#This Row],[Revenue]]*Table1[[#This Row],[Discount%]]/100</f>
        <v>149.75</v>
      </c>
      <c r="O2232" s="6">
        <f>Table1[[#This Row],[Revenue]]-Table1[[#This Row],[Disc_amount]]</f>
        <v>449.25</v>
      </c>
      <c r="P2232" t="s">
        <v>41</v>
      </c>
      <c r="Q2232" t="s">
        <v>34</v>
      </c>
    </row>
    <row r="2233" spans="1:17">
      <c r="A2233" t="s">
        <v>3082</v>
      </c>
      <c r="B2233" s="1" t="s">
        <v>509</v>
      </c>
      <c r="C2233" s="1" t="s">
        <v>2752</v>
      </c>
      <c r="D2233" s="1" t="s">
        <v>20</v>
      </c>
      <c r="E2233" t="s">
        <v>1029</v>
      </c>
      <c r="F2233" t="s">
        <v>345</v>
      </c>
      <c r="G2233" t="s">
        <v>38</v>
      </c>
      <c r="H2233" t="s">
        <v>108</v>
      </c>
      <c r="I2233" t="s">
        <v>109</v>
      </c>
      <c r="J2233">
        <v>1</v>
      </c>
      <c r="K2233">
        <v>1499</v>
      </c>
      <c r="L2233">
        <f>Table1[[#This Row],[Quantity]] * Table1[[#This Row],[UnitPrice]]</f>
        <v>1499</v>
      </c>
      <c r="M2233" s="25">
        <v>25</v>
      </c>
      <c r="N2233">
        <f>Table1[[#This Row],[Revenue]]*Table1[[#This Row],[Discount%]]/100</f>
        <v>374.75</v>
      </c>
      <c r="O2233" s="6">
        <f>Table1[[#This Row],[Revenue]]-Table1[[#This Row],[Disc_amount]]</f>
        <v>1124.25</v>
      </c>
      <c r="P2233" t="s">
        <v>33</v>
      </c>
      <c r="Q2233" t="s">
        <v>27</v>
      </c>
    </row>
    <row r="2234" spans="1:17">
      <c r="A2234" t="s">
        <v>3083</v>
      </c>
      <c r="B2234" s="1" t="s">
        <v>509</v>
      </c>
      <c r="C2234" s="1" t="s">
        <v>2752</v>
      </c>
      <c r="D2234" s="1" t="s">
        <v>20</v>
      </c>
      <c r="E2234" t="s">
        <v>424</v>
      </c>
      <c r="F2234" t="s">
        <v>425</v>
      </c>
      <c r="G2234" t="s">
        <v>23</v>
      </c>
      <c r="H2234" t="s">
        <v>46</v>
      </c>
      <c r="I2234" t="s">
        <v>47</v>
      </c>
      <c r="J2234">
        <v>1</v>
      </c>
      <c r="K2234">
        <v>249</v>
      </c>
      <c r="L2234">
        <f>Table1[[#This Row],[Quantity]] * Table1[[#This Row],[UnitPrice]]</f>
        <v>249</v>
      </c>
      <c r="M2234" s="25">
        <v>25</v>
      </c>
      <c r="N2234">
        <f>Table1[[#This Row],[Revenue]]*Table1[[#This Row],[Discount%]]/100</f>
        <v>62.25</v>
      </c>
      <c r="O2234" s="6">
        <f>Table1[[#This Row],[Revenue]]-Table1[[#This Row],[Disc_amount]]</f>
        <v>186.75</v>
      </c>
      <c r="P2234" t="s">
        <v>26</v>
      </c>
      <c r="Q2234" t="s">
        <v>27</v>
      </c>
    </row>
    <row r="2235" spans="1:17">
      <c r="A2235" t="s">
        <v>3084</v>
      </c>
      <c r="B2235" s="1" t="s">
        <v>509</v>
      </c>
      <c r="C2235" s="1" t="s">
        <v>2752</v>
      </c>
      <c r="D2235" s="1" t="s">
        <v>20</v>
      </c>
      <c r="E2235" t="s">
        <v>1422</v>
      </c>
      <c r="F2235" t="s">
        <v>236</v>
      </c>
      <c r="G2235" t="s">
        <v>38</v>
      </c>
      <c r="H2235" t="s">
        <v>57</v>
      </c>
      <c r="I2235" t="s">
        <v>58</v>
      </c>
      <c r="J2235">
        <v>1</v>
      </c>
      <c r="K2235">
        <v>1299</v>
      </c>
      <c r="L2235">
        <f>Table1[[#This Row],[Quantity]] * Table1[[#This Row],[UnitPrice]]</f>
        <v>1299</v>
      </c>
      <c r="M2235" s="25">
        <v>30</v>
      </c>
      <c r="N2235">
        <f>Table1[[#This Row],[Revenue]]*Table1[[#This Row],[Discount%]]/100</f>
        <v>389.7</v>
      </c>
      <c r="O2235" s="6">
        <f>Table1[[#This Row],[Revenue]]-Table1[[#This Row],[Disc_amount]]</f>
        <v>909.3</v>
      </c>
      <c r="P2235" t="s">
        <v>33</v>
      </c>
      <c r="Q2235" t="s">
        <v>27</v>
      </c>
    </row>
    <row r="2236" spans="1:17">
      <c r="A2236" t="s">
        <v>3085</v>
      </c>
      <c r="B2236" s="1" t="s">
        <v>509</v>
      </c>
      <c r="C2236" s="1" t="s">
        <v>2752</v>
      </c>
      <c r="D2236" s="1" t="s">
        <v>20</v>
      </c>
      <c r="E2236" t="s">
        <v>875</v>
      </c>
      <c r="F2236" t="s">
        <v>876</v>
      </c>
      <c r="G2236" t="s">
        <v>23</v>
      </c>
      <c r="H2236" t="s">
        <v>24</v>
      </c>
      <c r="I2236" t="s">
        <v>32</v>
      </c>
      <c r="J2236">
        <v>1</v>
      </c>
      <c r="K2236">
        <v>199</v>
      </c>
      <c r="L2236">
        <f>Table1[[#This Row],[Quantity]] * Table1[[#This Row],[UnitPrice]]</f>
        <v>199</v>
      </c>
      <c r="M2236" s="25">
        <v>15</v>
      </c>
      <c r="N2236">
        <f>Table1[[#This Row],[Revenue]]*Table1[[#This Row],[Discount%]]/100</f>
        <v>29.85</v>
      </c>
      <c r="O2236" s="6">
        <f>Table1[[#This Row],[Revenue]]-Table1[[#This Row],[Disc_amount]]</f>
        <v>169.15</v>
      </c>
      <c r="P2236" t="s">
        <v>41</v>
      </c>
      <c r="Q2236" t="s">
        <v>27</v>
      </c>
    </row>
    <row r="2237" spans="1:17">
      <c r="A2237" t="s">
        <v>3086</v>
      </c>
      <c r="B2237" s="1" t="s">
        <v>509</v>
      </c>
      <c r="C2237" s="1" t="s">
        <v>2752</v>
      </c>
      <c r="D2237" s="1" t="s">
        <v>20</v>
      </c>
      <c r="E2237" t="s">
        <v>1279</v>
      </c>
      <c r="F2237" t="s">
        <v>355</v>
      </c>
      <c r="G2237" t="s">
        <v>38</v>
      </c>
      <c r="H2237" t="s">
        <v>108</v>
      </c>
      <c r="I2237" t="s">
        <v>130</v>
      </c>
      <c r="J2237">
        <v>1</v>
      </c>
      <c r="K2237">
        <v>699</v>
      </c>
      <c r="L2237">
        <f>Table1[[#This Row],[Quantity]] * Table1[[#This Row],[UnitPrice]]</f>
        <v>699</v>
      </c>
      <c r="M2237" s="25">
        <v>5</v>
      </c>
      <c r="N2237">
        <f>Table1[[#This Row],[Revenue]]*Table1[[#This Row],[Discount%]]/100</f>
        <v>34.950000000000003</v>
      </c>
      <c r="O2237" s="6">
        <f>Table1[[#This Row],[Revenue]]-Table1[[#This Row],[Disc_amount]]</f>
        <v>664.05</v>
      </c>
      <c r="P2237" t="s">
        <v>33</v>
      </c>
      <c r="Q2237" t="s">
        <v>34</v>
      </c>
    </row>
    <row r="2238" spans="1:17">
      <c r="A2238" t="s">
        <v>3087</v>
      </c>
      <c r="B2238" s="1" t="s">
        <v>509</v>
      </c>
      <c r="C2238" s="1" t="s">
        <v>2752</v>
      </c>
      <c r="D2238" s="1" t="s">
        <v>20</v>
      </c>
      <c r="E2238" t="s">
        <v>1439</v>
      </c>
      <c r="F2238" t="s">
        <v>195</v>
      </c>
      <c r="G2238" t="s">
        <v>56</v>
      </c>
      <c r="H2238" t="s">
        <v>24</v>
      </c>
      <c r="I2238" t="s">
        <v>32</v>
      </c>
      <c r="J2238">
        <v>2</v>
      </c>
      <c r="K2238">
        <v>199</v>
      </c>
      <c r="L2238">
        <f>Table1[[#This Row],[Quantity]] * Table1[[#This Row],[UnitPrice]]</f>
        <v>398</v>
      </c>
      <c r="M2238" s="25">
        <v>30</v>
      </c>
      <c r="N2238">
        <f>Table1[[#This Row],[Revenue]]*Table1[[#This Row],[Discount%]]/100</f>
        <v>119.4</v>
      </c>
      <c r="O2238" s="6">
        <f>Table1[[#This Row],[Revenue]]-Table1[[#This Row],[Disc_amount]]</f>
        <v>278.60000000000002</v>
      </c>
      <c r="P2238" t="s">
        <v>41</v>
      </c>
      <c r="Q2238" t="s">
        <v>27</v>
      </c>
    </row>
    <row r="2239" spans="1:17">
      <c r="A2239" t="s">
        <v>3088</v>
      </c>
      <c r="B2239" s="1" t="s">
        <v>509</v>
      </c>
      <c r="C2239" s="1" t="s">
        <v>2752</v>
      </c>
      <c r="D2239" s="1" t="s">
        <v>20</v>
      </c>
      <c r="E2239" t="s">
        <v>1549</v>
      </c>
      <c r="F2239" t="s">
        <v>562</v>
      </c>
      <c r="G2239" t="s">
        <v>31</v>
      </c>
      <c r="H2239" t="s">
        <v>24</v>
      </c>
      <c r="I2239" t="s">
        <v>25</v>
      </c>
      <c r="J2239">
        <v>1</v>
      </c>
      <c r="K2239">
        <v>99</v>
      </c>
      <c r="L2239">
        <f>Table1[[#This Row],[Quantity]] * Table1[[#This Row],[UnitPrice]]</f>
        <v>99</v>
      </c>
      <c r="M2239" s="25">
        <v>25</v>
      </c>
      <c r="N2239">
        <f>Table1[[#This Row],[Revenue]]*Table1[[#This Row],[Discount%]]/100</f>
        <v>24.75</v>
      </c>
      <c r="O2239" s="6">
        <f>Table1[[#This Row],[Revenue]]-Table1[[#This Row],[Disc_amount]]</f>
        <v>74.25</v>
      </c>
      <c r="P2239" t="s">
        <v>41</v>
      </c>
      <c r="Q2239" t="s">
        <v>34</v>
      </c>
    </row>
    <row r="2240" spans="1:17">
      <c r="A2240" t="s">
        <v>3089</v>
      </c>
      <c r="B2240" s="1" t="s">
        <v>523</v>
      </c>
      <c r="C2240" s="1" t="s">
        <v>3090</v>
      </c>
      <c r="D2240" s="1" t="s">
        <v>20</v>
      </c>
      <c r="E2240" t="s">
        <v>337</v>
      </c>
      <c r="F2240" t="s">
        <v>338</v>
      </c>
      <c r="G2240" t="s">
        <v>31</v>
      </c>
      <c r="H2240" t="s">
        <v>46</v>
      </c>
      <c r="I2240" t="s">
        <v>47</v>
      </c>
      <c r="J2240">
        <v>1</v>
      </c>
      <c r="K2240">
        <v>249</v>
      </c>
      <c r="L2240">
        <f>Table1[[#This Row],[Quantity]] * Table1[[#This Row],[UnitPrice]]</f>
        <v>249</v>
      </c>
      <c r="M2240" s="25">
        <v>15</v>
      </c>
      <c r="N2240">
        <f>Table1[[#This Row],[Revenue]]*Table1[[#This Row],[Discount%]]/100</f>
        <v>37.35</v>
      </c>
      <c r="O2240" s="6">
        <f>Table1[[#This Row],[Revenue]]-Table1[[#This Row],[Disc_amount]]</f>
        <v>211.65</v>
      </c>
      <c r="P2240" t="s">
        <v>26</v>
      </c>
      <c r="Q2240" t="s">
        <v>27</v>
      </c>
    </row>
    <row r="2241" spans="1:17">
      <c r="A2241" t="s">
        <v>3091</v>
      </c>
      <c r="B2241" s="1" t="s">
        <v>523</v>
      </c>
      <c r="C2241" s="1" t="s">
        <v>3090</v>
      </c>
      <c r="D2241" s="1" t="s">
        <v>20</v>
      </c>
      <c r="E2241" t="s">
        <v>1620</v>
      </c>
      <c r="F2241" t="s">
        <v>836</v>
      </c>
      <c r="G2241" t="s">
        <v>23</v>
      </c>
      <c r="H2241" t="s">
        <v>65</v>
      </c>
      <c r="I2241" t="s">
        <v>98</v>
      </c>
      <c r="J2241">
        <v>1</v>
      </c>
      <c r="K2241">
        <v>499</v>
      </c>
      <c r="L2241">
        <f>Table1[[#This Row],[Quantity]] * Table1[[#This Row],[UnitPrice]]</f>
        <v>499</v>
      </c>
      <c r="M2241" s="25">
        <v>20</v>
      </c>
      <c r="N2241">
        <f>Table1[[#This Row],[Revenue]]*Table1[[#This Row],[Discount%]]/100</f>
        <v>99.8</v>
      </c>
      <c r="O2241" s="6">
        <f>Table1[[#This Row],[Revenue]]-Table1[[#This Row],[Disc_amount]]</f>
        <v>399.2</v>
      </c>
      <c r="P2241" t="s">
        <v>26</v>
      </c>
      <c r="Q2241" t="s">
        <v>34</v>
      </c>
    </row>
    <row r="2242" spans="1:17">
      <c r="A2242" t="s">
        <v>3092</v>
      </c>
      <c r="B2242" s="1" t="s">
        <v>523</v>
      </c>
      <c r="C2242" s="1" t="s">
        <v>3090</v>
      </c>
      <c r="D2242" s="1" t="s">
        <v>20</v>
      </c>
      <c r="E2242" t="s">
        <v>761</v>
      </c>
      <c r="F2242" t="s">
        <v>44</v>
      </c>
      <c r="G2242" t="s">
        <v>56</v>
      </c>
      <c r="H2242" t="s">
        <v>70</v>
      </c>
      <c r="I2242" t="s">
        <v>91</v>
      </c>
      <c r="J2242">
        <v>2</v>
      </c>
      <c r="K2242">
        <v>549</v>
      </c>
      <c r="L2242">
        <f>Table1[[#This Row],[Quantity]] * Table1[[#This Row],[UnitPrice]]</f>
        <v>1098</v>
      </c>
      <c r="M2242" s="25">
        <v>30</v>
      </c>
      <c r="N2242">
        <f>Table1[[#This Row],[Revenue]]*Table1[[#This Row],[Discount%]]/100</f>
        <v>329.4</v>
      </c>
      <c r="O2242" s="6">
        <f>Table1[[#This Row],[Revenue]]-Table1[[#This Row],[Disc_amount]]</f>
        <v>768.6</v>
      </c>
      <c r="P2242" t="s">
        <v>41</v>
      </c>
      <c r="Q2242" t="s">
        <v>27</v>
      </c>
    </row>
    <row r="2243" spans="1:17">
      <c r="A2243" t="s">
        <v>3093</v>
      </c>
      <c r="B2243" s="1" t="s">
        <v>523</v>
      </c>
      <c r="C2243" s="1" t="s">
        <v>3090</v>
      </c>
      <c r="D2243" s="1" t="s">
        <v>20</v>
      </c>
      <c r="E2243" t="s">
        <v>925</v>
      </c>
      <c r="F2243" t="s">
        <v>248</v>
      </c>
      <c r="G2243" t="s">
        <v>56</v>
      </c>
      <c r="H2243" t="s">
        <v>70</v>
      </c>
      <c r="I2243" t="s">
        <v>91</v>
      </c>
      <c r="J2243">
        <v>1</v>
      </c>
      <c r="K2243">
        <v>549</v>
      </c>
      <c r="L2243">
        <f>Table1[[#This Row],[Quantity]] * Table1[[#This Row],[UnitPrice]]</f>
        <v>549</v>
      </c>
      <c r="M2243" s="25">
        <v>10</v>
      </c>
      <c r="N2243">
        <f>Table1[[#This Row],[Revenue]]*Table1[[#This Row],[Discount%]]/100</f>
        <v>54.9</v>
      </c>
      <c r="O2243" s="6">
        <f>Table1[[#This Row],[Revenue]]-Table1[[#This Row],[Disc_amount]]</f>
        <v>494.1</v>
      </c>
      <c r="P2243" t="s">
        <v>86</v>
      </c>
      <c r="Q2243" t="s">
        <v>34</v>
      </c>
    </row>
    <row r="2244" spans="1:17">
      <c r="A2244" t="s">
        <v>3094</v>
      </c>
      <c r="B2244" s="1" t="s">
        <v>523</v>
      </c>
      <c r="C2244" s="1" t="s">
        <v>3090</v>
      </c>
      <c r="D2244" s="1" t="s">
        <v>20</v>
      </c>
      <c r="E2244" t="s">
        <v>561</v>
      </c>
      <c r="F2244" t="s">
        <v>562</v>
      </c>
      <c r="G2244" t="s">
        <v>31</v>
      </c>
      <c r="H2244" t="s">
        <v>65</v>
      </c>
      <c r="I2244" t="s">
        <v>94</v>
      </c>
      <c r="J2244">
        <v>1</v>
      </c>
      <c r="K2244">
        <v>899</v>
      </c>
      <c r="L2244">
        <f>Table1[[#This Row],[Quantity]] * Table1[[#This Row],[UnitPrice]]</f>
        <v>899</v>
      </c>
      <c r="M2244" s="25">
        <v>15</v>
      </c>
      <c r="N2244">
        <f>Table1[[#This Row],[Revenue]]*Table1[[#This Row],[Discount%]]/100</f>
        <v>134.85</v>
      </c>
      <c r="O2244" s="6">
        <f>Table1[[#This Row],[Revenue]]-Table1[[#This Row],[Disc_amount]]</f>
        <v>764.15</v>
      </c>
      <c r="P2244" t="s">
        <v>33</v>
      </c>
      <c r="Q2244" t="s">
        <v>27</v>
      </c>
    </row>
    <row r="2245" spans="1:17">
      <c r="A2245" t="s">
        <v>3095</v>
      </c>
      <c r="B2245" s="1" t="s">
        <v>523</v>
      </c>
      <c r="C2245" s="1" t="s">
        <v>3090</v>
      </c>
      <c r="D2245" s="1" t="s">
        <v>20</v>
      </c>
      <c r="E2245" t="s">
        <v>674</v>
      </c>
      <c r="F2245" t="s">
        <v>675</v>
      </c>
      <c r="G2245" t="s">
        <v>45</v>
      </c>
      <c r="H2245" t="s">
        <v>65</v>
      </c>
      <c r="I2245" t="s">
        <v>66</v>
      </c>
      <c r="J2245">
        <v>2</v>
      </c>
      <c r="K2245">
        <v>1999</v>
      </c>
      <c r="L2245">
        <f>Table1[[#This Row],[Quantity]] * Table1[[#This Row],[UnitPrice]]</f>
        <v>3998</v>
      </c>
      <c r="M2245" s="25">
        <v>10</v>
      </c>
      <c r="N2245">
        <f>Table1[[#This Row],[Revenue]]*Table1[[#This Row],[Discount%]]/100</f>
        <v>399.8</v>
      </c>
      <c r="O2245" s="6">
        <f>Table1[[#This Row],[Revenue]]-Table1[[#This Row],[Disc_amount]]</f>
        <v>3598.2</v>
      </c>
      <c r="P2245" t="s">
        <v>33</v>
      </c>
      <c r="Q2245" t="s">
        <v>27</v>
      </c>
    </row>
    <row r="2246" spans="1:17">
      <c r="A2246" t="s">
        <v>3096</v>
      </c>
      <c r="B2246" s="1" t="s">
        <v>523</v>
      </c>
      <c r="C2246" s="1" t="s">
        <v>3090</v>
      </c>
      <c r="D2246" s="1" t="s">
        <v>20</v>
      </c>
      <c r="E2246" t="s">
        <v>2207</v>
      </c>
      <c r="F2246" t="s">
        <v>2208</v>
      </c>
      <c r="G2246" t="s">
        <v>38</v>
      </c>
      <c r="H2246" t="s">
        <v>39</v>
      </c>
      <c r="I2246" t="s">
        <v>140</v>
      </c>
      <c r="J2246">
        <v>1</v>
      </c>
      <c r="K2246">
        <v>1799</v>
      </c>
      <c r="L2246">
        <f>Table1[[#This Row],[Quantity]] * Table1[[#This Row],[UnitPrice]]</f>
        <v>1799</v>
      </c>
      <c r="M2246" s="25">
        <v>10</v>
      </c>
      <c r="N2246">
        <f>Table1[[#This Row],[Revenue]]*Table1[[#This Row],[Discount%]]/100</f>
        <v>179.9</v>
      </c>
      <c r="O2246" s="6">
        <f>Table1[[#This Row],[Revenue]]-Table1[[#This Row],[Disc_amount]]</f>
        <v>1619.1</v>
      </c>
      <c r="P2246" t="s">
        <v>41</v>
      </c>
      <c r="Q2246" t="s">
        <v>34</v>
      </c>
    </row>
    <row r="2247" spans="1:17">
      <c r="A2247" t="s">
        <v>3097</v>
      </c>
      <c r="B2247" s="1" t="s">
        <v>523</v>
      </c>
      <c r="C2247" s="1" t="s">
        <v>3090</v>
      </c>
      <c r="D2247" s="1" t="s">
        <v>20</v>
      </c>
      <c r="E2247" t="s">
        <v>1257</v>
      </c>
      <c r="F2247" t="s">
        <v>248</v>
      </c>
      <c r="G2247" t="s">
        <v>23</v>
      </c>
      <c r="H2247" t="s">
        <v>70</v>
      </c>
      <c r="I2247" t="s">
        <v>71</v>
      </c>
      <c r="J2247">
        <v>2</v>
      </c>
      <c r="K2247">
        <v>349</v>
      </c>
      <c r="L2247">
        <f>Table1[[#This Row],[Quantity]] * Table1[[#This Row],[UnitPrice]]</f>
        <v>698</v>
      </c>
      <c r="M2247" s="25">
        <v>10</v>
      </c>
      <c r="N2247">
        <f>Table1[[#This Row],[Revenue]]*Table1[[#This Row],[Discount%]]/100</f>
        <v>69.8</v>
      </c>
      <c r="O2247" s="6">
        <f>Table1[[#This Row],[Revenue]]-Table1[[#This Row],[Disc_amount]]</f>
        <v>628.20000000000005</v>
      </c>
      <c r="P2247" t="s">
        <v>26</v>
      </c>
      <c r="Q2247" t="s">
        <v>27</v>
      </c>
    </row>
    <row r="2248" spans="1:17">
      <c r="A2248" t="s">
        <v>3098</v>
      </c>
      <c r="B2248" s="1" t="s">
        <v>523</v>
      </c>
      <c r="C2248" s="1" t="s">
        <v>3090</v>
      </c>
      <c r="D2248" s="1" t="s">
        <v>20</v>
      </c>
      <c r="E2248" t="s">
        <v>1019</v>
      </c>
      <c r="F2248" t="s">
        <v>1020</v>
      </c>
      <c r="G2248" t="s">
        <v>45</v>
      </c>
      <c r="H2248" t="s">
        <v>65</v>
      </c>
      <c r="I2248" t="s">
        <v>98</v>
      </c>
      <c r="J2248">
        <v>1</v>
      </c>
      <c r="K2248">
        <v>499</v>
      </c>
      <c r="L2248">
        <f>Table1[[#This Row],[Quantity]] * Table1[[#This Row],[UnitPrice]]</f>
        <v>499</v>
      </c>
      <c r="M2248" s="25">
        <v>25</v>
      </c>
      <c r="N2248">
        <f>Table1[[#This Row],[Revenue]]*Table1[[#This Row],[Discount%]]/100</f>
        <v>124.75</v>
      </c>
      <c r="O2248" s="6">
        <f>Table1[[#This Row],[Revenue]]-Table1[[#This Row],[Disc_amount]]</f>
        <v>374.25</v>
      </c>
      <c r="P2248" t="s">
        <v>52</v>
      </c>
      <c r="Q2248" t="s">
        <v>27</v>
      </c>
    </row>
    <row r="2249" spans="1:17">
      <c r="A2249" t="s">
        <v>3099</v>
      </c>
      <c r="B2249" s="1" t="s">
        <v>523</v>
      </c>
      <c r="C2249" s="1" t="s">
        <v>3090</v>
      </c>
      <c r="D2249" s="1" t="s">
        <v>20</v>
      </c>
      <c r="E2249" t="s">
        <v>453</v>
      </c>
      <c r="F2249" t="s">
        <v>454</v>
      </c>
      <c r="G2249" t="s">
        <v>31</v>
      </c>
      <c r="H2249" t="s">
        <v>24</v>
      </c>
      <c r="I2249" t="s">
        <v>25</v>
      </c>
      <c r="J2249">
        <v>3</v>
      </c>
      <c r="K2249">
        <v>99</v>
      </c>
      <c r="L2249">
        <f>Table1[[#This Row],[Quantity]] * Table1[[#This Row],[UnitPrice]]</f>
        <v>297</v>
      </c>
      <c r="M2249" s="25">
        <v>25</v>
      </c>
      <c r="N2249">
        <f>Table1[[#This Row],[Revenue]]*Table1[[#This Row],[Discount%]]/100</f>
        <v>74.25</v>
      </c>
      <c r="O2249" s="6">
        <f>Table1[[#This Row],[Revenue]]-Table1[[#This Row],[Disc_amount]]</f>
        <v>222.75</v>
      </c>
      <c r="P2249" t="s">
        <v>52</v>
      </c>
      <c r="Q2249" t="s">
        <v>27</v>
      </c>
    </row>
    <row r="2250" spans="1:17">
      <c r="A2250" t="s">
        <v>3100</v>
      </c>
      <c r="B2250" s="1" t="s">
        <v>523</v>
      </c>
      <c r="C2250" s="1" t="s">
        <v>3090</v>
      </c>
      <c r="D2250" s="1" t="s">
        <v>20</v>
      </c>
      <c r="E2250" t="s">
        <v>469</v>
      </c>
      <c r="F2250" t="s">
        <v>470</v>
      </c>
      <c r="G2250" t="s">
        <v>56</v>
      </c>
      <c r="H2250" t="s">
        <v>70</v>
      </c>
      <c r="I2250" t="s">
        <v>71</v>
      </c>
      <c r="J2250">
        <v>2</v>
      </c>
      <c r="K2250">
        <v>349</v>
      </c>
      <c r="L2250">
        <f>Table1[[#This Row],[Quantity]] * Table1[[#This Row],[UnitPrice]]</f>
        <v>698</v>
      </c>
      <c r="M2250" s="25">
        <v>25</v>
      </c>
      <c r="N2250">
        <f>Table1[[#This Row],[Revenue]]*Table1[[#This Row],[Discount%]]/100</f>
        <v>174.5</v>
      </c>
      <c r="O2250" s="6">
        <f>Table1[[#This Row],[Revenue]]-Table1[[#This Row],[Disc_amount]]</f>
        <v>523.5</v>
      </c>
      <c r="P2250" t="s">
        <v>41</v>
      </c>
      <c r="Q2250" t="s">
        <v>27</v>
      </c>
    </row>
    <row r="2251" spans="1:17">
      <c r="A2251" t="s">
        <v>3101</v>
      </c>
      <c r="B2251" s="1" t="s">
        <v>523</v>
      </c>
      <c r="C2251" s="1" t="s">
        <v>3090</v>
      </c>
      <c r="D2251" s="1" t="s">
        <v>20</v>
      </c>
      <c r="E2251" t="s">
        <v>292</v>
      </c>
      <c r="F2251" t="s">
        <v>129</v>
      </c>
      <c r="G2251" t="s">
        <v>31</v>
      </c>
      <c r="H2251" t="s">
        <v>24</v>
      </c>
      <c r="I2251" t="s">
        <v>32</v>
      </c>
      <c r="J2251">
        <v>2</v>
      </c>
      <c r="K2251">
        <v>199</v>
      </c>
      <c r="L2251">
        <f>Table1[[#This Row],[Quantity]] * Table1[[#This Row],[UnitPrice]]</f>
        <v>398</v>
      </c>
      <c r="M2251" s="25">
        <v>30</v>
      </c>
      <c r="N2251">
        <f>Table1[[#This Row],[Revenue]]*Table1[[#This Row],[Discount%]]/100</f>
        <v>119.4</v>
      </c>
      <c r="O2251" s="6">
        <f>Table1[[#This Row],[Revenue]]-Table1[[#This Row],[Disc_amount]]</f>
        <v>278.60000000000002</v>
      </c>
      <c r="P2251" t="s">
        <v>52</v>
      </c>
      <c r="Q2251" t="s">
        <v>27</v>
      </c>
    </row>
    <row r="2252" spans="1:17">
      <c r="A2252" t="s">
        <v>3102</v>
      </c>
      <c r="B2252" s="1" t="s">
        <v>523</v>
      </c>
      <c r="C2252" s="1" t="s">
        <v>3090</v>
      </c>
      <c r="D2252" s="1" t="s">
        <v>20</v>
      </c>
      <c r="E2252" t="s">
        <v>758</v>
      </c>
      <c r="F2252" t="s">
        <v>759</v>
      </c>
      <c r="G2252" t="s">
        <v>23</v>
      </c>
      <c r="H2252" t="s">
        <v>57</v>
      </c>
      <c r="I2252" t="s">
        <v>62</v>
      </c>
      <c r="J2252">
        <v>1</v>
      </c>
      <c r="K2252">
        <v>799</v>
      </c>
      <c r="L2252">
        <f>Table1[[#This Row],[Quantity]] * Table1[[#This Row],[UnitPrice]]</f>
        <v>799</v>
      </c>
      <c r="M2252" s="25">
        <v>15</v>
      </c>
      <c r="N2252">
        <f>Table1[[#This Row],[Revenue]]*Table1[[#This Row],[Discount%]]/100</f>
        <v>119.85</v>
      </c>
      <c r="O2252" s="6">
        <f>Table1[[#This Row],[Revenue]]-Table1[[#This Row],[Disc_amount]]</f>
        <v>679.15</v>
      </c>
      <c r="P2252" t="s">
        <v>26</v>
      </c>
      <c r="Q2252" t="s">
        <v>34</v>
      </c>
    </row>
    <row r="2253" spans="1:17">
      <c r="A2253" t="s">
        <v>3103</v>
      </c>
      <c r="B2253" s="1" t="s">
        <v>523</v>
      </c>
      <c r="C2253" s="1" t="s">
        <v>3090</v>
      </c>
      <c r="D2253" s="1" t="s">
        <v>20</v>
      </c>
      <c r="E2253" t="s">
        <v>1061</v>
      </c>
      <c r="F2253" t="s">
        <v>1062</v>
      </c>
      <c r="G2253" t="s">
        <v>38</v>
      </c>
      <c r="H2253" t="s">
        <v>108</v>
      </c>
      <c r="I2253" t="s">
        <v>130</v>
      </c>
      <c r="J2253">
        <v>1</v>
      </c>
      <c r="K2253">
        <v>699</v>
      </c>
      <c r="L2253">
        <f>Table1[[#This Row],[Quantity]] * Table1[[#This Row],[UnitPrice]]</f>
        <v>699</v>
      </c>
      <c r="M2253" s="25">
        <v>25</v>
      </c>
      <c r="N2253">
        <f>Table1[[#This Row],[Revenue]]*Table1[[#This Row],[Discount%]]/100</f>
        <v>174.75</v>
      </c>
      <c r="O2253" s="6">
        <f>Table1[[#This Row],[Revenue]]-Table1[[#This Row],[Disc_amount]]</f>
        <v>524.25</v>
      </c>
      <c r="P2253" t="s">
        <v>41</v>
      </c>
      <c r="Q2253" t="s">
        <v>27</v>
      </c>
    </row>
    <row r="2254" spans="1:17">
      <c r="A2254" t="s">
        <v>3104</v>
      </c>
      <c r="B2254" s="1" t="s">
        <v>523</v>
      </c>
      <c r="C2254" s="1" t="s">
        <v>3090</v>
      </c>
      <c r="D2254" s="1" t="s">
        <v>20</v>
      </c>
      <c r="E2254" t="s">
        <v>1364</v>
      </c>
      <c r="F2254" t="s">
        <v>326</v>
      </c>
      <c r="G2254" t="s">
        <v>45</v>
      </c>
      <c r="H2254" t="s">
        <v>65</v>
      </c>
      <c r="I2254" t="s">
        <v>98</v>
      </c>
      <c r="J2254">
        <v>2</v>
      </c>
      <c r="K2254">
        <v>499</v>
      </c>
      <c r="L2254">
        <f>Table1[[#This Row],[Quantity]] * Table1[[#This Row],[UnitPrice]]</f>
        <v>998</v>
      </c>
      <c r="M2254" s="25">
        <v>30</v>
      </c>
      <c r="N2254">
        <f>Table1[[#This Row],[Revenue]]*Table1[[#This Row],[Discount%]]/100</f>
        <v>299.39999999999998</v>
      </c>
      <c r="O2254" s="6">
        <f>Table1[[#This Row],[Revenue]]-Table1[[#This Row],[Disc_amount]]</f>
        <v>698.6</v>
      </c>
      <c r="P2254" t="s">
        <v>26</v>
      </c>
      <c r="Q2254" t="s">
        <v>27</v>
      </c>
    </row>
    <row r="2255" spans="1:17">
      <c r="A2255" t="s">
        <v>3105</v>
      </c>
      <c r="B2255" s="1" t="s">
        <v>538</v>
      </c>
      <c r="C2255" s="1" t="s">
        <v>3090</v>
      </c>
      <c r="D2255" s="1" t="s">
        <v>20</v>
      </c>
      <c r="E2255" t="s">
        <v>2042</v>
      </c>
      <c r="F2255" t="s">
        <v>160</v>
      </c>
      <c r="G2255" t="s">
        <v>23</v>
      </c>
      <c r="H2255" t="s">
        <v>46</v>
      </c>
      <c r="I2255" t="s">
        <v>47</v>
      </c>
      <c r="J2255">
        <v>2</v>
      </c>
      <c r="K2255">
        <v>249</v>
      </c>
      <c r="L2255">
        <f>Table1[[#This Row],[Quantity]] * Table1[[#This Row],[UnitPrice]]</f>
        <v>498</v>
      </c>
      <c r="M2255" s="25">
        <v>20</v>
      </c>
      <c r="N2255">
        <f>Table1[[#This Row],[Revenue]]*Table1[[#This Row],[Discount%]]/100</f>
        <v>99.6</v>
      </c>
      <c r="O2255" s="6">
        <f>Table1[[#This Row],[Revenue]]-Table1[[#This Row],[Disc_amount]]</f>
        <v>398.4</v>
      </c>
      <c r="P2255" t="s">
        <v>41</v>
      </c>
      <c r="Q2255" t="s">
        <v>34</v>
      </c>
    </row>
    <row r="2256" spans="1:17">
      <c r="A2256" t="s">
        <v>3106</v>
      </c>
      <c r="B2256" s="1" t="s">
        <v>538</v>
      </c>
      <c r="C2256" s="1" t="s">
        <v>3090</v>
      </c>
      <c r="D2256" s="1" t="s">
        <v>20</v>
      </c>
      <c r="E2256" t="s">
        <v>583</v>
      </c>
      <c r="F2256" t="s">
        <v>584</v>
      </c>
      <c r="G2256" t="s">
        <v>23</v>
      </c>
      <c r="H2256" t="s">
        <v>65</v>
      </c>
      <c r="I2256" t="s">
        <v>98</v>
      </c>
      <c r="J2256">
        <v>3</v>
      </c>
      <c r="K2256">
        <v>499</v>
      </c>
      <c r="L2256">
        <f>Table1[[#This Row],[Quantity]] * Table1[[#This Row],[UnitPrice]]</f>
        <v>1497</v>
      </c>
      <c r="M2256" s="25">
        <v>25</v>
      </c>
      <c r="N2256">
        <f>Table1[[#This Row],[Revenue]]*Table1[[#This Row],[Discount%]]/100</f>
        <v>374.25</v>
      </c>
      <c r="O2256" s="6">
        <f>Table1[[#This Row],[Revenue]]-Table1[[#This Row],[Disc_amount]]</f>
        <v>1122.75</v>
      </c>
      <c r="P2256" t="s">
        <v>33</v>
      </c>
      <c r="Q2256" t="s">
        <v>27</v>
      </c>
    </row>
    <row r="2257" spans="1:17">
      <c r="A2257" t="s">
        <v>3107</v>
      </c>
      <c r="B2257" s="1" t="s">
        <v>538</v>
      </c>
      <c r="C2257" s="1" t="s">
        <v>3090</v>
      </c>
      <c r="D2257" s="1" t="s">
        <v>20</v>
      </c>
      <c r="E2257" t="s">
        <v>993</v>
      </c>
      <c r="F2257" t="s">
        <v>203</v>
      </c>
      <c r="G2257" t="s">
        <v>56</v>
      </c>
      <c r="H2257" t="s">
        <v>46</v>
      </c>
      <c r="I2257" t="s">
        <v>154</v>
      </c>
      <c r="J2257">
        <v>3</v>
      </c>
      <c r="K2257">
        <v>299</v>
      </c>
      <c r="L2257">
        <f>Table1[[#This Row],[Quantity]] * Table1[[#This Row],[UnitPrice]]</f>
        <v>897</v>
      </c>
      <c r="M2257" s="25">
        <v>20</v>
      </c>
      <c r="N2257">
        <f>Table1[[#This Row],[Revenue]]*Table1[[#This Row],[Discount%]]/100</f>
        <v>179.4</v>
      </c>
      <c r="O2257" s="6">
        <f>Table1[[#This Row],[Revenue]]-Table1[[#This Row],[Disc_amount]]</f>
        <v>717.6</v>
      </c>
      <c r="P2257" t="s">
        <v>26</v>
      </c>
      <c r="Q2257" t="s">
        <v>27</v>
      </c>
    </row>
    <row r="2258" spans="1:17">
      <c r="A2258" t="s">
        <v>3108</v>
      </c>
      <c r="B2258" s="1" t="s">
        <v>538</v>
      </c>
      <c r="C2258" s="1" t="s">
        <v>3090</v>
      </c>
      <c r="D2258" s="1" t="s">
        <v>20</v>
      </c>
      <c r="E2258" t="s">
        <v>964</v>
      </c>
      <c r="F2258" t="s">
        <v>265</v>
      </c>
      <c r="G2258" t="s">
        <v>56</v>
      </c>
      <c r="H2258" t="s">
        <v>70</v>
      </c>
      <c r="I2258" t="s">
        <v>91</v>
      </c>
      <c r="J2258">
        <v>3</v>
      </c>
      <c r="K2258">
        <v>549</v>
      </c>
      <c r="L2258">
        <f>Table1[[#This Row],[Quantity]] * Table1[[#This Row],[UnitPrice]]</f>
        <v>1647</v>
      </c>
      <c r="M2258" s="25">
        <v>15</v>
      </c>
      <c r="N2258">
        <f>Table1[[#This Row],[Revenue]]*Table1[[#This Row],[Discount%]]/100</f>
        <v>247.05</v>
      </c>
      <c r="O2258" s="6">
        <f>Table1[[#This Row],[Revenue]]-Table1[[#This Row],[Disc_amount]]</f>
        <v>1399.95</v>
      </c>
      <c r="P2258" t="s">
        <v>86</v>
      </c>
      <c r="Q2258" t="s">
        <v>27</v>
      </c>
    </row>
    <row r="2259" spans="1:17">
      <c r="A2259" t="s">
        <v>3109</v>
      </c>
      <c r="B2259" s="1" t="s">
        <v>538</v>
      </c>
      <c r="C2259" s="1" t="s">
        <v>3090</v>
      </c>
      <c r="D2259" s="1" t="s">
        <v>20</v>
      </c>
      <c r="E2259" t="s">
        <v>954</v>
      </c>
      <c r="F2259" t="s">
        <v>569</v>
      </c>
      <c r="G2259" t="s">
        <v>45</v>
      </c>
      <c r="H2259" t="s">
        <v>24</v>
      </c>
      <c r="I2259" t="s">
        <v>32</v>
      </c>
      <c r="J2259">
        <v>2</v>
      </c>
      <c r="K2259">
        <v>199</v>
      </c>
      <c r="L2259">
        <f>Table1[[#This Row],[Quantity]] * Table1[[#This Row],[UnitPrice]]</f>
        <v>398</v>
      </c>
      <c r="M2259" s="25">
        <v>0</v>
      </c>
      <c r="N2259">
        <f>Table1[[#This Row],[Revenue]]*Table1[[#This Row],[Discount%]]/100</f>
        <v>0</v>
      </c>
      <c r="O2259" s="6">
        <f>Table1[[#This Row],[Revenue]]-Table1[[#This Row],[Disc_amount]]</f>
        <v>398</v>
      </c>
      <c r="P2259" t="s">
        <v>33</v>
      </c>
      <c r="Q2259" t="s">
        <v>27</v>
      </c>
    </row>
    <row r="2260" spans="1:17">
      <c r="A2260" t="s">
        <v>3110</v>
      </c>
      <c r="B2260" s="1" t="s">
        <v>538</v>
      </c>
      <c r="C2260" s="1" t="s">
        <v>3090</v>
      </c>
      <c r="D2260" s="1" t="s">
        <v>20</v>
      </c>
      <c r="E2260" t="s">
        <v>215</v>
      </c>
      <c r="F2260" t="s">
        <v>90</v>
      </c>
      <c r="G2260" t="s">
        <v>45</v>
      </c>
      <c r="H2260" t="s">
        <v>24</v>
      </c>
      <c r="I2260" t="s">
        <v>25</v>
      </c>
      <c r="J2260">
        <v>1</v>
      </c>
      <c r="K2260">
        <v>99</v>
      </c>
      <c r="L2260">
        <f>Table1[[#This Row],[Quantity]] * Table1[[#This Row],[UnitPrice]]</f>
        <v>99</v>
      </c>
      <c r="M2260" s="25">
        <v>30</v>
      </c>
      <c r="N2260">
        <f>Table1[[#This Row],[Revenue]]*Table1[[#This Row],[Discount%]]/100</f>
        <v>29.7</v>
      </c>
      <c r="O2260" s="6">
        <f>Table1[[#This Row],[Revenue]]-Table1[[#This Row],[Disc_amount]]</f>
        <v>69.3</v>
      </c>
      <c r="P2260" t="s">
        <v>52</v>
      </c>
      <c r="Q2260" t="s">
        <v>27</v>
      </c>
    </row>
    <row r="2261" spans="1:17">
      <c r="A2261" t="s">
        <v>3111</v>
      </c>
      <c r="B2261" s="1" t="s">
        <v>538</v>
      </c>
      <c r="C2261" s="1" t="s">
        <v>3090</v>
      </c>
      <c r="D2261" s="1" t="s">
        <v>20</v>
      </c>
      <c r="E2261" t="s">
        <v>2326</v>
      </c>
      <c r="F2261" t="s">
        <v>129</v>
      </c>
      <c r="G2261" t="s">
        <v>31</v>
      </c>
      <c r="H2261" t="s">
        <v>24</v>
      </c>
      <c r="I2261" t="s">
        <v>25</v>
      </c>
      <c r="J2261">
        <v>1</v>
      </c>
      <c r="K2261">
        <v>99</v>
      </c>
      <c r="L2261">
        <f>Table1[[#This Row],[Quantity]] * Table1[[#This Row],[UnitPrice]]</f>
        <v>99</v>
      </c>
      <c r="M2261" s="25">
        <v>10</v>
      </c>
      <c r="N2261">
        <f>Table1[[#This Row],[Revenue]]*Table1[[#This Row],[Discount%]]/100</f>
        <v>9.9</v>
      </c>
      <c r="O2261" s="6">
        <f>Table1[[#This Row],[Revenue]]-Table1[[#This Row],[Disc_amount]]</f>
        <v>89.1</v>
      </c>
      <c r="P2261" t="s">
        <v>26</v>
      </c>
      <c r="Q2261" t="s">
        <v>27</v>
      </c>
    </row>
    <row r="2262" spans="1:17">
      <c r="A2262" t="s">
        <v>3112</v>
      </c>
      <c r="B2262" s="1" t="s">
        <v>538</v>
      </c>
      <c r="C2262" s="1" t="s">
        <v>3090</v>
      </c>
      <c r="D2262" s="1" t="s">
        <v>20</v>
      </c>
      <c r="E2262" t="s">
        <v>1099</v>
      </c>
      <c r="F2262" t="s">
        <v>465</v>
      </c>
      <c r="G2262" t="s">
        <v>45</v>
      </c>
      <c r="H2262" t="s">
        <v>108</v>
      </c>
      <c r="I2262" t="s">
        <v>130</v>
      </c>
      <c r="J2262">
        <v>2</v>
      </c>
      <c r="K2262">
        <v>699</v>
      </c>
      <c r="L2262">
        <f>Table1[[#This Row],[Quantity]] * Table1[[#This Row],[UnitPrice]]</f>
        <v>1398</v>
      </c>
      <c r="M2262" s="25">
        <v>0</v>
      </c>
      <c r="N2262">
        <f>Table1[[#This Row],[Revenue]]*Table1[[#This Row],[Discount%]]/100</f>
        <v>0</v>
      </c>
      <c r="O2262" s="6">
        <f>Table1[[#This Row],[Revenue]]-Table1[[#This Row],[Disc_amount]]</f>
        <v>1398</v>
      </c>
      <c r="P2262" t="s">
        <v>41</v>
      </c>
      <c r="Q2262" t="s">
        <v>27</v>
      </c>
    </row>
    <row r="2263" spans="1:17">
      <c r="A2263" t="s">
        <v>3113</v>
      </c>
      <c r="B2263" s="1" t="s">
        <v>538</v>
      </c>
      <c r="C2263" s="1" t="s">
        <v>3090</v>
      </c>
      <c r="D2263" s="1" t="s">
        <v>20</v>
      </c>
      <c r="E2263" t="s">
        <v>1201</v>
      </c>
      <c r="F2263" t="s">
        <v>323</v>
      </c>
      <c r="G2263" t="s">
        <v>23</v>
      </c>
      <c r="H2263" t="s">
        <v>57</v>
      </c>
      <c r="I2263" t="s">
        <v>58</v>
      </c>
      <c r="J2263">
        <v>4</v>
      </c>
      <c r="K2263">
        <v>1299</v>
      </c>
      <c r="L2263">
        <f>Table1[[#This Row],[Quantity]] * Table1[[#This Row],[UnitPrice]]</f>
        <v>5196</v>
      </c>
      <c r="M2263" s="25">
        <v>5</v>
      </c>
      <c r="N2263">
        <f>Table1[[#This Row],[Revenue]]*Table1[[#This Row],[Discount%]]/100</f>
        <v>259.8</v>
      </c>
      <c r="O2263" s="6">
        <f>Table1[[#This Row],[Revenue]]-Table1[[#This Row],[Disc_amount]]</f>
        <v>4936.2</v>
      </c>
      <c r="P2263" t="s">
        <v>52</v>
      </c>
      <c r="Q2263" t="s">
        <v>34</v>
      </c>
    </row>
    <row r="2264" spans="1:17">
      <c r="A2264" t="s">
        <v>3114</v>
      </c>
      <c r="B2264" s="1" t="s">
        <v>538</v>
      </c>
      <c r="C2264" s="1" t="s">
        <v>3090</v>
      </c>
      <c r="D2264" s="1" t="s">
        <v>20</v>
      </c>
      <c r="E2264" t="s">
        <v>1578</v>
      </c>
      <c r="F2264" t="s">
        <v>44</v>
      </c>
      <c r="G2264" t="s">
        <v>38</v>
      </c>
      <c r="H2264" t="s">
        <v>46</v>
      </c>
      <c r="I2264" t="s">
        <v>154</v>
      </c>
      <c r="J2264">
        <v>1</v>
      </c>
      <c r="K2264">
        <v>299</v>
      </c>
      <c r="L2264">
        <f>Table1[[#This Row],[Quantity]] * Table1[[#This Row],[UnitPrice]]</f>
        <v>299</v>
      </c>
      <c r="M2264" s="25">
        <v>30</v>
      </c>
      <c r="N2264">
        <f>Table1[[#This Row],[Revenue]]*Table1[[#This Row],[Discount%]]/100</f>
        <v>89.7</v>
      </c>
      <c r="O2264" s="6">
        <f>Table1[[#This Row],[Revenue]]-Table1[[#This Row],[Disc_amount]]</f>
        <v>209.3</v>
      </c>
      <c r="P2264" t="s">
        <v>41</v>
      </c>
      <c r="Q2264" t="s">
        <v>27</v>
      </c>
    </row>
    <row r="2265" spans="1:17">
      <c r="A2265" t="s">
        <v>3115</v>
      </c>
      <c r="B2265" s="1" t="s">
        <v>538</v>
      </c>
      <c r="C2265" s="1" t="s">
        <v>3090</v>
      </c>
      <c r="D2265" s="1" t="s">
        <v>20</v>
      </c>
      <c r="E2265" t="s">
        <v>271</v>
      </c>
      <c r="F2265" t="s">
        <v>272</v>
      </c>
      <c r="G2265" t="s">
        <v>56</v>
      </c>
      <c r="H2265" t="s">
        <v>39</v>
      </c>
      <c r="I2265" t="s">
        <v>51</v>
      </c>
      <c r="J2265">
        <v>1</v>
      </c>
      <c r="K2265">
        <v>2999</v>
      </c>
      <c r="L2265">
        <f>Table1[[#This Row],[Quantity]] * Table1[[#This Row],[UnitPrice]]</f>
        <v>2999</v>
      </c>
      <c r="M2265" s="25">
        <v>10</v>
      </c>
      <c r="N2265">
        <f>Table1[[#This Row],[Revenue]]*Table1[[#This Row],[Discount%]]/100</f>
        <v>299.89999999999998</v>
      </c>
      <c r="O2265" s="6">
        <f>Table1[[#This Row],[Revenue]]-Table1[[#This Row],[Disc_amount]]</f>
        <v>2699.1</v>
      </c>
      <c r="P2265" t="s">
        <v>52</v>
      </c>
      <c r="Q2265" t="s">
        <v>34</v>
      </c>
    </row>
    <row r="2266" spans="1:17">
      <c r="A2266" t="s">
        <v>3116</v>
      </c>
      <c r="B2266" s="1" t="s">
        <v>538</v>
      </c>
      <c r="C2266" s="1" t="s">
        <v>3090</v>
      </c>
      <c r="D2266" s="1" t="s">
        <v>20</v>
      </c>
      <c r="E2266" t="s">
        <v>2024</v>
      </c>
      <c r="F2266" t="s">
        <v>2025</v>
      </c>
      <c r="G2266" t="s">
        <v>56</v>
      </c>
      <c r="H2266" t="s">
        <v>24</v>
      </c>
      <c r="I2266" t="s">
        <v>25</v>
      </c>
      <c r="J2266">
        <v>3</v>
      </c>
      <c r="K2266">
        <v>99</v>
      </c>
      <c r="L2266">
        <f>Table1[[#This Row],[Quantity]] * Table1[[#This Row],[UnitPrice]]</f>
        <v>297</v>
      </c>
      <c r="M2266" s="25">
        <v>10</v>
      </c>
      <c r="N2266">
        <f>Table1[[#This Row],[Revenue]]*Table1[[#This Row],[Discount%]]/100</f>
        <v>29.7</v>
      </c>
      <c r="O2266" s="6">
        <f>Table1[[#This Row],[Revenue]]-Table1[[#This Row],[Disc_amount]]</f>
        <v>267.3</v>
      </c>
      <c r="P2266" t="s">
        <v>52</v>
      </c>
      <c r="Q2266" t="s">
        <v>34</v>
      </c>
    </row>
    <row r="2267" spans="1:17">
      <c r="A2267" t="s">
        <v>3117</v>
      </c>
      <c r="B2267" s="1" t="s">
        <v>544</v>
      </c>
      <c r="C2267" s="1" t="s">
        <v>3090</v>
      </c>
      <c r="D2267" s="1" t="s">
        <v>20</v>
      </c>
      <c r="E2267" t="s">
        <v>986</v>
      </c>
      <c r="F2267" t="s">
        <v>209</v>
      </c>
      <c r="G2267" t="s">
        <v>31</v>
      </c>
      <c r="H2267" t="s">
        <v>39</v>
      </c>
      <c r="I2267" t="s">
        <v>40</v>
      </c>
      <c r="J2267">
        <v>1</v>
      </c>
      <c r="K2267">
        <v>599</v>
      </c>
      <c r="L2267">
        <f>Table1[[#This Row],[Quantity]] * Table1[[#This Row],[UnitPrice]]</f>
        <v>599</v>
      </c>
      <c r="M2267" s="25">
        <v>20</v>
      </c>
      <c r="N2267">
        <f>Table1[[#This Row],[Revenue]]*Table1[[#This Row],[Discount%]]/100</f>
        <v>119.8</v>
      </c>
      <c r="O2267" s="6">
        <f>Table1[[#This Row],[Revenue]]-Table1[[#This Row],[Disc_amount]]</f>
        <v>479.2</v>
      </c>
      <c r="P2267" t="s">
        <v>86</v>
      </c>
      <c r="Q2267" t="s">
        <v>27</v>
      </c>
    </row>
    <row r="2268" spans="1:17">
      <c r="A2268" t="s">
        <v>3118</v>
      </c>
      <c r="B2268" s="1" t="s">
        <v>544</v>
      </c>
      <c r="C2268" s="1" t="s">
        <v>3090</v>
      </c>
      <c r="D2268" s="1" t="s">
        <v>20</v>
      </c>
      <c r="E2268" t="s">
        <v>1298</v>
      </c>
      <c r="F2268" t="s">
        <v>384</v>
      </c>
      <c r="G2268" t="s">
        <v>45</v>
      </c>
      <c r="H2268" t="s">
        <v>65</v>
      </c>
      <c r="I2268" t="s">
        <v>98</v>
      </c>
      <c r="J2268">
        <v>2</v>
      </c>
      <c r="K2268">
        <v>499</v>
      </c>
      <c r="L2268">
        <f>Table1[[#This Row],[Quantity]] * Table1[[#This Row],[UnitPrice]]</f>
        <v>998</v>
      </c>
      <c r="M2268" s="25">
        <v>15</v>
      </c>
      <c r="N2268">
        <f>Table1[[#This Row],[Revenue]]*Table1[[#This Row],[Discount%]]/100</f>
        <v>149.69999999999999</v>
      </c>
      <c r="O2268" s="6">
        <f>Table1[[#This Row],[Revenue]]-Table1[[#This Row],[Disc_amount]]</f>
        <v>848.3</v>
      </c>
      <c r="P2268" t="s">
        <v>41</v>
      </c>
      <c r="Q2268" t="s">
        <v>34</v>
      </c>
    </row>
    <row r="2269" spans="1:17">
      <c r="A2269" t="s">
        <v>3119</v>
      </c>
      <c r="B2269" s="1" t="s">
        <v>544</v>
      </c>
      <c r="C2269" s="1" t="s">
        <v>3090</v>
      </c>
      <c r="D2269" s="1" t="s">
        <v>20</v>
      </c>
      <c r="E2269" t="s">
        <v>503</v>
      </c>
      <c r="F2269" t="s">
        <v>504</v>
      </c>
      <c r="G2269" t="s">
        <v>38</v>
      </c>
      <c r="H2269" t="s">
        <v>39</v>
      </c>
      <c r="I2269" t="s">
        <v>51</v>
      </c>
      <c r="J2269">
        <v>3</v>
      </c>
      <c r="K2269">
        <v>2999</v>
      </c>
      <c r="L2269">
        <f>Table1[[#This Row],[Quantity]] * Table1[[#This Row],[UnitPrice]]</f>
        <v>8997</v>
      </c>
      <c r="M2269" s="25">
        <v>0</v>
      </c>
      <c r="N2269">
        <f>Table1[[#This Row],[Revenue]]*Table1[[#This Row],[Discount%]]/100</f>
        <v>0</v>
      </c>
      <c r="O2269" s="6">
        <f>Table1[[#This Row],[Revenue]]-Table1[[#This Row],[Disc_amount]]</f>
        <v>8997</v>
      </c>
      <c r="P2269" t="s">
        <v>86</v>
      </c>
      <c r="Q2269" t="s">
        <v>27</v>
      </c>
    </row>
    <row r="2270" spans="1:17">
      <c r="A2270" t="s">
        <v>3120</v>
      </c>
      <c r="B2270" s="1" t="s">
        <v>544</v>
      </c>
      <c r="C2270" s="1" t="s">
        <v>3090</v>
      </c>
      <c r="D2270" s="1" t="s">
        <v>20</v>
      </c>
      <c r="E2270" t="s">
        <v>531</v>
      </c>
      <c r="F2270" t="s">
        <v>295</v>
      </c>
      <c r="G2270" t="s">
        <v>31</v>
      </c>
      <c r="H2270" t="s">
        <v>57</v>
      </c>
      <c r="I2270" t="s">
        <v>62</v>
      </c>
      <c r="J2270">
        <v>1</v>
      </c>
      <c r="K2270">
        <v>799</v>
      </c>
      <c r="L2270">
        <f>Table1[[#This Row],[Quantity]] * Table1[[#This Row],[UnitPrice]]</f>
        <v>799</v>
      </c>
      <c r="M2270" s="25">
        <v>15</v>
      </c>
      <c r="N2270">
        <f>Table1[[#This Row],[Revenue]]*Table1[[#This Row],[Discount%]]/100</f>
        <v>119.85</v>
      </c>
      <c r="O2270" s="6">
        <f>Table1[[#This Row],[Revenue]]-Table1[[#This Row],[Disc_amount]]</f>
        <v>679.15</v>
      </c>
      <c r="P2270" t="s">
        <v>33</v>
      </c>
      <c r="Q2270" t="s">
        <v>27</v>
      </c>
    </row>
    <row r="2271" spans="1:17">
      <c r="A2271" t="s">
        <v>3121</v>
      </c>
      <c r="B2271" s="1" t="s">
        <v>544</v>
      </c>
      <c r="C2271" s="1" t="s">
        <v>3090</v>
      </c>
      <c r="D2271" s="1" t="s">
        <v>20</v>
      </c>
      <c r="E2271" t="s">
        <v>1481</v>
      </c>
      <c r="F2271" t="s">
        <v>853</v>
      </c>
      <c r="G2271" t="s">
        <v>38</v>
      </c>
      <c r="H2271" t="s">
        <v>57</v>
      </c>
      <c r="I2271" t="s">
        <v>58</v>
      </c>
      <c r="J2271">
        <v>3</v>
      </c>
      <c r="K2271">
        <v>1299</v>
      </c>
      <c r="L2271">
        <f>Table1[[#This Row],[Quantity]] * Table1[[#This Row],[UnitPrice]]</f>
        <v>3897</v>
      </c>
      <c r="M2271" s="25">
        <v>30</v>
      </c>
      <c r="N2271">
        <f>Table1[[#This Row],[Revenue]]*Table1[[#This Row],[Discount%]]/100</f>
        <v>1169.0999999999999</v>
      </c>
      <c r="O2271" s="6">
        <f>Table1[[#This Row],[Revenue]]-Table1[[#This Row],[Disc_amount]]</f>
        <v>2727.9</v>
      </c>
      <c r="P2271" t="s">
        <v>41</v>
      </c>
      <c r="Q2271" t="s">
        <v>27</v>
      </c>
    </row>
    <row r="2272" spans="1:17">
      <c r="A2272" t="s">
        <v>3122</v>
      </c>
      <c r="B2272" s="1" t="s">
        <v>544</v>
      </c>
      <c r="C2272" s="1" t="s">
        <v>3090</v>
      </c>
      <c r="D2272" s="1" t="s">
        <v>20</v>
      </c>
      <c r="E2272" t="s">
        <v>1861</v>
      </c>
      <c r="F2272" t="s">
        <v>1862</v>
      </c>
      <c r="G2272" t="s">
        <v>56</v>
      </c>
      <c r="H2272" t="s">
        <v>65</v>
      </c>
      <c r="I2272" t="s">
        <v>66</v>
      </c>
      <c r="J2272">
        <v>1</v>
      </c>
      <c r="K2272">
        <v>1999</v>
      </c>
      <c r="L2272">
        <f>Table1[[#This Row],[Quantity]] * Table1[[#This Row],[UnitPrice]]</f>
        <v>1999</v>
      </c>
      <c r="M2272" s="25">
        <v>0</v>
      </c>
      <c r="N2272">
        <f>Table1[[#This Row],[Revenue]]*Table1[[#This Row],[Discount%]]/100</f>
        <v>0</v>
      </c>
      <c r="O2272" s="6">
        <f>Table1[[#This Row],[Revenue]]-Table1[[#This Row],[Disc_amount]]</f>
        <v>1999</v>
      </c>
      <c r="P2272" t="s">
        <v>26</v>
      </c>
      <c r="Q2272" t="s">
        <v>27</v>
      </c>
    </row>
    <row r="2273" spans="1:17">
      <c r="A2273" t="s">
        <v>3123</v>
      </c>
      <c r="B2273" s="1" t="s">
        <v>544</v>
      </c>
      <c r="C2273" s="1" t="s">
        <v>3090</v>
      </c>
      <c r="D2273" s="1" t="s">
        <v>20</v>
      </c>
      <c r="E2273" t="s">
        <v>763</v>
      </c>
      <c r="F2273" t="s">
        <v>118</v>
      </c>
      <c r="G2273" t="s">
        <v>45</v>
      </c>
      <c r="H2273" t="s">
        <v>65</v>
      </c>
      <c r="I2273" t="s">
        <v>66</v>
      </c>
      <c r="J2273">
        <v>1</v>
      </c>
      <c r="K2273">
        <v>1999</v>
      </c>
      <c r="L2273">
        <f>Table1[[#This Row],[Quantity]] * Table1[[#This Row],[UnitPrice]]</f>
        <v>1999</v>
      </c>
      <c r="M2273" s="25">
        <v>15</v>
      </c>
      <c r="N2273">
        <f>Table1[[#This Row],[Revenue]]*Table1[[#This Row],[Discount%]]/100</f>
        <v>299.85000000000002</v>
      </c>
      <c r="O2273" s="6">
        <f>Table1[[#This Row],[Revenue]]-Table1[[#This Row],[Disc_amount]]</f>
        <v>1699.15</v>
      </c>
      <c r="P2273" t="s">
        <v>52</v>
      </c>
      <c r="Q2273" t="s">
        <v>27</v>
      </c>
    </row>
    <row r="2274" spans="1:17">
      <c r="A2274" t="s">
        <v>3124</v>
      </c>
      <c r="B2274" s="1" t="s">
        <v>544</v>
      </c>
      <c r="C2274" s="1" t="s">
        <v>3090</v>
      </c>
      <c r="D2274" s="1" t="s">
        <v>20</v>
      </c>
      <c r="E2274" t="s">
        <v>1172</v>
      </c>
      <c r="F2274" t="s">
        <v>248</v>
      </c>
      <c r="G2274" t="s">
        <v>45</v>
      </c>
      <c r="H2274" t="s">
        <v>108</v>
      </c>
      <c r="I2274" t="s">
        <v>109</v>
      </c>
      <c r="J2274">
        <v>2</v>
      </c>
      <c r="K2274">
        <v>1499</v>
      </c>
      <c r="L2274">
        <f>Table1[[#This Row],[Quantity]] * Table1[[#This Row],[UnitPrice]]</f>
        <v>2998</v>
      </c>
      <c r="M2274" s="25">
        <v>25</v>
      </c>
      <c r="N2274">
        <f>Table1[[#This Row],[Revenue]]*Table1[[#This Row],[Discount%]]/100</f>
        <v>749.5</v>
      </c>
      <c r="O2274" s="6">
        <f>Table1[[#This Row],[Revenue]]-Table1[[#This Row],[Disc_amount]]</f>
        <v>2248.5</v>
      </c>
      <c r="P2274" t="s">
        <v>41</v>
      </c>
      <c r="Q2274" t="s">
        <v>34</v>
      </c>
    </row>
    <row r="2275" spans="1:17">
      <c r="A2275" t="s">
        <v>3125</v>
      </c>
      <c r="B2275" s="1" t="s">
        <v>544</v>
      </c>
      <c r="C2275" s="1" t="s">
        <v>3090</v>
      </c>
      <c r="D2275" s="1" t="s">
        <v>20</v>
      </c>
      <c r="E2275" t="s">
        <v>352</v>
      </c>
      <c r="F2275" t="s">
        <v>134</v>
      </c>
      <c r="G2275" t="s">
        <v>45</v>
      </c>
      <c r="H2275" t="s">
        <v>108</v>
      </c>
      <c r="I2275" t="s">
        <v>130</v>
      </c>
      <c r="J2275">
        <v>1</v>
      </c>
      <c r="K2275">
        <v>699</v>
      </c>
      <c r="L2275">
        <f>Table1[[#This Row],[Quantity]] * Table1[[#This Row],[UnitPrice]]</f>
        <v>699</v>
      </c>
      <c r="M2275" s="25">
        <v>5</v>
      </c>
      <c r="N2275">
        <f>Table1[[#This Row],[Revenue]]*Table1[[#This Row],[Discount%]]/100</f>
        <v>34.950000000000003</v>
      </c>
      <c r="O2275" s="6">
        <f>Table1[[#This Row],[Revenue]]-Table1[[#This Row],[Disc_amount]]</f>
        <v>664.05</v>
      </c>
      <c r="P2275" t="s">
        <v>86</v>
      </c>
      <c r="Q2275" t="s">
        <v>34</v>
      </c>
    </row>
    <row r="2276" spans="1:17">
      <c r="A2276" t="s">
        <v>3126</v>
      </c>
      <c r="B2276" s="1" t="s">
        <v>544</v>
      </c>
      <c r="C2276" s="1" t="s">
        <v>3090</v>
      </c>
      <c r="D2276" s="1" t="s">
        <v>20</v>
      </c>
      <c r="E2276" t="s">
        <v>202</v>
      </c>
      <c r="F2276" t="s">
        <v>203</v>
      </c>
      <c r="G2276" t="s">
        <v>56</v>
      </c>
      <c r="H2276" t="s">
        <v>108</v>
      </c>
      <c r="I2276" t="s">
        <v>109</v>
      </c>
      <c r="J2276">
        <v>2</v>
      </c>
      <c r="K2276">
        <v>1499</v>
      </c>
      <c r="L2276">
        <f>Table1[[#This Row],[Quantity]] * Table1[[#This Row],[UnitPrice]]</f>
        <v>2998</v>
      </c>
      <c r="M2276" s="25">
        <v>25</v>
      </c>
      <c r="N2276">
        <f>Table1[[#This Row],[Revenue]]*Table1[[#This Row],[Discount%]]/100</f>
        <v>749.5</v>
      </c>
      <c r="O2276" s="6">
        <f>Table1[[#This Row],[Revenue]]-Table1[[#This Row],[Disc_amount]]</f>
        <v>2248.5</v>
      </c>
      <c r="P2276" t="s">
        <v>41</v>
      </c>
      <c r="Q2276" t="s">
        <v>27</v>
      </c>
    </row>
    <row r="2277" spans="1:17">
      <c r="A2277" t="s">
        <v>3127</v>
      </c>
      <c r="B2277" s="1" t="s">
        <v>544</v>
      </c>
      <c r="C2277" s="1" t="s">
        <v>3090</v>
      </c>
      <c r="D2277" s="1" t="s">
        <v>20</v>
      </c>
      <c r="E2277" t="s">
        <v>693</v>
      </c>
      <c r="F2277" t="s">
        <v>694</v>
      </c>
      <c r="G2277" t="s">
        <v>56</v>
      </c>
      <c r="H2277" t="s">
        <v>70</v>
      </c>
      <c r="I2277" t="s">
        <v>91</v>
      </c>
      <c r="J2277">
        <v>2</v>
      </c>
      <c r="K2277">
        <v>549</v>
      </c>
      <c r="L2277">
        <f>Table1[[#This Row],[Quantity]] * Table1[[#This Row],[UnitPrice]]</f>
        <v>1098</v>
      </c>
      <c r="M2277" s="25">
        <v>5</v>
      </c>
      <c r="N2277">
        <f>Table1[[#This Row],[Revenue]]*Table1[[#This Row],[Discount%]]/100</f>
        <v>54.9</v>
      </c>
      <c r="O2277" s="6">
        <f>Table1[[#This Row],[Revenue]]-Table1[[#This Row],[Disc_amount]]</f>
        <v>1043.0999999999999</v>
      </c>
      <c r="P2277" t="s">
        <v>26</v>
      </c>
      <c r="Q2277" t="s">
        <v>34</v>
      </c>
    </row>
    <row r="2278" spans="1:17">
      <c r="A2278" t="s">
        <v>3128</v>
      </c>
      <c r="B2278" s="1" t="s">
        <v>544</v>
      </c>
      <c r="C2278" s="1" t="s">
        <v>3090</v>
      </c>
      <c r="D2278" s="1" t="s">
        <v>20</v>
      </c>
      <c r="E2278" t="s">
        <v>761</v>
      </c>
      <c r="F2278" t="s">
        <v>44</v>
      </c>
      <c r="G2278" t="s">
        <v>38</v>
      </c>
      <c r="H2278" t="s">
        <v>39</v>
      </c>
      <c r="I2278" t="s">
        <v>40</v>
      </c>
      <c r="J2278">
        <v>1</v>
      </c>
      <c r="K2278">
        <v>599</v>
      </c>
      <c r="L2278">
        <f>Table1[[#This Row],[Quantity]] * Table1[[#This Row],[UnitPrice]]</f>
        <v>599</v>
      </c>
      <c r="M2278" s="25">
        <v>25</v>
      </c>
      <c r="N2278">
        <f>Table1[[#This Row],[Revenue]]*Table1[[#This Row],[Discount%]]/100</f>
        <v>149.75</v>
      </c>
      <c r="O2278" s="6">
        <f>Table1[[#This Row],[Revenue]]-Table1[[#This Row],[Disc_amount]]</f>
        <v>449.25</v>
      </c>
      <c r="P2278" t="s">
        <v>41</v>
      </c>
      <c r="Q2278" t="s">
        <v>27</v>
      </c>
    </row>
    <row r="2279" spans="1:17">
      <c r="A2279" t="s">
        <v>3129</v>
      </c>
      <c r="B2279" s="1" t="s">
        <v>544</v>
      </c>
      <c r="C2279" s="1" t="s">
        <v>3090</v>
      </c>
      <c r="D2279" s="1" t="s">
        <v>20</v>
      </c>
      <c r="E2279" t="s">
        <v>612</v>
      </c>
      <c r="F2279" t="s">
        <v>613</v>
      </c>
      <c r="G2279" t="s">
        <v>23</v>
      </c>
      <c r="H2279" t="s">
        <v>39</v>
      </c>
      <c r="I2279" t="s">
        <v>51</v>
      </c>
      <c r="J2279">
        <v>1</v>
      </c>
      <c r="K2279">
        <v>2999</v>
      </c>
      <c r="L2279">
        <f>Table1[[#This Row],[Quantity]] * Table1[[#This Row],[UnitPrice]]</f>
        <v>2999</v>
      </c>
      <c r="M2279" s="25">
        <v>10</v>
      </c>
      <c r="N2279">
        <f>Table1[[#This Row],[Revenue]]*Table1[[#This Row],[Discount%]]/100</f>
        <v>299.89999999999998</v>
      </c>
      <c r="O2279" s="6">
        <f>Table1[[#This Row],[Revenue]]-Table1[[#This Row],[Disc_amount]]</f>
        <v>2699.1</v>
      </c>
      <c r="P2279" t="s">
        <v>41</v>
      </c>
      <c r="Q2279" t="s">
        <v>27</v>
      </c>
    </row>
    <row r="2280" spans="1:17">
      <c r="A2280" t="s">
        <v>3130</v>
      </c>
      <c r="B2280" s="1" t="s">
        <v>544</v>
      </c>
      <c r="C2280" s="1" t="s">
        <v>3090</v>
      </c>
      <c r="D2280" s="1" t="s">
        <v>20</v>
      </c>
      <c r="E2280" t="s">
        <v>657</v>
      </c>
      <c r="F2280" t="s">
        <v>147</v>
      </c>
      <c r="G2280" t="s">
        <v>23</v>
      </c>
      <c r="H2280" t="s">
        <v>70</v>
      </c>
      <c r="I2280" t="s">
        <v>71</v>
      </c>
      <c r="J2280">
        <v>1</v>
      </c>
      <c r="K2280">
        <v>349</v>
      </c>
      <c r="L2280">
        <f>Table1[[#This Row],[Quantity]] * Table1[[#This Row],[UnitPrice]]</f>
        <v>349</v>
      </c>
      <c r="M2280" s="25">
        <v>25</v>
      </c>
      <c r="N2280">
        <f>Table1[[#This Row],[Revenue]]*Table1[[#This Row],[Discount%]]/100</f>
        <v>87.25</v>
      </c>
      <c r="O2280" s="6">
        <f>Table1[[#This Row],[Revenue]]-Table1[[#This Row],[Disc_amount]]</f>
        <v>261.75</v>
      </c>
      <c r="P2280" t="s">
        <v>33</v>
      </c>
      <c r="Q2280" t="s">
        <v>27</v>
      </c>
    </row>
    <row r="2281" spans="1:17">
      <c r="A2281" t="s">
        <v>3131</v>
      </c>
      <c r="B2281" s="1" t="s">
        <v>544</v>
      </c>
      <c r="C2281" s="1" t="s">
        <v>3090</v>
      </c>
      <c r="D2281" s="1" t="s">
        <v>20</v>
      </c>
      <c r="E2281" t="s">
        <v>1003</v>
      </c>
      <c r="F2281" t="s">
        <v>1004</v>
      </c>
      <c r="G2281" t="s">
        <v>56</v>
      </c>
      <c r="H2281" t="s">
        <v>70</v>
      </c>
      <c r="I2281" t="s">
        <v>71</v>
      </c>
      <c r="J2281">
        <v>5</v>
      </c>
      <c r="K2281">
        <v>349</v>
      </c>
      <c r="L2281">
        <f>Table1[[#This Row],[Quantity]] * Table1[[#This Row],[UnitPrice]]</f>
        <v>1745</v>
      </c>
      <c r="M2281" s="25">
        <v>0</v>
      </c>
      <c r="N2281">
        <f>Table1[[#This Row],[Revenue]]*Table1[[#This Row],[Discount%]]/100</f>
        <v>0</v>
      </c>
      <c r="O2281" s="6">
        <f>Table1[[#This Row],[Revenue]]-Table1[[#This Row],[Disc_amount]]</f>
        <v>1745</v>
      </c>
      <c r="P2281" t="s">
        <v>86</v>
      </c>
      <c r="Q2281" t="s">
        <v>27</v>
      </c>
    </row>
    <row r="2282" spans="1:17">
      <c r="A2282" t="s">
        <v>3132</v>
      </c>
      <c r="B2282" s="1" t="s">
        <v>551</v>
      </c>
      <c r="C2282" s="1" t="s">
        <v>3090</v>
      </c>
      <c r="D2282" s="1" t="s">
        <v>20</v>
      </c>
      <c r="E2282" t="s">
        <v>506</v>
      </c>
      <c r="F2282" t="s">
        <v>90</v>
      </c>
      <c r="G2282" t="s">
        <v>31</v>
      </c>
      <c r="H2282" t="s">
        <v>70</v>
      </c>
      <c r="I2282" t="s">
        <v>71</v>
      </c>
      <c r="J2282">
        <v>1</v>
      </c>
      <c r="K2282">
        <v>349</v>
      </c>
      <c r="L2282">
        <f>Table1[[#This Row],[Quantity]] * Table1[[#This Row],[UnitPrice]]</f>
        <v>349</v>
      </c>
      <c r="M2282" s="25">
        <v>15</v>
      </c>
      <c r="N2282">
        <f>Table1[[#This Row],[Revenue]]*Table1[[#This Row],[Discount%]]/100</f>
        <v>52.35</v>
      </c>
      <c r="O2282" s="6">
        <f>Table1[[#This Row],[Revenue]]-Table1[[#This Row],[Disc_amount]]</f>
        <v>296.64999999999998</v>
      </c>
      <c r="P2282" t="s">
        <v>33</v>
      </c>
      <c r="Q2282" t="s">
        <v>34</v>
      </c>
    </row>
    <row r="2283" spans="1:17">
      <c r="A2283" t="s">
        <v>3133</v>
      </c>
      <c r="B2283" s="1" t="s">
        <v>551</v>
      </c>
      <c r="C2283" s="1" t="s">
        <v>3090</v>
      </c>
      <c r="D2283" s="1" t="s">
        <v>20</v>
      </c>
      <c r="E2283" t="s">
        <v>1165</v>
      </c>
      <c r="F2283" t="s">
        <v>272</v>
      </c>
      <c r="G2283" t="s">
        <v>56</v>
      </c>
      <c r="H2283" t="s">
        <v>65</v>
      </c>
      <c r="I2283" t="s">
        <v>66</v>
      </c>
      <c r="J2283">
        <v>3</v>
      </c>
      <c r="K2283">
        <v>1999</v>
      </c>
      <c r="L2283">
        <f>Table1[[#This Row],[Quantity]] * Table1[[#This Row],[UnitPrice]]</f>
        <v>5997</v>
      </c>
      <c r="M2283" s="25">
        <v>10</v>
      </c>
      <c r="N2283">
        <f>Table1[[#This Row],[Revenue]]*Table1[[#This Row],[Discount%]]/100</f>
        <v>599.70000000000005</v>
      </c>
      <c r="O2283" s="6">
        <f>Table1[[#This Row],[Revenue]]-Table1[[#This Row],[Disc_amount]]</f>
        <v>5397.3</v>
      </c>
      <c r="P2283" t="s">
        <v>26</v>
      </c>
      <c r="Q2283" t="s">
        <v>27</v>
      </c>
    </row>
    <row r="2284" spans="1:17">
      <c r="A2284" t="s">
        <v>3134</v>
      </c>
      <c r="B2284" s="1" t="s">
        <v>551</v>
      </c>
      <c r="C2284" s="1" t="s">
        <v>3090</v>
      </c>
      <c r="D2284" s="1" t="s">
        <v>20</v>
      </c>
      <c r="E2284" t="s">
        <v>954</v>
      </c>
      <c r="F2284" t="s">
        <v>569</v>
      </c>
      <c r="G2284" t="s">
        <v>45</v>
      </c>
      <c r="H2284" t="s">
        <v>108</v>
      </c>
      <c r="I2284" t="s">
        <v>109</v>
      </c>
      <c r="J2284">
        <v>1</v>
      </c>
      <c r="K2284">
        <v>1499</v>
      </c>
      <c r="L2284">
        <f>Table1[[#This Row],[Quantity]] * Table1[[#This Row],[UnitPrice]]</f>
        <v>1499</v>
      </c>
      <c r="M2284" s="25">
        <v>5</v>
      </c>
      <c r="N2284">
        <f>Table1[[#This Row],[Revenue]]*Table1[[#This Row],[Discount%]]/100</f>
        <v>74.95</v>
      </c>
      <c r="O2284" s="6">
        <f>Table1[[#This Row],[Revenue]]-Table1[[#This Row],[Disc_amount]]</f>
        <v>1424.05</v>
      </c>
      <c r="P2284" t="s">
        <v>52</v>
      </c>
      <c r="Q2284" t="s">
        <v>34</v>
      </c>
    </row>
    <row r="2285" spans="1:17">
      <c r="A2285" t="s">
        <v>3135</v>
      </c>
      <c r="B2285" s="1" t="s">
        <v>551</v>
      </c>
      <c r="C2285" s="1" t="s">
        <v>3090</v>
      </c>
      <c r="D2285" s="1" t="s">
        <v>20</v>
      </c>
      <c r="E2285" t="s">
        <v>1428</v>
      </c>
      <c r="F2285" t="s">
        <v>607</v>
      </c>
      <c r="G2285" t="s">
        <v>45</v>
      </c>
      <c r="H2285" t="s">
        <v>70</v>
      </c>
      <c r="I2285" t="s">
        <v>71</v>
      </c>
      <c r="J2285">
        <v>1</v>
      </c>
      <c r="K2285">
        <v>349</v>
      </c>
      <c r="L2285">
        <f>Table1[[#This Row],[Quantity]] * Table1[[#This Row],[UnitPrice]]</f>
        <v>349</v>
      </c>
      <c r="M2285" s="25">
        <v>15</v>
      </c>
      <c r="N2285">
        <f>Table1[[#This Row],[Revenue]]*Table1[[#This Row],[Discount%]]/100</f>
        <v>52.35</v>
      </c>
      <c r="O2285" s="6">
        <f>Table1[[#This Row],[Revenue]]-Table1[[#This Row],[Disc_amount]]</f>
        <v>296.64999999999998</v>
      </c>
      <c r="P2285" t="s">
        <v>86</v>
      </c>
      <c r="Q2285" t="s">
        <v>34</v>
      </c>
    </row>
    <row r="2286" spans="1:17">
      <c r="A2286" t="s">
        <v>3136</v>
      </c>
      <c r="B2286" s="1" t="s">
        <v>551</v>
      </c>
      <c r="C2286" s="1" t="s">
        <v>3090</v>
      </c>
      <c r="D2286" s="1" t="s">
        <v>20</v>
      </c>
      <c r="E2286" t="s">
        <v>1420</v>
      </c>
      <c r="F2286" t="s">
        <v>1396</v>
      </c>
      <c r="G2286" t="s">
        <v>38</v>
      </c>
      <c r="H2286" t="s">
        <v>65</v>
      </c>
      <c r="I2286" t="s">
        <v>66</v>
      </c>
      <c r="J2286">
        <v>1</v>
      </c>
      <c r="K2286">
        <v>1999</v>
      </c>
      <c r="L2286">
        <f>Table1[[#This Row],[Quantity]] * Table1[[#This Row],[UnitPrice]]</f>
        <v>1999</v>
      </c>
      <c r="M2286" s="25">
        <v>0</v>
      </c>
      <c r="N2286">
        <f>Table1[[#This Row],[Revenue]]*Table1[[#This Row],[Discount%]]/100</f>
        <v>0</v>
      </c>
      <c r="O2286" s="6">
        <f>Table1[[#This Row],[Revenue]]-Table1[[#This Row],[Disc_amount]]</f>
        <v>1999</v>
      </c>
      <c r="P2286" t="s">
        <v>26</v>
      </c>
      <c r="Q2286" t="s">
        <v>27</v>
      </c>
    </row>
    <row r="2287" spans="1:17">
      <c r="A2287" t="s">
        <v>3137</v>
      </c>
      <c r="B2287" s="1" t="s">
        <v>551</v>
      </c>
      <c r="C2287" s="1" t="s">
        <v>3090</v>
      </c>
      <c r="D2287" s="1" t="s">
        <v>20</v>
      </c>
      <c r="E2287" t="s">
        <v>594</v>
      </c>
      <c r="F2287" t="s">
        <v>546</v>
      </c>
      <c r="G2287" t="s">
        <v>56</v>
      </c>
      <c r="H2287" t="s">
        <v>108</v>
      </c>
      <c r="I2287" t="s">
        <v>109</v>
      </c>
      <c r="J2287">
        <v>1</v>
      </c>
      <c r="K2287">
        <v>1499</v>
      </c>
      <c r="L2287">
        <f>Table1[[#This Row],[Quantity]] * Table1[[#This Row],[UnitPrice]]</f>
        <v>1499</v>
      </c>
      <c r="M2287" s="25">
        <v>25</v>
      </c>
      <c r="N2287">
        <f>Table1[[#This Row],[Revenue]]*Table1[[#This Row],[Discount%]]/100</f>
        <v>374.75</v>
      </c>
      <c r="O2287" s="6">
        <f>Table1[[#This Row],[Revenue]]-Table1[[#This Row],[Disc_amount]]</f>
        <v>1124.25</v>
      </c>
      <c r="P2287" t="s">
        <v>33</v>
      </c>
      <c r="Q2287" t="s">
        <v>34</v>
      </c>
    </row>
    <row r="2288" spans="1:17">
      <c r="A2288" t="s">
        <v>3138</v>
      </c>
      <c r="B2288" s="1" t="s">
        <v>551</v>
      </c>
      <c r="C2288" s="1" t="s">
        <v>3090</v>
      </c>
      <c r="D2288" s="1" t="s">
        <v>20</v>
      </c>
      <c r="E2288" t="s">
        <v>954</v>
      </c>
      <c r="F2288" t="s">
        <v>569</v>
      </c>
      <c r="G2288" t="s">
        <v>56</v>
      </c>
      <c r="H2288" t="s">
        <v>24</v>
      </c>
      <c r="I2288" t="s">
        <v>25</v>
      </c>
      <c r="J2288">
        <v>2</v>
      </c>
      <c r="K2288">
        <v>99</v>
      </c>
      <c r="L2288">
        <f>Table1[[#This Row],[Quantity]] * Table1[[#This Row],[UnitPrice]]</f>
        <v>198</v>
      </c>
      <c r="M2288" s="25">
        <v>20</v>
      </c>
      <c r="N2288">
        <f>Table1[[#This Row],[Revenue]]*Table1[[#This Row],[Discount%]]/100</f>
        <v>39.6</v>
      </c>
      <c r="O2288" s="6">
        <f>Table1[[#This Row],[Revenue]]-Table1[[#This Row],[Disc_amount]]</f>
        <v>158.4</v>
      </c>
      <c r="P2288" t="s">
        <v>41</v>
      </c>
      <c r="Q2288" t="s">
        <v>34</v>
      </c>
    </row>
    <row r="2289" spans="1:17">
      <c r="A2289" t="s">
        <v>3139</v>
      </c>
      <c r="B2289" s="1" t="s">
        <v>551</v>
      </c>
      <c r="C2289" s="1" t="s">
        <v>3090</v>
      </c>
      <c r="D2289" s="1" t="s">
        <v>20</v>
      </c>
      <c r="E2289" t="s">
        <v>636</v>
      </c>
      <c r="F2289" t="s">
        <v>61</v>
      </c>
      <c r="G2289" t="s">
        <v>31</v>
      </c>
      <c r="H2289" t="s">
        <v>65</v>
      </c>
      <c r="I2289" t="s">
        <v>66</v>
      </c>
      <c r="J2289">
        <v>2</v>
      </c>
      <c r="K2289">
        <v>1999</v>
      </c>
      <c r="L2289">
        <f>Table1[[#This Row],[Quantity]] * Table1[[#This Row],[UnitPrice]]</f>
        <v>3998</v>
      </c>
      <c r="M2289" s="25">
        <v>15</v>
      </c>
      <c r="N2289">
        <f>Table1[[#This Row],[Revenue]]*Table1[[#This Row],[Discount%]]/100</f>
        <v>599.70000000000005</v>
      </c>
      <c r="O2289" s="6">
        <f>Table1[[#This Row],[Revenue]]-Table1[[#This Row],[Disc_amount]]</f>
        <v>3398.3</v>
      </c>
      <c r="P2289" t="s">
        <v>41</v>
      </c>
      <c r="Q2289" t="s">
        <v>27</v>
      </c>
    </row>
    <row r="2290" spans="1:17">
      <c r="A2290" t="s">
        <v>3140</v>
      </c>
      <c r="B2290" s="1" t="s">
        <v>551</v>
      </c>
      <c r="C2290" s="1" t="s">
        <v>3090</v>
      </c>
      <c r="D2290" s="1" t="s">
        <v>20</v>
      </c>
      <c r="E2290" t="s">
        <v>750</v>
      </c>
      <c r="F2290" t="s">
        <v>83</v>
      </c>
      <c r="G2290" t="s">
        <v>31</v>
      </c>
      <c r="H2290" t="s">
        <v>70</v>
      </c>
      <c r="I2290" t="s">
        <v>71</v>
      </c>
      <c r="J2290">
        <v>4</v>
      </c>
      <c r="K2290">
        <v>349</v>
      </c>
      <c r="L2290">
        <f>Table1[[#This Row],[Quantity]] * Table1[[#This Row],[UnitPrice]]</f>
        <v>1396</v>
      </c>
      <c r="M2290" s="25">
        <v>15</v>
      </c>
      <c r="N2290">
        <f>Table1[[#This Row],[Revenue]]*Table1[[#This Row],[Discount%]]/100</f>
        <v>209.4</v>
      </c>
      <c r="O2290" s="6">
        <f>Table1[[#This Row],[Revenue]]-Table1[[#This Row],[Disc_amount]]</f>
        <v>1186.5999999999999</v>
      </c>
      <c r="P2290" t="s">
        <v>86</v>
      </c>
      <c r="Q2290" t="s">
        <v>27</v>
      </c>
    </row>
    <row r="2291" spans="1:17">
      <c r="A2291" t="s">
        <v>3141</v>
      </c>
      <c r="B2291" s="1" t="s">
        <v>551</v>
      </c>
      <c r="C2291" s="1" t="s">
        <v>3090</v>
      </c>
      <c r="D2291" s="1" t="s">
        <v>20</v>
      </c>
      <c r="E2291" t="s">
        <v>341</v>
      </c>
      <c r="F2291" t="s">
        <v>342</v>
      </c>
      <c r="G2291" t="s">
        <v>31</v>
      </c>
      <c r="H2291" t="s">
        <v>39</v>
      </c>
      <c r="I2291" t="s">
        <v>140</v>
      </c>
      <c r="J2291">
        <v>3</v>
      </c>
      <c r="K2291">
        <v>1799</v>
      </c>
      <c r="L2291">
        <f>Table1[[#This Row],[Quantity]] * Table1[[#This Row],[UnitPrice]]</f>
        <v>5397</v>
      </c>
      <c r="M2291" s="25">
        <v>20</v>
      </c>
      <c r="N2291">
        <f>Table1[[#This Row],[Revenue]]*Table1[[#This Row],[Discount%]]/100</f>
        <v>1079.4000000000001</v>
      </c>
      <c r="O2291" s="6">
        <f>Table1[[#This Row],[Revenue]]-Table1[[#This Row],[Disc_amount]]</f>
        <v>4317.6000000000004</v>
      </c>
      <c r="P2291" t="s">
        <v>33</v>
      </c>
      <c r="Q2291" t="s">
        <v>27</v>
      </c>
    </row>
    <row r="2292" spans="1:17">
      <c r="A2292" t="s">
        <v>3142</v>
      </c>
      <c r="B2292" s="1" t="s">
        <v>564</v>
      </c>
      <c r="C2292" s="1" t="s">
        <v>3090</v>
      </c>
      <c r="D2292" s="1" t="s">
        <v>20</v>
      </c>
      <c r="E2292" t="s">
        <v>1165</v>
      </c>
      <c r="F2292" t="s">
        <v>272</v>
      </c>
      <c r="G2292" t="s">
        <v>23</v>
      </c>
      <c r="H2292" t="s">
        <v>70</v>
      </c>
      <c r="I2292" t="s">
        <v>91</v>
      </c>
      <c r="J2292">
        <v>1</v>
      </c>
      <c r="K2292">
        <v>549</v>
      </c>
      <c r="L2292">
        <f>Table1[[#This Row],[Quantity]] * Table1[[#This Row],[UnitPrice]]</f>
        <v>549</v>
      </c>
      <c r="M2292" s="25">
        <v>5</v>
      </c>
      <c r="N2292">
        <f>Table1[[#This Row],[Revenue]]*Table1[[#This Row],[Discount%]]/100</f>
        <v>27.45</v>
      </c>
      <c r="O2292" s="6">
        <f>Table1[[#This Row],[Revenue]]-Table1[[#This Row],[Disc_amount]]</f>
        <v>521.54999999999995</v>
      </c>
      <c r="P2292" t="s">
        <v>26</v>
      </c>
      <c r="Q2292" t="s">
        <v>34</v>
      </c>
    </row>
    <row r="2293" spans="1:17">
      <c r="A2293" t="s">
        <v>3143</v>
      </c>
      <c r="B2293" s="1" t="s">
        <v>564</v>
      </c>
      <c r="C2293" s="1" t="s">
        <v>3090</v>
      </c>
      <c r="D2293" s="1" t="s">
        <v>20</v>
      </c>
      <c r="E2293" t="s">
        <v>740</v>
      </c>
      <c r="F2293" t="s">
        <v>376</v>
      </c>
      <c r="G2293" t="s">
        <v>23</v>
      </c>
      <c r="H2293" t="s">
        <v>57</v>
      </c>
      <c r="I2293" t="s">
        <v>58</v>
      </c>
      <c r="J2293">
        <v>2</v>
      </c>
      <c r="K2293">
        <v>1299</v>
      </c>
      <c r="L2293">
        <f>Table1[[#This Row],[Quantity]] * Table1[[#This Row],[UnitPrice]]</f>
        <v>2598</v>
      </c>
      <c r="M2293" s="25">
        <v>30</v>
      </c>
      <c r="N2293">
        <f>Table1[[#This Row],[Revenue]]*Table1[[#This Row],[Discount%]]/100</f>
        <v>779.4</v>
      </c>
      <c r="O2293" s="6">
        <f>Table1[[#This Row],[Revenue]]-Table1[[#This Row],[Disc_amount]]</f>
        <v>1818.6</v>
      </c>
      <c r="P2293" t="s">
        <v>41</v>
      </c>
      <c r="Q2293" t="s">
        <v>27</v>
      </c>
    </row>
    <row r="2294" spans="1:17">
      <c r="A2294" t="s">
        <v>3144</v>
      </c>
      <c r="B2294" s="1" t="s">
        <v>564</v>
      </c>
      <c r="C2294" s="1" t="s">
        <v>3090</v>
      </c>
      <c r="D2294" s="1" t="s">
        <v>20</v>
      </c>
      <c r="E2294" t="s">
        <v>612</v>
      </c>
      <c r="F2294" t="s">
        <v>613</v>
      </c>
      <c r="G2294" t="s">
        <v>23</v>
      </c>
      <c r="H2294" t="s">
        <v>24</v>
      </c>
      <c r="I2294" t="s">
        <v>25</v>
      </c>
      <c r="J2294">
        <v>1</v>
      </c>
      <c r="K2294">
        <v>99</v>
      </c>
      <c r="L2294">
        <f>Table1[[#This Row],[Quantity]] * Table1[[#This Row],[UnitPrice]]</f>
        <v>99</v>
      </c>
      <c r="M2294" s="25">
        <v>30</v>
      </c>
      <c r="N2294">
        <f>Table1[[#This Row],[Revenue]]*Table1[[#This Row],[Discount%]]/100</f>
        <v>29.7</v>
      </c>
      <c r="O2294" s="6">
        <f>Table1[[#This Row],[Revenue]]-Table1[[#This Row],[Disc_amount]]</f>
        <v>69.3</v>
      </c>
      <c r="P2294" t="s">
        <v>33</v>
      </c>
      <c r="Q2294" t="s">
        <v>27</v>
      </c>
    </row>
    <row r="2295" spans="1:17">
      <c r="A2295" t="s">
        <v>3145</v>
      </c>
      <c r="B2295" s="1" t="s">
        <v>564</v>
      </c>
      <c r="C2295" s="1" t="s">
        <v>3090</v>
      </c>
      <c r="D2295" s="1" t="s">
        <v>20</v>
      </c>
      <c r="E2295" t="s">
        <v>561</v>
      </c>
      <c r="F2295" t="s">
        <v>562</v>
      </c>
      <c r="G2295" t="s">
        <v>56</v>
      </c>
      <c r="H2295" t="s">
        <v>65</v>
      </c>
      <c r="I2295" t="s">
        <v>98</v>
      </c>
      <c r="J2295">
        <v>5</v>
      </c>
      <c r="K2295">
        <v>499</v>
      </c>
      <c r="L2295">
        <f>Table1[[#This Row],[Quantity]] * Table1[[#This Row],[UnitPrice]]</f>
        <v>2495</v>
      </c>
      <c r="M2295" s="25">
        <v>0</v>
      </c>
      <c r="N2295">
        <f>Table1[[#This Row],[Revenue]]*Table1[[#This Row],[Discount%]]/100</f>
        <v>0</v>
      </c>
      <c r="O2295" s="6">
        <f>Table1[[#This Row],[Revenue]]-Table1[[#This Row],[Disc_amount]]</f>
        <v>2495</v>
      </c>
      <c r="P2295" t="s">
        <v>41</v>
      </c>
      <c r="Q2295" t="s">
        <v>27</v>
      </c>
    </row>
    <row r="2296" spans="1:17">
      <c r="A2296" t="s">
        <v>3146</v>
      </c>
      <c r="B2296" s="1" t="s">
        <v>564</v>
      </c>
      <c r="C2296" s="1" t="s">
        <v>3090</v>
      </c>
      <c r="D2296" s="1" t="s">
        <v>20</v>
      </c>
      <c r="E2296" t="s">
        <v>521</v>
      </c>
      <c r="F2296" t="s">
        <v>143</v>
      </c>
      <c r="G2296" t="s">
        <v>56</v>
      </c>
      <c r="H2296" t="s">
        <v>24</v>
      </c>
      <c r="I2296" t="s">
        <v>32</v>
      </c>
      <c r="J2296">
        <v>3</v>
      </c>
      <c r="K2296">
        <v>199</v>
      </c>
      <c r="L2296">
        <f>Table1[[#This Row],[Quantity]] * Table1[[#This Row],[UnitPrice]]</f>
        <v>597</v>
      </c>
      <c r="M2296" s="25">
        <v>10</v>
      </c>
      <c r="N2296">
        <f>Table1[[#This Row],[Revenue]]*Table1[[#This Row],[Discount%]]/100</f>
        <v>59.7</v>
      </c>
      <c r="O2296" s="6">
        <f>Table1[[#This Row],[Revenue]]-Table1[[#This Row],[Disc_amount]]</f>
        <v>537.29999999999995</v>
      </c>
      <c r="P2296" t="s">
        <v>41</v>
      </c>
      <c r="Q2296" t="s">
        <v>34</v>
      </c>
    </row>
    <row r="2297" spans="1:17">
      <c r="A2297" t="s">
        <v>3147</v>
      </c>
      <c r="B2297" s="1" t="s">
        <v>564</v>
      </c>
      <c r="C2297" s="1" t="s">
        <v>3090</v>
      </c>
      <c r="D2297" s="1" t="s">
        <v>20</v>
      </c>
      <c r="E2297" t="s">
        <v>122</v>
      </c>
      <c r="F2297" t="s">
        <v>123</v>
      </c>
      <c r="G2297" t="s">
        <v>38</v>
      </c>
      <c r="H2297" t="s">
        <v>39</v>
      </c>
      <c r="I2297" t="s">
        <v>140</v>
      </c>
      <c r="J2297">
        <v>1</v>
      </c>
      <c r="K2297">
        <v>1799</v>
      </c>
      <c r="L2297">
        <f>Table1[[#This Row],[Quantity]] * Table1[[#This Row],[UnitPrice]]</f>
        <v>1799</v>
      </c>
      <c r="M2297" s="25">
        <v>25</v>
      </c>
      <c r="N2297">
        <f>Table1[[#This Row],[Revenue]]*Table1[[#This Row],[Discount%]]/100</f>
        <v>449.75</v>
      </c>
      <c r="O2297" s="6">
        <f>Table1[[#This Row],[Revenue]]-Table1[[#This Row],[Disc_amount]]</f>
        <v>1349.25</v>
      </c>
      <c r="P2297" t="s">
        <v>33</v>
      </c>
      <c r="Q2297" t="s">
        <v>27</v>
      </c>
    </row>
    <row r="2298" spans="1:17">
      <c r="A2298" t="s">
        <v>3148</v>
      </c>
      <c r="B2298" s="1" t="s">
        <v>564</v>
      </c>
      <c r="C2298" s="1" t="s">
        <v>3090</v>
      </c>
      <c r="D2298" s="1" t="s">
        <v>20</v>
      </c>
      <c r="E2298" t="s">
        <v>220</v>
      </c>
      <c r="F2298" t="s">
        <v>153</v>
      </c>
      <c r="G2298" t="s">
        <v>31</v>
      </c>
      <c r="H2298" t="s">
        <v>39</v>
      </c>
      <c r="I2298" t="s">
        <v>140</v>
      </c>
      <c r="J2298">
        <v>4</v>
      </c>
      <c r="K2298">
        <v>1799</v>
      </c>
      <c r="L2298">
        <f>Table1[[#This Row],[Quantity]] * Table1[[#This Row],[UnitPrice]]</f>
        <v>7196</v>
      </c>
      <c r="M2298" s="25">
        <v>10</v>
      </c>
      <c r="N2298">
        <f>Table1[[#This Row],[Revenue]]*Table1[[#This Row],[Discount%]]/100</f>
        <v>719.6</v>
      </c>
      <c r="O2298" s="6">
        <f>Table1[[#This Row],[Revenue]]-Table1[[#This Row],[Disc_amount]]</f>
        <v>6476.4</v>
      </c>
      <c r="P2298" t="s">
        <v>26</v>
      </c>
      <c r="Q2298" t="s">
        <v>27</v>
      </c>
    </row>
    <row r="2299" spans="1:17">
      <c r="A2299" t="s">
        <v>3149</v>
      </c>
      <c r="B2299" s="1" t="s">
        <v>564</v>
      </c>
      <c r="C2299" s="1" t="s">
        <v>3090</v>
      </c>
      <c r="D2299" s="1" t="s">
        <v>20</v>
      </c>
      <c r="E2299" t="s">
        <v>352</v>
      </c>
      <c r="F2299" t="s">
        <v>134</v>
      </c>
      <c r="G2299" t="s">
        <v>23</v>
      </c>
      <c r="H2299" t="s">
        <v>108</v>
      </c>
      <c r="I2299" t="s">
        <v>109</v>
      </c>
      <c r="J2299">
        <v>2</v>
      </c>
      <c r="K2299">
        <v>1499</v>
      </c>
      <c r="L2299">
        <f>Table1[[#This Row],[Quantity]] * Table1[[#This Row],[UnitPrice]]</f>
        <v>2998</v>
      </c>
      <c r="M2299" s="25">
        <v>15</v>
      </c>
      <c r="N2299">
        <f>Table1[[#This Row],[Revenue]]*Table1[[#This Row],[Discount%]]/100</f>
        <v>449.7</v>
      </c>
      <c r="O2299" s="6">
        <f>Table1[[#This Row],[Revenue]]-Table1[[#This Row],[Disc_amount]]</f>
        <v>2548.3000000000002</v>
      </c>
      <c r="P2299" t="s">
        <v>26</v>
      </c>
      <c r="Q2299" t="s">
        <v>34</v>
      </c>
    </row>
    <row r="2300" spans="1:17">
      <c r="A2300" t="s">
        <v>3150</v>
      </c>
      <c r="B2300" s="1" t="s">
        <v>564</v>
      </c>
      <c r="C2300" s="1" t="s">
        <v>3090</v>
      </c>
      <c r="D2300" s="1" t="s">
        <v>20</v>
      </c>
      <c r="E2300" t="s">
        <v>565</v>
      </c>
      <c r="F2300" t="s">
        <v>203</v>
      </c>
      <c r="G2300" t="s">
        <v>31</v>
      </c>
      <c r="H2300" t="s">
        <v>39</v>
      </c>
      <c r="I2300" t="s">
        <v>40</v>
      </c>
      <c r="J2300">
        <v>1</v>
      </c>
      <c r="K2300">
        <v>599</v>
      </c>
      <c r="L2300">
        <f>Table1[[#This Row],[Quantity]] * Table1[[#This Row],[UnitPrice]]</f>
        <v>599</v>
      </c>
      <c r="M2300" s="25">
        <v>20</v>
      </c>
      <c r="N2300">
        <f>Table1[[#This Row],[Revenue]]*Table1[[#This Row],[Discount%]]/100</f>
        <v>119.8</v>
      </c>
      <c r="O2300" s="6">
        <f>Table1[[#This Row],[Revenue]]-Table1[[#This Row],[Disc_amount]]</f>
        <v>479.2</v>
      </c>
      <c r="P2300" t="s">
        <v>26</v>
      </c>
      <c r="Q2300" t="s">
        <v>27</v>
      </c>
    </row>
    <row r="2301" spans="1:17">
      <c r="A2301" t="s">
        <v>3151</v>
      </c>
      <c r="B2301" s="1" t="s">
        <v>581</v>
      </c>
      <c r="C2301" s="1" t="s">
        <v>3090</v>
      </c>
      <c r="D2301" s="1" t="s">
        <v>20</v>
      </c>
      <c r="E2301" t="s">
        <v>1178</v>
      </c>
      <c r="F2301" t="s">
        <v>358</v>
      </c>
      <c r="G2301" t="s">
        <v>45</v>
      </c>
      <c r="H2301" t="s">
        <v>108</v>
      </c>
      <c r="I2301" t="s">
        <v>130</v>
      </c>
      <c r="J2301">
        <v>2</v>
      </c>
      <c r="K2301">
        <v>699</v>
      </c>
      <c r="L2301">
        <f>Table1[[#This Row],[Quantity]] * Table1[[#This Row],[UnitPrice]]</f>
        <v>1398</v>
      </c>
      <c r="M2301" s="25">
        <v>25</v>
      </c>
      <c r="N2301">
        <f>Table1[[#This Row],[Revenue]]*Table1[[#This Row],[Discount%]]/100</f>
        <v>349.5</v>
      </c>
      <c r="O2301" s="6">
        <f>Table1[[#This Row],[Revenue]]-Table1[[#This Row],[Disc_amount]]</f>
        <v>1048.5</v>
      </c>
      <c r="P2301" t="s">
        <v>41</v>
      </c>
      <c r="Q2301" t="s">
        <v>27</v>
      </c>
    </row>
    <row r="2302" spans="1:17">
      <c r="A2302" t="s">
        <v>3152</v>
      </c>
      <c r="B2302" s="1" t="s">
        <v>581</v>
      </c>
      <c r="C2302" s="1" t="s">
        <v>3090</v>
      </c>
      <c r="D2302" s="1" t="s">
        <v>20</v>
      </c>
      <c r="E2302" t="s">
        <v>561</v>
      </c>
      <c r="F2302" t="s">
        <v>562</v>
      </c>
      <c r="G2302" t="s">
        <v>38</v>
      </c>
      <c r="H2302" t="s">
        <v>24</v>
      </c>
      <c r="I2302" t="s">
        <v>25</v>
      </c>
      <c r="J2302">
        <v>5</v>
      </c>
      <c r="K2302">
        <v>99</v>
      </c>
      <c r="L2302">
        <f>Table1[[#This Row],[Quantity]] * Table1[[#This Row],[UnitPrice]]</f>
        <v>495</v>
      </c>
      <c r="M2302" s="25">
        <v>5</v>
      </c>
      <c r="N2302">
        <f>Table1[[#This Row],[Revenue]]*Table1[[#This Row],[Discount%]]/100</f>
        <v>24.75</v>
      </c>
      <c r="O2302" s="6">
        <f>Table1[[#This Row],[Revenue]]-Table1[[#This Row],[Disc_amount]]</f>
        <v>470.25</v>
      </c>
      <c r="P2302" t="s">
        <v>52</v>
      </c>
      <c r="Q2302" t="s">
        <v>27</v>
      </c>
    </row>
    <row r="2303" spans="1:17">
      <c r="A2303" t="s">
        <v>3153</v>
      </c>
      <c r="B2303" s="1" t="s">
        <v>581</v>
      </c>
      <c r="C2303" s="1" t="s">
        <v>3090</v>
      </c>
      <c r="D2303" s="1" t="s">
        <v>20</v>
      </c>
      <c r="E2303" t="s">
        <v>418</v>
      </c>
      <c r="F2303" t="s">
        <v>147</v>
      </c>
      <c r="G2303" t="s">
        <v>56</v>
      </c>
      <c r="H2303" t="s">
        <v>39</v>
      </c>
      <c r="I2303" t="s">
        <v>51</v>
      </c>
      <c r="J2303">
        <v>1</v>
      </c>
      <c r="K2303">
        <v>2999</v>
      </c>
      <c r="L2303">
        <f>Table1[[#This Row],[Quantity]] * Table1[[#This Row],[UnitPrice]]</f>
        <v>2999</v>
      </c>
      <c r="M2303" s="25">
        <v>30</v>
      </c>
      <c r="N2303">
        <f>Table1[[#This Row],[Revenue]]*Table1[[#This Row],[Discount%]]/100</f>
        <v>899.7</v>
      </c>
      <c r="O2303" s="6">
        <f>Table1[[#This Row],[Revenue]]-Table1[[#This Row],[Disc_amount]]</f>
        <v>2099.3000000000002</v>
      </c>
      <c r="P2303" t="s">
        <v>41</v>
      </c>
      <c r="Q2303" t="s">
        <v>34</v>
      </c>
    </row>
    <row r="2304" spans="1:17">
      <c r="A2304" t="s">
        <v>3154</v>
      </c>
      <c r="B2304" s="1" t="s">
        <v>581</v>
      </c>
      <c r="C2304" s="1" t="s">
        <v>3090</v>
      </c>
      <c r="D2304" s="1" t="s">
        <v>20</v>
      </c>
      <c r="E2304" t="s">
        <v>386</v>
      </c>
      <c r="F2304" t="s">
        <v>183</v>
      </c>
      <c r="G2304" t="s">
        <v>31</v>
      </c>
      <c r="H2304" t="s">
        <v>57</v>
      </c>
      <c r="I2304" t="s">
        <v>62</v>
      </c>
      <c r="J2304">
        <v>2</v>
      </c>
      <c r="K2304">
        <v>799</v>
      </c>
      <c r="L2304">
        <f>Table1[[#This Row],[Quantity]] * Table1[[#This Row],[UnitPrice]]</f>
        <v>1598</v>
      </c>
      <c r="M2304" s="25">
        <v>25</v>
      </c>
      <c r="N2304">
        <f>Table1[[#This Row],[Revenue]]*Table1[[#This Row],[Discount%]]/100</f>
        <v>399.5</v>
      </c>
      <c r="O2304" s="6">
        <f>Table1[[#This Row],[Revenue]]-Table1[[#This Row],[Disc_amount]]</f>
        <v>1198.5</v>
      </c>
      <c r="P2304" t="s">
        <v>26</v>
      </c>
      <c r="Q2304" t="s">
        <v>27</v>
      </c>
    </row>
    <row r="2305" spans="1:17">
      <c r="A2305" t="s">
        <v>3155</v>
      </c>
      <c r="B2305" s="1" t="s">
        <v>581</v>
      </c>
      <c r="C2305" s="1" t="s">
        <v>3090</v>
      </c>
      <c r="D2305" s="1" t="s">
        <v>20</v>
      </c>
      <c r="E2305" t="s">
        <v>645</v>
      </c>
      <c r="F2305" t="s">
        <v>248</v>
      </c>
      <c r="G2305" t="s">
        <v>56</v>
      </c>
      <c r="H2305" t="s">
        <v>65</v>
      </c>
      <c r="I2305" t="s">
        <v>94</v>
      </c>
      <c r="J2305">
        <v>1</v>
      </c>
      <c r="K2305">
        <v>899</v>
      </c>
      <c r="L2305">
        <f>Table1[[#This Row],[Quantity]] * Table1[[#This Row],[UnitPrice]]</f>
        <v>899</v>
      </c>
      <c r="M2305" s="25">
        <v>20</v>
      </c>
      <c r="N2305">
        <f>Table1[[#This Row],[Revenue]]*Table1[[#This Row],[Discount%]]/100</f>
        <v>179.8</v>
      </c>
      <c r="O2305" s="6">
        <f>Table1[[#This Row],[Revenue]]-Table1[[#This Row],[Disc_amount]]</f>
        <v>719.2</v>
      </c>
      <c r="P2305" t="s">
        <v>41</v>
      </c>
      <c r="Q2305" t="s">
        <v>27</v>
      </c>
    </row>
    <row r="2306" spans="1:17">
      <c r="A2306" t="s">
        <v>3156</v>
      </c>
      <c r="B2306" s="1" t="s">
        <v>581</v>
      </c>
      <c r="C2306" s="1" t="s">
        <v>3090</v>
      </c>
      <c r="D2306" s="1" t="s">
        <v>20</v>
      </c>
      <c r="E2306" t="s">
        <v>1186</v>
      </c>
      <c r="F2306" t="s">
        <v>1187</v>
      </c>
      <c r="G2306" t="s">
        <v>38</v>
      </c>
      <c r="H2306" t="s">
        <v>57</v>
      </c>
      <c r="I2306" t="s">
        <v>58</v>
      </c>
      <c r="J2306">
        <v>2</v>
      </c>
      <c r="K2306">
        <v>1299</v>
      </c>
      <c r="L2306">
        <f>Table1[[#This Row],[Quantity]] * Table1[[#This Row],[UnitPrice]]</f>
        <v>2598</v>
      </c>
      <c r="M2306" s="25">
        <v>20</v>
      </c>
      <c r="N2306">
        <f>Table1[[#This Row],[Revenue]]*Table1[[#This Row],[Discount%]]/100</f>
        <v>519.6</v>
      </c>
      <c r="O2306" s="6">
        <f>Table1[[#This Row],[Revenue]]-Table1[[#This Row],[Disc_amount]]</f>
        <v>2078.4</v>
      </c>
      <c r="P2306" t="s">
        <v>41</v>
      </c>
      <c r="Q2306" t="s">
        <v>34</v>
      </c>
    </row>
    <row r="2307" spans="1:17">
      <c r="A2307" t="s">
        <v>3157</v>
      </c>
      <c r="B2307" s="1" t="s">
        <v>581</v>
      </c>
      <c r="C2307" s="1" t="s">
        <v>3090</v>
      </c>
      <c r="D2307" s="1" t="s">
        <v>20</v>
      </c>
      <c r="E2307" t="s">
        <v>1066</v>
      </c>
      <c r="F2307" t="s">
        <v>143</v>
      </c>
      <c r="G2307" t="s">
        <v>56</v>
      </c>
      <c r="H2307" t="s">
        <v>70</v>
      </c>
      <c r="I2307" t="s">
        <v>71</v>
      </c>
      <c r="J2307">
        <v>2</v>
      </c>
      <c r="K2307">
        <v>349</v>
      </c>
      <c r="L2307">
        <f>Table1[[#This Row],[Quantity]] * Table1[[#This Row],[UnitPrice]]</f>
        <v>698</v>
      </c>
      <c r="M2307" s="25">
        <v>15</v>
      </c>
      <c r="N2307">
        <f>Table1[[#This Row],[Revenue]]*Table1[[#This Row],[Discount%]]/100</f>
        <v>104.7</v>
      </c>
      <c r="O2307" s="6">
        <f>Table1[[#This Row],[Revenue]]-Table1[[#This Row],[Disc_amount]]</f>
        <v>593.29999999999995</v>
      </c>
      <c r="P2307" t="s">
        <v>26</v>
      </c>
      <c r="Q2307" t="s">
        <v>27</v>
      </c>
    </row>
    <row r="2308" spans="1:17">
      <c r="A2308" t="s">
        <v>3158</v>
      </c>
      <c r="B2308" s="1" t="s">
        <v>581</v>
      </c>
      <c r="C2308" s="1" t="s">
        <v>3090</v>
      </c>
      <c r="D2308" s="1" t="s">
        <v>20</v>
      </c>
      <c r="E2308" t="s">
        <v>1462</v>
      </c>
      <c r="F2308" t="s">
        <v>1463</v>
      </c>
      <c r="G2308" t="s">
        <v>56</v>
      </c>
      <c r="H2308" t="s">
        <v>65</v>
      </c>
      <c r="I2308" t="s">
        <v>66</v>
      </c>
      <c r="J2308">
        <v>1</v>
      </c>
      <c r="K2308">
        <v>1999</v>
      </c>
      <c r="L2308">
        <f>Table1[[#This Row],[Quantity]] * Table1[[#This Row],[UnitPrice]]</f>
        <v>1999</v>
      </c>
      <c r="M2308" s="25">
        <v>10</v>
      </c>
      <c r="N2308">
        <f>Table1[[#This Row],[Revenue]]*Table1[[#This Row],[Discount%]]/100</f>
        <v>199.9</v>
      </c>
      <c r="O2308" s="6">
        <f>Table1[[#This Row],[Revenue]]-Table1[[#This Row],[Disc_amount]]</f>
        <v>1799.1</v>
      </c>
      <c r="P2308" t="s">
        <v>33</v>
      </c>
      <c r="Q2308" t="s">
        <v>27</v>
      </c>
    </row>
    <row r="2309" spans="1:17">
      <c r="A2309" t="s">
        <v>3159</v>
      </c>
      <c r="B2309" s="1" t="s">
        <v>581</v>
      </c>
      <c r="C2309" s="1" t="s">
        <v>3090</v>
      </c>
      <c r="D2309" s="1" t="s">
        <v>20</v>
      </c>
      <c r="E2309" t="s">
        <v>1913</v>
      </c>
      <c r="F2309" t="s">
        <v>462</v>
      </c>
      <c r="G2309" t="s">
        <v>56</v>
      </c>
      <c r="H2309" t="s">
        <v>46</v>
      </c>
      <c r="I2309" t="s">
        <v>47</v>
      </c>
      <c r="J2309">
        <v>1</v>
      </c>
      <c r="K2309">
        <v>249</v>
      </c>
      <c r="L2309">
        <f>Table1[[#This Row],[Quantity]] * Table1[[#This Row],[UnitPrice]]</f>
        <v>249</v>
      </c>
      <c r="M2309" s="25">
        <v>30</v>
      </c>
      <c r="N2309">
        <f>Table1[[#This Row],[Revenue]]*Table1[[#This Row],[Discount%]]/100</f>
        <v>74.7</v>
      </c>
      <c r="O2309" s="6">
        <f>Table1[[#This Row],[Revenue]]-Table1[[#This Row],[Disc_amount]]</f>
        <v>174.3</v>
      </c>
      <c r="P2309" t="s">
        <v>33</v>
      </c>
      <c r="Q2309" t="s">
        <v>27</v>
      </c>
    </row>
    <row r="2310" spans="1:17">
      <c r="A2310" t="s">
        <v>3160</v>
      </c>
      <c r="B2310" s="1" t="s">
        <v>581</v>
      </c>
      <c r="C2310" s="1" t="s">
        <v>3090</v>
      </c>
      <c r="D2310" s="1" t="s">
        <v>20</v>
      </c>
      <c r="E2310" t="s">
        <v>252</v>
      </c>
      <c r="F2310" t="s">
        <v>253</v>
      </c>
      <c r="G2310" t="s">
        <v>45</v>
      </c>
      <c r="H2310" t="s">
        <v>65</v>
      </c>
      <c r="I2310" t="s">
        <v>94</v>
      </c>
      <c r="J2310">
        <v>3</v>
      </c>
      <c r="K2310">
        <v>899</v>
      </c>
      <c r="L2310">
        <f>Table1[[#This Row],[Quantity]] * Table1[[#This Row],[UnitPrice]]</f>
        <v>2697</v>
      </c>
      <c r="M2310" s="25">
        <v>25</v>
      </c>
      <c r="N2310">
        <f>Table1[[#This Row],[Revenue]]*Table1[[#This Row],[Discount%]]/100</f>
        <v>674.25</v>
      </c>
      <c r="O2310" s="6">
        <f>Table1[[#This Row],[Revenue]]-Table1[[#This Row],[Disc_amount]]</f>
        <v>2022.75</v>
      </c>
      <c r="P2310" t="s">
        <v>33</v>
      </c>
      <c r="Q2310" t="s">
        <v>34</v>
      </c>
    </row>
    <row r="2311" spans="1:17">
      <c r="A2311" t="s">
        <v>3161</v>
      </c>
      <c r="B2311" s="1" t="s">
        <v>581</v>
      </c>
      <c r="C2311" s="1" t="s">
        <v>3090</v>
      </c>
      <c r="D2311" s="1" t="s">
        <v>20</v>
      </c>
      <c r="E2311" t="s">
        <v>921</v>
      </c>
      <c r="F2311" t="s">
        <v>104</v>
      </c>
      <c r="G2311" t="s">
        <v>38</v>
      </c>
      <c r="H2311" t="s">
        <v>24</v>
      </c>
      <c r="I2311" t="s">
        <v>25</v>
      </c>
      <c r="J2311">
        <v>2</v>
      </c>
      <c r="K2311">
        <v>99</v>
      </c>
      <c r="L2311">
        <f>Table1[[#This Row],[Quantity]] * Table1[[#This Row],[UnitPrice]]</f>
        <v>198</v>
      </c>
      <c r="M2311" s="25">
        <v>30</v>
      </c>
      <c r="N2311">
        <f>Table1[[#This Row],[Revenue]]*Table1[[#This Row],[Discount%]]/100</f>
        <v>59.4</v>
      </c>
      <c r="O2311" s="6">
        <f>Table1[[#This Row],[Revenue]]-Table1[[#This Row],[Disc_amount]]</f>
        <v>138.6</v>
      </c>
      <c r="P2311" t="s">
        <v>41</v>
      </c>
      <c r="Q2311" t="s">
        <v>27</v>
      </c>
    </row>
    <row r="2312" spans="1:17">
      <c r="A2312" t="s">
        <v>3162</v>
      </c>
      <c r="B2312" s="1" t="s">
        <v>581</v>
      </c>
      <c r="C2312" s="1" t="s">
        <v>3090</v>
      </c>
      <c r="D2312" s="1" t="s">
        <v>20</v>
      </c>
      <c r="E2312" t="s">
        <v>368</v>
      </c>
      <c r="F2312" t="s">
        <v>369</v>
      </c>
      <c r="G2312" t="s">
        <v>31</v>
      </c>
      <c r="H2312" t="s">
        <v>70</v>
      </c>
      <c r="I2312" t="s">
        <v>71</v>
      </c>
      <c r="J2312">
        <v>1</v>
      </c>
      <c r="K2312">
        <v>349</v>
      </c>
      <c r="L2312">
        <f>Table1[[#This Row],[Quantity]] * Table1[[#This Row],[UnitPrice]]</f>
        <v>349</v>
      </c>
      <c r="M2312" s="25">
        <v>0</v>
      </c>
      <c r="N2312">
        <f>Table1[[#This Row],[Revenue]]*Table1[[#This Row],[Discount%]]/100</f>
        <v>0</v>
      </c>
      <c r="O2312" s="6">
        <f>Table1[[#This Row],[Revenue]]-Table1[[#This Row],[Disc_amount]]</f>
        <v>349</v>
      </c>
      <c r="P2312" t="s">
        <v>52</v>
      </c>
      <c r="Q2312" t="s">
        <v>27</v>
      </c>
    </row>
    <row r="2313" spans="1:17">
      <c r="A2313" t="s">
        <v>3163</v>
      </c>
      <c r="B2313" s="1" t="s">
        <v>591</v>
      </c>
      <c r="C2313" s="1" t="s">
        <v>3090</v>
      </c>
      <c r="D2313" s="1" t="s">
        <v>20</v>
      </c>
      <c r="E2313" t="s">
        <v>49</v>
      </c>
      <c r="F2313" t="s">
        <v>50</v>
      </c>
      <c r="G2313" t="s">
        <v>31</v>
      </c>
      <c r="H2313" t="s">
        <v>57</v>
      </c>
      <c r="I2313" t="s">
        <v>58</v>
      </c>
      <c r="J2313">
        <v>5</v>
      </c>
      <c r="K2313">
        <v>1299</v>
      </c>
      <c r="L2313">
        <f>Table1[[#This Row],[Quantity]] * Table1[[#This Row],[UnitPrice]]</f>
        <v>6495</v>
      </c>
      <c r="M2313" s="25">
        <v>30</v>
      </c>
      <c r="N2313">
        <f>Table1[[#This Row],[Revenue]]*Table1[[#This Row],[Discount%]]/100</f>
        <v>1948.5</v>
      </c>
      <c r="O2313" s="6">
        <f>Table1[[#This Row],[Revenue]]-Table1[[#This Row],[Disc_amount]]</f>
        <v>4546.5</v>
      </c>
      <c r="P2313" t="s">
        <v>86</v>
      </c>
      <c r="Q2313" t="s">
        <v>27</v>
      </c>
    </row>
    <row r="2314" spans="1:17">
      <c r="A2314" t="s">
        <v>3164</v>
      </c>
      <c r="B2314" s="1" t="s">
        <v>591</v>
      </c>
      <c r="C2314" s="1" t="s">
        <v>3090</v>
      </c>
      <c r="D2314" s="1" t="s">
        <v>20</v>
      </c>
      <c r="E2314" t="s">
        <v>659</v>
      </c>
      <c r="F2314" t="s">
        <v>253</v>
      </c>
      <c r="G2314" t="s">
        <v>23</v>
      </c>
      <c r="H2314" t="s">
        <v>39</v>
      </c>
      <c r="I2314" t="s">
        <v>140</v>
      </c>
      <c r="J2314">
        <v>1</v>
      </c>
      <c r="K2314">
        <v>1799</v>
      </c>
      <c r="L2314">
        <f>Table1[[#This Row],[Quantity]] * Table1[[#This Row],[UnitPrice]]</f>
        <v>1799</v>
      </c>
      <c r="M2314" s="25">
        <v>25</v>
      </c>
      <c r="N2314">
        <f>Table1[[#This Row],[Revenue]]*Table1[[#This Row],[Discount%]]/100</f>
        <v>449.75</v>
      </c>
      <c r="O2314" s="6">
        <f>Table1[[#This Row],[Revenue]]-Table1[[#This Row],[Disc_amount]]</f>
        <v>1349.25</v>
      </c>
      <c r="P2314" t="s">
        <v>52</v>
      </c>
      <c r="Q2314" t="s">
        <v>27</v>
      </c>
    </row>
    <row r="2315" spans="1:17">
      <c r="A2315" t="s">
        <v>3165</v>
      </c>
      <c r="B2315" s="1" t="s">
        <v>591</v>
      </c>
      <c r="C2315" s="1" t="s">
        <v>3090</v>
      </c>
      <c r="D2315" s="1" t="s">
        <v>20</v>
      </c>
      <c r="E2315" t="s">
        <v>2860</v>
      </c>
      <c r="F2315" t="s">
        <v>2861</v>
      </c>
      <c r="G2315" t="s">
        <v>31</v>
      </c>
      <c r="H2315" t="s">
        <v>108</v>
      </c>
      <c r="I2315" t="s">
        <v>130</v>
      </c>
      <c r="J2315">
        <v>5</v>
      </c>
      <c r="K2315">
        <v>699</v>
      </c>
      <c r="L2315">
        <f>Table1[[#This Row],[Quantity]] * Table1[[#This Row],[UnitPrice]]</f>
        <v>3495</v>
      </c>
      <c r="M2315" s="25">
        <v>0</v>
      </c>
      <c r="N2315">
        <f>Table1[[#This Row],[Revenue]]*Table1[[#This Row],[Discount%]]/100</f>
        <v>0</v>
      </c>
      <c r="O2315" s="6">
        <f>Table1[[#This Row],[Revenue]]-Table1[[#This Row],[Disc_amount]]</f>
        <v>3495</v>
      </c>
      <c r="P2315" t="s">
        <v>33</v>
      </c>
      <c r="Q2315" t="s">
        <v>34</v>
      </c>
    </row>
    <row r="2316" spans="1:17">
      <c r="A2316" t="s">
        <v>3166</v>
      </c>
      <c r="B2316" s="1" t="s">
        <v>591</v>
      </c>
      <c r="C2316" s="1" t="s">
        <v>3090</v>
      </c>
      <c r="D2316" s="1" t="s">
        <v>20</v>
      </c>
      <c r="E2316" t="s">
        <v>433</v>
      </c>
      <c r="F2316" t="s">
        <v>434</v>
      </c>
      <c r="G2316" t="s">
        <v>38</v>
      </c>
      <c r="H2316" t="s">
        <v>46</v>
      </c>
      <c r="I2316" t="s">
        <v>154</v>
      </c>
      <c r="J2316">
        <v>1</v>
      </c>
      <c r="K2316">
        <v>299</v>
      </c>
      <c r="L2316">
        <f>Table1[[#This Row],[Quantity]] * Table1[[#This Row],[UnitPrice]]</f>
        <v>299</v>
      </c>
      <c r="M2316" s="25">
        <v>25</v>
      </c>
      <c r="N2316">
        <f>Table1[[#This Row],[Revenue]]*Table1[[#This Row],[Discount%]]/100</f>
        <v>74.75</v>
      </c>
      <c r="O2316" s="6">
        <f>Table1[[#This Row],[Revenue]]-Table1[[#This Row],[Disc_amount]]</f>
        <v>224.25</v>
      </c>
      <c r="P2316" t="s">
        <v>26</v>
      </c>
      <c r="Q2316" t="s">
        <v>27</v>
      </c>
    </row>
    <row r="2317" spans="1:17">
      <c r="A2317" t="s">
        <v>3167</v>
      </c>
      <c r="B2317" s="1" t="s">
        <v>591</v>
      </c>
      <c r="C2317" s="1" t="s">
        <v>3090</v>
      </c>
      <c r="D2317" s="1" t="s">
        <v>20</v>
      </c>
      <c r="E2317" t="s">
        <v>89</v>
      </c>
      <c r="F2317" t="s">
        <v>90</v>
      </c>
      <c r="G2317" t="s">
        <v>31</v>
      </c>
      <c r="H2317" t="s">
        <v>65</v>
      </c>
      <c r="I2317" t="s">
        <v>66</v>
      </c>
      <c r="J2317">
        <v>2</v>
      </c>
      <c r="K2317">
        <v>1999</v>
      </c>
      <c r="L2317">
        <f>Table1[[#This Row],[Quantity]] * Table1[[#This Row],[UnitPrice]]</f>
        <v>3998</v>
      </c>
      <c r="M2317" s="25">
        <v>15</v>
      </c>
      <c r="N2317">
        <f>Table1[[#This Row],[Revenue]]*Table1[[#This Row],[Discount%]]/100</f>
        <v>599.70000000000005</v>
      </c>
      <c r="O2317" s="6">
        <f>Table1[[#This Row],[Revenue]]-Table1[[#This Row],[Disc_amount]]</f>
        <v>3398.3</v>
      </c>
      <c r="P2317" t="s">
        <v>33</v>
      </c>
      <c r="Q2317" t="s">
        <v>34</v>
      </c>
    </row>
    <row r="2318" spans="1:17">
      <c r="A2318" t="s">
        <v>3168</v>
      </c>
      <c r="B2318" s="1" t="s">
        <v>591</v>
      </c>
      <c r="C2318" s="1" t="s">
        <v>3090</v>
      </c>
      <c r="D2318" s="1" t="s">
        <v>20</v>
      </c>
      <c r="E2318" t="s">
        <v>801</v>
      </c>
      <c r="F2318" t="s">
        <v>802</v>
      </c>
      <c r="G2318" t="s">
        <v>56</v>
      </c>
      <c r="H2318" t="s">
        <v>24</v>
      </c>
      <c r="I2318" t="s">
        <v>32</v>
      </c>
      <c r="J2318">
        <v>1</v>
      </c>
      <c r="K2318">
        <v>199</v>
      </c>
      <c r="L2318">
        <f>Table1[[#This Row],[Quantity]] * Table1[[#This Row],[UnitPrice]]</f>
        <v>199</v>
      </c>
      <c r="M2318" s="25">
        <v>15</v>
      </c>
      <c r="N2318">
        <f>Table1[[#This Row],[Revenue]]*Table1[[#This Row],[Discount%]]/100</f>
        <v>29.85</v>
      </c>
      <c r="O2318" s="6">
        <f>Table1[[#This Row],[Revenue]]-Table1[[#This Row],[Disc_amount]]</f>
        <v>169.15</v>
      </c>
      <c r="P2318" t="s">
        <v>41</v>
      </c>
      <c r="Q2318" t="s">
        <v>27</v>
      </c>
    </row>
    <row r="2319" spans="1:17">
      <c r="A2319" t="s">
        <v>3169</v>
      </c>
      <c r="B2319" s="1" t="s">
        <v>591</v>
      </c>
      <c r="C2319" s="1" t="s">
        <v>3090</v>
      </c>
      <c r="D2319" s="1" t="s">
        <v>20</v>
      </c>
      <c r="E2319" t="s">
        <v>241</v>
      </c>
      <c r="F2319" t="s">
        <v>242</v>
      </c>
      <c r="G2319" t="s">
        <v>31</v>
      </c>
      <c r="H2319" t="s">
        <v>65</v>
      </c>
      <c r="I2319" t="s">
        <v>66</v>
      </c>
      <c r="J2319">
        <v>1</v>
      </c>
      <c r="K2319">
        <v>1999</v>
      </c>
      <c r="L2319">
        <f>Table1[[#This Row],[Quantity]] * Table1[[#This Row],[UnitPrice]]</f>
        <v>1999</v>
      </c>
      <c r="M2319" s="25">
        <v>20</v>
      </c>
      <c r="N2319">
        <f>Table1[[#This Row],[Revenue]]*Table1[[#This Row],[Discount%]]/100</f>
        <v>399.8</v>
      </c>
      <c r="O2319" s="6">
        <f>Table1[[#This Row],[Revenue]]-Table1[[#This Row],[Disc_amount]]</f>
        <v>1599.2</v>
      </c>
      <c r="P2319" t="s">
        <v>33</v>
      </c>
      <c r="Q2319" t="s">
        <v>34</v>
      </c>
    </row>
    <row r="2320" spans="1:17">
      <c r="A2320" t="s">
        <v>3170</v>
      </c>
      <c r="B2320" s="1" t="s">
        <v>591</v>
      </c>
      <c r="C2320" s="1" t="s">
        <v>3090</v>
      </c>
      <c r="D2320" s="1" t="s">
        <v>20</v>
      </c>
      <c r="E2320" t="s">
        <v>636</v>
      </c>
      <c r="F2320" t="s">
        <v>61</v>
      </c>
      <c r="G2320" t="s">
        <v>23</v>
      </c>
      <c r="H2320" t="s">
        <v>65</v>
      </c>
      <c r="I2320" t="s">
        <v>94</v>
      </c>
      <c r="J2320">
        <v>1</v>
      </c>
      <c r="K2320">
        <v>899</v>
      </c>
      <c r="L2320">
        <f>Table1[[#This Row],[Quantity]] * Table1[[#This Row],[UnitPrice]]</f>
        <v>899</v>
      </c>
      <c r="M2320" s="25">
        <v>0</v>
      </c>
      <c r="N2320">
        <f>Table1[[#This Row],[Revenue]]*Table1[[#This Row],[Discount%]]/100</f>
        <v>0</v>
      </c>
      <c r="O2320" s="6">
        <f>Table1[[#This Row],[Revenue]]-Table1[[#This Row],[Disc_amount]]</f>
        <v>899</v>
      </c>
      <c r="P2320" t="s">
        <v>86</v>
      </c>
      <c r="Q2320" t="s">
        <v>27</v>
      </c>
    </row>
    <row r="2321" spans="1:17">
      <c r="A2321" t="s">
        <v>3171</v>
      </c>
      <c r="B2321" s="1" t="s">
        <v>591</v>
      </c>
      <c r="C2321" s="1" t="s">
        <v>3090</v>
      </c>
      <c r="D2321" s="1" t="s">
        <v>20</v>
      </c>
      <c r="E2321" t="s">
        <v>1075</v>
      </c>
      <c r="F2321" t="s">
        <v>150</v>
      </c>
      <c r="G2321" t="s">
        <v>45</v>
      </c>
      <c r="H2321" t="s">
        <v>65</v>
      </c>
      <c r="I2321" t="s">
        <v>98</v>
      </c>
      <c r="J2321">
        <v>1</v>
      </c>
      <c r="K2321">
        <v>499</v>
      </c>
      <c r="L2321">
        <f>Table1[[#This Row],[Quantity]] * Table1[[#This Row],[UnitPrice]]</f>
        <v>499</v>
      </c>
      <c r="M2321" s="25">
        <v>25</v>
      </c>
      <c r="N2321">
        <f>Table1[[#This Row],[Revenue]]*Table1[[#This Row],[Discount%]]/100</f>
        <v>124.75</v>
      </c>
      <c r="O2321" s="6">
        <f>Table1[[#This Row],[Revenue]]-Table1[[#This Row],[Disc_amount]]</f>
        <v>374.25</v>
      </c>
      <c r="P2321" t="s">
        <v>41</v>
      </c>
      <c r="Q2321" t="s">
        <v>27</v>
      </c>
    </row>
    <row r="2322" spans="1:17">
      <c r="A2322" t="s">
        <v>3172</v>
      </c>
      <c r="B2322" s="1" t="s">
        <v>602</v>
      </c>
      <c r="C2322" s="1" t="s">
        <v>3090</v>
      </c>
      <c r="D2322" s="1" t="s">
        <v>20</v>
      </c>
      <c r="E2322" t="s">
        <v>383</v>
      </c>
      <c r="F2322" t="s">
        <v>384</v>
      </c>
      <c r="G2322" t="s">
        <v>45</v>
      </c>
      <c r="H2322" t="s">
        <v>24</v>
      </c>
      <c r="I2322" t="s">
        <v>32</v>
      </c>
      <c r="J2322">
        <v>3</v>
      </c>
      <c r="K2322">
        <v>199</v>
      </c>
      <c r="L2322">
        <f>Table1[[#This Row],[Quantity]] * Table1[[#This Row],[UnitPrice]]</f>
        <v>597</v>
      </c>
      <c r="M2322" s="25">
        <v>0</v>
      </c>
      <c r="N2322">
        <f>Table1[[#This Row],[Revenue]]*Table1[[#This Row],[Discount%]]/100</f>
        <v>0</v>
      </c>
      <c r="O2322" s="6">
        <f>Table1[[#This Row],[Revenue]]-Table1[[#This Row],[Disc_amount]]</f>
        <v>597</v>
      </c>
      <c r="P2322" t="s">
        <v>26</v>
      </c>
      <c r="Q2322" t="s">
        <v>27</v>
      </c>
    </row>
    <row r="2323" spans="1:17">
      <c r="A2323" t="s">
        <v>3173</v>
      </c>
      <c r="B2323" s="1" t="s">
        <v>602</v>
      </c>
      <c r="C2323" s="1" t="s">
        <v>3090</v>
      </c>
      <c r="D2323" s="1" t="s">
        <v>20</v>
      </c>
      <c r="E2323" t="s">
        <v>850</v>
      </c>
      <c r="F2323" t="s">
        <v>759</v>
      </c>
      <c r="G2323" t="s">
        <v>56</v>
      </c>
      <c r="H2323" t="s">
        <v>24</v>
      </c>
      <c r="I2323" t="s">
        <v>32</v>
      </c>
      <c r="J2323">
        <v>4</v>
      </c>
      <c r="K2323">
        <v>199</v>
      </c>
      <c r="L2323">
        <f>Table1[[#This Row],[Quantity]] * Table1[[#This Row],[UnitPrice]]</f>
        <v>796</v>
      </c>
      <c r="M2323" s="25">
        <v>15</v>
      </c>
      <c r="N2323">
        <f>Table1[[#This Row],[Revenue]]*Table1[[#This Row],[Discount%]]/100</f>
        <v>119.4</v>
      </c>
      <c r="O2323" s="6">
        <f>Table1[[#This Row],[Revenue]]-Table1[[#This Row],[Disc_amount]]</f>
        <v>676.6</v>
      </c>
      <c r="P2323" t="s">
        <v>86</v>
      </c>
      <c r="Q2323" t="s">
        <v>27</v>
      </c>
    </row>
    <row r="2324" spans="1:17">
      <c r="A2324" t="s">
        <v>3174</v>
      </c>
      <c r="B2324" s="1" t="s">
        <v>602</v>
      </c>
      <c r="C2324" s="1" t="s">
        <v>3090</v>
      </c>
      <c r="D2324" s="1" t="s">
        <v>20</v>
      </c>
      <c r="E2324" t="s">
        <v>220</v>
      </c>
      <c r="F2324" t="s">
        <v>153</v>
      </c>
      <c r="G2324" t="s">
        <v>56</v>
      </c>
      <c r="H2324" t="s">
        <v>24</v>
      </c>
      <c r="I2324" t="s">
        <v>32</v>
      </c>
      <c r="J2324">
        <v>1</v>
      </c>
      <c r="K2324">
        <v>199</v>
      </c>
      <c r="L2324">
        <f>Table1[[#This Row],[Quantity]] * Table1[[#This Row],[UnitPrice]]</f>
        <v>199</v>
      </c>
      <c r="M2324" s="25">
        <v>10</v>
      </c>
      <c r="N2324">
        <f>Table1[[#This Row],[Revenue]]*Table1[[#This Row],[Discount%]]/100</f>
        <v>19.899999999999999</v>
      </c>
      <c r="O2324" s="6">
        <f>Table1[[#This Row],[Revenue]]-Table1[[#This Row],[Disc_amount]]</f>
        <v>179.1</v>
      </c>
      <c r="P2324" t="s">
        <v>41</v>
      </c>
      <c r="Q2324" t="s">
        <v>27</v>
      </c>
    </row>
    <row r="2325" spans="1:17">
      <c r="A2325" t="s">
        <v>3175</v>
      </c>
      <c r="B2325" s="1" t="s">
        <v>602</v>
      </c>
      <c r="C2325" s="1" t="s">
        <v>3090</v>
      </c>
      <c r="D2325" s="1" t="s">
        <v>20</v>
      </c>
      <c r="E2325" t="s">
        <v>202</v>
      </c>
      <c r="F2325" t="s">
        <v>203</v>
      </c>
      <c r="G2325" t="s">
        <v>45</v>
      </c>
      <c r="H2325" t="s">
        <v>24</v>
      </c>
      <c r="I2325" t="s">
        <v>25</v>
      </c>
      <c r="J2325">
        <v>3</v>
      </c>
      <c r="K2325">
        <v>99</v>
      </c>
      <c r="L2325">
        <f>Table1[[#This Row],[Quantity]] * Table1[[#This Row],[UnitPrice]]</f>
        <v>297</v>
      </c>
      <c r="M2325" s="25">
        <v>15</v>
      </c>
      <c r="N2325">
        <f>Table1[[#This Row],[Revenue]]*Table1[[#This Row],[Discount%]]/100</f>
        <v>44.55</v>
      </c>
      <c r="O2325" s="6">
        <f>Table1[[#This Row],[Revenue]]-Table1[[#This Row],[Disc_amount]]</f>
        <v>252.45</v>
      </c>
      <c r="P2325" t="s">
        <v>33</v>
      </c>
      <c r="Q2325" t="s">
        <v>27</v>
      </c>
    </row>
    <row r="2326" spans="1:17">
      <c r="A2326" t="s">
        <v>3176</v>
      </c>
      <c r="B2326" s="1" t="s">
        <v>602</v>
      </c>
      <c r="C2326" s="1" t="s">
        <v>3090</v>
      </c>
      <c r="D2326" s="1" t="s">
        <v>20</v>
      </c>
      <c r="E2326" t="s">
        <v>821</v>
      </c>
      <c r="F2326" t="s">
        <v>714</v>
      </c>
      <c r="G2326" t="s">
        <v>38</v>
      </c>
      <c r="H2326" t="s">
        <v>57</v>
      </c>
      <c r="I2326" t="s">
        <v>62</v>
      </c>
      <c r="J2326">
        <v>1</v>
      </c>
      <c r="K2326">
        <v>799</v>
      </c>
      <c r="L2326">
        <f>Table1[[#This Row],[Quantity]] * Table1[[#This Row],[UnitPrice]]</f>
        <v>799</v>
      </c>
      <c r="M2326" s="25">
        <v>10</v>
      </c>
      <c r="N2326">
        <f>Table1[[#This Row],[Revenue]]*Table1[[#This Row],[Discount%]]/100</f>
        <v>79.900000000000006</v>
      </c>
      <c r="O2326" s="6">
        <f>Table1[[#This Row],[Revenue]]-Table1[[#This Row],[Disc_amount]]</f>
        <v>719.1</v>
      </c>
      <c r="P2326" t="s">
        <v>26</v>
      </c>
      <c r="Q2326" t="s">
        <v>27</v>
      </c>
    </row>
    <row r="2327" spans="1:17">
      <c r="A2327" t="s">
        <v>3177</v>
      </c>
      <c r="B2327" s="1" t="s">
        <v>602</v>
      </c>
      <c r="C2327" s="1" t="s">
        <v>3090</v>
      </c>
      <c r="D2327" s="1" t="s">
        <v>20</v>
      </c>
      <c r="E2327" t="s">
        <v>1264</v>
      </c>
      <c r="F2327" t="s">
        <v>462</v>
      </c>
      <c r="G2327" t="s">
        <v>45</v>
      </c>
      <c r="H2327" t="s">
        <v>46</v>
      </c>
      <c r="I2327" t="s">
        <v>154</v>
      </c>
      <c r="J2327">
        <v>2</v>
      </c>
      <c r="K2327">
        <v>299</v>
      </c>
      <c r="L2327">
        <f>Table1[[#This Row],[Quantity]] * Table1[[#This Row],[UnitPrice]]</f>
        <v>598</v>
      </c>
      <c r="M2327" s="25">
        <v>10</v>
      </c>
      <c r="N2327">
        <f>Table1[[#This Row],[Revenue]]*Table1[[#This Row],[Discount%]]/100</f>
        <v>59.8</v>
      </c>
      <c r="O2327" s="6">
        <f>Table1[[#This Row],[Revenue]]-Table1[[#This Row],[Disc_amount]]</f>
        <v>538.20000000000005</v>
      </c>
      <c r="P2327" t="s">
        <v>86</v>
      </c>
      <c r="Q2327" t="s">
        <v>27</v>
      </c>
    </row>
    <row r="2328" spans="1:17">
      <c r="A2328" t="s">
        <v>3178</v>
      </c>
      <c r="B2328" s="1" t="s">
        <v>602</v>
      </c>
      <c r="C2328" s="1" t="s">
        <v>3090</v>
      </c>
      <c r="D2328" s="1" t="s">
        <v>20</v>
      </c>
      <c r="E2328" t="s">
        <v>1499</v>
      </c>
      <c r="F2328" t="s">
        <v>730</v>
      </c>
      <c r="G2328" t="s">
        <v>31</v>
      </c>
      <c r="H2328" t="s">
        <v>39</v>
      </c>
      <c r="I2328" t="s">
        <v>140</v>
      </c>
      <c r="J2328">
        <v>2</v>
      </c>
      <c r="K2328">
        <v>1799</v>
      </c>
      <c r="L2328">
        <f>Table1[[#This Row],[Quantity]] * Table1[[#This Row],[UnitPrice]]</f>
        <v>3598</v>
      </c>
      <c r="M2328" s="25">
        <v>15</v>
      </c>
      <c r="N2328">
        <f>Table1[[#This Row],[Revenue]]*Table1[[#This Row],[Discount%]]/100</f>
        <v>539.70000000000005</v>
      </c>
      <c r="O2328" s="6">
        <f>Table1[[#This Row],[Revenue]]-Table1[[#This Row],[Disc_amount]]</f>
        <v>3058.3</v>
      </c>
      <c r="P2328" t="s">
        <v>33</v>
      </c>
      <c r="Q2328" t="s">
        <v>27</v>
      </c>
    </row>
    <row r="2329" spans="1:17">
      <c r="A2329" t="s">
        <v>3179</v>
      </c>
      <c r="B2329" s="1" t="s">
        <v>602</v>
      </c>
      <c r="C2329" s="1" t="s">
        <v>3090</v>
      </c>
      <c r="D2329" s="1" t="s">
        <v>20</v>
      </c>
      <c r="E2329" t="s">
        <v>1071</v>
      </c>
      <c r="F2329" t="s">
        <v>118</v>
      </c>
      <c r="G2329" t="s">
        <v>45</v>
      </c>
      <c r="H2329" t="s">
        <v>57</v>
      </c>
      <c r="I2329" t="s">
        <v>62</v>
      </c>
      <c r="J2329">
        <v>3</v>
      </c>
      <c r="K2329">
        <v>799</v>
      </c>
      <c r="L2329">
        <f>Table1[[#This Row],[Quantity]] * Table1[[#This Row],[UnitPrice]]</f>
        <v>2397</v>
      </c>
      <c r="M2329" s="25">
        <v>10</v>
      </c>
      <c r="N2329">
        <f>Table1[[#This Row],[Revenue]]*Table1[[#This Row],[Discount%]]/100</f>
        <v>239.7</v>
      </c>
      <c r="O2329" s="6">
        <f>Table1[[#This Row],[Revenue]]-Table1[[#This Row],[Disc_amount]]</f>
        <v>2157.3000000000002</v>
      </c>
      <c r="P2329" t="s">
        <v>26</v>
      </c>
      <c r="Q2329" t="s">
        <v>27</v>
      </c>
    </row>
    <row r="2330" spans="1:17">
      <c r="A2330" t="s">
        <v>3180</v>
      </c>
      <c r="B2330" s="1" t="s">
        <v>602</v>
      </c>
      <c r="C2330" s="1" t="s">
        <v>3090</v>
      </c>
      <c r="D2330" s="1" t="s">
        <v>20</v>
      </c>
      <c r="E2330" t="s">
        <v>1364</v>
      </c>
      <c r="F2330" t="s">
        <v>326</v>
      </c>
      <c r="G2330" t="s">
        <v>23</v>
      </c>
      <c r="H2330" t="s">
        <v>39</v>
      </c>
      <c r="I2330" t="s">
        <v>51</v>
      </c>
      <c r="J2330">
        <v>1</v>
      </c>
      <c r="K2330">
        <v>2999</v>
      </c>
      <c r="L2330">
        <f>Table1[[#This Row],[Quantity]] * Table1[[#This Row],[UnitPrice]]</f>
        <v>2999</v>
      </c>
      <c r="M2330" s="25">
        <v>10</v>
      </c>
      <c r="N2330">
        <f>Table1[[#This Row],[Revenue]]*Table1[[#This Row],[Discount%]]/100</f>
        <v>299.89999999999998</v>
      </c>
      <c r="O2330" s="6">
        <f>Table1[[#This Row],[Revenue]]-Table1[[#This Row],[Disc_amount]]</f>
        <v>2699.1</v>
      </c>
      <c r="P2330" t="s">
        <v>33</v>
      </c>
      <c r="Q2330" t="s">
        <v>27</v>
      </c>
    </row>
    <row r="2331" spans="1:17">
      <c r="A2331" t="s">
        <v>3181</v>
      </c>
      <c r="B2331" s="1" t="s">
        <v>602</v>
      </c>
      <c r="C2331" s="1" t="s">
        <v>3090</v>
      </c>
      <c r="D2331" s="1" t="s">
        <v>20</v>
      </c>
      <c r="E2331" t="s">
        <v>1685</v>
      </c>
      <c r="F2331" t="s">
        <v>784</v>
      </c>
      <c r="G2331" t="s">
        <v>38</v>
      </c>
      <c r="H2331" t="s">
        <v>39</v>
      </c>
      <c r="I2331" t="s">
        <v>51</v>
      </c>
      <c r="J2331">
        <v>1</v>
      </c>
      <c r="K2331">
        <v>2999</v>
      </c>
      <c r="L2331">
        <f>Table1[[#This Row],[Quantity]] * Table1[[#This Row],[UnitPrice]]</f>
        <v>2999</v>
      </c>
      <c r="M2331" s="25">
        <v>15</v>
      </c>
      <c r="N2331">
        <f>Table1[[#This Row],[Revenue]]*Table1[[#This Row],[Discount%]]/100</f>
        <v>449.85</v>
      </c>
      <c r="O2331" s="6">
        <f>Table1[[#This Row],[Revenue]]-Table1[[#This Row],[Disc_amount]]</f>
        <v>2549.15</v>
      </c>
      <c r="P2331" t="s">
        <v>41</v>
      </c>
      <c r="Q2331" t="s">
        <v>27</v>
      </c>
    </row>
    <row r="2332" spans="1:17">
      <c r="A2332" t="s">
        <v>3182</v>
      </c>
      <c r="B2332" s="1" t="s">
        <v>602</v>
      </c>
      <c r="C2332" s="1" t="s">
        <v>3090</v>
      </c>
      <c r="D2332" s="1" t="s">
        <v>20</v>
      </c>
      <c r="E2332" t="s">
        <v>589</v>
      </c>
      <c r="F2332" t="s">
        <v>501</v>
      </c>
      <c r="G2332" t="s">
        <v>38</v>
      </c>
      <c r="H2332" t="s">
        <v>57</v>
      </c>
      <c r="I2332" t="s">
        <v>62</v>
      </c>
      <c r="J2332">
        <v>2</v>
      </c>
      <c r="K2332">
        <v>799</v>
      </c>
      <c r="L2332">
        <f>Table1[[#This Row],[Quantity]] * Table1[[#This Row],[UnitPrice]]</f>
        <v>1598</v>
      </c>
      <c r="M2332" s="25">
        <v>25</v>
      </c>
      <c r="N2332">
        <f>Table1[[#This Row],[Revenue]]*Table1[[#This Row],[Discount%]]/100</f>
        <v>399.5</v>
      </c>
      <c r="O2332" s="6">
        <f>Table1[[#This Row],[Revenue]]-Table1[[#This Row],[Disc_amount]]</f>
        <v>1198.5</v>
      </c>
      <c r="P2332" t="s">
        <v>86</v>
      </c>
      <c r="Q2332" t="s">
        <v>34</v>
      </c>
    </row>
    <row r="2333" spans="1:17">
      <c r="A2333" t="s">
        <v>3183</v>
      </c>
      <c r="B2333" s="1" t="s">
        <v>621</v>
      </c>
      <c r="C2333" s="1" t="s">
        <v>3090</v>
      </c>
      <c r="D2333" s="1" t="s">
        <v>20</v>
      </c>
      <c r="E2333" t="s">
        <v>258</v>
      </c>
      <c r="F2333" t="s">
        <v>259</v>
      </c>
      <c r="G2333" t="s">
        <v>56</v>
      </c>
      <c r="H2333" t="s">
        <v>39</v>
      </c>
      <c r="I2333" t="s">
        <v>51</v>
      </c>
      <c r="J2333">
        <v>1</v>
      </c>
      <c r="K2333">
        <v>2999</v>
      </c>
      <c r="L2333">
        <f>Table1[[#This Row],[Quantity]] * Table1[[#This Row],[UnitPrice]]</f>
        <v>2999</v>
      </c>
      <c r="M2333" s="25">
        <v>10</v>
      </c>
      <c r="N2333">
        <f>Table1[[#This Row],[Revenue]]*Table1[[#This Row],[Discount%]]/100</f>
        <v>299.89999999999998</v>
      </c>
      <c r="O2333" s="6">
        <f>Table1[[#This Row],[Revenue]]-Table1[[#This Row],[Disc_amount]]</f>
        <v>2699.1</v>
      </c>
      <c r="P2333" t="s">
        <v>41</v>
      </c>
      <c r="Q2333" t="s">
        <v>34</v>
      </c>
    </row>
    <row r="2334" spans="1:17">
      <c r="A2334" t="s">
        <v>3184</v>
      </c>
      <c r="B2334" s="1" t="s">
        <v>621</v>
      </c>
      <c r="C2334" s="1" t="s">
        <v>3090</v>
      </c>
      <c r="D2334" s="1" t="s">
        <v>20</v>
      </c>
      <c r="E2334" t="s">
        <v>991</v>
      </c>
      <c r="F2334" t="s">
        <v>304</v>
      </c>
      <c r="G2334" t="s">
        <v>56</v>
      </c>
      <c r="H2334" t="s">
        <v>70</v>
      </c>
      <c r="I2334" t="s">
        <v>71</v>
      </c>
      <c r="J2334">
        <v>1</v>
      </c>
      <c r="K2334">
        <v>349</v>
      </c>
      <c r="L2334">
        <f>Table1[[#This Row],[Quantity]] * Table1[[#This Row],[UnitPrice]]</f>
        <v>349</v>
      </c>
      <c r="M2334" s="25">
        <v>5</v>
      </c>
      <c r="N2334">
        <f>Table1[[#This Row],[Revenue]]*Table1[[#This Row],[Discount%]]/100</f>
        <v>17.45</v>
      </c>
      <c r="O2334" s="6">
        <f>Table1[[#This Row],[Revenue]]-Table1[[#This Row],[Disc_amount]]</f>
        <v>331.55</v>
      </c>
      <c r="P2334" t="s">
        <v>41</v>
      </c>
      <c r="Q2334" t="s">
        <v>27</v>
      </c>
    </row>
    <row r="2335" spans="1:17">
      <c r="A2335" t="s">
        <v>3185</v>
      </c>
      <c r="B2335" s="1" t="s">
        <v>621</v>
      </c>
      <c r="C2335" s="1" t="s">
        <v>3090</v>
      </c>
      <c r="D2335" s="1" t="s">
        <v>20</v>
      </c>
      <c r="E2335" t="s">
        <v>354</v>
      </c>
      <c r="F2335" t="s">
        <v>355</v>
      </c>
      <c r="G2335" t="s">
        <v>38</v>
      </c>
      <c r="H2335" t="s">
        <v>65</v>
      </c>
      <c r="I2335" t="s">
        <v>98</v>
      </c>
      <c r="J2335">
        <v>1</v>
      </c>
      <c r="K2335">
        <v>499</v>
      </c>
      <c r="L2335">
        <f>Table1[[#This Row],[Quantity]] * Table1[[#This Row],[UnitPrice]]</f>
        <v>499</v>
      </c>
      <c r="M2335" s="25">
        <v>25</v>
      </c>
      <c r="N2335">
        <f>Table1[[#This Row],[Revenue]]*Table1[[#This Row],[Discount%]]/100</f>
        <v>124.75</v>
      </c>
      <c r="O2335" s="6">
        <f>Table1[[#This Row],[Revenue]]-Table1[[#This Row],[Disc_amount]]</f>
        <v>374.25</v>
      </c>
      <c r="P2335" t="s">
        <v>41</v>
      </c>
      <c r="Q2335" t="s">
        <v>34</v>
      </c>
    </row>
    <row r="2336" spans="1:17">
      <c r="A2336" t="s">
        <v>3186</v>
      </c>
      <c r="B2336" s="1" t="s">
        <v>621</v>
      </c>
      <c r="C2336" s="1" t="s">
        <v>3090</v>
      </c>
      <c r="D2336" s="1" t="s">
        <v>20</v>
      </c>
      <c r="E2336" t="s">
        <v>778</v>
      </c>
      <c r="F2336" t="s">
        <v>287</v>
      </c>
      <c r="G2336" t="s">
        <v>38</v>
      </c>
      <c r="H2336" t="s">
        <v>46</v>
      </c>
      <c r="I2336" t="s">
        <v>154</v>
      </c>
      <c r="J2336">
        <v>2</v>
      </c>
      <c r="K2336">
        <v>299</v>
      </c>
      <c r="L2336">
        <f>Table1[[#This Row],[Quantity]] * Table1[[#This Row],[UnitPrice]]</f>
        <v>598</v>
      </c>
      <c r="M2336" s="25">
        <v>5</v>
      </c>
      <c r="N2336">
        <f>Table1[[#This Row],[Revenue]]*Table1[[#This Row],[Discount%]]/100</f>
        <v>29.9</v>
      </c>
      <c r="O2336" s="6">
        <f>Table1[[#This Row],[Revenue]]-Table1[[#This Row],[Disc_amount]]</f>
        <v>568.1</v>
      </c>
      <c r="P2336" t="s">
        <v>41</v>
      </c>
      <c r="Q2336" t="s">
        <v>27</v>
      </c>
    </row>
    <row r="2337" spans="1:17">
      <c r="A2337" t="s">
        <v>3187</v>
      </c>
      <c r="B2337" s="1" t="s">
        <v>621</v>
      </c>
      <c r="C2337" s="1" t="s">
        <v>3090</v>
      </c>
      <c r="D2337" s="1" t="s">
        <v>20</v>
      </c>
      <c r="E2337" t="s">
        <v>368</v>
      </c>
      <c r="F2337" t="s">
        <v>369</v>
      </c>
      <c r="G2337" t="s">
        <v>45</v>
      </c>
      <c r="H2337" t="s">
        <v>24</v>
      </c>
      <c r="I2337" t="s">
        <v>25</v>
      </c>
      <c r="J2337">
        <v>1</v>
      </c>
      <c r="K2337">
        <v>99</v>
      </c>
      <c r="L2337">
        <f>Table1[[#This Row],[Quantity]] * Table1[[#This Row],[UnitPrice]]</f>
        <v>99</v>
      </c>
      <c r="M2337" s="25">
        <v>30</v>
      </c>
      <c r="N2337">
        <f>Table1[[#This Row],[Revenue]]*Table1[[#This Row],[Discount%]]/100</f>
        <v>29.7</v>
      </c>
      <c r="O2337" s="6">
        <f>Table1[[#This Row],[Revenue]]-Table1[[#This Row],[Disc_amount]]</f>
        <v>69.3</v>
      </c>
      <c r="P2337" t="s">
        <v>26</v>
      </c>
      <c r="Q2337" t="s">
        <v>27</v>
      </c>
    </row>
    <row r="2338" spans="1:17">
      <c r="A2338" t="s">
        <v>3188</v>
      </c>
      <c r="B2338" s="1" t="s">
        <v>621</v>
      </c>
      <c r="C2338" s="1" t="s">
        <v>3090</v>
      </c>
      <c r="D2338" s="1" t="s">
        <v>20</v>
      </c>
      <c r="E2338" t="s">
        <v>407</v>
      </c>
      <c r="F2338" t="s">
        <v>329</v>
      </c>
      <c r="G2338" t="s">
        <v>38</v>
      </c>
      <c r="H2338" t="s">
        <v>70</v>
      </c>
      <c r="I2338" t="s">
        <v>71</v>
      </c>
      <c r="J2338">
        <v>2</v>
      </c>
      <c r="K2338">
        <v>349</v>
      </c>
      <c r="L2338">
        <f>Table1[[#This Row],[Quantity]] * Table1[[#This Row],[UnitPrice]]</f>
        <v>698</v>
      </c>
      <c r="M2338" s="25">
        <v>25</v>
      </c>
      <c r="N2338">
        <f>Table1[[#This Row],[Revenue]]*Table1[[#This Row],[Discount%]]/100</f>
        <v>174.5</v>
      </c>
      <c r="O2338" s="6">
        <f>Table1[[#This Row],[Revenue]]-Table1[[#This Row],[Disc_amount]]</f>
        <v>523.5</v>
      </c>
      <c r="P2338" t="s">
        <v>33</v>
      </c>
      <c r="Q2338" t="s">
        <v>34</v>
      </c>
    </row>
    <row r="2339" spans="1:17">
      <c r="A2339" t="s">
        <v>3189</v>
      </c>
      <c r="B2339" s="1" t="s">
        <v>621</v>
      </c>
      <c r="C2339" s="1" t="s">
        <v>3090</v>
      </c>
      <c r="D2339" s="1" t="s">
        <v>20</v>
      </c>
      <c r="E2339" t="s">
        <v>282</v>
      </c>
      <c r="F2339" t="s">
        <v>283</v>
      </c>
      <c r="G2339" t="s">
        <v>56</v>
      </c>
      <c r="H2339" t="s">
        <v>108</v>
      </c>
      <c r="I2339" t="s">
        <v>130</v>
      </c>
      <c r="J2339">
        <v>1</v>
      </c>
      <c r="K2339">
        <v>699</v>
      </c>
      <c r="L2339">
        <f>Table1[[#This Row],[Quantity]] * Table1[[#This Row],[UnitPrice]]</f>
        <v>699</v>
      </c>
      <c r="M2339" s="25">
        <v>25</v>
      </c>
      <c r="N2339">
        <f>Table1[[#This Row],[Revenue]]*Table1[[#This Row],[Discount%]]/100</f>
        <v>174.75</v>
      </c>
      <c r="O2339" s="6">
        <f>Table1[[#This Row],[Revenue]]-Table1[[#This Row],[Disc_amount]]</f>
        <v>524.25</v>
      </c>
      <c r="P2339" t="s">
        <v>52</v>
      </c>
      <c r="Q2339" t="s">
        <v>34</v>
      </c>
    </row>
    <row r="2340" spans="1:17">
      <c r="A2340" t="s">
        <v>3190</v>
      </c>
      <c r="B2340" s="1" t="s">
        <v>621</v>
      </c>
      <c r="C2340" s="1" t="s">
        <v>3090</v>
      </c>
      <c r="D2340" s="1" t="s">
        <v>20</v>
      </c>
      <c r="E2340" t="s">
        <v>592</v>
      </c>
      <c r="F2340" t="s">
        <v>268</v>
      </c>
      <c r="G2340" t="s">
        <v>31</v>
      </c>
      <c r="H2340" t="s">
        <v>24</v>
      </c>
      <c r="I2340" t="s">
        <v>25</v>
      </c>
      <c r="J2340">
        <v>1</v>
      </c>
      <c r="K2340">
        <v>99</v>
      </c>
      <c r="L2340">
        <f>Table1[[#This Row],[Quantity]] * Table1[[#This Row],[UnitPrice]]</f>
        <v>99</v>
      </c>
      <c r="M2340" s="25">
        <v>5</v>
      </c>
      <c r="N2340">
        <f>Table1[[#This Row],[Revenue]]*Table1[[#This Row],[Discount%]]/100</f>
        <v>4.95</v>
      </c>
      <c r="O2340" s="6">
        <f>Table1[[#This Row],[Revenue]]-Table1[[#This Row],[Disc_amount]]</f>
        <v>94.05</v>
      </c>
      <c r="P2340" t="s">
        <v>33</v>
      </c>
      <c r="Q2340" t="s">
        <v>27</v>
      </c>
    </row>
    <row r="2341" spans="1:17">
      <c r="A2341" t="s">
        <v>3191</v>
      </c>
      <c r="B2341" s="1" t="s">
        <v>621</v>
      </c>
      <c r="C2341" s="1" t="s">
        <v>3090</v>
      </c>
      <c r="D2341" s="1" t="s">
        <v>20</v>
      </c>
      <c r="E2341" t="s">
        <v>783</v>
      </c>
      <c r="F2341" t="s">
        <v>784</v>
      </c>
      <c r="G2341" t="s">
        <v>38</v>
      </c>
      <c r="H2341" t="s">
        <v>65</v>
      </c>
      <c r="I2341" t="s">
        <v>66</v>
      </c>
      <c r="J2341">
        <v>2</v>
      </c>
      <c r="K2341">
        <v>1999</v>
      </c>
      <c r="L2341">
        <f>Table1[[#This Row],[Quantity]] * Table1[[#This Row],[UnitPrice]]</f>
        <v>3998</v>
      </c>
      <c r="M2341" s="25">
        <v>30</v>
      </c>
      <c r="N2341">
        <f>Table1[[#This Row],[Revenue]]*Table1[[#This Row],[Discount%]]/100</f>
        <v>1199.4000000000001</v>
      </c>
      <c r="O2341" s="6">
        <f>Table1[[#This Row],[Revenue]]-Table1[[#This Row],[Disc_amount]]</f>
        <v>2798.6</v>
      </c>
      <c r="P2341" t="s">
        <v>41</v>
      </c>
      <c r="Q2341" t="s">
        <v>27</v>
      </c>
    </row>
    <row r="2342" spans="1:17">
      <c r="A2342" t="s">
        <v>3192</v>
      </c>
      <c r="B2342" s="1" t="s">
        <v>621</v>
      </c>
      <c r="C2342" s="1" t="s">
        <v>3090</v>
      </c>
      <c r="D2342" s="1" t="s">
        <v>20</v>
      </c>
      <c r="E2342" t="s">
        <v>847</v>
      </c>
      <c r="F2342" t="s">
        <v>675</v>
      </c>
      <c r="G2342" t="s">
        <v>23</v>
      </c>
      <c r="H2342" t="s">
        <v>65</v>
      </c>
      <c r="I2342" t="s">
        <v>98</v>
      </c>
      <c r="J2342">
        <v>3</v>
      </c>
      <c r="K2342">
        <v>499</v>
      </c>
      <c r="L2342">
        <f>Table1[[#This Row],[Quantity]] * Table1[[#This Row],[UnitPrice]]</f>
        <v>1497</v>
      </c>
      <c r="M2342" s="25">
        <v>30</v>
      </c>
      <c r="N2342">
        <f>Table1[[#This Row],[Revenue]]*Table1[[#This Row],[Discount%]]/100</f>
        <v>449.1</v>
      </c>
      <c r="O2342" s="6">
        <f>Table1[[#This Row],[Revenue]]-Table1[[#This Row],[Disc_amount]]</f>
        <v>1047.9000000000001</v>
      </c>
      <c r="P2342" t="s">
        <v>26</v>
      </c>
      <c r="Q2342" t="s">
        <v>34</v>
      </c>
    </row>
    <row r="2343" spans="1:17">
      <c r="A2343" t="s">
        <v>3193</v>
      </c>
      <c r="B2343" s="1" t="s">
        <v>621</v>
      </c>
      <c r="C2343" s="1" t="s">
        <v>3090</v>
      </c>
      <c r="D2343" s="1" t="s">
        <v>20</v>
      </c>
      <c r="E2343" t="s">
        <v>159</v>
      </c>
      <c r="F2343" t="s">
        <v>160</v>
      </c>
      <c r="G2343" t="s">
        <v>31</v>
      </c>
      <c r="H2343" t="s">
        <v>65</v>
      </c>
      <c r="I2343" t="s">
        <v>66</v>
      </c>
      <c r="J2343">
        <v>1</v>
      </c>
      <c r="K2343">
        <v>1999</v>
      </c>
      <c r="L2343">
        <f>Table1[[#This Row],[Quantity]] * Table1[[#This Row],[UnitPrice]]</f>
        <v>1999</v>
      </c>
      <c r="M2343" s="25">
        <v>30</v>
      </c>
      <c r="N2343">
        <f>Table1[[#This Row],[Revenue]]*Table1[[#This Row],[Discount%]]/100</f>
        <v>599.70000000000005</v>
      </c>
      <c r="O2343" s="6">
        <f>Table1[[#This Row],[Revenue]]-Table1[[#This Row],[Disc_amount]]</f>
        <v>1399.3</v>
      </c>
      <c r="P2343" t="s">
        <v>41</v>
      </c>
      <c r="Q2343" t="s">
        <v>27</v>
      </c>
    </row>
    <row r="2344" spans="1:17">
      <c r="A2344" t="s">
        <v>3194</v>
      </c>
      <c r="B2344" s="1" t="s">
        <v>631</v>
      </c>
      <c r="C2344" s="1" t="s">
        <v>3090</v>
      </c>
      <c r="D2344" s="1" t="s">
        <v>20</v>
      </c>
      <c r="E2344" t="s">
        <v>1201</v>
      </c>
      <c r="F2344" t="s">
        <v>323</v>
      </c>
      <c r="G2344" t="s">
        <v>56</v>
      </c>
      <c r="H2344" t="s">
        <v>46</v>
      </c>
      <c r="I2344" t="s">
        <v>47</v>
      </c>
      <c r="J2344">
        <v>1</v>
      </c>
      <c r="K2344">
        <v>249</v>
      </c>
      <c r="L2344">
        <f>Table1[[#This Row],[Quantity]] * Table1[[#This Row],[UnitPrice]]</f>
        <v>249</v>
      </c>
      <c r="M2344" s="25">
        <v>5</v>
      </c>
      <c r="N2344">
        <f>Table1[[#This Row],[Revenue]]*Table1[[#This Row],[Discount%]]/100</f>
        <v>12.45</v>
      </c>
      <c r="O2344" s="6">
        <f>Table1[[#This Row],[Revenue]]-Table1[[#This Row],[Disc_amount]]</f>
        <v>236.55</v>
      </c>
      <c r="P2344" t="s">
        <v>26</v>
      </c>
      <c r="Q2344" t="s">
        <v>27</v>
      </c>
    </row>
    <row r="2345" spans="1:17">
      <c r="A2345" t="s">
        <v>3195</v>
      </c>
      <c r="B2345" s="1" t="s">
        <v>631</v>
      </c>
      <c r="C2345" s="1" t="s">
        <v>3090</v>
      </c>
      <c r="D2345" s="1" t="s">
        <v>20</v>
      </c>
      <c r="E2345" t="s">
        <v>447</v>
      </c>
      <c r="F2345" t="s">
        <v>229</v>
      </c>
      <c r="G2345" t="s">
        <v>56</v>
      </c>
      <c r="H2345" t="s">
        <v>57</v>
      </c>
      <c r="I2345" t="s">
        <v>62</v>
      </c>
      <c r="J2345">
        <v>3</v>
      </c>
      <c r="K2345">
        <v>799</v>
      </c>
      <c r="L2345">
        <f>Table1[[#This Row],[Quantity]] * Table1[[#This Row],[UnitPrice]]</f>
        <v>2397</v>
      </c>
      <c r="M2345" s="25">
        <v>30</v>
      </c>
      <c r="N2345">
        <f>Table1[[#This Row],[Revenue]]*Table1[[#This Row],[Discount%]]/100</f>
        <v>719.1</v>
      </c>
      <c r="O2345" s="6">
        <f>Table1[[#This Row],[Revenue]]-Table1[[#This Row],[Disc_amount]]</f>
        <v>1677.9</v>
      </c>
      <c r="P2345" t="s">
        <v>26</v>
      </c>
      <c r="Q2345" t="s">
        <v>27</v>
      </c>
    </row>
    <row r="2346" spans="1:17">
      <c r="A2346" t="s">
        <v>3196</v>
      </c>
      <c r="B2346" s="1" t="s">
        <v>631</v>
      </c>
      <c r="C2346" s="1" t="s">
        <v>3090</v>
      </c>
      <c r="D2346" s="1" t="s">
        <v>20</v>
      </c>
      <c r="E2346" t="s">
        <v>1165</v>
      </c>
      <c r="F2346" t="s">
        <v>272</v>
      </c>
      <c r="G2346" t="s">
        <v>45</v>
      </c>
      <c r="H2346" t="s">
        <v>70</v>
      </c>
      <c r="I2346" t="s">
        <v>71</v>
      </c>
      <c r="J2346">
        <v>1</v>
      </c>
      <c r="K2346">
        <v>349</v>
      </c>
      <c r="L2346">
        <f>Table1[[#This Row],[Quantity]] * Table1[[#This Row],[UnitPrice]]</f>
        <v>349</v>
      </c>
      <c r="M2346" s="25">
        <v>10</v>
      </c>
      <c r="N2346">
        <f>Table1[[#This Row],[Revenue]]*Table1[[#This Row],[Discount%]]/100</f>
        <v>34.9</v>
      </c>
      <c r="O2346" s="6">
        <f>Table1[[#This Row],[Revenue]]-Table1[[#This Row],[Disc_amount]]</f>
        <v>314.10000000000002</v>
      </c>
      <c r="P2346" t="s">
        <v>26</v>
      </c>
      <c r="Q2346" t="s">
        <v>27</v>
      </c>
    </row>
    <row r="2347" spans="1:17">
      <c r="A2347" t="s">
        <v>3197</v>
      </c>
      <c r="B2347" s="1" t="s">
        <v>631</v>
      </c>
      <c r="C2347" s="1" t="s">
        <v>3090</v>
      </c>
      <c r="D2347" s="1" t="s">
        <v>20</v>
      </c>
      <c r="E2347" t="s">
        <v>964</v>
      </c>
      <c r="F2347" t="s">
        <v>265</v>
      </c>
      <c r="G2347" t="s">
        <v>56</v>
      </c>
      <c r="H2347" t="s">
        <v>57</v>
      </c>
      <c r="I2347" t="s">
        <v>62</v>
      </c>
      <c r="J2347">
        <v>1</v>
      </c>
      <c r="K2347">
        <v>799</v>
      </c>
      <c r="L2347">
        <f>Table1[[#This Row],[Quantity]] * Table1[[#This Row],[UnitPrice]]</f>
        <v>799</v>
      </c>
      <c r="M2347" s="25">
        <v>15</v>
      </c>
      <c r="N2347">
        <f>Table1[[#This Row],[Revenue]]*Table1[[#This Row],[Discount%]]/100</f>
        <v>119.85</v>
      </c>
      <c r="O2347" s="6">
        <f>Table1[[#This Row],[Revenue]]-Table1[[#This Row],[Disc_amount]]</f>
        <v>679.15</v>
      </c>
      <c r="P2347" t="s">
        <v>41</v>
      </c>
      <c r="Q2347" t="s">
        <v>27</v>
      </c>
    </row>
    <row r="2348" spans="1:17">
      <c r="A2348" t="s">
        <v>3198</v>
      </c>
      <c r="B2348" s="1" t="s">
        <v>631</v>
      </c>
      <c r="C2348" s="1" t="s">
        <v>3090</v>
      </c>
      <c r="D2348" s="1" t="s">
        <v>20</v>
      </c>
      <c r="E2348" t="s">
        <v>722</v>
      </c>
      <c r="F2348" t="s">
        <v>723</v>
      </c>
      <c r="G2348" t="s">
        <v>31</v>
      </c>
      <c r="H2348" t="s">
        <v>65</v>
      </c>
      <c r="I2348" t="s">
        <v>98</v>
      </c>
      <c r="J2348">
        <v>1</v>
      </c>
      <c r="K2348">
        <v>499</v>
      </c>
      <c r="L2348">
        <f>Table1[[#This Row],[Quantity]] * Table1[[#This Row],[UnitPrice]]</f>
        <v>499</v>
      </c>
      <c r="M2348" s="25">
        <v>15</v>
      </c>
      <c r="N2348">
        <f>Table1[[#This Row],[Revenue]]*Table1[[#This Row],[Discount%]]/100</f>
        <v>74.849999999999994</v>
      </c>
      <c r="O2348" s="6">
        <f>Table1[[#This Row],[Revenue]]-Table1[[#This Row],[Disc_amount]]</f>
        <v>424.15</v>
      </c>
      <c r="P2348" t="s">
        <v>86</v>
      </c>
      <c r="Q2348" t="s">
        <v>27</v>
      </c>
    </row>
    <row r="2349" spans="1:17">
      <c r="A2349" t="s">
        <v>3199</v>
      </c>
      <c r="B2349" s="1" t="s">
        <v>631</v>
      </c>
      <c r="C2349" s="1" t="s">
        <v>3090</v>
      </c>
      <c r="D2349" s="1" t="s">
        <v>20</v>
      </c>
      <c r="E2349" t="s">
        <v>974</v>
      </c>
      <c r="F2349" t="s">
        <v>879</v>
      </c>
      <c r="G2349" t="s">
        <v>56</v>
      </c>
      <c r="H2349" t="s">
        <v>39</v>
      </c>
      <c r="I2349" t="s">
        <v>51</v>
      </c>
      <c r="J2349">
        <v>3</v>
      </c>
      <c r="K2349">
        <v>2999</v>
      </c>
      <c r="L2349">
        <f>Table1[[#This Row],[Quantity]] * Table1[[#This Row],[UnitPrice]]</f>
        <v>8997</v>
      </c>
      <c r="M2349" s="25">
        <v>25</v>
      </c>
      <c r="N2349">
        <f>Table1[[#This Row],[Revenue]]*Table1[[#This Row],[Discount%]]/100</f>
        <v>2249.25</v>
      </c>
      <c r="O2349" s="6">
        <f>Table1[[#This Row],[Revenue]]-Table1[[#This Row],[Disc_amount]]</f>
        <v>6747.75</v>
      </c>
      <c r="P2349" t="s">
        <v>41</v>
      </c>
      <c r="Q2349" t="s">
        <v>34</v>
      </c>
    </row>
    <row r="2350" spans="1:17">
      <c r="A2350" t="s">
        <v>3200</v>
      </c>
      <c r="B2350" s="1" t="s">
        <v>631</v>
      </c>
      <c r="C2350" s="1" t="s">
        <v>3090</v>
      </c>
      <c r="D2350" s="1" t="s">
        <v>20</v>
      </c>
      <c r="E2350" t="s">
        <v>949</v>
      </c>
      <c r="F2350" t="s">
        <v>77</v>
      </c>
      <c r="G2350" t="s">
        <v>56</v>
      </c>
      <c r="H2350" t="s">
        <v>46</v>
      </c>
      <c r="I2350" t="s">
        <v>47</v>
      </c>
      <c r="J2350">
        <v>2</v>
      </c>
      <c r="K2350">
        <v>249</v>
      </c>
      <c r="L2350">
        <f>Table1[[#This Row],[Quantity]] * Table1[[#This Row],[UnitPrice]]</f>
        <v>498</v>
      </c>
      <c r="M2350" s="25">
        <v>20</v>
      </c>
      <c r="N2350">
        <f>Table1[[#This Row],[Revenue]]*Table1[[#This Row],[Discount%]]/100</f>
        <v>99.6</v>
      </c>
      <c r="O2350" s="6">
        <f>Table1[[#This Row],[Revenue]]-Table1[[#This Row],[Disc_amount]]</f>
        <v>398.4</v>
      </c>
      <c r="P2350" t="s">
        <v>26</v>
      </c>
      <c r="Q2350" t="s">
        <v>27</v>
      </c>
    </row>
    <row r="2351" spans="1:17">
      <c r="A2351" t="s">
        <v>3201</v>
      </c>
      <c r="B2351" s="1" t="s">
        <v>631</v>
      </c>
      <c r="C2351" s="1" t="s">
        <v>3090</v>
      </c>
      <c r="D2351" s="1" t="s">
        <v>20</v>
      </c>
      <c r="E2351" t="s">
        <v>793</v>
      </c>
      <c r="F2351" t="s">
        <v>129</v>
      </c>
      <c r="G2351" t="s">
        <v>38</v>
      </c>
      <c r="H2351" t="s">
        <v>46</v>
      </c>
      <c r="I2351" t="s">
        <v>47</v>
      </c>
      <c r="J2351">
        <v>1</v>
      </c>
      <c r="K2351">
        <v>249</v>
      </c>
      <c r="L2351">
        <f>Table1[[#This Row],[Quantity]] * Table1[[#This Row],[UnitPrice]]</f>
        <v>249</v>
      </c>
      <c r="M2351" s="25">
        <v>10</v>
      </c>
      <c r="N2351">
        <f>Table1[[#This Row],[Revenue]]*Table1[[#This Row],[Discount%]]/100</f>
        <v>24.9</v>
      </c>
      <c r="O2351" s="6">
        <f>Table1[[#This Row],[Revenue]]-Table1[[#This Row],[Disc_amount]]</f>
        <v>224.1</v>
      </c>
      <c r="P2351" t="s">
        <v>52</v>
      </c>
      <c r="Q2351" t="s">
        <v>27</v>
      </c>
    </row>
    <row r="2352" spans="1:17">
      <c r="A2352" t="s">
        <v>3202</v>
      </c>
      <c r="B2352" s="1" t="s">
        <v>643</v>
      </c>
      <c r="C2352" s="1" t="s">
        <v>3090</v>
      </c>
      <c r="D2352" s="1" t="s">
        <v>20</v>
      </c>
      <c r="E2352" t="s">
        <v>659</v>
      </c>
      <c r="F2352" t="s">
        <v>253</v>
      </c>
      <c r="G2352" t="s">
        <v>23</v>
      </c>
      <c r="H2352" t="s">
        <v>39</v>
      </c>
      <c r="I2352" t="s">
        <v>51</v>
      </c>
      <c r="J2352">
        <v>2</v>
      </c>
      <c r="K2352">
        <v>2999</v>
      </c>
      <c r="L2352">
        <f>Table1[[#This Row],[Quantity]] * Table1[[#This Row],[UnitPrice]]</f>
        <v>5998</v>
      </c>
      <c r="M2352" s="25">
        <v>25</v>
      </c>
      <c r="N2352">
        <f>Table1[[#This Row],[Revenue]]*Table1[[#This Row],[Discount%]]/100</f>
        <v>1499.5</v>
      </c>
      <c r="O2352" s="6">
        <f>Table1[[#This Row],[Revenue]]-Table1[[#This Row],[Disc_amount]]</f>
        <v>4498.5</v>
      </c>
      <c r="P2352" t="s">
        <v>86</v>
      </c>
      <c r="Q2352" t="s">
        <v>27</v>
      </c>
    </row>
    <row r="2353" spans="1:17">
      <c r="A2353" t="s">
        <v>3203</v>
      </c>
      <c r="B2353" s="1" t="s">
        <v>643</v>
      </c>
      <c r="C2353" s="1" t="s">
        <v>3090</v>
      </c>
      <c r="D2353" s="1" t="s">
        <v>20</v>
      </c>
      <c r="E2353" t="s">
        <v>472</v>
      </c>
      <c r="F2353" t="s">
        <v>473</v>
      </c>
      <c r="G2353" t="s">
        <v>23</v>
      </c>
      <c r="H2353" t="s">
        <v>24</v>
      </c>
      <c r="I2353" t="s">
        <v>25</v>
      </c>
      <c r="J2353">
        <v>2</v>
      </c>
      <c r="K2353">
        <v>99</v>
      </c>
      <c r="L2353">
        <f>Table1[[#This Row],[Quantity]] * Table1[[#This Row],[UnitPrice]]</f>
        <v>198</v>
      </c>
      <c r="M2353" s="25">
        <v>10</v>
      </c>
      <c r="N2353">
        <f>Table1[[#This Row],[Revenue]]*Table1[[#This Row],[Discount%]]/100</f>
        <v>19.8</v>
      </c>
      <c r="O2353" s="6">
        <f>Table1[[#This Row],[Revenue]]-Table1[[#This Row],[Disc_amount]]</f>
        <v>178.2</v>
      </c>
      <c r="P2353" t="s">
        <v>26</v>
      </c>
      <c r="Q2353" t="s">
        <v>34</v>
      </c>
    </row>
    <row r="2354" spans="1:17">
      <c r="A2354" t="s">
        <v>3204</v>
      </c>
      <c r="B2354" s="1" t="s">
        <v>643</v>
      </c>
      <c r="C2354" s="1" t="s">
        <v>3090</v>
      </c>
      <c r="D2354" s="1" t="s">
        <v>20</v>
      </c>
      <c r="E2354" t="s">
        <v>461</v>
      </c>
      <c r="F2354" t="s">
        <v>462</v>
      </c>
      <c r="G2354" t="s">
        <v>23</v>
      </c>
      <c r="H2354" t="s">
        <v>24</v>
      </c>
      <c r="I2354" t="s">
        <v>25</v>
      </c>
      <c r="J2354">
        <v>3</v>
      </c>
      <c r="K2354">
        <v>99</v>
      </c>
      <c r="L2354">
        <f>Table1[[#This Row],[Quantity]] * Table1[[#This Row],[UnitPrice]]</f>
        <v>297</v>
      </c>
      <c r="M2354" s="25">
        <v>0</v>
      </c>
      <c r="N2354">
        <f>Table1[[#This Row],[Revenue]]*Table1[[#This Row],[Discount%]]/100</f>
        <v>0</v>
      </c>
      <c r="O2354" s="6">
        <f>Table1[[#This Row],[Revenue]]-Table1[[#This Row],[Disc_amount]]</f>
        <v>297</v>
      </c>
      <c r="P2354" t="s">
        <v>26</v>
      </c>
      <c r="Q2354" t="s">
        <v>27</v>
      </c>
    </row>
    <row r="2355" spans="1:17">
      <c r="A2355" t="s">
        <v>3205</v>
      </c>
      <c r="B2355" s="1" t="s">
        <v>643</v>
      </c>
      <c r="C2355" s="1" t="s">
        <v>3090</v>
      </c>
      <c r="D2355" s="1" t="s">
        <v>20</v>
      </c>
      <c r="E2355" t="s">
        <v>282</v>
      </c>
      <c r="F2355" t="s">
        <v>283</v>
      </c>
      <c r="G2355" t="s">
        <v>56</v>
      </c>
      <c r="H2355" t="s">
        <v>108</v>
      </c>
      <c r="I2355" t="s">
        <v>109</v>
      </c>
      <c r="J2355">
        <v>1</v>
      </c>
      <c r="K2355">
        <v>1499</v>
      </c>
      <c r="L2355">
        <f>Table1[[#This Row],[Quantity]] * Table1[[#This Row],[UnitPrice]]</f>
        <v>1499</v>
      </c>
      <c r="M2355" s="25">
        <v>25</v>
      </c>
      <c r="N2355">
        <f>Table1[[#This Row],[Revenue]]*Table1[[#This Row],[Discount%]]/100</f>
        <v>374.75</v>
      </c>
      <c r="O2355" s="6">
        <f>Table1[[#This Row],[Revenue]]-Table1[[#This Row],[Disc_amount]]</f>
        <v>1124.25</v>
      </c>
      <c r="P2355" t="s">
        <v>26</v>
      </c>
      <c r="Q2355" t="s">
        <v>27</v>
      </c>
    </row>
    <row r="2356" spans="1:17">
      <c r="A2356" t="s">
        <v>3206</v>
      </c>
      <c r="B2356" s="1" t="s">
        <v>643</v>
      </c>
      <c r="C2356" s="1" t="s">
        <v>3090</v>
      </c>
      <c r="D2356" s="1" t="s">
        <v>20</v>
      </c>
      <c r="E2356" t="s">
        <v>484</v>
      </c>
      <c r="F2356" t="s">
        <v>485</v>
      </c>
      <c r="G2356" t="s">
        <v>45</v>
      </c>
      <c r="H2356" t="s">
        <v>57</v>
      </c>
      <c r="I2356" t="s">
        <v>58</v>
      </c>
      <c r="J2356">
        <v>2</v>
      </c>
      <c r="K2356">
        <v>1299</v>
      </c>
      <c r="L2356">
        <f>Table1[[#This Row],[Quantity]] * Table1[[#This Row],[UnitPrice]]</f>
        <v>2598</v>
      </c>
      <c r="M2356" s="25">
        <v>25</v>
      </c>
      <c r="N2356">
        <f>Table1[[#This Row],[Revenue]]*Table1[[#This Row],[Discount%]]/100</f>
        <v>649.5</v>
      </c>
      <c r="O2356" s="6">
        <f>Table1[[#This Row],[Revenue]]-Table1[[#This Row],[Disc_amount]]</f>
        <v>1948.5</v>
      </c>
      <c r="P2356" t="s">
        <v>33</v>
      </c>
      <c r="Q2356" t="s">
        <v>34</v>
      </c>
    </row>
    <row r="2357" spans="1:17">
      <c r="A2357" t="s">
        <v>3207</v>
      </c>
      <c r="B2357" s="1" t="s">
        <v>643</v>
      </c>
      <c r="C2357" s="1" t="s">
        <v>3090</v>
      </c>
      <c r="D2357" s="1" t="s">
        <v>20</v>
      </c>
      <c r="E2357" t="s">
        <v>776</v>
      </c>
      <c r="F2357" t="s">
        <v>153</v>
      </c>
      <c r="G2357" t="s">
        <v>45</v>
      </c>
      <c r="H2357" t="s">
        <v>65</v>
      </c>
      <c r="I2357" t="s">
        <v>66</v>
      </c>
      <c r="J2357">
        <v>3</v>
      </c>
      <c r="K2357">
        <v>1999</v>
      </c>
      <c r="L2357">
        <f>Table1[[#This Row],[Quantity]] * Table1[[#This Row],[UnitPrice]]</f>
        <v>5997</v>
      </c>
      <c r="M2357" s="25">
        <v>30</v>
      </c>
      <c r="N2357">
        <f>Table1[[#This Row],[Revenue]]*Table1[[#This Row],[Discount%]]/100</f>
        <v>1799.1</v>
      </c>
      <c r="O2357" s="6">
        <f>Table1[[#This Row],[Revenue]]-Table1[[#This Row],[Disc_amount]]</f>
        <v>4197.8999999999996</v>
      </c>
      <c r="P2357" t="s">
        <v>52</v>
      </c>
      <c r="Q2357" t="s">
        <v>27</v>
      </c>
    </row>
    <row r="2358" spans="1:17">
      <c r="A2358" t="s">
        <v>3208</v>
      </c>
      <c r="B2358" s="1" t="s">
        <v>643</v>
      </c>
      <c r="C2358" s="1" t="s">
        <v>3090</v>
      </c>
      <c r="D2358" s="1" t="s">
        <v>20</v>
      </c>
      <c r="E2358" t="s">
        <v>1276</v>
      </c>
      <c r="F2358" t="s">
        <v>115</v>
      </c>
      <c r="G2358" t="s">
        <v>23</v>
      </c>
      <c r="H2358" t="s">
        <v>39</v>
      </c>
      <c r="I2358" t="s">
        <v>140</v>
      </c>
      <c r="J2358">
        <v>1</v>
      </c>
      <c r="K2358">
        <v>1799</v>
      </c>
      <c r="L2358">
        <f>Table1[[#This Row],[Quantity]] * Table1[[#This Row],[UnitPrice]]</f>
        <v>1799</v>
      </c>
      <c r="M2358" s="25">
        <v>30</v>
      </c>
      <c r="N2358">
        <f>Table1[[#This Row],[Revenue]]*Table1[[#This Row],[Discount%]]/100</f>
        <v>539.70000000000005</v>
      </c>
      <c r="O2358" s="6">
        <f>Table1[[#This Row],[Revenue]]-Table1[[#This Row],[Disc_amount]]</f>
        <v>1259.3</v>
      </c>
      <c r="P2358" t="s">
        <v>26</v>
      </c>
      <c r="Q2358" t="s">
        <v>27</v>
      </c>
    </row>
    <row r="2359" spans="1:17">
      <c r="A2359" t="s">
        <v>3209</v>
      </c>
      <c r="B2359" s="1" t="s">
        <v>643</v>
      </c>
      <c r="C2359" s="1" t="s">
        <v>3090</v>
      </c>
      <c r="D2359" s="1" t="s">
        <v>20</v>
      </c>
      <c r="E2359" t="s">
        <v>936</v>
      </c>
      <c r="F2359" t="s">
        <v>229</v>
      </c>
      <c r="G2359" t="s">
        <v>45</v>
      </c>
      <c r="H2359" t="s">
        <v>108</v>
      </c>
      <c r="I2359" t="s">
        <v>130</v>
      </c>
      <c r="J2359">
        <v>1</v>
      </c>
      <c r="K2359">
        <v>699</v>
      </c>
      <c r="L2359">
        <f>Table1[[#This Row],[Quantity]] * Table1[[#This Row],[UnitPrice]]</f>
        <v>699</v>
      </c>
      <c r="M2359" s="25">
        <v>30</v>
      </c>
      <c r="N2359">
        <f>Table1[[#This Row],[Revenue]]*Table1[[#This Row],[Discount%]]/100</f>
        <v>209.7</v>
      </c>
      <c r="O2359" s="6">
        <f>Table1[[#This Row],[Revenue]]-Table1[[#This Row],[Disc_amount]]</f>
        <v>489.3</v>
      </c>
      <c r="P2359" t="s">
        <v>86</v>
      </c>
      <c r="Q2359" t="s">
        <v>34</v>
      </c>
    </row>
    <row r="2360" spans="1:17">
      <c r="A2360" t="s">
        <v>3210</v>
      </c>
      <c r="B2360" s="1" t="s">
        <v>643</v>
      </c>
      <c r="C2360" s="1" t="s">
        <v>3090</v>
      </c>
      <c r="D2360" s="1" t="s">
        <v>20</v>
      </c>
      <c r="E2360" t="s">
        <v>133</v>
      </c>
      <c r="F2360" t="s">
        <v>134</v>
      </c>
      <c r="G2360" t="s">
        <v>23</v>
      </c>
      <c r="H2360" t="s">
        <v>57</v>
      </c>
      <c r="I2360" t="s">
        <v>58</v>
      </c>
      <c r="J2360">
        <v>1</v>
      </c>
      <c r="K2360">
        <v>1299</v>
      </c>
      <c r="L2360">
        <f>Table1[[#This Row],[Quantity]] * Table1[[#This Row],[UnitPrice]]</f>
        <v>1299</v>
      </c>
      <c r="M2360" s="25">
        <v>5</v>
      </c>
      <c r="N2360">
        <f>Table1[[#This Row],[Revenue]]*Table1[[#This Row],[Discount%]]/100</f>
        <v>64.95</v>
      </c>
      <c r="O2360" s="6">
        <f>Table1[[#This Row],[Revenue]]-Table1[[#This Row],[Disc_amount]]</f>
        <v>1234.05</v>
      </c>
      <c r="P2360" t="s">
        <v>52</v>
      </c>
      <c r="Q2360" t="s">
        <v>27</v>
      </c>
    </row>
    <row r="2361" spans="1:17">
      <c r="A2361" t="s">
        <v>3211</v>
      </c>
      <c r="B2361" s="1" t="s">
        <v>650</v>
      </c>
      <c r="C2361" s="1" t="s">
        <v>3090</v>
      </c>
      <c r="D2361" s="1" t="s">
        <v>20</v>
      </c>
      <c r="E2361" t="s">
        <v>981</v>
      </c>
      <c r="F2361" t="s">
        <v>694</v>
      </c>
      <c r="G2361" t="s">
        <v>31</v>
      </c>
      <c r="H2361" t="s">
        <v>39</v>
      </c>
      <c r="I2361" t="s">
        <v>40</v>
      </c>
      <c r="J2361">
        <v>1</v>
      </c>
      <c r="K2361">
        <v>599</v>
      </c>
      <c r="L2361">
        <f>Table1[[#This Row],[Quantity]] * Table1[[#This Row],[UnitPrice]]</f>
        <v>599</v>
      </c>
      <c r="M2361" s="25">
        <v>15</v>
      </c>
      <c r="N2361">
        <f>Table1[[#This Row],[Revenue]]*Table1[[#This Row],[Discount%]]/100</f>
        <v>89.85</v>
      </c>
      <c r="O2361" s="6">
        <f>Table1[[#This Row],[Revenue]]-Table1[[#This Row],[Disc_amount]]</f>
        <v>509.15</v>
      </c>
      <c r="P2361" t="s">
        <v>33</v>
      </c>
      <c r="Q2361" t="s">
        <v>34</v>
      </c>
    </row>
    <row r="2362" spans="1:17">
      <c r="A2362" t="s">
        <v>3212</v>
      </c>
      <c r="B2362" s="1" t="s">
        <v>650</v>
      </c>
      <c r="C2362" s="1" t="s">
        <v>3090</v>
      </c>
      <c r="D2362" s="1" t="s">
        <v>20</v>
      </c>
      <c r="E2362" t="s">
        <v>495</v>
      </c>
      <c r="F2362" t="s">
        <v>187</v>
      </c>
      <c r="G2362" t="s">
        <v>31</v>
      </c>
      <c r="H2362" t="s">
        <v>39</v>
      </c>
      <c r="I2362" t="s">
        <v>40</v>
      </c>
      <c r="J2362">
        <v>1</v>
      </c>
      <c r="K2362">
        <v>599</v>
      </c>
      <c r="L2362">
        <f>Table1[[#This Row],[Quantity]] * Table1[[#This Row],[UnitPrice]]</f>
        <v>599</v>
      </c>
      <c r="M2362" s="25">
        <v>0</v>
      </c>
      <c r="N2362">
        <f>Table1[[#This Row],[Revenue]]*Table1[[#This Row],[Discount%]]/100</f>
        <v>0</v>
      </c>
      <c r="O2362" s="6">
        <f>Table1[[#This Row],[Revenue]]-Table1[[#This Row],[Disc_amount]]</f>
        <v>599</v>
      </c>
      <c r="P2362" t="s">
        <v>41</v>
      </c>
      <c r="Q2362" t="s">
        <v>34</v>
      </c>
    </row>
    <row r="2363" spans="1:17">
      <c r="A2363" t="s">
        <v>3213</v>
      </c>
      <c r="B2363" s="1" t="s">
        <v>650</v>
      </c>
      <c r="C2363" s="1" t="s">
        <v>3090</v>
      </c>
      <c r="D2363" s="1" t="s">
        <v>20</v>
      </c>
      <c r="E2363" t="s">
        <v>847</v>
      </c>
      <c r="F2363" t="s">
        <v>675</v>
      </c>
      <c r="G2363" t="s">
        <v>38</v>
      </c>
      <c r="H2363" t="s">
        <v>46</v>
      </c>
      <c r="I2363" t="s">
        <v>47</v>
      </c>
      <c r="J2363">
        <v>2</v>
      </c>
      <c r="K2363">
        <v>249</v>
      </c>
      <c r="L2363">
        <f>Table1[[#This Row],[Quantity]] * Table1[[#This Row],[UnitPrice]]</f>
        <v>498</v>
      </c>
      <c r="M2363" s="25">
        <v>15</v>
      </c>
      <c r="N2363">
        <f>Table1[[#This Row],[Revenue]]*Table1[[#This Row],[Discount%]]/100</f>
        <v>74.7</v>
      </c>
      <c r="O2363" s="6">
        <f>Table1[[#This Row],[Revenue]]-Table1[[#This Row],[Disc_amount]]</f>
        <v>423.3</v>
      </c>
      <c r="P2363" t="s">
        <v>33</v>
      </c>
      <c r="Q2363" t="s">
        <v>34</v>
      </c>
    </row>
    <row r="2364" spans="1:17">
      <c r="A2364" t="s">
        <v>3214</v>
      </c>
      <c r="B2364" s="1" t="s">
        <v>650</v>
      </c>
      <c r="C2364" s="1" t="s">
        <v>3090</v>
      </c>
      <c r="D2364" s="1" t="s">
        <v>20</v>
      </c>
      <c r="E2364" t="s">
        <v>589</v>
      </c>
      <c r="F2364" t="s">
        <v>501</v>
      </c>
      <c r="G2364" t="s">
        <v>45</v>
      </c>
      <c r="H2364" t="s">
        <v>65</v>
      </c>
      <c r="I2364" t="s">
        <v>98</v>
      </c>
      <c r="J2364">
        <v>3</v>
      </c>
      <c r="K2364">
        <v>499</v>
      </c>
      <c r="L2364">
        <f>Table1[[#This Row],[Quantity]] * Table1[[#This Row],[UnitPrice]]</f>
        <v>1497</v>
      </c>
      <c r="M2364" s="25">
        <v>15</v>
      </c>
      <c r="N2364">
        <f>Table1[[#This Row],[Revenue]]*Table1[[#This Row],[Discount%]]/100</f>
        <v>224.55</v>
      </c>
      <c r="O2364" s="6">
        <f>Table1[[#This Row],[Revenue]]-Table1[[#This Row],[Disc_amount]]</f>
        <v>1272.45</v>
      </c>
      <c r="P2364" t="s">
        <v>26</v>
      </c>
      <c r="Q2364" t="s">
        <v>34</v>
      </c>
    </row>
    <row r="2365" spans="1:17">
      <c r="A2365" t="s">
        <v>3215</v>
      </c>
      <c r="B2365" s="1" t="s">
        <v>650</v>
      </c>
      <c r="C2365" s="1" t="s">
        <v>3090</v>
      </c>
      <c r="D2365" s="1" t="s">
        <v>20</v>
      </c>
      <c r="E2365" t="s">
        <v>368</v>
      </c>
      <c r="F2365" t="s">
        <v>369</v>
      </c>
      <c r="G2365" t="s">
        <v>38</v>
      </c>
      <c r="H2365" t="s">
        <v>39</v>
      </c>
      <c r="I2365" t="s">
        <v>40</v>
      </c>
      <c r="J2365">
        <v>1</v>
      </c>
      <c r="K2365">
        <v>599</v>
      </c>
      <c r="L2365">
        <f>Table1[[#This Row],[Quantity]] * Table1[[#This Row],[UnitPrice]]</f>
        <v>599</v>
      </c>
      <c r="M2365" s="25">
        <v>20</v>
      </c>
      <c r="N2365">
        <f>Table1[[#This Row],[Revenue]]*Table1[[#This Row],[Discount%]]/100</f>
        <v>119.8</v>
      </c>
      <c r="O2365" s="6">
        <f>Table1[[#This Row],[Revenue]]-Table1[[#This Row],[Disc_amount]]</f>
        <v>479.2</v>
      </c>
      <c r="P2365" t="s">
        <v>41</v>
      </c>
      <c r="Q2365" t="s">
        <v>27</v>
      </c>
    </row>
    <row r="2366" spans="1:17">
      <c r="A2366" t="s">
        <v>3216</v>
      </c>
      <c r="B2366" s="1" t="s">
        <v>650</v>
      </c>
      <c r="C2366" s="1" t="s">
        <v>3090</v>
      </c>
      <c r="D2366" s="1" t="s">
        <v>20</v>
      </c>
      <c r="E2366" t="s">
        <v>138</v>
      </c>
      <c r="F2366" t="s">
        <v>139</v>
      </c>
      <c r="G2366" t="s">
        <v>31</v>
      </c>
      <c r="H2366" t="s">
        <v>24</v>
      </c>
      <c r="I2366" t="s">
        <v>32</v>
      </c>
      <c r="J2366">
        <v>1</v>
      </c>
      <c r="K2366">
        <v>199</v>
      </c>
      <c r="L2366">
        <f>Table1[[#This Row],[Quantity]] * Table1[[#This Row],[UnitPrice]]</f>
        <v>199</v>
      </c>
      <c r="M2366" s="25">
        <v>15</v>
      </c>
      <c r="N2366">
        <f>Table1[[#This Row],[Revenue]]*Table1[[#This Row],[Discount%]]/100</f>
        <v>29.85</v>
      </c>
      <c r="O2366" s="6">
        <f>Table1[[#This Row],[Revenue]]-Table1[[#This Row],[Disc_amount]]</f>
        <v>169.15</v>
      </c>
      <c r="P2366" t="s">
        <v>41</v>
      </c>
      <c r="Q2366" t="s">
        <v>27</v>
      </c>
    </row>
    <row r="2367" spans="1:17">
      <c r="A2367" t="s">
        <v>3217</v>
      </c>
      <c r="B2367" s="1" t="s">
        <v>650</v>
      </c>
      <c r="C2367" s="1" t="s">
        <v>3090</v>
      </c>
      <c r="D2367" s="1" t="s">
        <v>20</v>
      </c>
      <c r="E2367" t="s">
        <v>93</v>
      </c>
      <c r="F2367" t="s">
        <v>77</v>
      </c>
      <c r="G2367" t="s">
        <v>56</v>
      </c>
      <c r="H2367" t="s">
        <v>57</v>
      </c>
      <c r="I2367" t="s">
        <v>62</v>
      </c>
      <c r="J2367">
        <v>1</v>
      </c>
      <c r="K2367">
        <v>799</v>
      </c>
      <c r="L2367">
        <f>Table1[[#This Row],[Quantity]] * Table1[[#This Row],[UnitPrice]]</f>
        <v>799</v>
      </c>
      <c r="M2367" s="25">
        <v>30</v>
      </c>
      <c r="N2367">
        <f>Table1[[#This Row],[Revenue]]*Table1[[#This Row],[Discount%]]/100</f>
        <v>239.7</v>
      </c>
      <c r="O2367" s="6">
        <f>Table1[[#This Row],[Revenue]]-Table1[[#This Row],[Disc_amount]]</f>
        <v>559.29999999999995</v>
      </c>
      <c r="P2367" t="s">
        <v>86</v>
      </c>
      <c r="Q2367" t="s">
        <v>27</v>
      </c>
    </row>
    <row r="2368" spans="1:17">
      <c r="A2368" t="s">
        <v>3218</v>
      </c>
      <c r="B2368" s="1" t="s">
        <v>650</v>
      </c>
      <c r="C2368" s="1" t="s">
        <v>3090</v>
      </c>
      <c r="D2368" s="1" t="s">
        <v>20</v>
      </c>
      <c r="E2368" t="s">
        <v>1318</v>
      </c>
      <c r="F2368" t="s">
        <v>470</v>
      </c>
      <c r="G2368" t="s">
        <v>38</v>
      </c>
      <c r="H2368" t="s">
        <v>39</v>
      </c>
      <c r="I2368" t="s">
        <v>51</v>
      </c>
      <c r="J2368">
        <v>1</v>
      </c>
      <c r="K2368">
        <v>2999</v>
      </c>
      <c r="L2368">
        <f>Table1[[#This Row],[Quantity]] * Table1[[#This Row],[UnitPrice]]</f>
        <v>2999</v>
      </c>
      <c r="M2368" s="25">
        <v>30</v>
      </c>
      <c r="N2368">
        <f>Table1[[#This Row],[Revenue]]*Table1[[#This Row],[Discount%]]/100</f>
        <v>899.7</v>
      </c>
      <c r="O2368" s="6">
        <f>Table1[[#This Row],[Revenue]]-Table1[[#This Row],[Disc_amount]]</f>
        <v>2099.3000000000002</v>
      </c>
      <c r="P2368" t="s">
        <v>86</v>
      </c>
      <c r="Q2368" t="s">
        <v>34</v>
      </c>
    </row>
    <row r="2369" spans="1:17">
      <c r="A2369" t="s">
        <v>3219</v>
      </c>
      <c r="B2369" s="1" t="s">
        <v>650</v>
      </c>
      <c r="C2369" s="1" t="s">
        <v>3090</v>
      </c>
      <c r="D2369" s="1" t="s">
        <v>20</v>
      </c>
      <c r="E2369" t="s">
        <v>862</v>
      </c>
      <c r="F2369" t="s">
        <v>863</v>
      </c>
      <c r="G2369" t="s">
        <v>45</v>
      </c>
      <c r="H2369" t="s">
        <v>46</v>
      </c>
      <c r="I2369" t="s">
        <v>47</v>
      </c>
      <c r="J2369">
        <v>5</v>
      </c>
      <c r="K2369">
        <v>249</v>
      </c>
      <c r="L2369">
        <f>Table1[[#This Row],[Quantity]] * Table1[[#This Row],[UnitPrice]]</f>
        <v>1245</v>
      </c>
      <c r="M2369" s="25">
        <v>25</v>
      </c>
      <c r="N2369">
        <f>Table1[[#This Row],[Revenue]]*Table1[[#This Row],[Discount%]]/100</f>
        <v>311.25</v>
      </c>
      <c r="O2369" s="6">
        <f>Table1[[#This Row],[Revenue]]-Table1[[#This Row],[Disc_amount]]</f>
        <v>933.75</v>
      </c>
      <c r="P2369" t="s">
        <v>33</v>
      </c>
      <c r="Q2369" t="s">
        <v>27</v>
      </c>
    </row>
    <row r="2370" spans="1:17">
      <c r="A2370" t="s">
        <v>3220</v>
      </c>
      <c r="B2370" s="1" t="s">
        <v>650</v>
      </c>
      <c r="C2370" s="1" t="s">
        <v>3090</v>
      </c>
      <c r="D2370" s="1" t="s">
        <v>20</v>
      </c>
      <c r="E2370" t="s">
        <v>332</v>
      </c>
      <c r="F2370" t="s">
        <v>107</v>
      </c>
      <c r="G2370" t="s">
        <v>23</v>
      </c>
      <c r="H2370" t="s">
        <v>39</v>
      </c>
      <c r="I2370" t="s">
        <v>140</v>
      </c>
      <c r="J2370">
        <v>2</v>
      </c>
      <c r="K2370">
        <v>1799</v>
      </c>
      <c r="L2370">
        <f>Table1[[#This Row],[Quantity]] * Table1[[#This Row],[UnitPrice]]</f>
        <v>3598</v>
      </c>
      <c r="M2370" s="25">
        <v>10</v>
      </c>
      <c r="N2370">
        <f>Table1[[#This Row],[Revenue]]*Table1[[#This Row],[Discount%]]/100</f>
        <v>359.8</v>
      </c>
      <c r="O2370" s="6">
        <f>Table1[[#This Row],[Revenue]]-Table1[[#This Row],[Disc_amount]]</f>
        <v>3238.2</v>
      </c>
      <c r="P2370" t="s">
        <v>41</v>
      </c>
      <c r="Q2370" t="s">
        <v>34</v>
      </c>
    </row>
    <row r="2371" spans="1:17">
      <c r="A2371" t="s">
        <v>3221</v>
      </c>
      <c r="B2371" s="1" t="s">
        <v>650</v>
      </c>
      <c r="C2371" s="1" t="s">
        <v>3090</v>
      </c>
      <c r="D2371" s="1" t="s">
        <v>20</v>
      </c>
      <c r="E2371" t="s">
        <v>375</v>
      </c>
      <c r="F2371" t="s">
        <v>376</v>
      </c>
      <c r="G2371" t="s">
        <v>38</v>
      </c>
      <c r="H2371" t="s">
        <v>108</v>
      </c>
      <c r="I2371" t="s">
        <v>130</v>
      </c>
      <c r="J2371">
        <v>1</v>
      </c>
      <c r="K2371">
        <v>699</v>
      </c>
      <c r="L2371">
        <f>Table1[[#This Row],[Quantity]] * Table1[[#This Row],[UnitPrice]]</f>
        <v>699</v>
      </c>
      <c r="M2371" s="25">
        <v>15</v>
      </c>
      <c r="N2371">
        <f>Table1[[#This Row],[Revenue]]*Table1[[#This Row],[Discount%]]/100</f>
        <v>104.85</v>
      </c>
      <c r="O2371" s="6">
        <f>Table1[[#This Row],[Revenue]]-Table1[[#This Row],[Disc_amount]]</f>
        <v>594.15</v>
      </c>
      <c r="P2371" t="s">
        <v>41</v>
      </c>
      <c r="Q2371" t="s">
        <v>27</v>
      </c>
    </row>
    <row r="2372" spans="1:17">
      <c r="A2372" t="s">
        <v>3222</v>
      </c>
      <c r="B2372" s="1" t="s">
        <v>650</v>
      </c>
      <c r="C2372" s="1" t="s">
        <v>3090</v>
      </c>
      <c r="D2372" s="1" t="s">
        <v>20</v>
      </c>
      <c r="E2372" t="s">
        <v>2039</v>
      </c>
      <c r="F2372" t="s">
        <v>358</v>
      </c>
      <c r="G2372" t="s">
        <v>45</v>
      </c>
      <c r="H2372" t="s">
        <v>108</v>
      </c>
      <c r="I2372" t="s">
        <v>130</v>
      </c>
      <c r="J2372">
        <v>2</v>
      </c>
      <c r="K2372">
        <v>699</v>
      </c>
      <c r="L2372">
        <f>Table1[[#This Row],[Quantity]] * Table1[[#This Row],[UnitPrice]]</f>
        <v>1398</v>
      </c>
      <c r="M2372" s="25">
        <v>25</v>
      </c>
      <c r="N2372">
        <f>Table1[[#This Row],[Revenue]]*Table1[[#This Row],[Discount%]]/100</f>
        <v>349.5</v>
      </c>
      <c r="O2372" s="6">
        <f>Table1[[#This Row],[Revenue]]-Table1[[#This Row],[Disc_amount]]</f>
        <v>1048.5</v>
      </c>
      <c r="P2372" t="s">
        <v>41</v>
      </c>
      <c r="Q2372" t="s">
        <v>27</v>
      </c>
    </row>
    <row r="2373" spans="1:17">
      <c r="A2373" t="s">
        <v>3223</v>
      </c>
      <c r="B2373" s="1" t="s">
        <v>661</v>
      </c>
      <c r="C2373" s="1" t="s">
        <v>3090</v>
      </c>
      <c r="D2373" s="1" t="s">
        <v>20</v>
      </c>
      <c r="E2373" t="s">
        <v>970</v>
      </c>
      <c r="F2373" t="s">
        <v>971</v>
      </c>
      <c r="G2373" t="s">
        <v>23</v>
      </c>
      <c r="H2373" t="s">
        <v>39</v>
      </c>
      <c r="I2373" t="s">
        <v>40</v>
      </c>
      <c r="J2373">
        <v>4</v>
      </c>
      <c r="K2373">
        <v>599</v>
      </c>
      <c r="L2373">
        <f>Table1[[#This Row],[Quantity]] * Table1[[#This Row],[UnitPrice]]</f>
        <v>2396</v>
      </c>
      <c r="M2373" s="25">
        <v>25</v>
      </c>
      <c r="N2373">
        <f>Table1[[#This Row],[Revenue]]*Table1[[#This Row],[Discount%]]/100</f>
        <v>599</v>
      </c>
      <c r="O2373" s="6">
        <f>Table1[[#This Row],[Revenue]]-Table1[[#This Row],[Disc_amount]]</f>
        <v>1797</v>
      </c>
      <c r="P2373" t="s">
        <v>52</v>
      </c>
      <c r="Q2373" t="s">
        <v>27</v>
      </c>
    </row>
    <row r="2374" spans="1:17">
      <c r="A2374" t="s">
        <v>3224</v>
      </c>
      <c r="B2374" s="1" t="s">
        <v>661</v>
      </c>
      <c r="C2374" s="1" t="s">
        <v>3090</v>
      </c>
      <c r="D2374" s="1" t="s">
        <v>20</v>
      </c>
      <c r="E2374" t="s">
        <v>778</v>
      </c>
      <c r="F2374" t="s">
        <v>287</v>
      </c>
      <c r="G2374" t="s">
        <v>38</v>
      </c>
      <c r="H2374" t="s">
        <v>108</v>
      </c>
      <c r="I2374" t="s">
        <v>109</v>
      </c>
      <c r="J2374">
        <v>3</v>
      </c>
      <c r="K2374">
        <v>1499</v>
      </c>
      <c r="L2374">
        <f>Table1[[#This Row],[Quantity]] * Table1[[#This Row],[UnitPrice]]</f>
        <v>4497</v>
      </c>
      <c r="M2374" s="25">
        <v>30</v>
      </c>
      <c r="N2374">
        <f>Table1[[#This Row],[Revenue]]*Table1[[#This Row],[Discount%]]/100</f>
        <v>1349.1</v>
      </c>
      <c r="O2374" s="6">
        <f>Table1[[#This Row],[Revenue]]-Table1[[#This Row],[Disc_amount]]</f>
        <v>3147.9</v>
      </c>
      <c r="P2374" t="s">
        <v>52</v>
      </c>
      <c r="Q2374" t="s">
        <v>27</v>
      </c>
    </row>
    <row r="2375" spans="1:17">
      <c r="A2375" t="s">
        <v>3225</v>
      </c>
      <c r="B2375" s="1" t="s">
        <v>661</v>
      </c>
      <c r="C2375" s="1" t="s">
        <v>3090</v>
      </c>
      <c r="D2375" s="1" t="s">
        <v>20</v>
      </c>
      <c r="E2375" t="s">
        <v>212</v>
      </c>
      <c r="F2375" t="s">
        <v>213</v>
      </c>
      <c r="G2375" t="s">
        <v>38</v>
      </c>
      <c r="H2375" t="s">
        <v>39</v>
      </c>
      <c r="I2375" t="s">
        <v>51</v>
      </c>
      <c r="J2375">
        <v>4</v>
      </c>
      <c r="K2375">
        <v>2999</v>
      </c>
      <c r="L2375">
        <f>Table1[[#This Row],[Quantity]] * Table1[[#This Row],[UnitPrice]]</f>
        <v>11996</v>
      </c>
      <c r="M2375" s="25">
        <v>5</v>
      </c>
      <c r="N2375">
        <f>Table1[[#This Row],[Revenue]]*Table1[[#This Row],[Discount%]]/100</f>
        <v>599.79999999999995</v>
      </c>
      <c r="O2375" s="6">
        <f>Table1[[#This Row],[Revenue]]-Table1[[#This Row],[Disc_amount]]</f>
        <v>11396.2</v>
      </c>
      <c r="P2375" t="s">
        <v>26</v>
      </c>
      <c r="Q2375" t="s">
        <v>27</v>
      </c>
    </row>
    <row r="2376" spans="1:17">
      <c r="A2376" t="s">
        <v>3226</v>
      </c>
      <c r="B2376" s="1" t="s">
        <v>661</v>
      </c>
      <c r="C2376" s="1" t="s">
        <v>3090</v>
      </c>
      <c r="D2376" s="1" t="s">
        <v>20</v>
      </c>
      <c r="E2376" t="s">
        <v>1640</v>
      </c>
      <c r="F2376" t="s">
        <v>37</v>
      </c>
      <c r="G2376" t="s">
        <v>23</v>
      </c>
      <c r="H2376" t="s">
        <v>108</v>
      </c>
      <c r="I2376" t="s">
        <v>109</v>
      </c>
      <c r="J2376">
        <v>1</v>
      </c>
      <c r="K2376">
        <v>1499</v>
      </c>
      <c r="L2376">
        <f>Table1[[#This Row],[Quantity]] * Table1[[#This Row],[UnitPrice]]</f>
        <v>1499</v>
      </c>
      <c r="M2376" s="25">
        <v>5</v>
      </c>
      <c r="N2376">
        <f>Table1[[#This Row],[Revenue]]*Table1[[#This Row],[Discount%]]/100</f>
        <v>74.95</v>
      </c>
      <c r="O2376" s="6">
        <f>Table1[[#This Row],[Revenue]]-Table1[[#This Row],[Disc_amount]]</f>
        <v>1424.05</v>
      </c>
      <c r="P2376" t="s">
        <v>33</v>
      </c>
      <c r="Q2376" t="s">
        <v>27</v>
      </c>
    </row>
    <row r="2377" spans="1:17">
      <c r="A2377" t="s">
        <v>3227</v>
      </c>
      <c r="B2377" s="1" t="s">
        <v>661</v>
      </c>
      <c r="C2377" s="1" t="s">
        <v>3090</v>
      </c>
      <c r="D2377" s="1" t="s">
        <v>20</v>
      </c>
      <c r="E2377" t="s">
        <v>316</v>
      </c>
      <c r="F2377" t="s">
        <v>317</v>
      </c>
      <c r="G2377" t="s">
        <v>31</v>
      </c>
      <c r="H2377" t="s">
        <v>24</v>
      </c>
      <c r="I2377" t="s">
        <v>32</v>
      </c>
      <c r="J2377">
        <v>2</v>
      </c>
      <c r="K2377">
        <v>199</v>
      </c>
      <c r="L2377">
        <f>Table1[[#This Row],[Quantity]] * Table1[[#This Row],[UnitPrice]]</f>
        <v>398</v>
      </c>
      <c r="M2377" s="25">
        <v>5</v>
      </c>
      <c r="N2377">
        <f>Table1[[#This Row],[Revenue]]*Table1[[#This Row],[Discount%]]/100</f>
        <v>19.899999999999999</v>
      </c>
      <c r="O2377" s="6">
        <f>Table1[[#This Row],[Revenue]]-Table1[[#This Row],[Disc_amount]]</f>
        <v>378.1</v>
      </c>
      <c r="P2377" t="s">
        <v>26</v>
      </c>
      <c r="Q2377" t="s">
        <v>34</v>
      </c>
    </row>
    <row r="2378" spans="1:17">
      <c r="A2378" t="s">
        <v>3228</v>
      </c>
      <c r="B2378" s="1" t="s">
        <v>661</v>
      </c>
      <c r="C2378" s="1" t="s">
        <v>3090</v>
      </c>
      <c r="D2378" s="1" t="s">
        <v>20</v>
      </c>
      <c r="E2378" t="s">
        <v>111</v>
      </c>
      <c r="F2378" t="s">
        <v>107</v>
      </c>
      <c r="G2378" t="s">
        <v>38</v>
      </c>
      <c r="H2378" t="s">
        <v>65</v>
      </c>
      <c r="I2378" t="s">
        <v>94</v>
      </c>
      <c r="J2378">
        <v>2</v>
      </c>
      <c r="K2378">
        <v>899</v>
      </c>
      <c r="L2378">
        <f>Table1[[#This Row],[Quantity]] * Table1[[#This Row],[UnitPrice]]</f>
        <v>1798</v>
      </c>
      <c r="M2378" s="25">
        <v>5</v>
      </c>
      <c r="N2378">
        <f>Table1[[#This Row],[Revenue]]*Table1[[#This Row],[Discount%]]/100</f>
        <v>89.9</v>
      </c>
      <c r="O2378" s="6">
        <f>Table1[[#This Row],[Revenue]]-Table1[[#This Row],[Disc_amount]]</f>
        <v>1708.1</v>
      </c>
      <c r="P2378" t="s">
        <v>33</v>
      </c>
      <c r="Q2378" t="s">
        <v>34</v>
      </c>
    </row>
    <row r="2379" spans="1:17">
      <c r="A2379" t="s">
        <v>3229</v>
      </c>
      <c r="B2379" s="1" t="s">
        <v>661</v>
      </c>
      <c r="C2379" s="1" t="s">
        <v>3090</v>
      </c>
      <c r="D2379" s="1" t="s">
        <v>20</v>
      </c>
      <c r="E2379" t="s">
        <v>1312</v>
      </c>
      <c r="F2379" t="s">
        <v>465</v>
      </c>
      <c r="G2379" t="s">
        <v>31</v>
      </c>
      <c r="H2379" t="s">
        <v>39</v>
      </c>
      <c r="I2379" t="s">
        <v>40</v>
      </c>
      <c r="J2379">
        <v>1</v>
      </c>
      <c r="K2379">
        <v>599</v>
      </c>
      <c r="L2379">
        <f>Table1[[#This Row],[Quantity]] * Table1[[#This Row],[UnitPrice]]</f>
        <v>599</v>
      </c>
      <c r="M2379" s="25">
        <v>25</v>
      </c>
      <c r="N2379">
        <f>Table1[[#This Row],[Revenue]]*Table1[[#This Row],[Discount%]]/100</f>
        <v>149.75</v>
      </c>
      <c r="O2379" s="6">
        <f>Table1[[#This Row],[Revenue]]-Table1[[#This Row],[Disc_amount]]</f>
        <v>449.25</v>
      </c>
      <c r="P2379" t="s">
        <v>52</v>
      </c>
      <c r="Q2379" t="s">
        <v>27</v>
      </c>
    </row>
    <row r="2380" spans="1:17">
      <c r="A2380" t="s">
        <v>3230</v>
      </c>
      <c r="B2380" s="1" t="s">
        <v>661</v>
      </c>
      <c r="C2380" s="1" t="s">
        <v>3090</v>
      </c>
      <c r="D2380" s="1" t="s">
        <v>20</v>
      </c>
      <c r="E2380" t="s">
        <v>686</v>
      </c>
      <c r="F2380" t="s">
        <v>443</v>
      </c>
      <c r="G2380" t="s">
        <v>31</v>
      </c>
      <c r="H2380" t="s">
        <v>108</v>
      </c>
      <c r="I2380" t="s">
        <v>109</v>
      </c>
      <c r="J2380">
        <v>2</v>
      </c>
      <c r="K2380">
        <v>1499</v>
      </c>
      <c r="L2380">
        <f>Table1[[#This Row],[Quantity]] * Table1[[#This Row],[UnitPrice]]</f>
        <v>2998</v>
      </c>
      <c r="M2380" s="25">
        <v>25</v>
      </c>
      <c r="N2380">
        <f>Table1[[#This Row],[Revenue]]*Table1[[#This Row],[Discount%]]/100</f>
        <v>749.5</v>
      </c>
      <c r="O2380" s="6">
        <f>Table1[[#This Row],[Revenue]]-Table1[[#This Row],[Disc_amount]]</f>
        <v>2248.5</v>
      </c>
      <c r="P2380" t="s">
        <v>33</v>
      </c>
      <c r="Q2380" t="s">
        <v>34</v>
      </c>
    </row>
    <row r="2381" spans="1:17">
      <c r="A2381" t="s">
        <v>3231</v>
      </c>
      <c r="B2381" s="1" t="s">
        <v>661</v>
      </c>
      <c r="C2381" s="1" t="s">
        <v>3090</v>
      </c>
      <c r="D2381" s="1" t="s">
        <v>20</v>
      </c>
      <c r="E2381" t="s">
        <v>2142</v>
      </c>
      <c r="F2381" t="s">
        <v>473</v>
      </c>
      <c r="G2381" t="s">
        <v>56</v>
      </c>
      <c r="H2381" t="s">
        <v>70</v>
      </c>
      <c r="I2381" t="s">
        <v>71</v>
      </c>
      <c r="J2381">
        <v>2</v>
      </c>
      <c r="K2381">
        <v>349</v>
      </c>
      <c r="L2381">
        <f>Table1[[#This Row],[Quantity]] * Table1[[#This Row],[UnitPrice]]</f>
        <v>698</v>
      </c>
      <c r="M2381" s="25">
        <v>10</v>
      </c>
      <c r="N2381">
        <f>Table1[[#This Row],[Revenue]]*Table1[[#This Row],[Discount%]]/100</f>
        <v>69.8</v>
      </c>
      <c r="O2381" s="6">
        <f>Table1[[#This Row],[Revenue]]-Table1[[#This Row],[Disc_amount]]</f>
        <v>628.20000000000005</v>
      </c>
      <c r="P2381" t="s">
        <v>86</v>
      </c>
      <c r="Q2381" t="s">
        <v>34</v>
      </c>
    </row>
    <row r="2382" spans="1:17">
      <c r="A2382" t="s">
        <v>3232</v>
      </c>
      <c r="B2382" s="1" t="s">
        <v>661</v>
      </c>
      <c r="C2382" s="1" t="s">
        <v>3090</v>
      </c>
      <c r="D2382" s="1" t="s">
        <v>20</v>
      </c>
      <c r="E2382" t="s">
        <v>241</v>
      </c>
      <c r="F2382" t="s">
        <v>242</v>
      </c>
      <c r="G2382" t="s">
        <v>31</v>
      </c>
      <c r="H2382" t="s">
        <v>70</v>
      </c>
      <c r="I2382" t="s">
        <v>71</v>
      </c>
      <c r="J2382">
        <v>4</v>
      </c>
      <c r="K2382">
        <v>349</v>
      </c>
      <c r="L2382">
        <f>Table1[[#This Row],[Quantity]] * Table1[[#This Row],[UnitPrice]]</f>
        <v>1396</v>
      </c>
      <c r="M2382" s="25">
        <v>0</v>
      </c>
      <c r="N2382">
        <f>Table1[[#This Row],[Revenue]]*Table1[[#This Row],[Discount%]]/100</f>
        <v>0</v>
      </c>
      <c r="O2382" s="6">
        <f>Table1[[#This Row],[Revenue]]-Table1[[#This Row],[Disc_amount]]</f>
        <v>1396</v>
      </c>
      <c r="P2382" t="s">
        <v>41</v>
      </c>
      <c r="Q2382" t="s">
        <v>27</v>
      </c>
    </row>
    <row r="2383" spans="1:17">
      <c r="A2383" t="s">
        <v>3233</v>
      </c>
      <c r="B2383" s="1" t="s">
        <v>661</v>
      </c>
      <c r="C2383" s="1" t="s">
        <v>3090</v>
      </c>
      <c r="D2383" s="1" t="s">
        <v>20</v>
      </c>
      <c r="E2383" t="s">
        <v>386</v>
      </c>
      <c r="F2383" t="s">
        <v>183</v>
      </c>
      <c r="G2383" t="s">
        <v>56</v>
      </c>
      <c r="H2383" t="s">
        <v>39</v>
      </c>
      <c r="I2383" t="s">
        <v>140</v>
      </c>
      <c r="J2383">
        <v>1</v>
      </c>
      <c r="K2383">
        <v>1799</v>
      </c>
      <c r="L2383">
        <f>Table1[[#This Row],[Quantity]] * Table1[[#This Row],[UnitPrice]]</f>
        <v>1799</v>
      </c>
      <c r="M2383" s="25">
        <v>10</v>
      </c>
      <c r="N2383">
        <f>Table1[[#This Row],[Revenue]]*Table1[[#This Row],[Discount%]]/100</f>
        <v>179.9</v>
      </c>
      <c r="O2383" s="6">
        <f>Table1[[#This Row],[Revenue]]-Table1[[#This Row],[Disc_amount]]</f>
        <v>1619.1</v>
      </c>
      <c r="P2383" t="s">
        <v>33</v>
      </c>
      <c r="Q2383" t="s">
        <v>27</v>
      </c>
    </row>
    <row r="2384" spans="1:17">
      <c r="A2384" t="s">
        <v>3234</v>
      </c>
      <c r="B2384" s="1" t="s">
        <v>661</v>
      </c>
      <c r="C2384" s="1" t="s">
        <v>3090</v>
      </c>
      <c r="D2384" s="1" t="s">
        <v>20</v>
      </c>
      <c r="E2384" t="s">
        <v>959</v>
      </c>
      <c r="F2384" t="s">
        <v>960</v>
      </c>
      <c r="G2384" t="s">
        <v>56</v>
      </c>
      <c r="H2384" t="s">
        <v>65</v>
      </c>
      <c r="I2384" t="s">
        <v>66</v>
      </c>
      <c r="J2384">
        <v>2</v>
      </c>
      <c r="K2384">
        <v>1999</v>
      </c>
      <c r="L2384">
        <f>Table1[[#This Row],[Quantity]] * Table1[[#This Row],[UnitPrice]]</f>
        <v>3998</v>
      </c>
      <c r="M2384" s="25">
        <v>25</v>
      </c>
      <c r="N2384">
        <f>Table1[[#This Row],[Revenue]]*Table1[[#This Row],[Discount%]]/100</f>
        <v>999.5</v>
      </c>
      <c r="O2384" s="6">
        <f>Table1[[#This Row],[Revenue]]-Table1[[#This Row],[Disc_amount]]</f>
        <v>2998.5</v>
      </c>
      <c r="P2384" t="s">
        <v>26</v>
      </c>
      <c r="Q2384" t="s">
        <v>34</v>
      </c>
    </row>
    <row r="2385" spans="1:17">
      <c r="A2385" t="s">
        <v>3235</v>
      </c>
      <c r="B2385" s="1" t="s">
        <v>661</v>
      </c>
      <c r="C2385" s="1" t="s">
        <v>3090</v>
      </c>
      <c r="D2385" s="1" t="s">
        <v>20</v>
      </c>
      <c r="E2385" t="s">
        <v>645</v>
      </c>
      <c r="F2385" t="s">
        <v>248</v>
      </c>
      <c r="G2385" t="s">
        <v>23</v>
      </c>
      <c r="H2385" t="s">
        <v>46</v>
      </c>
      <c r="I2385" t="s">
        <v>154</v>
      </c>
      <c r="J2385">
        <v>3</v>
      </c>
      <c r="K2385">
        <v>299</v>
      </c>
      <c r="L2385">
        <f>Table1[[#This Row],[Quantity]] * Table1[[#This Row],[UnitPrice]]</f>
        <v>897</v>
      </c>
      <c r="M2385" s="25">
        <v>5</v>
      </c>
      <c r="N2385">
        <f>Table1[[#This Row],[Revenue]]*Table1[[#This Row],[Discount%]]/100</f>
        <v>44.85</v>
      </c>
      <c r="O2385" s="6">
        <f>Table1[[#This Row],[Revenue]]-Table1[[#This Row],[Disc_amount]]</f>
        <v>852.15</v>
      </c>
      <c r="P2385" t="s">
        <v>52</v>
      </c>
      <c r="Q2385" t="s">
        <v>27</v>
      </c>
    </row>
    <row r="2386" spans="1:17">
      <c r="A2386" t="s">
        <v>3236</v>
      </c>
      <c r="B2386" s="1" t="s">
        <v>671</v>
      </c>
      <c r="C2386" s="1" t="s">
        <v>3090</v>
      </c>
      <c r="D2386" s="1" t="s">
        <v>20</v>
      </c>
      <c r="E2386" t="s">
        <v>316</v>
      </c>
      <c r="F2386" t="s">
        <v>317</v>
      </c>
      <c r="G2386" t="s">
        <v>45</v>
      </c>
      <c r="H2386" t="s">
        <v>65</v>
      </c>
      <c r="I2386" t="s">
        <v>98</v>
      </c>
      <c r="J2386">
        <v>2</v>
      </c>
      <c r="K2386">
        <v>499</v>
      </c>
      <c r="L2386">
        <f>Table1[[#This Row],[Quantity]] * Table1[[#This Row],[UnitPrice]]</f>
        <v>998</v>
      </c>
      <c r="M2386" s="25">
        <v>25</v>
      </c>
      <c r="N2386">
        <f>Table1[[#This Row],[Revenue]]*Table1[[#This Row],[Discount%]]/100</f>
        <v>249.5</v>
      </c>
      <c r="O2386" s="6">
        <f>Table1[[#This Row],[Revenue]]-Table1[[#This Row],[Disc_amount]]</f>
        <v>748.5</v>
      </c>
      <c r="P2386" t="s">
        <v>52</v>
      </c>
      <c r="Q2386" t="s">
        <v>27</v>
      </c>
    </row>
    <row r="2387" spans="1:17">
      <c r="A2387" t="s">
        <v>3237</v>
      </c>
      <c r="B2387" s="1" t="s">
        <v>671</v>
      </c>
      <c r="C2387" s="1" t="s">
        <v>3090</v>
      </c>
      <c r="D2387" s="1" t="s">
        <v>20</v>
      </c>
      <c r="E2387" t="s">
        <v>360</v>
      </c>
      <c r="F2387" t="s">
        <v>123</v>
      </c>
      <c r="G2387" t="s">
        <v>31</v>
      </c>
      <c r="H2387" t="s">
        <v>70</v>
      </c>
      <c r="I2387" t="s">
        <v>71</v>
      </c>
      <c r="J2387">
        <v>2</v>
      </c>
      <c r="K2387">
        <v>349</v>
      </c>
      <c r="L2387">
        <f>Table1[[#This Row],[Quantity]] * Table1[[#This Row],[UnitPrice]]</f>
        <v>698</v>
      </c>
      <c r="M2387" s="25">
        <v>30</v>
      </c>
      <c r="N2387">
        <f>Table1[[#This Row],[Revenue]]*Table1[[#This Row],[Discount%]]/100</f>
        <v>209.4</v>
      </c>
      <c r="O2387" s="6">
        <f>Table1[[#This Row],[Revenue]]-Table1[[#This Row],[Disc_amount]]</f>
        <v>488.6</v>
      </c>
      <c r="P2387" t="s">
        <v>33</v>
      </c>
      <c r="Q2387" t="s">
        <v>27</v>
      </c>
    </row>
    <row r="2388" spans="1:17">
      <c r="A2388" t="s">
        <v>3238</v>
      </c>
      <c r="B2388" s="1" t="s">
        <v>671</v>
      </c>
      <c r="C2388" s="1" t="s">
        <v>3090</v>
      </c>
      <c r="D2388" s="1" t="s">
        <v>20</v>
      </c>
      <c r="E2388" t="s">
        <v>652</v>
      </c>
      <c r="F2388" t="s">
        <v>443</v>
      </c>
      <c r="G2388" t="s">
        <v>31</v>
      </c>
      <c r="H2388" t="s">
        <v>57</v>
      </c>
      <c r="I2388" t="s">
        <v>58</v>
      </c>
      <c r="J2388">
        <v>2</v>
      </c>
      <c r="K2388">
        <v>1299</v>
      </c>
      <c r="L2388">
        <f>Table1[[#This Row],[Quantity]] * Table1[[#This Row],[UnitPrice]]</f>
        <v>2598</v>
      </c>
      <c r="M2388" s="25">
        <v>20</v>
      </c>
      <c r="N2388">
        <f>Table1[[#This Row],[Revenue]]*Table1[[#This Row],[Discount%]]/100</f>
        <v>519.6</v>
      </c>
      <c r="O2388" s="6">
        <f>Table1[[#This Row],[Revenue]]-Table1[[#This Row],[Disc_amount]]</f>
        <v>2078.4</v>
      </c>
      <c r="P2388" t="s">
        <v>86</v>
      </c>
      <c r="Q2388" t="s">
        <v>27</v>
      </c>
    </row>
    <row r="2389" spans="1:17">
      <c r="A2389" t="s">
        <v>3239</v>
      </c>
      <c r="B2389" s="1" t="s">
        <v>671</v>
      </c>
      <c r="C2389" s="1" t="s">
        <v>3090</v>
      </c>
      <c r="D2389" s="1" t="s">
        <v>20</v>
      </c>
      <c r="E2389" t="s">
        <v>793</v>
      </c>
      <c r="F2389" t="s">
        <v>129</v>
      </c>
      <c r="G2389" t="s">
        <v>38</v>
      </c>
      <c r="H2389" t="s">
        <v>39</v>
      </c>
      <c r="I2389" t="s">
        <v>140</v>
      </c>
      <c r="J2389">
        <v>4</v>
      </c>
      <c r="K2389">
        <v>1799</v>
      </c>
      <c r="L2389">
        <f>Table1[[#This Row],[Quantity]] * Table1[[#This Row],[UnitPrice]]</f>
        <v>7196</v>
      </c>
      <c r="M2389" s="25">
        <v>25</v>
      </c>
      <c r="N2389">
        <f>Table1[[#This Row],[Revenue]]*Table1[[#This Row],[Discount%]]/100</f>
        <v>1799</v>
      </c>
      <c r="O2389" s="6">
        <f>Table1[[#This Row],[Revenue]]-Table1[[#This Row],[Disc_amount]]</f>
        <v>5397</v>
      </c>
      <c r="P2389" t="s">
        <v>86</v>
      </c>
      <c r="Q2389" t="s">
        <v>27</v>
      </c>
    </row>
    <row r="2390" spans="1:17">
      <c r="A2390" t="s">
        <v>3240</v>
      </c>
      <c r="B2390" s="1" t="s">
        <v>671</v>
      </c>
      <c r="C2390" s="1" t="s">
        <v>3090</v>
      </c>
      <c r="D2390" s="1" t="s">
        <v>20</v>
      </c>
      <c r="E2390" t="s">
        <v>596</v>
      </c>
      <c r="F2390" t="s">
        <v>597</v>
      </c>
      <c r="G2390" t="s">
        <v>45</v>
      </c>
      <c r="H2390" t="s">
        <v>70</v>
      </c>
      <c r="I2390" t="s">
        <v>71</v>
      </c>
      <c r="J2390">
        <v>1</v>
      </c>
      <c r="K2390">
        <v>349</v>
      </c>
      <c r="L2390">
        <f>Table1[[#This Row],[Quantity]] * Table1[[#This Row],[UnitPrice]]</f>
        <v>349</v>
      </c>
      <c r="M2390" s="25">
        <v>10</v>
      </c>
      <c r="N2390">
        <f>Table1[[#This Row],[Revenue]]*Table1[[#This Row],[Discount%]]/100</f>
        <v>34.9</v>
      </c>
      <c r="O2390" s="6">
        <f>Table1[[#This Row],[Revenue]]-Table1[[#This Row],[Disc_amount]]</f>
        <v>314.10000000000002</v>
      </c>
      <c r="P2390" t="s">
        <v>41</v>
      </c>
      <c r="Q2390" t="s">
        <v>34</v>
      </c>
    </row>
    <row r="2391" spans="1:17">
      <c r="A2391" t="s">
        <v>3241</v>
      </c>
      <c r="B2391" s="1" t="s">
        <v>671</v>
      </c>
      <c r="C2391" s="1" t="s">
        <v>3090</v>
      </c>
      <c r="D2391" s="1" t="s">
        <v>20</v>
      </c>
      <c r="E2391" t="s">
        <v>49</v>
      </c>
      <c r="F2391" t="s">
        <v>50</v>
      </c>
      <c r="G2391" t="s">
        <v>56</v>
      </c>
      <c r="H2391" t="s">
        <v>65</v>
      </c>
      <c r="I2391" t="s">
        <v>94</v>
      </c>
      <c r="J2391">
        <v>1</v>
      </c>
      <c r="K2391">
        <v>899</v>
      </c>
      <c r="L2391">
        <f>Table1[[#This Row],[Quantity]] * Table1[[#This Row],[UnitPrice]]</f>
        <v>899</v>
      </c>
      <c r="M2391" s="25">
        <v>10</v>
      </c>
      <c r="N2391">
        <f>Table1[[#This Row],[Revenue]]*Table1[[#This Row],[Discount%]]/100</f>
        <v>89.9</v>
      </c>
      <c r="O2391" s="6">
        <f>Table1[[#This Row],[Revenue]]-Table1[[#This Row],[Disc_amount]]</f>
        <v>809.1</v>
      </c>
      <c r="P2391" t="s">
        <v>33</v>
      </c>
      <c r="Q2391" t="s">
        <v>34</v>
      </c>
    </row>
    <row r="2392" spans="1:17">
      <c r="A2392" t="s">
        <v>3242</v>
      </c>
      <c r="B2392" s="1" t="s">
        <v>671</v>
      </c>
      <c r="C2392" s="1" t="s">
        <v>3090</v>
      </c>
      <c r="D2392" s="1" t="s">
        <v>20</v>
      </c>
      <c r="E2392" t="s">
        <v>1001</v>
      </c>
      <c r="F2392" t="s">
        <v>90</v>
      </c>
      <c r="G2392" t="s">
        <v>23</v>
      </c>
      <c r="H2392" t="s">
        <v>65</v>
      </c>
      <c r="I2392" t="s">
        <v>66</v>
      </c>
      <c r="J2392">
        <v>1</v>
      </c>
      <c r="K2392">
        <v>1999</v>
      </c>
      <c r="L2392">
        <f>Table1[[#This Row],[Quantity]] * Table1[[#This Row],[UnitPrice]]</f>
        <v>1999</v>
      </c>
      <c r="M2392" s="25">
        <v>30</v>
      </c>
      <c r="N2392">
        <f>Table1[[#This Row],[Revenue]]*Table1[[#This Row],[Discount%]]/100</f>
        <v>599.70000000000005</v>
      </c>
      <c r="O2392" s="6">
        <f>Table1[[#This Row],[Revenue]]-Table1[[#This Row],[Disc_amount]]</f>
        <v>1399.3</v>
      </c>
      <c r="P2392" t="s">
        <v>41</v>
      </c>
      <c r="Q2392" t="s">
        <v>34</v>
      </c>
    </row>
    <row r="2393" spans="1:17">
      <c r="A2393" t="s">
        <v>3243</v>
      </c>
      <c r="B2393" s="1" t="s">
        <v>671</v>
      </c>
      <c r="C2393" s="1" t="s">
        <v>3090</v>
      </c>
      <c r="D2393" s="1" t="s">
        <v>20</v>
      </c>
      <c r="E2393" t="s">
        <v>1554</v>
      </c>
      <c r="F2393" t="s">
        <v>268</v>
      </c>
      <c r="G2393" t="s">
        <v>23</v>
      </c>
      <c r="H2393" t="s">
        <v>65</v>
      </c>
      <c r="I2393" t="s">
        <v>94</v>
      </c>
      <c r="J2393">
        <v>3</v>
      </c>
      <c r="K2393">
        <v>899</v>
      </c>
      <c r="L2393">
        <f>Table1[[#This Row],[Quantity]] * Table1[[#This Row],[UnitPrice]]</f>
        <v>2697</v>
      </c>
      <c r="M2393" s="25">
        <v>0</v>
      </c>
      <c r="N2393">
        <f>Table1[[#This Row],[Revenue]]*Table1[[#This Row],[Discount%]]/100</f>
        <v>0</v>
      </c>
      <c r="O2393" s="6">
        <f>Table1[[#This Row],[Revenue]]-Table1[[#This Row],[Disc_amount]]</f>
        <v>2697</v>
      </c>
      <c r="P2393" t="s">
        <v>26</v>
      </c>
      <c r="Q2393" t="s">
        <v>27</v>
      </c>
    </row>
    <row r="2394" spans="1:17">
      <c r="A2394" t="s">
        <v>3244</v>
      </c>
      <c r="B2394" s="1" t="s">
        <v>671</v>
      </c>
      <c r="C2394" s="1" t="s">
        <v>3090</v>
      </c>
      <c r="D2394" s="1" t="s">
        <v>20</v>
      </c>
      <c r="E2394" t="s">
        <v>1465</v>
      </c>
      <c r="F2394" t="s">
        <v>1466</v>
      </c>
      <c r="G2394" t="s">
        <v>45</v>
      </c>
      <c r="H2394" t="s">
        <v>65</v>
      </c>
      <c r="I2394" t="s">
        <v>66</v>
      </c>
      <c r="J2394">
        <v>2</v>
      </c>
      <c r="K2394">
        <v>1999</v>
      </c>
      <c r="L2394">
        <f>Table1[[#This Row],[Quantity]] * Table1[[#This Row],[UnitPrice]]</f>
        <v>3998</v>
      </c>
      <c r="M2394" s="25">
        <v>10</v>
      </c>
      <c r="N2394">
        <f>Table1[[#This Row],[Revenue]]*Table1[[#This Row],[Discount%]]/100</f>
        <v>399.8</v>
      </c>
      <c r="O2394" s="6">
        <f>Table1[[#This Row],[Revenue]]-Table1[[#This Row],[Disc_amount]]</f>
        <v>3598.2</v>
      </c>
      <c r="P2394" t="s">
        <v>86</v>
      </c>
      <c r="Q2394" t="s">
        <v>34</v>
      </c>
    </row>
    <row r="2395" spans="1:17">
      <c r="A2395" t="s">
        <v>3245</v>
      </c>
      <c r="B2395" s="1" t="s">
        <v>671</v>
      </c>
      <c r="C2395" s="1" t="s">
        <v>3090</v>
      </c>
      <c r="D2395" s="1" t="s">
        <v>20</v>
      </c>
      <c r="E2395" t="s">
        <v>938</v>
      </c>
      <c r="F2395" t="s">
        <v>187</v>
      </c>
      <c r="G2395" t="s">
        <v>45</v>
      </c>
      <c r="H2395" t="s">
        <v>65</v>
      </c>
      <c r="I2395" t="s">
        <v>66</v>
      </c>
      <c r="J2395">
        <v>3</v>
      </c>
      <c r="K2395">
        <v>1999</v>
      </c>
      <c r="L2395">
        <f>Table1[[#This Row],[Quantity]] * Table1[[#This Row],[UnitPrice]]</f>
        <v>5997</v>
      </c>
      <c r="M2395" s="25">
        <v>25</v>
      </c>
      <c r="N2395">
        <f>Table1[[#This Row],[Revenue]]*Table1[[#This Row],[Discount%]]/100</f>
        <v>1499.25</v>
      </c>
      <c r="O2395" s="6">
        <f>Table1[[#This Row],[Revenue]]-Table1[[#This Row],[Disc_amount]]</f>
        <v>4497.75</v>
      </c>
      <c r="P2395" t="s">
        <v>41</v>
      </c>
      <c r="Q2395" t="s">
        <v>27</v>
      </c>
    </row>
    <row r="2396" spans="1:17">
      <c r="A2396" t="s">
        <v>3246</v>
      </c>
      <c r="B2396" s="1" t="s">
        <v>671</v>
      </c>
      <c r="C2396" s="1" t="s">
        <v>3090</v>
      </c>
      <c r="D2396" s="1" t="s">
        <v>20</v>
      </c>
      <c r="E2396" t="s">
        <v>286</v>
      </c>
      <c r="F2396" t="s">
        <v>287</v>
      </c>
      <c r="G2396" t="s">
        <v>56</v>
      </c>
      <c r="H2396" t="s">
        <v>39</v>
      </c>
      <c r="I2396" t="s">
        <v>40</v>
      </c>
      <c r="J2396">
        <v>1</v>
      </c>
      <c r="K2396">
        <v>599</v>
      </c>
      <c r="L2396">
        <f>Table1[[#This Row],[Quantity]] * Table1[[#This Row],[UnitPrice]]</f>
        <v>599</v>
      </c>
      <c r="M2396" s="25">
        <v>25</v>
      </c>
      <c r="N2396">
        <f>Table1[[#This Row],[Revenue]]*Table1[[#This Row],[Discount%]]/100</f>
        <v>149.75</v>
      </c>
      <c r="O2396" s="6">
        <f>Table1[[#This Row],[Revenue]]-Table1[[#This Row],[Disc_amount]]</f>
        <v>449.25</v>
      </c>
      <c r="P2396" t="s">
        <v>41</v>
      </c>
      <c r="Q2396" t="s">
        <v>27</v>
      </c>
    </row>
    <row r="2397" spans="1:17">
      <c r="A2397" t="s">
        <v>3247</v>
      </c>
      <c r="B2397" s="1" t="s">
        <v>671</v>
      </c>
      <c r="C2397" s="1" t="s">
        <v>3090</v>
      </c>
      <c r="D2397" s="1" t="s">
        <v>20</v>
      </c>
      <c r="E2397" t="s">
        <v>636</v>
      </c>
      <c r="F2397" t="s">
        <v>61</v>
      </c>
      <c r="G2397" t="s">
        <v>31</v>
      </c>
      <c r="H2397" t="s">
        <v>57</v>
      </c>
      <c r="I2397" t="s">
        <v>62</v>
      </c>
      <c r="J2397">
        <v>2</v>
      </c>
      <c r="K2397">
        <v>799</v>
      </c>
      <c r="L2397">
        <f>Table1[[#This Row],[Quantity]] * Table1[[#This Row],[UnitPrice]]</f>
        <v>1598</v>
      </c>
      <c r="M2397" s="25">
        <v>0</v>
      </c>
      <c r="N2397">
        <f>Table1[[#This Row],[Revenue]]*Table1[[#This Row],[Discount%]]/100</f>
        <v>0</v>
      </c>
      <c r="O2397" s="6">
        <f>Table1[[#This Row],[Revenue]]-Table1[[#This Row],[Disc_amount]]</f>
        <v>1598</v>
      </c>
      <c r="P2397" t="s">
        <v>41</v>
      </c>
      <c r="Q2397" t="s">
        <v>27</v>
      </c>
    </row>
    <row r="2398" spans="1:17">
      <c r="A2398" t="s">
        <v>3248</v>
      </c>
      <c r="B2398" s="1" t="s">
        <v>671</v>
      </c>
      <c r="C2398" s="1" t="s">
        <v>3090</v>
      </c>
      <c r="D2398" s="1" t="s">
        <v>20</v>
      </c>
      <c r="E2398" t="s">
        <v>76</v>
      </c>
      <c r="F2398" t="s">
        <v>77</v>
      </c>
      <c r="G2398" t="s">
        <v>56</v>
      </c>
      <c r="H2398" t="s">
        <v>39</v>
      </c>
      <c r="I2398" t="s">
        <v>51</v>
      </c>
      <c r="J2398">
        <v>2</v>
      </c>
      <c r="K2398">
        <v>2999</v>
      </c>
      <c r="L2398">
        <f>Table1[[#This Row],[Quantity]] * Table1[[#This Row],[UnitPrice]]</f>
        <v>5998</v>
      </c>
      <c r="M2398" s="25">
        <v>5</v>
      </c>
      <c r="N2398">
        <f>Table1[[#This Row],[Revenue]]*Table1[[#This Row],[Discount%]]/100</f>
        <v>299.89999999999998</v>
      </c>
      <c r="O2398" s="6">
        <f>Table1[[#This Row],[Revenue]]-Table1[[#This Row],[Disc_amount]]</f>
        <v>5698.1</v>
      </c>
      <c r="P2398" t="s">
        <v>26</v>
      </c>
      <c r="Q2398" t="s">
        <v>27</v>
      </c>
    </row>
    <row r="2399" spans="1:17">
      <c r="A2399" t="s">
        <v>3249</v>
      </c>
      <c r="B2399" s="1" t="s">
        <v>671</v>
      </c>
      <c r="C2399" s="1" t="s">
        <v>3090</v>
      </c>
      <c r="D2399" s="1" t="s">
        <v>20</v>
      </c>
      <c r="E2399" t="s">
        <v>872</v>
      </c>
      <c r="F2399" t="s">
        <v>873</v>
      </c>
      <c r="G2399" t="s">
        <v>31</v>
      </c>
      <c r="H2399" t="s">
        <v>39</v>
      </c>
      <c r="I2399" t="s">
        <v>140</v>
      </c>
      <c r="J2399">
        <v>4</v>
      </c>
      <c r="K2399">
        <v>1799</v>
      </c>
      <c r="L2399">
        <f>Table1[[#This Row],[Quantity]] * Table1[[#This Row],[UnitPrice]]</f>
        <v>7196</v>
      </c>
      <c r="M2399" s="25">
        <v>10</v>
      </c>
      <c r="N2399">
        <f>Table1[[#This Row],[Revenue]]*Table1[[#This Row],[Discount%]]/100</f>
        <v>719.6</v>
      </c>
      <c r="O2399" s="6">
        <f>Table1[[#This Row],[Revenue]]-Table1[[#This Row],[Disc_amount]]</f>
        <v>6476.4</v>
      </c>
      <c r="P2399" t="s">
        <v>26</v>
      </c>
      <c r="Q2399" t="s">
        <v>27</v>
      </c>
    </row>
    <row r="2400" spans="1:17">
      <c r="A2400" t="s">
        <v>3250</v>
      </c>
      <c r="B2400" s="1" t="s">
        <v>671</v>
      </c>
      <c r="C2400" s="1" t="s">
        <v>3090</v>
      </c>
      <c r="D2400" s="1" t="s">
        <v>20</v>
      </c>
      <c r="E2400" t="s">
        <v>865</v>
      </c>
      <c r="F2400" t="s">
        <v>355</v>
      </c>
      <c r="G2400" t="s">
        <v>56</v>
      </c>
      <c r="H2400" t="s">
        <v>108</v>
      </c>
      <c r="I2400" t="s">
        <v>109</v>
      </c>
      <c r="J2400">
        <v>1</v>
      </c>
      <c r="K2400">
        <v>1499</v>
      </c>
      <c r="L2400">
        <f>Table1[[#This Row],[Quantity]] * Table1[[#This Row],[UnitPrice]]</f>
        <v>1499</v>
      </c>
      <c r="M2400" s="25">
        <v>0</v>
      </c>
      <c r="N2400">
        <f>Table1[[#This Row],[Revenue]]*Table1[[#This Row],[Discount%]]/100</f>
        <v>0</v>
      </c>
      <c r="O2400" s="6">
        <f>Table1[[#This Row],[Revenue]]-Table1[[#This Row],[Disc_amount]]</f>
        <v>1499</v>
      </c>
      <c r="P2400" t="s">
        <v>33</v>
      </c>
      <c r="Q2400" t="s">
        <v>27</v>
      </c>
    </row>
    <row r="2401" spans="1:17">
      <c r="A2401" t="s">
        <v>3251</v>
      </c>
      <c r="B2401" s="1" t="s">
        <v>682</v>
      </c>
      <c r="C2401" s="1" t="s">
        <v>3090</v>
      </c>
      <c r="D2401" s="1" t="s">
        <v>20</v>
      </c>
      <c r="E2401" t="s">
        <v>1044</v>
      </c>
      <c r="F2401" t="s">
        <v>587</v>
      </c>
      <c r="G2401" t="s">
        <v>38</v>
      </c>
      <c r="H2401" t="s">
        <v>57</v>
      </c>
      <c r="I2401" t="s">
        <v>62</v>
      </c>
      <c r="J2401">
        <v>1</v>
      </c>
      <c r="K2401">
        <v>799</v>
      </c>
      <c r="L2401">
        <f>Table1[[#This Row],[Quantity]] * Table1[[#This Row],[UnitPrice]]</f>
        <v>799</v>
      </c>
      <c r="M2401" s="25">
        <v>30</v>
      </c>
      <c r="N2401">
        <f>Table1[[#This Row],[Revenue]]*Table1[[#This Row],[Discount%]]/100</f>
        <v>239.7</v>
      </c>
      <c r="O2401" s="6">
        <f>Table1[[#This Row],[Revenue]]-Table1[[#This Row],[Disc_amount]]</f>
        <v>559.29999999999995</v>
      </c>
      <c r="P2401" t="s">
        <v>33</v>
      </c>
      <c r="Q2401" t="s">
        <v>27</v>
      </c>
    </row>
    <row r="2402" spans="1:17">
      <c r="A2402" t="s">
        <v>3252</v>
      </c>
      <c r="B2402" s="1" t="s">
        <v>682</v>
      </c>
      <c r="C2402" s="1" t="s">
        <v>3090</v>
      </c>
      <c r="D2402" s="1" t="s">
        <v>20</v>
      </c>
      <c r="E2402" t="s">
        <v>352</v>
      </c>
      <c r="F2402" t="s">
        <v>134</v>
      </c>
      <c r="G2402" t="s">
        <v>38</v>
      </c>
      <c r="H2402" t="s">
        <v>65</v>
      </c>
      <c r="I2402" t="s">
        <v>66</v>
      </c>
      <c r="J2402">
        <v>2</v>
      </c>
      <c r="K2402">
        <v>1999</v>
      </c>
      <c r="L2402">
        <f>Table1[[#This Row],[Quantity]] * Table1[[#This Row],[UnitPrice]]</f>
        <v>3998</v>
      </c>
      <c r="M2402" s="25">
        <v>15</v>
      </c>
      <c r="N2402">
        <f>Table1[[#This Row],[Revenue]]*Table1[[#This Row],[Discount%]]/100</f>
        <v>599.70000000000005</v>
      </c>
      <c r="O2402" s="6">
        <f>Table1[[#This Row],[Revenue]]-Table1[[#This Row],[Disc_amount]]</f>
        <v>3398.3</v>
      </c>
      <c r="P2402" t="s">
        <v>52</v>
      </c>
      <c r="Q2402" t="s">
        <v>34</v>
      </c>
    </row>
    <row r="2403" spans="1:17">
      <c r="A2403" t="s">
        <v>3253</v>
      </c>
      <c r="B2403" s="1" t="s">
        <v>682</v>
      </c>
      <c r="C2403" s="1" t="s">
        <v>3090</v>
      </c>
      <c r="D2403" s="1" t="s">
        <v>20</v>
      </c>
      <c r="E2403" t="s">
        <v>169</v>
      </c>
      <c r="F2403" t="s">
        <v>170</v>
      </c>
      <c r="G2403" t="s">
        <v>45</v>
      </c>
      <c r="H2403" t="s">
        <v>57</v>
      </c>
      <c r="I2403" t="s">
        <v>62</v>
      </c>
      <c r="J2403">
        <v>5</v>
      </c>
      <c r="K2403">
        <v>799</v>
      </c>
      <c r="L2403">
        <f>Table1[[#This Row],[Quantity]] * Table1[[#This Row],[UnitPrice]]</f>
        <v>3995</v>
      </c>
      <c r="M2403" s="25">
        <v>10</v>
      </c>
      <c r="N2403">
        <f>Table1[[#This Row],[Revenue]]*Table1[[#This Row],[Discount%]]/100</f>
        <v>399.5</v>
      </c>
      <c r="O2403" s="6">
        <f>Table1[[#This Row],[Revenue]]-Table1[[#This Row],[Disc_amount]]</f>
        <v>3595.5</v>
      </c>
      <c r="P2403" t="s">
        <v>41</v>
      </c>
      <c r="Q2403" t="s">
        <v>34</v>
      </c>
    </row>
    <row r="2404" spans="1:17">
      <c r="A2404" t="s">
        <v>3254</v>
      </c>
      <c r="B2404" s="1" t="s">
        <v>682</v>
      </c>
      <c r="C2404" s="1" t="s">
        <v>3090</v>
      </c>
      <c r="D2404" s="1" t="s">
        <v>20</v>
      </c>
      <c r="E2404" t="s">
        <v>865</v>
      </c>
      <c r="F2404" t="s">
        <v>355</v>
      </c>
      <c r="G2404" t="s">
        <v>38</v>
      </c>
      <c r="H2404" t="s">
        <v>39</v>
      </c>
      <c r="I2404" t="s">
        <v>140</v>
      </c>
      <c r="J2404">
        <v>1</v>
      </c>
      <c r="K2404">
        <v>1799</v>
      </c>
      <c r="L2404">
        <f>Table1[[#This Row],[Quantity]] * Table1[[#This Row],[UnitPrice]]</f>
        <v>1799</v>
      </c>
      <c r="M2404" s="25">
        <v>0</v>
      </c>
      <c r="N2404">
        <f>Table1[[#This Row],[Revenue]]*Table1[[#This Row],[Discount%]]/100</f>
        <v>0</v>
      </c>
      <c r="O2404" s="6">
        <f>Table1[[#This Row],[Revenue]]-Table1[[#This Row],[Disc_amount]]</f>
        <v>1799</v>
      </c>
      <c r="P2404" t="s">
        <v>41</v>
      </c>
      <c r="Q2404" t="s">
        <v>27</v>
      </c>
    </row>
    <row r="2405" spans="1:17">
      <c r="A2405" t="s">
        <v>3255</v>
      </c>
      <c r="B2405" s="1" t="s">
        <v>682</v>
      </c>
      <c r="C2405" s="1" t="s">
        <v>3090</v>
      </c>
      <c r="D2405" s="1" t="s">
        <v>20</v>
      </c>
      <c r="E2405" t="s">
        <v>1066</v>
      </c>
      <c r="F2405" t="s">
        <v>143</v>
      </c>
      <c r="G2405" t="s">
        <v>31</v>
      </c>
      <c r="H2405" t="s">
        <v>39</v>
      </c>
      <c r="I2405" t="s">
        <v>140</v>
      </c>
      <c r="J2405">
        <v>4</v>
      </c>
      <c r="K2405">
        <v>1799</v>
      </c>
      <c r="L2405">
        <f>Table1[[#This Row],[Quantity]] * Table1[[#This Row],[UnitPrice]]</f>
        <v>7196</v>
      </c>
      <c r="M2405" s="25">
        <v>10</v>
      </c>
      <c r="N2405">
        <f>Table1[[#This Row],[Revenue]]*Table1[[#This Row],[Discount%]]/100</f>
        <v>719.6</v>
      </c>
      <c r="O2405" s="6">
        <f>Table1[[#This Row],[Revenue]]-Table1[[#This Row],[Disc_amount]]</f>
        <v>6476.4</v>
      </c>
      <c r="P2405" t="s">
        <v>52</v>
      </c>
      <c r="Q2405" t="s">
        <v>27</v>
      </c>
    </row>
    <row r="2406" spans="1:17">
      <c r="A2406" t="s">
        <v>3256</v>
      </c>
      <c r="B2406" s="1" t="s">
        <v>682</v>
      </c>
      <c r="C2406" s="1" t="s">
        <v>3090</v>
      </c>
      <c r="D2406" s="1" t="s">
        <v>20</v>
      </c>
      <c r="E2406" t="s">
        <v>716</v>
      </c>
      <c r="F2406" t="s">
        <v>717</v>
      </c>
      <c r="G2406" t="s">
        <v>56</v>
      </c>
      <c r="H2406" t="s">
        <v>65</v>
      </c>
      <c r="I2406" t="s">
        <v>94</v>
      </c>
      <c r="J2406">
        <v>2</v>
      </c>
      <c r="K2406">
        <v>899</v>
      </c>
      <c r="L2406">
        <f>Table1[[#This Row],[Quantity]] * Table1[[#This Row],[UnitPrice]]</f>
        <v>1798</v>
      </c>
      <c r="M2406" s="25">
        <v>5</v>
      </c>
      <c r="N2406">
        <f>Table1[[#This Row],[Revenue]]*Table1[[#This Row],[Discount%]]/100</f>
        <v>89.9</v>
      </c>
      <c r="O2406" s="6">
        <f>Table1[[#This Row],[Revenue]]-Table1[[#This Row],[Disc_amount]]</f>
        <v>1708.1</v>
      </c>
      <c r="P2406" t="s">
        <v>86</v>
      </c>
      <c r="Q2406" t="s">
        <v>34</v>
      </c>
    </row>
    <row r="2407" spans="1:17">
      <c r="A2407" t="s">
        <v>3257</v>
      </c>
      <c r="B2407" s="1" t="s">
        <v>682</v>
      </c>
      <c r="C2407" s="1" t="s">
        <v>3090</v>
      </c>
      <c r="D2407" s="1" t="s">
        <v>20</v>
      </c>
      <c r="E2407" t="s">
        <v>921</v>
      </c>
      <c r="F2407" t="s">
        <v>104</v>
      </c>
      <c r="G2407" t="s">
        <v>38</v>
      </c>
      <c r="H2407" t="s">
        <v>46</v>
      </c>
      <c r="I2407" t="s">
        <v>154</v>
      </c>
      <c r="J2407">
        <v>2</v>
      </c>
      <c r="K2407">
        <v>299</v>
      </c>
      <c r="L2407">
        <f>Table1[[#This Row],[Quantity]] * Table1[[#This Row],[UnitPrice]]</f>
        <v>598</v>
      </c>
      <c r="M2407" s="25">
        <v>20</v>
      </c>
      <c r="N2407">
        <f>Table1[[#This Row],[Revenue]]*Table1[[#This Row],[Discount%]]/100</f>
        <v>119.6</v>
      </c>
      <c r="O2407" s="6">
        <f>Table1[[#This Row],[Revenue]]-Table1[[#This Row],[Disc_amount]]</f>
        <v>478.4</v>
      </c>
      <c r="P2407" t="s">
        <v>33</v>
      </c>
      <c r="Q2407" t="s">
        <v>27</v>
      </c>
    </row>
    <row r="2408" spans="1:17">
      <c r="A2408" t="s">
        <v>3258</v>
      </c>
      <c r="B2408" s="1" t="s">
        <v>682</v>
      </c>
      <c r="C2408" s="1" t="s">
        <v>3090</v>
      </c>
      <c r="D2408" s="1" t="s">
        <v>20</v>
      </c>
      <c r="E2408" t="s">
        <v>401</v>
      </c>
      <c r="F2408" t="s">
        <v>355</v>
      </c>
      <c r="G2408" t="s">
        <v>56</v>
      </c>
      <c r="H2408" t="s">
        <v>108</v>
      </c>
      <c r="I2408" t="s">
        <v>130</v>
      </c>
      <c r="J2408">
        <v>1</v>
      </c>
      <c r="K2408">
        <v>699</v>
      </c>
      <c r="L2408">
        <f>Table1[[#This Row],[Quantity]] * Table1[[#This Row],[UnitPrice]]</f>
        <v>699</v>
      </c>
      <c r="M2408" s="25">
        <v>10</v>
      </c>
      <c r="N2408">
        <f>Table1[[#This Row],[Revenue]]*Table1[[#This Row],[Discount%]]/100</f>
        <v>69.900000000000006</v>
      </c>
      <c r="O2408" s="6">
        <f>Table1[[#This Row],[Revenue]]-Table1[[#This Row],[Disc_amount]]</f>
        <v>629.1</v>
      </c>
      <c r="P2408" t="s">
        <v>33</v>
      </c>
      <c r="Q2408" t="s">
        <v>34</v>
      </c>
    </row>
    <row r="2409" spans="1:17">
      <c r="A2409" t="s">
        <v>3259</v>
      </c>
      <c r="B2409" s="1" t="s">
        <v>682</v>
      </c>
      <c r="C2409" s="1" t="s">
        <v>3090</v>
      </c>
      <c r="D2409" s="1" t="s">
        <v>20</v>
      </c>
      <c r="E2409" t="s">
        <v>921</v>
      </c>
      <c r="F2409" t="s">
        <v>104</v>
      </c>
      <c r="G2409" t="s">
        <v>23</v>
      </c>
      <c r="H2409" t="s">
        <v>24</v>
      </c>
      <c r="I2409" t="s">
        <v>25</v>
      </c>
      <c r="J2409">
        <v>1</v>
      </c>
      <c r="K2409">
        <v>99</v>
      </c>
      <c r="L2409">
        <f>Table1[[#This Row],[Quantity]] * Table1[[#This Row],[UnitPrice]]</f>
        <v>99</v>
      </c>
      <c r="M2409" s="25">
        <v>25</v>
      </c>
      <c r="N2409">
        <f>Table1[[#This Row],[Revenue]]*Table1[[#This Row],[Discount%]]/100</f>
        <v>24.75</v>
      </c>
      <c r="O2409" s="6">
        <f>Table1[[#This Row],[Revenue]]-Table1[[#This Row],[Disc_amount]]</f>
        <v>74.25</v>
      </c>
      <c r="P2409" t="s">
        <v>33</v>
      </c>
      <c r="Q2409" t="s">
        <v>34</v>
      </c>
    </row>
    <row r="2410" spans="1:17">
      <c r="A2410" t="s">
        <v>3260</v>
      </c>
      <c r="B2410" s="1" t="s">
        <v>682</v>
      </c>
      <c r="C2410" s="1" t="s">
        <v>3090</v>
      </c>
      <c r="D2410" s="1" t="s">
        <v>20</v>
      </c>
      <c r="E2410" t="s">
        <v>152</v>
      </c>
      <c r="F2410" t="s">
        <v>153</v>
      </c>
      <c r="G2410" t="s">
        <v>45</v>
      </c>
      <c r="H2410" t="s">
        <v>39</v>
      </c>
      <c r="I2410" t="s">
        <v>40</v>
      </c>
      <c r="J2410">
        <v>2</v>
      </c>
      <c r="K2410">
        <v>599</v>
      </c>
      <c r="L2410">
        <f>Table1[[#This Row],[Quantity]] * Table1[[#This Row],[UnitPrice]]</f>
        <v>1198</v>
      </c>
      <c r="M2410" s="25">
        <v>20</v>
      </c>
      <c r="N2410">
        <f>Table1[[#This Row],[Revenue]]*Table1[[#This Row],[Discount%]]/100</f>
        <v>239.6</v>
      </c>
      <c r="O2410" s="6">
        <f>Table1[[#This Row],[Revenue]]-Table1[[#This Row],[Disc_amount]]</f>
        <v>958.4</v>
      </c>
      <c r="P2410" t="s">
        <v>41</v>
      </c>
      <c r="Q2410" t="s">
        <v>27</v>
      </c>
    </row>
    <row r="2411" spans="1:17">
      <c r="A2411" t="s">
        <v>3261</v>
      </c>
      <c r="B2411" s="1" t="s">
        <v>682</v>
      </c>
      <c r="C2411" s="1" t="s">
        <v>3090</v>
      </c>
      <c r="D2411" s="1" t="s">
        <v>20</v>
      </c>
      <c r="E2411" t="s">
        <v>212</v>
      </c>
      <c r="F2411" t="s">
        <v>213</v>
      </c>
      <c r="G2411" t="s">
        <v>45</v>
      </c>
      <c r="H2411" t="s">
        <v>57</v>
      </c>
      <c r="I2411" t="s">
        <v>62</v>
      </c>
      <c r="J2411">
        <v>1</v>
      </c>
      <c r="K2411">
        <v>799</v>
      </c>
      <c r="L2411">
        <f>Table1[[#This Row],[Quantity]] * Table1[[#This Row],[UnitPrice]]</f>
        <v>799</v>
      </c>
      <c r="M2411" s="25">
        <v>0</v>
      </c>
      <c r="N2411">
        <f>Table1[[#This Row],[Revenue]]*Table1[[#This Row],[Discount%]]/100</f>
        <v>0</v>
      </c>
      <c r="O2411" s="6">
        <f>Table1[[#This Row],[Revenue]]-Table1[[#This Row],[Disc_amount]]</f>
        <v>799</v>
      </c>
      <c r="P2411" t="s">
        <v>33</v>
      </c>
      <c r="Q2411" t="s">
        <v>27</v>
      </c>
    </row>
    <row r="2412" spans="1:17">
      <c r="A2412" t="s">
        <v>3262</v>
      </c>
      <c r="B2412" s="1" t="s">
        <v>682</v>
      </c>
      <c r="C2412" s="1" t="s">
        <v>3090</v>
      </c>
      <c r="D2412" s="1" t="s">
        <v>20</v>
      </c>
      <c r="E2412" t="s">
        <v>1364</v>
      </c>
      <c r="F2412" t="s">
        <v>326</v>
      </c>
      <c r="G2412" t="s">
        <v>31</v>
      </c>
      <c r="H2412" t="s">
        <v>70</v>
      </c>
      <c r="I2412" t="s">
        <v>91</v>
      </c>
      <c r="J2412">
        <v>1</v>
      </c>
      <c r="K2412">
        <v>549</v>
      </c>
      <c r="L2412">
        <f>Table1[[#This Row],[Quantity]] * Table1[[#This Row],[UnitPrice]]</f>
        <v>549</v>
      </c>
      <c r="M2412" s="25">
        <v>5</v>
      </c>
      <c r="N2412">
        <f>Table1[[#This Row],[Revenue]]*Table1[[#This Row],[Discount%]]/100</f>
        <v>27.45</v>
      </c>
      <c r="O2412" s="6">
        <f>Table1[[#This Row],[Revenue]]-Table1[[#This Row],[Disc_amount]]</f>
        <v>521.54999999999995</v>
      </c>
      <c r="P2412" t="s">
        <v>26</v>
      </c>
      <c r="Q2412" t="s">
        <v>27</v>
      </c>
    </row>
    <row r="2413" spans="1:17">
      <c r="A2413" t="s">
        <v>3263</v>
      </c>
      <c r="B2413" s="1" t="s">
        <v>690</v>
      </c>
      <c r="C2413" s="1" t="s">
        <v>3090</v>
      </c>
      <c r="D2413" s="1" t="s">
        <v>20</v>
      </c>
      <c r="E2413" t="s">
        <v>793</v>
      </c>
      <c r="F2413" t="s">
        <v>129</v>
      </c>
      <c r="G2413" t="s">
        <v>23</v>
      </c>
      <c r="H2413" t="s">
        <v>70</v>
      </c>
      <c r="I2413" t="s">
        <v>71</v>
      </c>
      <c r="J2413">
        <v>3</v>
      </c>
      <c r="K2413">
        <v>349</v>
      </c>
      <c r="L2413">
        <f>Table1[[#This Row],[Quantity]] * Table1[[#This Row],[UnitPrice]]</f>
        <v>1047</v>
      </c>
      <c r="M2413" s="25">
        <v>0</v>
      </c>
      <c r="N2413">
        <f>Table1[[#This Row],[Revenue]]*Table1[[#This Row],[Discount%]]/100</f>
        <v>0</v>
      </c>
      <c r="O2413" s="6">
        <f>Table1[[#This Row],[Revenue]]-Table1[[#This Row],[Disc_amount]]</f>
        <v>1047</v>
      </c>
      <c r="P2413" t="s">
        <v>52</v>
      </c>
      <c r="Q2413" t="s">
        <v>27</v>
      </c>
    </row>
    <row r="2414" spans="1:17">
      <c r="A2414" t="s">
        <v>3264</v>
      </c>
      <c r="B2414" s="1" t="s">
        <v>690</v>
      </c>
      <c r="C2414" s="1" t="s">
        <v>3090</v>
      </c>
      <c r="D2414" s="1" t="s">
        <v>20</v>
      </c>
      <c r="E2414" t="s">
        <v>2024</v>
      </c>
      <c r="F2414" t="s">
        <v>2025</v>
      </c>
      <c r="G2414" t="s">
        <v>23</v>
      </c>
      <c r="H2414" t="s">
        <v>57</v>
      </c>
      <c r="I2414" t="s">
        <v>58</v>
      </c>
      <c r="J2414">
        <v>2</v>
      </c>
      <c r="K2414">
        <v>1299</v>
      </c>
      <c r="L2414">
        <f>Table1[[#This Row],[Quantity]] * Table1[[#This Row],[UnitPrice]]</f>
        <v>2598</v>
      </c>
      <c r="M2414" s="25">
        <v>5</v>
      </c>
      <c r="N2414">
        <f>Table1[[#This Row],[Revenue]]*Table1[[#This Row],[Discount%]]/100</f>
        <v>129.9</v>
      </c>
      <c r="O2414" s="6">
        <f>Table1[[#This Row],[Revenue]]-Table1[[#This Row],[Disc_amount]]</f>
        <v>2468.1</v>
      </c>
      <c r="P2414" t="s">
        <v>33</v>
      </c>
      <c r="Q2414" t="s">
        <v>27</v>
      </c>
    </row>
    <row r="2415" spans="1:17">
      <c r="A2415" t="s">
        <v>3265</v>
      </c>
      <c r="B2415" s="1" t="s">
        <v>690</v>
      </c>
      <c r="C2415" s="1" t="s">
        <v>3090</v>
      </c>
      <c r="D2415" s="1" t="s">
        <v>20</v>
      </c>
      <c r="E2415" t="s">
        <v>1318</v>
      </c>
      <c r="F2415" t="s">
        <v>470</v>
      </c>
      <c r="G2415" t="s">
        <v>56</v>
      </c>
      <c r="H2415" t="s">
        <v>39</v>
      </c>
      <c r="I2415" t="s">
        <v>140</v>
      </c>
      <c r="J2415">
        <v>3</v>
      </c>
      <c r="K2415">
        <v>1799</v>
      </c>
      <c r="L2415">
        <f>Table1[[#This Row],[Quantity]] * Table1[[#This Row],[UnitPrice]]</f>
        <v>5397</v>
      </c>
      <c r="M2415" s="25">
        <v>10</v>
      </c>
      <c r="N2415">
        <f>Table1[[#This Row],[Revenue]]*Table1[[#This Row],[Discount%]]/100</f>
        <v>539.70000000000005</v>
      </c>
      <c r="O2415" s="6">
        <f>Table1[[#This Row],[Revenue]]-Table1[[#This Row],[Disc_amount]]</f>
        <v>4857.3</v>
      </c>
      <c r="P2415" t="s">
        <v>26</v>
      </c>
      <c r="Q2415" t="s">
        <v>34</v>
      </c>
    </row>
    <row r="2416" spans="1:17">
      <c r="A2416" t="s">
        <v>3266</v>
      </c>
      <c r="B2416" s="1" t="s">
        <v>690</v>
      </c>
      <c r="C2416" s="1" t="s">
        <v>3090</v>
      </c>
      <c r="D2416" s="1" t="s">
        <v>20</v>
      </c>
      <c r="E2416" t="s">
        <v>1116</v>
      </c>
      <c r="F2416" t="s">
        <v>694</v>
      </c>
      <c r="G2416" t="s">
        <v>31</v>
      </c>
      <c r="H2416" t="s">
        <v>39</v>
      </c>
      <c r="I2416" t="s">
        <v>40</v>
      </c>
      <c r="J2416">
        <v>3</v>
      </c>
      <c r="K2416">
        <v>599</v>
      </c>
      <c r="L2416">
        <f>Table1[[#This Row],[Quantity]] * Table1[[#This Row],[UnitPrice]]</f>
        <v>1797</v>
      </c>
      <c r="M2416" s="25">
        <v>30</v>
      </c>
      <c r="N2416">
        <f>Table1[[#This Row],[Revenue]]*Table1[[#This Row],[Discount%]]/100</f>
        <v>539.1</v>
      </c>
      <c r="O2416" s="6">
        <f>Table1[[#This Row],[Revenue]]-Table1[[#This Row],[Disc_amount]]</f>
        <v>1257.9000000000001</v>
      </c>
      <c r="P2416" t="s">
        <v>33</v>
      </c>
      <c r="Q2416" t="s">
        <v>34</v>
      </c>
    </row>
    <row r="2417" spans="1:17">
      <c r="A2417" t="s">
        <v>3267</v>
      </c>
      <c r="B2417" s="1" t="s">
        <v>690</v>
      </c>
      <c r="C2417" s="1" t="s">
        <v>3090</v>
      </c>
      <c r="D2417" s="1" t="s">
        <v>20</v>
      </c>
      <c r="E2417" t="s">
        <v>769</v>
      </c>
      <c r="F2417" t="s">
        <v>101</v>
      </c>
      <c r="G2417" t="s">
        <v>31</v>
      </c>
      <c r="H2417" t="s">
        <v>46</v>
      </c>
      <c r="I2417" t="s">
        <v>47</v>
      </c>
      <c r="J2417">
        <v>3</v>
      </c>
      <c r="K2417">
        <v>249</v>
      </c>
      <c r="L2417">
        <f>Table1[[#This Row],[Quantity]] * Table1[[#This Row],[UnitPrice]]</f>
        <v>747</v>
      </c>
      <c r="M2417" s="25">
        <v>10</v>
      </c>
      <c r="N2417">
        <f>Table1[[#This Row],[Revenue]]*Table1[[#This Row],[Discount%]]/100</f>
        <v>74.7</v>
      </c>
      <c r="O2417" s="6">
        <f>Table1[[#This Row],[Revenue]]-Table1[[#This Row],[Disc_amount]]</f>
        <v>672.3</v>
      </c>
      <c r="P2417" t="s">
        <v>41</v>
      </c>
      <c r="Q2417" t="s">
        <v>27</v>
      </c>
    </row>
    <row r="2418" spans="1:17">
      <c r="A2418" t="s">
        <v>3268</v>
      </c>
      <c r="B2418" s="1" t="s">
        <v>690</v>
      </c>
      <c r="C2418" s="1" t="s">
        <v>3090</v>
      </c>
      <c r="D2418" s="1" t="s">
        <v>20</v>
      </c>
      <c r="E2418" t="s">
        <v>1229</v>
      </c>
      <c r="F2418" t="s">
        <v>97</v>
      </c>
      <c r="G2418" t="s">
        <v>45</v>
      </c>
      <c r="H2418" t="s">
        <v>39</v>
      </c>
      <c r="I2418" t="s">
        <v>40</v>
      </c>
      <c r="J2418">
        <v>1</v>
      </c>
      <c r="K2418">
        <v>599</v>
      </c>
      <c r="L2418">
        <f>Table1[[#This Row],[Quantity]] * Table1[[#This Row],[UnitPrice]]</f>
        <v>599</v>
      </c>
      <c r="M2418" s="25">
        <v>25</v>
      </c>
      <c r="N2418">
        <f>Table1[[#This Row],[Revenue]]*Table1[[#This Row],[Discount%]]/100</f>
        <v>149.75</v>
      </c>
      <c r="O2418" s="6">
        <f>Table1[[#This Row],[Revenue]]-Table1[[#This Row],[Disc_amount]]</f>
        <v>449.25</v>
      </c>
      <c r="P2418" t="s">
        <v>86</v>
      </c>
      <c r="Q2418" t="s">
        <v>27</v>
      </c>
    </row>
    <row r="2419" spans="1:17">
      <c r="A2419" t="s">
        <v>3269</v>
      </c>
      <c r="B2419" s="1" t="s">
        <v>690</v>
      </c>
      <c r="C2419" s="1" t="s">
        <v>3090</v>
      </c>
      <c r="D2419" s="1" t="s">
        <v>20</v>
      </c>
      <c r="E2419" t="s">
        <v>806</v>
      </c>
      <c r="F2419" t="s">
        <v>139</v>
      </c>
      <c r="G2419" t="s">
        <v>31</v>
      </c>
      <c r="H2419" t="s">
        <v>65</v>
      </c>
      <c r="I2419" t="s">
        <v>98</v>
      </c>
      <c r="J2419">
        <v>2</v>
      </c>
      <c r="K2419">
        <v>499</v>
      </c>
      <c r="L2419">
        <f>Table1[[#This Row],[Quantity]] * Table1[[#This Row],[UnitPrice]]</f>
        <v>998</v>
      </c>
      <c r="M2419" s="25">
        <v>25</v>
      </c>
      <c r="N2419">
        <f>Table1[[#This Row],[Revenue]]*Table1[[#This Row],[Discount%]]/100</f>
        <v>249.5</v>
      </c>
      <c r="O2419" s="6">
        <f>Table1[[#This Row],[Revenue]]-Table1[[#This Row],[Disc_amount]]</f>
        <v>748.5</v>
      </c>
      <c r="P2419" t="s">
        <v>26</v>
      </c>
      <c r="Q2419" t="s">
        <v>27</v>
      </c>
    </row>
    <row r="2420" spans="1:17">
      <c r="A2420" t="s">
        <v>3270</v>
      </c>
      <c r="B2420" s="1" t="s">
        <v>690</v>
      </c>
      <c r="C2420" s="1" t="s">
        <v>3090</v>
      </c>
      <c r="D2420" s="1" t="s">
        <v>20</v>
      </c>
      <c r="E2420" t="s">
        <v>806</v>
      </c>
      <c r="F2420" t="s">
        <v>139</v>
      </c>
      <c r="G2420" t="s">
        <v>38</v>
      </c>
      <c r="H2420" t="s">
        <v>70</v>
      </c>
      <c r="I2420" t="s">
        <v>91</v>
      </c>
      <c r="J2420">
        <v>1</v>
      </c>
      <c r="K2420">
        <v>549</v>
      </c>
      <c r="L2420">
        <f>Table1[[#This Row],[Quantity]] * Table1[[#This Row],[UnitPrice]]</f>
        <v>549</v>
      </c>
      <c r="M2420" s="25">
        <v>10</v>
      </c>
      <c r="N2420">
        <f>Table1[[#This Row],[Revenue]]*Table1[[#This Row],[Discount%]]/100</f>
        <v>54.9</v>
      </c>
      <c r="O2420" s="6">
        <f>Table1[[#This Row],[Revenue]]-Table1[[#This Row],[Disc_amount]]</f>
        <v>494.1</v>
      </c>
      <c r="P2420" t="s">
        <v>52</v>
      </c>
      <c r="Q2420" t="s">
        <v>34</v>
      </c>
    </row>
    <row r="2421" spans="1:17">
      <c r="A2421" t="s">
        <v>3271</v>
      </c>
      <c r="B2421" s="1" t="s">
        <v>690</v>
      </c>
      <c r="C2421" s="1" t="s">
        <v>3090</v>
      </c>
      <c r="D2421" s="1" t="s">
        <v>20</v>
      </c>
      <c r="E2421" t="s">
        <v>2860</v>
      </c>
      <c r="F2421" t="s">
        <v>2861</v>
      </c>
      <c r="G2421" t="s">
        <v>56</v>
      </c>
      <c r="H2421" t="s">
        <v>46</v>
      </c>
      <c r="I2421" t="s">
        <v>154</v>
      </c>
      <c r="J2421">
        <v>3</v>
      </c>
      <c r="K2421">
        <v>299</v>
      </c>
      <c r="L2421">
        <f>Table1[[#This Row],[Quantity]] * Table1[[#This Row],[UnitPrice]]</f>
        <v>897</v>
      </c>
      <c r="M2421" s="25">
        <v>25</v>
      </c>
      <c r="N2421">
        <f>Table1[[#This Row],[Revenue]]*Table1[[#This Row],[Discount%]]/100</f>
        <v>224.25</v>
      </c>
      <c r="O2421" s="6">
        <f>Table1[[#This Row],[Revenue]]-Table1[[#This Row],[Disc_amount]]</f>
        <v>672.75</v>
      </c>
      <c r="P2421" t="s">
        <v>26</v>
      </c>
      <c r="Q2421" t="s">
        <v>34</v>
      </c>
    </row>
    <row r="2422" spans="1:17">
      <c r="A2422" t="s">
        <v>3272</v>
      </c>
      <c r="B2422" s="1" t="s">
        <v>690</v>
      </c>
      <c r="C2422" s="1" t="s">
        <v>3090</v>
      </c>
      <c r="D2422" s="1" t="s">
        <v>20</v>
      </c>
      <c r="E2422" t="s">
        <v>1592</v>
      </c>
      <c r="F2422" t="s">
        <v>876</v>
      </c>
      <c r="G2422" t="s">
        <v>23</v>
      </c>
      <c r="H2422" t="s">
        <v>57</v>
      </c>
      <c r="I2422" t="s">
        <v>62</v>
      </c>
      <c r="J2422">
        <v>2</v>
      </c>
      <c r="K2422">
        <v>799</v>
      </c>
      <c r="L2422">
        <f>Table1[[#This Row],[Quantity]] * Table1[[#This Row],[UnitPrice]]</f>
        <v>1598</v>
      </c>
      <c r="M2422" s="25">
        <v>10</v>
      </c>
      <c r="N2422">
        <f>Table1[[#This Row],[Revenue]]*Table1[[#This Row],[Discount%]]/100</f>
        <v>159.80000000000001</v>
      </c>
      <c r="O2422" s="6">
        <f>Table1[[#This Row],[Revenue]]-Table1[[#This Row],[Disc_amount]]</f>
        <v>1438.2</v>
      </c>
      <c r="P2422" t="s">
        <v>52</v>
      </c>
      <c r="Q2422" t="s">
        <v>27</v>
      </c>
    </row>
    <row r="2423" spans="1:17">
      <c r="A2423" t="s">
        <v>3273</v>
      </c>
      <c r="B2423" s="1" t="s">
        <v>690</v>
      </c>
      <c r="C2423" s="1" t="s">
        <v>3090</v>
      </c>
      <c r="D2423" s="1" t="s">
        <v>20</v>
      </c>
      <c r="E2423" t="s">
        <v>758</v>
      </c>
      <c r="F2423" t="s">
        <v>759</v>
      </c>
      <c r="G2423" t="s">
        <v>56</v>
      </c>
      <c r="H2423" t="s">
        <v>24</v>
      </c>
      <c r="I2423" t="s">
        <v>32</v>
      </c>
      <c r="J2423">
        <v>1</v>
      </c>
      <c r="K2423">
        <v>199</v>
      </c>
      <c r="L2423">
        <f>Table1[[#This Row],[Quantity]] * Table1[[#This Row],[UnitPrice]]</f>
        <v>199</v>
      </c>
      <c r="M2423" s="25">
        <v>0</v>
      </c>
      <c r="N2423">
        <f>Table1[[#This Row],[Revenue]]*Table1[[#This Row],[Discount%]]/100</f>
        <v>0</v>
      </c>
      <c r="O2423" s="6">
        <f>Table1[[#This Row],[Revenue]]-Table1[[#This Row],[Disc_amount]]</f>
        <v>199</v>
      </c>
      <c r="P2423" t="s">
        <v>33</v>
      </c>
      <c r="Q2423" t="s">
        <v>27</v>
      </c>
    </row>
    <row r="2424" spans="1:17">
      <c r="A2424" t="s">
        <v>3274</v>
      </c>
      <c r="B2424" s="1" t="s">
        <v>690</v>
      </c>
      <c r="C2424" s="1" t="s">
        <v>3090</v>
      </c>
      <c r="D2424" s="1" t="s">
        <v>20</v>
      </c>
      <c r="E2424" t="s">
        <v>878</v>
      </c>
      <c r="F2424" t="s">
        <v>879</v>
      </c>
      <c r="G2424" t="s">
        <v>31</v>
      </c>
      <c r="H2424" t="s">
        <v>39</v>
      </c>
      <c r="I2424" t="s">
        <v>40</v>
      </c>
      <c r="J2424">
        <v>1</v>
      </c>
      <c r="K2424">
        <v>599</v>
      </c>
      <c r="L2424">
        <f>Table1[[#This Row],[Quantity]] * Table1[[#This Row],[UnitPrice]]</f>
        <v>599</v>
      </c>
      <c r="M2424" s="25">
        <v>10</v>
      </c>
      <c r="N2424">
        <f>Table1[[#This Row],[Revenue]]*Table1[[#This Row],[Discount%]]/100</f>
        <v>59.9</v>
      </c>
      <c r="O2424" s="6">
        <f>Table1[[#This Row],[Revenue]]-Table1[[#This Row],[Disc_amount]]</f>
        <v>539.1</v>
      </c>
      <c r="P2424" t="s">
        <v>26</v>
      </c>
      <c r="Q2424" t="s">
        <v>34</v>
      </c>
    </row>
    <row r="2425" spans="1:17">
      <c r="A2425" t="s">
        <v>3275</v>
      </c>
      <c r="B2425" s="1" t="s">
        <v>690</v>
      </c>
      <c r="C2425" s="1" t="s">
        <v>3090</v>
      </c>
      <c r="D2425" s="1" t="s">
        <v>20</v>
      </c>
      <c r="E2425" t="s">
        <v>2207</v>
      </c>
      <c r="F2425" t="s">
        <v>2208</v>
      </c>
      <c r="G2425" t="s">
        <v>31</v>
      </c>
      <c r="H2425" t="s">
        <v>39</v>
      </c>
      <c r="I2425" t="s">
        <v>40</v>
      </c>
      <c r="J2425">
        <v>3</v>
      </c>
      <c r="K2425">
        <v>599</v>
      </c>
      <c r="L2425">
        <f>Table1[[#This Row],[Quantity]] * Table1[[#This Row],[UnitPrice]]</f>
        <v>1797</v>
      </c>
      <c r="M2425" s="25">
        <v>20</v>
      </c>
      <c r="N2425">
        <f>Table1[[#This Row],[Revenue]]*Table1[[#This Row],[Discount%]]/100</f>
        <v>359.4</v>
      </c>
      <c r="O2425" s="6">
        <f>Table1[[#This Row],[Revenue]]-Table1[[#This Row],[Disc_amount]]</f>
        <v>1437.6</v>
      </c>
      <c r="P2425" t="s">
        <v>26</v>
      </c>
      <c r="Q2425" t="s">
        <v>34</v>
      </c>
    </row>
    <row r="2426" spans="1:17">
      <c r="A2426" t="s">
        <v>3276</v>
      </c>
      <c r="B2426" s="1" t="s">
        <v>700</v>
      </c>
      <c r="C2426" s="1" t="s">
        <v>3090</v>
      </c>
      <c r="D2426" s="1" t="s">
        <v>20</v>
      </c>
      <c r="E2426" t="s">
        <v>235</v>
      </c>
      <c r="F2426" t="s">
        <v>236</v>
      </c>
      <c r="G2426" t="s">
        <v>45</v>
      </c>
      <c r="H2426" t="s">
        <v>46</v>
      </c>
      <c r="I2426" t="s">
        <v>154</v>
      </c>
      <c r="J2426">
        <v>1</v>
      </c>
      <c r="K2426">
        <v>299</v>
      </c>
      <c r="L2426">
        <f>Table1[[#This Row],[Quantity]] * Table1[[#This Row],[UnitPrice]]</f>
        <v>299</v>
      </c>
      <c r="M2426" s="25">
        <v>15</v>
      </c>
      <c r="N2426">
        <f>Table1[[#This Row],[Revenue]]*Table1[[#This Row],[Discount%]]/100</f>
        <v>44.85</v>
      </c>
      <c r="O2426" s="6">
        <f>Table1[[#This Row],[Revenue]]-Table1[[#This Row],[Disc_amount]]</f>
        <v>254.15</v>
      </c>
      <c r="P2426" t="s">
        <v>33</v>
      </c>
      <c r="Q2426" t="s">
        <v>27</v>
      </c>
    </row>
    <row r="2427" spans="1:17">
      <c r="A2427" t="s">
        <v>3277</v>
      </c>
      <c r="B2427" s="1" t="s">
        <v>700</v>
      </c>
      <c r="C2427" s="1" t="s">
        <v>3090</v>
      </c>
      <c r="D2427" s="1" t="s">
        <v>20</v>
      </c>
      <c r="E2427" t="s">
        <v>202</v>
      </c>
      <c r="F2427" t="s">
        <v>203</v>
      </c>
      <c r="G2427" t="s">
        <v>23</v>
      </c>
      <c r="H2427" t="s">
        <v>39</v>
      </c>
      <c r="I2427" t="s">
        <v>40</v>
      </c>
      <c r="J2427">
        <v>1</v>
      </c>
      <c r="K2427">
        <v>599</v>
      </c>
      <c r="L2427">
        <f>Table1[[#This Row],[Quantity]] * Table1[[#This Row],[UnitPrice]]</f>
        <v>599</v>
      </c>
      <c r="M2427" s="25">
        <v>20</v>
      </c>
      <c r="N2427">
        <f>Table1[[#This Row],[Revenue]]*Table1[[#This Row],[Discount%]]/100</f>
        <v>119.8</v>
      </c>
      <c r="O2427" s="6">
        <f>Table1[[#This Row],[Revenue]]-Table1[[#This Row],[Disc_amount]]</f>
        <v>479.2</v>
      </c>
      <c r="P2427" t="s">
        <v>26</v>
      </c>
      <c r="Q2427" t="s">
        <v>27</v>
      </c>
    </row>
    <row r="2428" spans="1:17">
      <c r="A2428" t="s">
        <v>3278</v>
      </c>
      <c r="B2428" s="1" t="s">
        <v>700</v>
      </c>
      <c r="C2428" s="1" t="s">
        <v>3090</v>
      </c>
      <c r="D2428" s="1" t="s">
        <v>20</v>
      </c>
      <c r="E2428" t="s">
        <v>622</v>
      </c>
      <c r="F2428" t="s">
        <v>623</v>
      </c>
      <c r="G2428" t="s">
        <v>56</v>
      </c>
      <c r="H2428" t="s">
        <v>46</v>
      </c>
      <c r="I2428" t="s">
        <v>47</v>
      </c>
      <c r="J2428">
        <v>2</v>
      </c>
      <c r="K2428">
        <v>249</v>
      </c>
      <c r="L2428">
        <f>Table1[[#This Row],[Quantity]] * Table1[[#This Row],[UnitPrice]]</f>
        <v>498</v>
      </c>
      <c r="M2428" s="25">
        <v>0</v>
      </c>
      <c r="N2428">
        <f>Table1[[#This Row],[Revenue]]*Table1[[#This Row],[Discount%]]/100</f>
        <v>0</v>
      </c>
      <c r="O2428" s="6">
        <f>Table1[[#This Row],[Revenue]]-Table1[[#This Row],[Disc_amount]]</f>
        <v>498</v>
      </c>
      <c r="P2428" t="s">
        <v>86</v>
      </c>
      <c r="Q2428" t="s">
        <v>27</v>
      </c>
    </row>
    <row r="2429" spans="1:17">
      <c r="A2429" t="s">
        <v>3279</v>
      </c>
      <c r="B2429" s="1" t="s">
        <v>700</v>
      </c>
      <c r="C2429" s="1" t="s">
        <v>3090</v>
      </c>
      <c r="D2429" s="1" t="s">
        <v>20</v>
      </c>
      <c r="E2429" t="s">
        <v>1640</v>
      </c>
      <c r="F2429" t="s">
        <v>37</v>
      </c>
      <c r="G2429" t="s">
        <v>38</v>
      </c>
      <c r="H2429" t="s">
        <v>57</v>
      </c>
      <c r="I2429" t="s">
        <v>58</v>
      </c>
      <c r="J2429">
        <v>2</v>
      </c>
      <c r="K2429">
        <v>1299</v>
      </c>
      <c r="L2429">
        <f>Table1[[#This Row],[Quantity]] * Table1[[#This Row],[UnitPrice]]</f>
        <v>2598</v>
      </c>
      <c r="M2429" s="25">
        <v>15</v>
      </c>
      <c r="N2429">
        <f>Table1[[#This Row],[Revenue]]*Table1[[#This Row],[Discount%]]/100</f>
        <v>389.7</v>
      </c>
      <c r="O2429" s="6">
        <f>Table1[[#This Row],[Revenue]]-Table1[[#This Row],[Disc_amount]]</f>
        <v>2208.3000000000002</v>
      </c>
      <c r="P2429" t="s">
        <v>33</v>
      </c>
      <c r="Q2429" t="s">
        <v>27</v>
      </c>
    </row>
    <row r="2430" spans="1:17">
      <c r="A2430" t="s">
        <v>3280</v>
      </c>
      <c r="B2430" s="1" t="s">
        <v>700</v>
      </c>
      <c r="C2430" s="1" t="s">
        <v>3090</v>
      </c>
      <c r="D2430" s="1" t="s">
        <v>20</v>
      </c>
      <c r="E2430" t="s">
        <v>368</v>
      </c>
      <c r="F2430" t="s">
        <v>369</v>
      </c>
      <c r="G2430" t="s">
        <v>38</v>
      </c>
      <c r="H2430" t="s">
        <v>57</v>
      </c>
      <c r="I2430" t="s">
        <v>58</v>
      </c>
      <c r="J2430">
        <v>3</v>
      </c>
      <c r="K2430">
        <v>1299</v>
      </c>
      <c r="L2430">
        <f>Table1[[#This Row],[Quantity]] * Table1[[#This Row],[UnitPrice]]</f>
        <v>3897</v>
      </c>
      <c r="M2430" s="25">
        <v>5</v>
      </c>
      <c r="N2430">
        <f>Table1[[#This Row],[Revenue]]*Table1[[#This Row],[Discount%]]/100</f>
        <v>194.85</v>
      </c>
      <c r="O2430" s="6">
        <f>Table1[[#This Row],[Revenue]]-Table1[[#This Row],[Disc_amount]]</f>
        <v>3702.15</v>
      </c>
      <c r="P2430" t="s">
        <v>26</v>
      </c>
      <c r="Q2430" t="s">
        <v>27</v>
      </c>
    </row>
    <row r="2431" spans="1:17">
      <c r="A2431" t="s">
        <v>3281</v>
      </c>
      <c r="B2431" s="1" t="s">
        <v>700</v>
      </c>
      <c r="C2431" s="1" t="s">
        <v>3090</v>
      </c>
      <c r="D2431" s="1" t="s">
        <v>20</v>
      </c>
      <c r="E2431" t="s">
        <v>96</v>
      </c>
      <c r="F2431" t="s">
        <v>97</v>
      </c>
      <c r="G2431" t="s">
        <v>23</v>
      </c>
      <c r="H2431" t="s">
        <v>39</v>
      </c>
      <c r="I2431" t="s">
        <v>51</v>
      </c>
      <c r="J2431">
        <v>1</v>
      </c>
      <c r="K2431">
        <v>2999</v>
      </c>
      <c r="L2431">
        <f>Table1[[#This Row],[Quantity]] * Table1[[#This Row],[UnitPrice]]</f>
        <v>2999</v>
      </c>
      <c r="M2431" s="25">
        <v>10</v>
      </c>
      <c r="N2431">
        <f>Table1[[#This Row],[Revenue]]*Table1[[#This Row],[Discount%]]/100</f>
        <v>299.89999999999998</v>
      </c>
      <c r="O2431" s="6">
        <f>Table1[[#This Row],[Revenue]]-Table1[[#This Row],[Disc_amount]]</f>
        <v>2699.1</v>
      </c>
      <c r="P2431" t="s">
        <v>86</v>
      </c>
      <c r="Q2431" t="s">
        <v>34</v>
      </c>
    </row>
    <row r="2432" spans="1:17">
      <c r="A2432" t="s">
        <v>3282</v>
      </c>
      <c r="B2432" s="1" t="s">
        <v>700</v>
      </c>
      <c r="C2432" s="1" t="s">
        <v>3090</v>
      </c>
      <c r="D2432" s="1" t="s">
        <v>20</v>
      </c>
      <c r="E2432" t="s">
        <v>1711</v>
      </c>
      <c r="F2432" t="s">
        <v>1712</v>
      </c>
      <c r="G2432" t="s">
        <v>45</v>
      </c>
      <c r="H2432" t="s">
        <v>57</v>
      </c>
      <c r="I2432" t="s">
        <v>62</v>
      </c>
      <c r="J2432">
        <v>4</v>
      </c>
      <c r="K2432">
        <v>799</v>
      </c>
      <c r="L2432">
        <f>Table1[[#This Row],[Quantity]] * Table1[[#This Row],[UnitPrice]]</f>
        <v>3196</v>
      </c>
      <c r="M2432" s="25">
        <v>5</v>
      </c>
      <c r="N2432">
        <f>Table1[[#This Row],[Revenue]]*Table1[[#This Row],[Discount%]]/100</f>
        <v>159.80000000000001</v>
      </c>
      <c r="O2432" s="6">
        <f>Table1[[#This Row],[Revenue]]-Table1[[#This Row],[Disc_amount]]</f>
        <v>3036.2</v>
      </c>
      <c r="P2432" t="s">
        <v>41</v>
      </c>
      <c r="Q2432" t="s">
        <v>27</v>
      </c>
    </row>
    <row r="2433" spans="1:17">
      <c r="A2433" t="s">
        <v>3283</v>
      </c>
      <c r="B2433" s="1" t="s">
        <v>700</v>
      </c>
      <c r="C2433" s="1" t="s">
        <v>3090</v>
      </c>
      <c r="D2433" s="1" t="s">
        <v>20</v>
      </c>
      <c r="E2433" t="s">
        <v>484</v>
      </c>
      <c r="F2433" t="s">
        <v>485</v>
      </c>
      <c r="G2433" t="s">
        <v>23</v>
      </c>
      <c r="H2433" t="s">
        <v>65</v>
      </c>
      <c r="I2433" t="s">
        <v>94</v>
      </c>
      <c r="J2433">
        <v>2</v>
      </c>
      <c r="K2433">
        <v>899</v>
      </c>
      <c r="L2433">
        <f>Table1[[#This Row],[Quantity]] * Table1[[#This Row],[UnitPrice]]</f>
        <v>1798</v>
      </c>
      <c r="M2433" s="25">
        <v>10</v>
      </c>
      <c r="N2433">
        <f>Table1[[#This Row],[Revenue]]*Table1[[#This Row],[Discount%]]/100</f>
        <v>179.8</v>
      </c>
      <c r="O2433" s="6">
        <f>Table1[[#This Row],[Revenue]]-Table1[[#This Row],[Disc_amount]]</f>
        <v>1618.2</v>
      </c>
      <c r="P2433" t="s">
        <v>33</v>
      </c>
      <c r="Q2433" t="s">
        <v>27</v>
      </c>
    </row>
    <row r="2434" spans="1:17">
      <c r="A2434" t="s">
        <v>3284</v>
      </c>
      <c r="B2434" s="1" t="s">
        <v>700</v>
      </c>
      <c r="C2434" s="1" t="s">
        <v>3090</v>
      </c>
      <c r="D2434" s="1" t="s">
        <v>20</v>
      </c>
      <c r="E2434" t="s">
        <v>328</v>
      </c>
      <c r="F2434" t="s">
        <v>329</v>
      </c>
      <c r="G2434" t="s">
        <v>45</v>
      </c>
      <c r="H2434" t="s">
        <v>39</v>
      </c>
      <c r="I2434" t="s">
        <v>51</v>
      </c>
      <c r="J2434">
        <v>1</v>
      </c>
      <c r="K2434">
        <v>2999</v>
      </c>
      <c r="L2434">
        <f>Table1[[#This Row],[Quantity]] * Table1[[#This Row],[UnitPrice]]</f>
        <v>2999</v>
      </c>
      <c r="M2434" s="25">
        <v>20</v>
      </c>
      <c r="N2434">
        <f>Table1[[#This Row],[Revenue]]*Table1[[#This Row],[Discount%]]/100</f>
        <v>599.79999999999995</v>
      </c>
      <c r="O2434" s="6">
        <f>Table1[[#This Row],[Revenue]]-Table1[[#This Row],[Disc_amount]]</f>
        <v>2399.1999999999998</v>
      </c>
      <c r="P2434" t="s">
        <v>26</v>
      </c>
      <c r="Q2434" t="s">
        <v>27</v>
      </c>
    </row>
    <row r="2435" spans="1:17">
      <c r="A2435" t="s">
        <v>3285</v>
      </c>
      <c r="B2435" s="1" t="s">
        <v>700</v>
      </c>
      <c r="C2435" s="1" t="s">
        <v>3090</v>
      </c>
      <c r="D2435" s="1" t="s">
        <v>20</v>
      </c>
      <c r="E2435" t="s">
        <v>286</v>
      </c>
      <c r="F2435" t="s">
        <v>287</v>
      </c>
      <c r="G2435" t="s">
        <v>45</v>
      </c>
      <c r="H2435" t="s">
        <v>70</v>
      </c>
      <c r="I2435" t="s">
        <v>71</v>
      </c>
      <c r="J2435">
        <v>2</v>
      </c>
      <c r="K2435">
        <v>349</v>
      </c>
      <c r="L2435">
        <f>Table1[[#This Row],[Quantity]] * Table1[[#This Row],[UnitPrice]]</f>
        <v>698</v>
      </c>
      <c r="M2435" s="25">
        <v>10</v>
      </c>
      <c r="N2435">
        <f>Table1[[#This Row],[Revenue]]*Table1[[#This Row],[Discount%]]/100</f>
        <v>69.8</v>
      </c>
      <c r="O2435" s="6">
        <f>Table1[[#This Row],[Revenue]]-Table1[[#This Row],[Disc_amount]]</f>
        <v>628.20000000000005</v>
      </c>
      <c r="P2435" t="s">
        <v>86</v>
      </c>
      <c r="Q2435" t="s">
        <v>27</v>
      </c>
    </row>
    <row r="2436" spans="1:17">
      <c r="A2436" t="s">
        <v>3286</v>
      </c>
      <c r="B2436" s="1" t="s">
        <v>703</v>
      </c>
      <c r="C2436" s="1" t="s">
        <v>3090</v>
      </c>
      <c r="D2436" s="1" t="s">
        <v>20</v>
      </c>
      <c r="E2436" t="s">
        <v>1465</v>
      </c>
      <c r="F2436" t="s">
        <v>1466</v>
      </c>
      <c r="G2436" t="s">
        <v>23</v>
      </c>
      <c r="H2436" t="s">
        <v>24</v>
      </c>
      <c r="I2436" t="s">
        <v>32</v>
      </c>
      <c r="J2436">
        <v>1</v>
      </c>
      <c r="K2436">
        <v>199</v>
      </c>
      <c r="L2436">
        <f>Table1[[#This Row],[Quantity]] * Table1[[#This Row],[UnitPrice]]</f>
        <v>199</v>
      </c>
      <c r="M2436" s="25">
        <v>10</v>
      </c>
      <c r="N2436">
        <f>Table1[[#This Row],[Revenue]]*Table1[[#This Row],[Discount%]]/100</f>
        <v>19.899999999999999</v>
      </c>
      <c r="O2436" s="6">
        <f>Table1[[#This Row],[Revenue]]-Table1[[#This Row],[Disc_amount]]</f>
        <v>179.1</v>
      </c>
      <c r="P2436" t="s">
        <v>33</v>
      </c>
      <c r="Q2436" t="s">
        <v>27</v>
      </c>
    </row>
    <row r="2437" spans="1:17">
      <c r="A2437" t="s">
        <v>3287</v>
      </c>
      <c r="B2437" s="1" t="s">
        <v>703</v>
      </c>
      <c r="C2437" s="1" t="s">
        <v>3090</v>
      </c>
      <c r="D2437" s="1" t="s">
        <v>20</v>
      </c>
      <c r="E2437" t="s">
        <v>341</v>
      </c>
      <c r="F2437" t="s">
        <v>342</v>
      </c>
      <c r="G2437" t="s">
        <v>23</v>
      </c>
      <c r="H2437" t="s">
        <v>24</v>
      </c>
      <c r="I2437" t="s">
        <v>25</v>
      </c>
      <c r="J2437">
        <v>2</v>
      </c>
      <c r="K2437">
        <v>99</v>
      </c>
      <c r="L2437">
        <f>Table1[[#This Row],[Quantity]] * Table1[[#This Row],[UnitPrice]]</f>
        <v>198</v>
      </c>
      <c r="M2437" s="25">
        <v>15</v>
      </c>
      <c r="N2437">
        <f>Table1[[#This Row],[Revenue]]*Table1[[#This Row],[Discount%]]/100</f>
        <v>29.7</v>
      </c>
      <c r="O2437" s="6">
        <f>Table1[[#This Row],[Revenue]]-Table1[[#This Row],[Disc_amount]]</f>
        <v>168.3</v>
      </c>
      <c r="P2437" t="s">
        <v>26</v>
      </c>
      <c r="Q2437" t="s">
        <v>27</v>
      </c>
    </row>
    <row r="2438" spans="1:17">
      <c r="A2438" t="s">
        <v>3288</v>
      </c>
      <c r="B2438" s="1" t="s">
        <v>703</v>
      </c>
      <c r="C2438" s="1" t="s">
        <v>3090</v>
      </c>
      <c r="D2438" s="1" t="s">
        <v>20</v>
      </c>
      <c r="E2438" t="s">
        <v>1049</v>
      </c>
      <c r="F2438" t="s">
        <v>415</v>
      </c>
      <c r="G2438" t="s">
        <v>23</v>
      </c>
      <c r="H2438" t="s">
        <v>39</v>
      </c>
      <c r="I2438" t="s">
        <v>40</v>
      </c>
      <c r="J2438">
        <v>1</v>
      </c>
      <c r="K2438">
        <v>599</v>
      </c>
      <c r="L2438">
        <f>Table1[[#This Row],[Quantity]] * Table1[[#This Row],[UnitPrice]]</f>
        <v>599</v>
      </c>
      <c r="M2438" s="25">
        <v>5</v>
      </c>
      <c r="N2438">
        <f>Table1[[#This Row],[Revenue]]*Table1[[#This Row],[Discount%]]/100</f>
        <v>29.95</v>
      </c>
      <c r="O2438" s="6">
        <f>Table1[[#This Row],[Revenue]]-Table1[[#This Row],[Disc_amount]]</f>
        <v>569.04999999999995</v>
      </c>
      <c r="P2438" t="s">
        <v>33</v>
      </c>
      <c r="Q2438" t="s">
        <v>34</v>
      </c>
    </row>
    <row r="2439" spans="1:17">
      <c r="A2439" t="s">
        <v>3289</v>
      </c>
      <c r="B2439" s="1" t="s">
        <v>703</v>
      </c>
      <c r="C2439" s="1" t="s">
        <v>3090</v>
      </c>
      <c r="D2439" s="1" t="s">
        <v>20</v>
      </c>
      <c r="E2439" t="s">
        <v>29</v>
      </c>
      <c r="F2439" t="s">
        <v>30</v>
      </c>
      <c r="G2439" t="s">
        <v>56</v>
      </c>
      <c r="H2439" t="s">
        <v>39</v>
      </c>
      <c r="I2439" t="s">
        <v>140</v>
      </c>
      <c r="J2439">
        <v>1</v>
      </c>
      <c r="K2439">
        <v>1799</v>
      </c>
      <c r="L2439">
        <f>Table1[[#This Row],[Quantity]] * Table1[[#This Row],[UnitPrice]]</f>
        <v>1799</v>
      </c>
      <c r="M2439" s="25">
        <v>10</v>
      </c>
      <c r="N2439">
        <f>Table1[[#This Row],[Revenue]]*Table1[[#This Row],[Discount%]]/100</f>
        <v>179.9</v>
      </c>
      <c r="O2439" s="6">
        <f>Table1[[#This Row],[Revenue]]-Table1[[#This Row],[Disc_amount]]</f>
        <v>1619.1</v>
      </c>
      <c r="P2439" t="s">
        <v>26</v>
      </c>
      <c r="Q2439" t="s">
        <v>27</v>
      </c>
    </row>
    <row r="2440" spans="1:17">
      <c r="A2440" t="s">
        <v>3290</v>
      </c>
      <c r="B2440" s="1" t="s">
        <v>703</v>
      </c>
      <c r="C2440" s="1" t="s">
        <v>3090</v>
      </c>
      <c r="D2440" s="1" t="s">
        <v>20</v>
      </c>
      <c r="E2440" t="s">
        <v>128</v>
      </c>
      <c r="F2440" t="s">
        <v>129</v>
      </c>
      <c r="G2440" t="s">
        <v>23</v>
      </c>
      <c r="H2440" t="s">
        <v>57</v>
      </c>
      <c r="I2440" t="s">
        <v>62</v>
      </c>
      <c r="J2440">
        <v>1</v>
      </c>
      <c r="K2440">
        <v>799</v>
      </c>
      <c r="L2440">
        <f>Table1[[#This Row],[Quantity]] * Table1[[#This Row],[UnitPrice]]</f>
        <v>799</v>
      </c>
      <c r="M2440" s="25">
        <v>10</v>
      </c>
      <c r="N2440">
        <f>Table1[[#This Row],[Revenue]]*Table1[[#This Row],[Discount%]]/100</f>
        <v>79.900000000000006</v>
      </c>
      <c r="O2440" s="6">
        <f>Table1[[#This Row],[Revenue]]-Table1[[#This Row],[Disc_amount]]</f>
        <v>719.1</v>
      </c>
      <c r="P2440" t="s">
        <v>33</v>
      </c>
      <c r="Q2440" t="s">
        <v>27</v>
      </c>
    </row>
    <row r="2441" spans="1:17">
      <c r="A2441" t="s">
        <v>3291</v>
      </c>
      <c r="B2441" s="1" t="s">
        <v>703</v>
      </c>
      <c r="C2441" s="1" t="s">
        <v>3090</v>
      </c>
      <c r="D2441" s="1" t="s">
        <v>20</v>
      </c>
      <c r="E2441" t="s">
        <v>840</v>
      </c>
      <c r="F2441" t="s">
        <v>462</v>
      </c>
      <c r="G2441" t="s">
        <v>45</v>
      </c>
      <c r="H2441" t="s">
        <v>108</v>
      </c>
      <c r="I2441" t="s">
        <v>109</v>
      </c>
      <c r="J2441">
        <v>5</v>
      </c>
      <c r="K2441">
        <v>1499</v>
      </c>
      <c r="L2441">
        <f>Table1[[#This Row],[Quantity]] * Table1[[#This Row],[UnitPrice]]</f>
        <v>7495</v>
      </c>
      <c r="M2441" s="25">
        <v>10</v>
      </c>
      <c r="N2441">
        <f>Table1[[#This Row],[Revenue]]*Table1[[#This Row],[Discount%]]/100</f>
        <v>749.5</v>
      </c>
      <c r="O2441" s="6">
        <f>Table1[[#This Row],[Revenue]]-Table1[[#This Row],[Disc_amount]]</f>
        <v>6745.5</v>
      </c>
      <c r="P2441" t="s">
        <v>52</v>
      </c>
      <c r="Q2441" t="s">
        <v>27</v>
      </c>
    </row>
    <row r="2442" spans="1:17">
      <c r="A2442" t="s">
        <v>3292</v>
      </c>
      <c r="B2442" s="1" t="s">
        <v>703</v>
      </c>
      <c r="C2442" s="1" t="s">
        <v>3090</v>
      </c>
      <c r="D2442" s="1" t="s">
        <v>20</v>
      </c>
      <c r="E2442" t="s">
        <v>1392</v>
      </c>
      <c r="F2442" t="s">
        <v>97</v>
      </c>
      <c r="G2442" t="s">
        <v>45</v>
      </c>
      <c r="H2442" t="s">
        <v>46</v>
      </c>
      <c r="I2442" t="s">
        <v>47</v>
      </c>
      <c r="J2442">
        <v>1</v>
      </c>
      <c r="K2442">
        <v>249</v>
      </c>
      <c r="L2442">
        <f>Table1[[#This Row],[Quantity]] * Table1[[#This Row],[UnitPrice]]</f>
        <v>249</v>
      </c>
      <c r="M2442" s="25">
        <v>15</v>
      </c>
      <c r="N2442">
        <f>Table1[[#This Row],[Revenue]]*Table1[[#This Row],[Discount%]]/100</f>
        <v>37.35</v>
      </c>
      <c r="O2442" s="6">
        <f>Table1[[#This Row],[Revenue]]-Table1[[#This Row],[Disc_amount]]</f>
        <v>211.65</v>
      </c>
      <c r="P2442" t="s">
        <v>26</v>
      </c>
      <c r="Q2442" t="s">
        <v>27</v>
      </c>
    </row>
    <row r="2443" spans="1:17">
      <c r="A2443" t="s">
        <v>3293</v>
      </c>
      <c r="B2443" s="1" t="s">
        <v>703</v>
      </c>
      <c r="C2443" s="1" t="s">
        <v>3090</v>
      </c>
      <c r="D2443" s="1" t="s">
        <v>20</v>
      </c>
      <c r="E2443" t="s">
        <v>1001</v>
      </c>
      <c r="F2443" t="s">
        <v>90</v>
      </c>
      <c r="G2443" t="s">
        <v>38</v>
      </c>
      <c r="H2443" t="s">
        <v>65</v>
      </c>
      <c r="I2443" t="s">
        <v>98</v>
      </c>
      <c r="J2443">
        <v>2</v>
      </c>
      <c r="K2443">
        <v>499</v>
      </c>
      <c r="L2443">
        <f>Table1[[#This Row],[Quantity]] * Table1[[#This Row],[UnitPrice]]</f>
        <v>998</v>
      </c>
      <c r="M2443" s="25">
        <v>15</v>
      </c>
      <c r="N2443">
        <f>Table1[[#This Row],[Revenue]]*Table1[[#This Row],[Discount%]]/100</f>
        <v>149.69999999999999</v>
      </c>
      <c r="O2443" s="6">
        <f>Table1[[#This Row],[Revenue]]-Table1[[#This Row],[Disc_amount]]</f>
        <v>848.3</v>
      </c>
      <c r="P2443" t="s">
        <v>33</v>
      </c>
      <c r="Q2443" t="s">
        <v>27</v>
      </c>
    </row>
    <row r="2444" spans="1:17">
      <c r="A2444" t="s">
        <v>3294</v>
      </c>
      <c r="B2444" s="1" t="s">
        <v>703</v>
      </c>
      <c r="C2444" s="1" t="s">
        <v>3090</v>
      </c>
      <c r="D2444" s="1" t="s">
        <v>20</v>
      </c>
      <c r="E2444" t="s">
        <v>1259</v>
      </c>
      <c r="F2444" t="s">
        <v>1260</v>
      </c>
      <c r="G2444" t="s">
        <v>23</v>
      </c>
      <c r="H2444" t="s">
        <v>46</v>
      </c>
      <c r="I2444" t="s">
        <v>47</v>
      </c>
      <c r="J2444">
        <v>1</v>
      </c>
      <c r="K2444">
        <v>249</v>
      </c>
      <c r="L2444">
        <f>Table1[[#This Row],[Quantity]] * Table1[[#This Row],[UnitPrice]]</f>
        <v>249</v>
      </c>
      <c r="M2444" s="25">
        <v>0</v>
      </c>
      <c r="N2444">
        <f>Table1[[#This Row],[Revenue]]*Table1[[#This Row],[Discount%]]/100</f>
        <v>0</v>
      </c>
      <c r="O2444" s="6">
        <f>Table1[[#This Row],[Revenue]]-Table1[[#This Row],[Disc_amount]]</f>
        <v>249</v>
      </c>
      <c r="P2444" t="s">
        <v>26</v>
      </c>
      <c r="Q2444" t="s">
        <v>27</v>
      </c>
    </row>
    <row r="2445" spans="1:17">
      <c r="A2445" t="s">
        <v>3295</v>
      </c>
      <c r="B2445" s="1" t="s">
        <v>703</v>
      </c>
      <c r="C2445" s="1" t="s">
        <v>3090</v>
      </c>
      <c r="D2445" s="1" t="s">
        <v>20</v>
      </c>
      <c r="E2445" t="s">
        <v>707</v>
      </c>
      <c r="F2445" t="s">
        <v>242</v>
      </c>
      <c r="G2445" t="s">
        <v>56</v>
      </c>
      <c r="H2445" t="s">
        <v>39</v>
      </c>
      <c r="I2445" t="s">
        <v>51</v>
      </c>
      <c r="J2445">
        <v>2</v>
      </c>
      <c r="K2445">
        <v>2999</v>
      </c>
      <c r="L2445">
        <f>Table1[[#This Row],[Quantity]] * Table1[[#This Row],[UnitPrice]]</f>
        <v>5998</v>
      </c>
      <c r="M2445" s="25">
        <v>20</v>
      </c>
      <c r="N2445">
        <f>Table1[[#This Row],[Revenue]]*Table1[[#This Row],[Discount%]]/100</f>
        <v>1199.5999999999999</v>
      </c>
      <c r="O2445" s="6">
        <f>Table1[[#This Row],[Revenue]]-Table1[[#This Row],[Disc_amount]]</f>
        <v>4798.3999999999996</v>
      </c>
      <c r="P2445" t="s">
        <v>52</v>
      </c>
      <c r="Q2445" t="s">
        <v>27</v>
      </c>
    </row>
    <row r="2446" spans="1:17">
      <c r="A2446" t="s">
        <v>3296</v>
      </c>
      <c r="B2446" s="1" t="s">
        <v>703</v>
      </c>
      <c r="C2446" s="1" t="s">
        <v>3090</v>
      </c>
      <c r="D2446" s="1" t="s">
        <v>20</v>
      </c>
      <c r="E2446" t="s">
        <v>1392</v>
      </c>
      <c r="F2446" t="s">
        <v>97</v>
      </c>
      <c r="G2446" t="s">
        <v>45</v>
      </c>
      <c r="H2446" t="s">
        <v>65</v>
      </c>
      <c r="I2446" t="s">
        <v>94</v>
      </c>
      <c r="J2446">
        <v>3</v>
      </c>
      <c r="K2446">
        <v>899</v>
      </c>
      <c r="L2446">
        <f>Table1[[#This Row],[Quantity]] * Table1[[#This Row],[UnitPrice]]</f>
        <v>2697</v>
      </c>
      <c r="M2446" s="25">
        <v>15</v>
      </c>
      <c r="N2446">
        <f>Table1[[#This Row],[Revenue]]*Table1[[#This Row],[Discount%]]/100</f>
        <v>404.55</v>
      </c>
      <c r="O2446" s="6">
        <f>Table1[[#This Row],[Revenue]]-Table1[[#This Row],[Disc_amount]]</f>
        <v>2292.4499999999998</v>
      </c>
      <c r="P2446" t="s">
        <v>41</v>
      </c>
      <c r="Q2446" t="s">
        <v>27</v>
      </c>
    </row>
    <row r="2447" spans="1:17">
      <c r="A2447" t="s">
        <v>3297</v>
      </c>
      <c r="B2447" s="1" t="s">
        <v>711</v>
      </c>
      <c r="C2447" s="1" t="s">
        <v>3090</v>
      </c>
      <c r="D2447" s="1" t="s">
        <v>20</v>
      </c>
      <c r="E2447" t="s">
        <v>405</v>
      </c>
      <c r="F2447" t="s">
        <v>248</v>
      </c>
      <c r="G2447" t="s">
        <v>23</v>
      </c>
      <c r="H2447" t="s">
        <v>65</v>
      </c>
      <c r="I2447" t="s">
        <v>66</v>
      </c>
      <c r="J2447">
        <v>4</v>
      </c>
      <c r="K2447">
        <v>1999</v>
      </c>
      <c r="L2447">
        <f>Table1[[#This Row],[Quantity]] * Table1[[#This Row],[UnitPrice]]</f>
        <v>7996</v>
      </c>
      <c r="M2447" s="25">
        <v>15</v>
      </c>
      <c r="N2447">
        <f>Table1[[#This Row],[Revenue]]*Table1[[#This Row],[Discount%]]/100</f>
        <v>1199.4000000000001</v>
      </c>
      <c r="O2447" s="6">
        <f>Table1[[#This Row],[Revenue]]-Table1[[#This Row],[Disc_amount]]</f>
        <v>6796.6</v>
      </c>
      <c r="P2447" t="s">
        <v>26</v>
      </c>
      <c r="Q2447" t="s">
        <v>27</v>
      </c>
    </row>
    <row r="2448" spans="1:17">
      <c r="A2448" t="s">
        <v>3298</v>
      </c>
      <c r="B2448" s="1" t="s">
        <v>711</v>
      </c>
      <c r="C2448" s="1" t="s">
        <v>3090</v>
      </c>
      <c r="D2448" s="1" t="s">
        <v>20</v>
      </c>
      <c r="E2448" t="s">
        <v>931</v>
      </c>
      <c r="F2448" t="s">
        <v>115</v>
      </c>
      <c r="G2448" t="s">
        <v>31</v>
      </c>
      <c r="H2448" t="s">
        <v>70</v>
      </c>
      <c r="I2448" t="s">
        <v>71</v>
      </c>
      <c r="J2448">
        <v>1</v>
      </c>
      <c r="K2448">
        <v>349</v>
      </c>
      <c r="L2448">
        <f>Table1[[#This Row],[Quantity]] * Table1[[#This Row],[UnitPrice]]</f>
        <v>349</v>
      </c>
      <c r="M2448" s="25">
        <v>20</v>
      </c>
      <c r="N2448">
        <f>Table1[[#This Row],[Revenue]]*Table1[[#This Row],[Discount%]]/100</f>
        <v>69.8</v>
      </c>
      <c r="O2448" s="6">
        <f>Table1[[#This Row],[Revenue]]-Table1[[#This Row],[Disc_amount]]</f>
        <v>279.2</v>
      </c>
      <c r="P2448" t="s">
        <v>86</v>
      </c>
      <c r="Q2448" t="s">
        <v>27</v>
      </c>
    </row>
    <row r="2449" spans="1:17">
      <c r="A2449" t="s">
        <v>3299</v>
      </c>
      <c r="B2449" s="1" t="s">
        <v>711</v>
      </c>
      <c r="C2449" s="1" t="s">
        <v>3090</v>
      </c>
      <c r="D2449" s="1" t="s">
        <v>20</v>
      </c>
      <c r="E2449" t="s">
        <v>3300</v>
      </c>
      <c r="F2449" t="s">
        <v>796</v>
      </c>
      <c r="G2449" t="s">
        <v>45</v>
      </c>
      <c r="H2449" t="s">
        <v>46</v>
      </c>
      <c r="I2449" t="s">
        <v>154</v>
      </c>
      <c r="J2449">
        <v>1</v>
      </c>
      <c r="K2449">
        <v>299</v>
      </c>
      <c r="L2449">
        <f>Table1[[#This Row],[Quantity]] * Table1[[#This Row],[UnitPrice]]</f>
        <v>299</v>
      </c>
      <c r="M2449" s="25">
        <v>5</v>
      </c>
      <c r="N2449">
        <f>Table1[[#This Row],[Revenue]]*Table1[[#This Row],[Discount%]]/100</f>
        <v>14.95</v>
      </c>
      <c r="O2449" s="6">
        <f>Table1[[#This Row],[Revenue]]-Table1[[#This Row],[Disc_amount]]</f>
        <v>284.05</v>
      </c>
      <c r="P2449" t="s">
        <v>41</v>
      </c>
      <c r="Q2449" t="s">
        <v>27</v>
      </c>
    </row>
    <row r="2450" spans="1:17">
      <c r="A2450" t="s">
        <v>3301</v>
      </c>
      <c r="B2450" s="1" t="s">
        <v>711</v>
      </c>
      <c r="C2450" s="1" t="s">
        <v>3090</v>
      </c>
      <c r="D2450" s="1" t="s">
        <v>20</v>
      </c>
      <c r="E2450" t="s">
        <v>525</v>
      </c>
      <c r="F2450" t="s">
        <v>470</v>
      </c>
      <c r="G2450" t="s">
        <v>23</v>
      </c>
      <c r="H2450" t="s">
        <v>108</v>
      </c>
      <c r="I2450" t="s">
        <v>130</v>
      </c>
      <c r="J2450">
        <v>1</v>
      </c>
      <c r="K2450">
        <v>699</v>
      </c>
      <c r="L2450">
        <f>Table1[[#This Row],[Quantity]] * Table1[[#This Row],[UnitPrice]]</f>
        <v>699</v>
      </c>
      <c r="M2450" s="25">
        <v>30</v>
      </c>
      <c r="N2450">
        <f>Table1[[#This Row],[Revenue]]*Table1[[#This Row],[Discount%]]/100</f>
        <v>209.7</v>
      </c>
      <c r="O2450" s="6">
        <f>Table1[[#This Row],[Revenue]]-Table1[[#This Row],[Disc_amount]]</f>
        <v>489.3</v>
      </c>
      <c r="P2450" t="s">
        <v>26</v>
      </c>
      <c r="Q2450" t="s">
        <v>27</v>
      </c>
    </row>
    <row r="2451" spans="1:17">
      <c r="A2451" t="s">
        <v>3302</v>
      </c>
      <c r="B2451" s="1" t="s">
        <v>711</v>
      </c>
      <c r="C2451" s="1" t="s">
        <v>3090</v>
      </c>
      <c r="D2451" s="1" t="s">
        <v>20</v>
      </c>
      <c r="E2451" t="s">
        <v>758</v>
      </c>
      <c r="F2451" t="s">
        <v>759</v>
      </c>
      <c r="G2451" t="s">
        <v>45</v>
      </c>
      <c r="H2451" t="s">
        <v>46</v>
      </c>
      <c r="I2451" t="s">
        <v>154</v>
      </c>
      <c r="J2451">
        <v>1</v>
      </c>
      <c r="K2451">
        <v>299</v>
      </c>
      <c r="L2451">
        <f>Table1[[#This Row],[Quantity]] * Table1[[#This Row],[UnitPrice]]</f>
        <v>299</v>
      </c>
      <c r="M2451" s="25">
        <v>0</v>
      </c>
      <c r="N2451">
        <f>Table1[[#This Row],[Revenue]]*Table1[[#This Row],[Discount%]]/100</f>
        <v>0</v>
      </c>
      <c r="O2451" s="6">
        <f>Table1[[#This Row],[Revenue]]-Table1[[#This Row],[Disc_amount]]</f>
        <v>299</v>
      </c>
      <c r="P2451" t="s">
        <v>26</v>
      </c>
      <c r="Q2451" t="s">
        <v>27</v>
      </c>
    </row>
    <row r="2452" spans="1:17">
      <c r="A2452" t="s">
        <v>3303</v>
      </c>
      <c r="B2452" s="1" t="s">
        <v>711</v>
      </c>
      <c r="C2452" s="1" t="s">
        <v>3090</v>
      </c>
      <c r="D2452" s="1" t="s">
        <v>20</v>
      </c>
      <c r="E2452" t="s">
        <v>1118</v>
      </c>
      <c r="F2452" t="s">
        <v>784</v>
      </c>
      <c r="G2452" t="s">
        <v>56</v>
      </c>
      <c r="H2452" t="s">
        <v>24</v>
      </c>
      <c r="I2452" t="s">
        <v>32</v>
      </c>
      <c r="J2452">
        <v>2</v>
      </c>
      <c r="K2452">
        <v>199</v>
      </c>
      <c r="L2452">
        <f>Table1[[#This Row],[Quantity]] * Table1[[#This Row],[UnitPrice]]</f>
        <v>398</v>
      </c>
      <c r="M2452" s="25">
        <v>5</v>
      </c>
      <c r="N2452">
        <f>Table1[[#This Row],[Revenue]]*Table1[[#This Row],[Discount%]]/100</f>
        <v>19.899999999999999</v>
      </c>
      <c r="O2452" s="6">
        <f>Table1[[#This Row],[Revenue]]-Table1[[#This Row],[Disc_amount]]</f>
        <v>378.1</v>
      </c>
      <c r="P2452" t="s">
        <v>86</v>
      </c>
      <c r="Q2452" t="s">
        <v>27</v>
      </c>
    </row>
    <row r="2453" spans="1:17">
      <c r="A2453" t="s">
        <v>3304</v>
      </c>
      <c r="B2453" s="1" t="s">
        <v>711</v>
      </c>
      <c r="C2453" s="1" t="s">
        <v>3090</v>
      </c>
      <c r="D2453" s="1" t="s">
        <v>20</v>
      </c>
      <c r="E2453" t="s">
        <v>988</v>
      </c>
      <c r="F2453" t="s">
        <v>989</v>
      </c>
      <c r="G2453" t="s">
        <v>23</v>
      </c>
      <c r="H2453" t="s">
        <v>65</v>
      </c>
      <c r="I2453" t="s">
        <v>98</v>
      </c>
      <c r="J2453">
        <v>1</v>
      </c>
      <c r="K2453">
        <v>499</v>
      </c>
      <c r="L2453">
        <f>Table1[[#This Row],[Quantity]] * Table1[[#This Row],[UnitPrice]]</f>
        <v>499</v>
      </c>
      <c r="M2453" s="25">
        <v>15</v>
      </c>
      <c r="N2453">
        <f>Table1[[#This Row],[Revenue]]*Table1[[#This Row],[Discount%]]/100</f>
        <v>74.849999999999994</v>
      </c>
      <c r="O2453" s="6">
        <f>Table1[[#This Row],[Revenue]]-Table1[[#This Row],[Disc_amount]]</f>
        <v>424.15</v>
      </c>
      <c r="P2453" t="s">
        <v>33</v>
      </c>
      <c r="Q2453" t="s">
        <v>27</v>
      </c>
    </row>
    <row r="2454" spans="1:17">
      <c r="A2454" t="s">
        <v>3305</v>
      </c>
      <c r="B2454" s="1" t="s">
        <v>711</v>
      </c>
      <c r="C2454" s="1" t="s">
        <v>3090</v>
      </c>
      <c r="D2454" s="1" t="s">
        <v>20</v>
      </c>
      <c r="E2454" t="s">
        <v>114</v>
      </c>
      <c r="F2454" t="s">
        <v>115</v>
      </c>
      <c r="G2454" t="s">
        <v>38</v>
      </c>
      <c r="H2454" t="s">
        <v>108</v>
      </c>
      <c r="I2454" t="s">
        <v>109</v>
      </c>
      <c r="J2454">
        <v>3</v>
      </c>
      <c r="K2454">
        <v>1499</v>
      </c>
      <c r="L2454">
        <f>Table1[[#This Row],[Quantity]] * Table1[[#This Row],[UnitPrice]]</f>
        <v>4497</v>
      </c>
      <c r="M2454" s="25">
        <v>15</v>
      </c>
      <c r="N2454">
        <f>Table1[[#This Row],[Revenue]]*Table1[[#This Row],[Discount%]]/100</f>
        <v>674.55</v>
      </c>
      <c r="O2454" s="6">
        <f>Table1[[#This Row],[Revenue]]-Table1[[#This Row],[Disc_amount]]</f>
        <v>3822.45</v>
      </c>
      <c r="P2454" t="s">
        <v>52</v>
      </c>
      <c r="Q2454" t="s">
        <v>27</v>
      </c>
    </row>
    <row r="2455" spans="1:17">
      <c r="A2455" t="s">
        <v>3306</v>
      </c>
      <c r="B2455" s="1" t="s">
        <v>711</v>
      </c>
      <c r="C2455" s="1" t="s">
        <v>3090</v>
      </c>
      <c r="D2455" s="1" t="s">
        <v>20</v>
      </c>
      <c r="E2455" t="s">
        <v>936</v>
      </c>
      <c r="F2455" t="s">
        <v>229</v>
      </c>
      <c r="G2455" t="s">
        <v>45</v>
      </c>
      <c r="H2455" t="s">
        <v>39</v>
      </c>
      <c r="I2455" t="s">
        <v>140</v>
      </c>
      <c r="J2455">
        <v>4</v>
      </c>
      <c r="K2455">
        <v>1799</v>
      </c>
      <c r="L2455">
        <f>Table1[[#This Row],[Quantity]] * Table1[[#This Row],[UnitPrice]]</f>
        <v>7196</v>
      </c>
      <c r="M2455" s="25">
        <v>15</v>
      </c>
      <c r="N2455">
        <f>Table1[[#This Row],[Revenue]]*Table1[[#This Row],[Discount%]]/100</f>
        <v>1079.4000000000001</v>
      </c>
      <c r="O2455" s="6">
        <f>Table1[[#This Row],[Revenue]]-Table1[[#This Row],[Disc_amount]]</f>
        <v>6116.6</v>
      </c>
      <c r="P2455" t="s">
        <v>33</v>
      </c>
      <c r="Q2455" t="s">
        <v>27</v>
      </c>
    </row>
    <row r="2456" spans="1:17">
      <c r="A2456" t="s">
        <v>3307</v>
      </c>
      <c r="B2456" s="1" t="s">
        <v>711</v>
      </c>
      <c r="C2456" s="1" t="s">
        <v>3090</v>
      </c>
      <c r="D2456" s="1" t="s">
        <v>20</v>
      </c>
      <c r="E2456" t="s">
        <v>565</v>
      </c>
      <c r="F2456" t="s">
        <v>203</v>
      </c>
      <c r="G2456" t="s">
        <v>23</v>
      </c>
      <c r="H2456" t="s">
        <v>70</v>
      </c>
      <c r="I2456" t="s">
        <v>91</v>
      </c>
      <c r="J2456">
        <v>1</v>
      </c>
      <c r="K2456">
        <v>549</v>
      </c>
      <c r="L2456">
        <f>Table1[[#This Row],[Quantity]] * Table1[[#This Row],[UnitPrice]]</f>
        <v>549</v>
      </c>
      <c r="M2456" s="25">
        <v>30</v>
      </c>
      <c r="N2456">
        <f>Table1[[#This Row],[Revenue]]*Table1[[#This Row],[Discount%]]/100</f>
        <v>164.7</v>
      </c>
      <c r="O2456" s="6">
        <f>Table1[[#This Row],[Revenue]]-Table1[[#This Row],[Disc_amount]]</f>
        <v>384.3</v>
      </c>
      <c r="P2456" t="s">
        <v>26</v>
      </c>
      <c r="Q2456" t="s">
        <v>34</v>
      </c>
    </row>
    <row r="2457" spans="1:17">
      <c r="A2457" t="s">
        <v>3308</v>
      </c>
      <c r="B2457" s="1" t="s">
        <v>721</v>
      </c>
      <c r="C2457" s="1" t="s">
        <v>3090</v>
      </c>
      <c r="D2457" s="1" t="s">
        <v>20</v>
      </c>
      <c r="E2457" t="s">
        <v>100</v>
      </c>
      <c r="F2457" t="s">
        <v>101</v>
      </c>
      <c r="G2457" t="s">
        <v>23</v>
      </c>
      <c r="H2457" t="s">
        <v>57</v>
      </c>
      <c r="I2457" t="s">
        <v>58</v>
      </c>
      <c r="J2457">
        <v>2</v>
      </c>
      <c r="K2457">
        <v>1299</v>
      </c>
      <c r="L2457">
        <f>Table1[[#This Row],[Quantity]] * Table1[[#This Row],[UnitPrice]]</f>
        <v>2598</v>
      </c>
      <c r="M2457" s="25">
        <v>0</v>
      </c>
      <c r="N2457">
        <f>Table1[[#This Row],[Revenue]]*Table1[[#This Row],[Discount%]]/100</f>
        <v>0</v>
      </c>
      <c r="O2457" s="6">
        <f>Table1[[#This Row],[Revenue]]-Table1[[#This Row],[Disc_amount]]</f>
        <v>2598</v>
      </c>
      <c r="P2457" t="s">
        <v>33</v>
      </c>
      <c r="Q2457" t="s">
        <v>27</v>
      </c>
    </row>
    <row r="2458" spans="1:17">
      <c r="A2458" t="s">
        <v>3309</v>
      </c>
      <c r="B2458" s="1" t="s">
        <v>721</v>
      </c>
      <c r="C2458" s="1" t="s">
        <v>3090</v>
      </c>
      <c r="D2458" s="1" t="s">
        <v>20</v>
      </c>
      <c r="E2458" t="s">
        <v>1152</v>
      </c>
      <c r="F2458" t="s">
        <v>209</v>
      </c>
      <c r="G2458" t="s">
        <v>31</v>
      </c>
      <c r="H2458" t="s">
        <v>46</v>
      </c>
      <c r="I2458" t="s">
        <v>47</v>
      </c>
      <c r="J2458">
        <v>1</v>
      </c>
      <c r="K2458">
        <v>249</v>
      </c>
      <c r="L2458">
        <f>Table1[[#This Row],[Quantity]] * Table1[[#This Row],[UnitPrice]]</f>
        <v>249</v>
      </c>
      <c r="M2458" s="25">
        <v>25</v>
      </c>
      <c r="N2458">
        <f>Table1[[#This Row],[Revenue]]*Table1[[#This Row],[Discount%]]/100</f>
        <v>62.25</v>
      </c>
      <c r="O2458" s="6">
        <f>Table1[[#This Row],[Revenue]]-Table1[[#This Row],[Disc_amount]]</f>
        <v>186.75</v>
      </c>
      <c r="P2458" t="s">
        <v>26</v>
      </c>
      <c r="Q2458" t="s">
        <v>34</v>
      </c>
    </row>
    <row r="2459" spans="1:17">
      <c r="A2459" t="s">
        <v>3310</v>
      </c>
      <c r="B2459" s="1" t="s">
        <v>721</v>
      </c>
      <c r="C2459" s="1" t="s">
        <v>3090</v>
      </c>
      <c r="D2459" s="1" t="s">
        <v>20</v>
      </c>
      <c r="E2459" t="s">
        <v>1183</v>
      </c>
      <c r="F2459" t="s">
        <v>1184</v>
      </c>
      <c r="G2459" t="s">
        <v>23</v>
      </c>
      <c r="H2459" t="s">
        <v>46</v>
      </c>
      <c r="I2459" t="s">
        <v>47</v>
      </c>
      <c r="J2459">
        <v>1</v>
      </c>
      <c r="K2459">
        <v>249</v>
      </c>
      <c r="L2459">
        <f>Table1[[#This Row],[Quantity]] * Table1[[#This Row],[UnitPrice]]</f>
        <v>249</v>
      </c>
      <c r="M2459" s="25">
        <v>5</v>
      </c>
      <c r="N2459">
        <f>Table1[[#This Row],[Revenue]]*Table1[[#This Row],[Discount%]]/100</f>
        <v>12.45</v>
      </c>
      <c r="O2459" s="6">
        <f>Table1[[#This Row],[Revenue]]-Table1[[#This Row],[Disc_amount]]</f>
        <v>236.55</v>
      </c>
      <c r="P2459" t="s">
        <v>33</v>
      </c>
      <c r="Q2459" t="s">
        <v>27</v>
      </c>
    </row>
    <row r="2460" spans="1:17">
      <c r="A2460" t="s">
        <v>3311</v>
      </c>
      <c r="B2460" s="1" t="s">
        <v>721</v>
      </c>
      <c r="C2460" s="1" t="s">
        <v>3090</v>
      </c>
      <c r="D2460" s="1" t="s">
        <v>20</v>
      </c>
      <c r="E2460" t="s">
        <v>2518</v>
      </c>
      <c r="F2460" t="s">
        <v>767</v>
      </c>
      <c r="G2460" t="s">
        <v>23</v>
      </c>
      <c r="H2460" t="s">
        <v>65</v>
      </c>
      <c r="I2460" t="s">
        <v>98</v>
      </c>
      <c r="J2460">
        <v>2</v>
      </c>
      <c r="K2460">
        <v>499</v>
      </c>
      <c r="L2460">
        <f>Table1[[#This Row],[Quantity]] * Table1[[#This Row],[UnitPrice]]</f>
        <v>998</v>
      </c>
      <c r="M2460" s="25">
        <v>10</v>
      </c>
      <c r="N2460">
        <f>Table1[[#This Row],[Revenue]]*Table1[[#This Row],[Discount%]]/100</f>
        <v>99.8</v>
      </c>
      <c r="O2460" s="6">
        <f>Table1[[#This Row],[Revenue]]-Table1[[#This Row],[Disc_amount]]</f>
        <v>898.2</v>
      </c>
      <c r="P2460" t="s">
        <v>33</v>
      </c>
      <c r="Q2460" t="s">
        <v>27</v>
      </c>
    </row>
    <row r="2461" spans="1:17">
      <c r="A2461" t="s">
        <v>3312</v>
      </c>
      <c r="B2461" s="1" t="s">
        <v>721</v>
      </c>
      <c r="C2461" s="1" t="s">
        <v>3090</v>
      </c>
      <c r="D2461" s="1" t="s">
        <v>20</v>
      </c>
      <c r="E2461" t="s">
        <v>725</v>
      </c>
      <c r="F2461" t="s">
        <v>726</v>
      </c>
      <c r="G2461" t="s">
        <v>31</v>
      </c>
      <c r="H2461" t="s">
        <v>70</v>
      </c>
      <c r="I2461" t="s">
        <v>91</v>
      </c>
      <c r="J2461">
        <v>1</v>
      </c>
      <c r="K2461">
        <v>549</v>
      </c>
      <c r="L2461">
        <f>Table1[[#This Row],[Quantity]] * Table1[[#This Row],[UnitPrice]]</f>
        <v>549</v>
      </c>
      <c r="M2461" s="25">
        <v>10</v>
      </c>
      <c r="N2461">
        <f>Table1[[#This Row],[Revenue]]*Table1[[#This Row],[Discount%]]/100</f>
        <v>54.9</v>
      </c>
      <c r="O2461" s="6">
        <f>Table1[[#This Row],[Revenue]]-Table1[[#This Row],[Disc_amount]]</f>
        <v>494.1</v>
      </c>
      <c r="P2461" t="s">
        <v>33</v>
      </c>
      <c r="Q2461" t="s">
        <v>27</v>
      </c>
    </row>
    <row r="2462" spans="1:17">
      <c r="A2462" t="s">
        <v>3313</v>
      </c>
      <c r="B2462" s="1" t="s">
        <v>721</v>
      </c>
      <c r="C2462" s="1" t="s">
        <v>3090</v>
      </c>
      <c r="D2462" s="1" t="s">
        <v>20</v>
      </c>
      <c r="E2462" t="s">
        <v>1734</v>
      </c>
      <c r="F2462" t="s">
        <v>1735</v>
      </c>
      <c r="G2462" t="s">
        <v>31</v>
      </c>
      <c r="H2462" t="s">
        <v>65</v>
      </c>
      <c r="I2462" t="s">
        <v>98</v>
      </c>
      <c r="J2462">
        <v>2</v>
      </c>
      <c r="K2462">
        <v>499</v>
      </c>
      <c r="L2462">
        <f>Table1[[#This Row],[Quantity]] * Table1[[#This Row],[UnitPrice]]</f>
        <v>998</v>
      </c>
      <c r="M2462" s="25">
        <v>5</v>
      </c>
      <c r="N2462">
        <f>Table1[[#This Row],[Revenue]]*Table1[[#This Row],[Discount%]]/100</f>
        <v>49.9</v>
      </c>
      <c r="O2462" s="6">
        <f>Table1[[#This Row],[Revenue]]-Table1[[#This Row],[Disc_amount]]</f>
        <v>948.1</v>
      </c>
      <c r="P2462" t="s">
        <v>41</v>
      </c>
      <c r="Q2462" t="s">
        <v>34</v>
      </c>
    </row>
    <row r="2463" spans="1:17">
      <c r="A2463" t="s">
        <v>3314</v>
      </c>
      <c r="B2463" s="1" t="s">
        <v>721</v>
      </c>
      <c r="C2463" s="1" t="s">
        <v>3090</v>
      </c>
      <c r="D2463" s="1" t="s">
        <v>20</v>
      </c>
      <c r="E2463" t="s">
        <v>96</v>
      </c>
      <c r="F2463" t="s">
        <v>97</v>
      </c>
      <c r="G2463" t="s">
        <v>56</v>
      </c>
      <c r="H2463" t="s">
        <v>65</v>
      </c>
      <c r="I2463" t="s">
        <v>98</v>
      </c>
      <c r="J2463">
        <v>1</v>
      </c>
      <c r="K2463">
        <v>499</v>
      </c>
      <c r="L2463">
        <f>Table1[[#This Row],[Quantity]] * Table1[[#This Row],[UnitPrice]]</f>
        <v>499</v>
      </c>
      <c r="M2463" s="25">
        <v>15</v>
      </c>
      <c r="N2463">
        <f>Table1[[#This Row],[Revenue]]*Table1[[#This Row],[Discount%]]/100</f>
        <v>74.849999999999994</v>
      </c>
      <c r="O2463" s="6">
        <f>Table1[[#This Row],[Revenue]]-Table1[[#This Row],[Disc_amount]]</f>
        <v>424.15</v>
      </c>
      <c r="P2463" t="s">
        <v>41</v>
      </c>
      <c r="Q2463" t="s">
        <v>34</v>
      </c>
    </row>
    <row r="2464" spans="1:17">
      <c r="A2464" t="s">
        <v>3315</v>
      </c>
      <c r="B2464" s="1" t="s">
        <v>736</v>
      </c>
      <c r="C2464" s="1" t="s">
        <v>3090</v>
      </c>
      <c r="D2464" s="1" t="s">
        <v>20</v>
      </c>
      <c r="E2464" t="s">
        <v>1178</v>
      </c>
      <c r="F2464" t="s">
        <v>358</v>
      </c>
      <c r="G2464" t="s">
        <v>31</v>
      </c>
      <c r="H2464" t="s">
        <v>57</v>
      </c>
      <c r="I2464" t="s">
        <v>62</v>
      </c>
      <c r="J2464">
        <v>2</v>
      </c>
      <c r="K2464">
        <v>799</v>
      </c>
      <c r="L2464">
        <f>Table1[[#This Row],[Quantity]] * Table1[[#This Row],[UnitPrice]]</f>
        <v>1598</v>
      </c>
      <c r="M2464" s="25">
        <v>0</v>
      </c>
      <c r="N2464">
        <f>Table1[[#This Row],[Revenue]]*Table1[[#This Row],[Discount%]]/100</f>
        <v>0</v>
      </c>
      <c r="O2464" s="6">
        <f>Table1[[#This Row],[Revenue]]-Table1[[#This Row],[Disc_amount]]</f>
        <v>1598</v>
      </c>
      <c r="P2464" t="s">
        <v>33</v>
      </c>
      <c r="Q2464" t="s">
        <v>27</v>
      </c>
    </row>
    <row r="2465" spans="1:17">
      <c r="A2465" t="s">
        <v>3316</v>
      </c>
      <c r="B2465" s="1" t="s">
        <v>736</v>
      </c>
      <c r="C2465" s="1" t="s">
        <v>3090</v>
      </c>
      <c r="D2465" s="1" t="s">
        <v>20</v>
      </c>
      <c r="E2465" t="s">
        <v>638</v>
      </c>
      <c r="F2465" t="s">
        <v>335</v>
      </c>
      <c r="G2465" t="s">
        <v>45</v>
      </c>
      <c r="H2465" t="s">
        <v>24</v>
      </c>
      <c r="I2465" t="s">
        <v>25</v>
      </c>
      <c r="J2465">
        <v>2</v>
      </c>
      <c r="K2465">
        <v>99</v>
      </c>
      <c r="L2465">
        <f>Table1[[#This Row],[Quantity]] * Table1[[#This Row],[UnitPrice]]</f>
        <v>198</v>
      </c>
      <c r="M2465" s="25">
        <v>20</v>
      </c>
      <c r="N2465">
        <f>Table1[[#This Row],[Revenue]]*Table1[[#This Row],[Discount%]]/100</f>
        <v>39.6</v>
      </c>
      <c r="O2465" s="6">
        <f>Table1[[#This Row],[Revenue]]-Table1[[#This Row],[Disc_amount]]</f>
        <v>158.4</v>
      </c>
      <c r="P2465" t="s">
        <v>41</v>
      </c>
      <c r="Q2465" t="s">
        <v>27</v>
      </c>
    </row>
    <row r="2466" spans="1:17">
      <c r="A2466" t="s">
        <v>3317</v>
      </c>
      <c r="B2466" s="1" t="s">
        <v>736</v>
      </c>
      <c r="C2466" s="1" t="s">
        <v>3090</v>
      </c>
      <c r="D2466" s="1" t="s">
        <v>20</v>
      </c>
      <c r="E2466" t="s">
        <v>222</v>
      </c>
      <c r="F2466" t="s">
        <v>166</v>
      </c>
      <c r="G2466" t="s">
        <v>31</v>
      </c>
      <c r="H2466" t="s">
        <v>70</v>
      </c>
      <c r="I2466" t="s">
        <v>91</v>
      </c>
      <c r="J2466">
        <v>2</v>
      </c>
      <c r="K2466">
        <v>549</v>
      </c>
      <c r="L2466">
        <f>Table1[[#This Row],[Quantity]] * Table1[[#This Row],[UnitPrice]]</f>
        <v>1098</v>
      </c>
      <c r="M2466" s="25">
        <v>30</v>
      </c>
      <c r="N2466">
        <f>Table1[[#This Row],[Revenue]]*Table1[[#This Row],[Discount%]]/100</f>
        <v>329.4</v>
      </c>
      <c r="O2466" s="6">
        <f>Table1[[#This Row],[Revenue]]-Table1[[#This Row],[Disc_amount]]</f>
        <v>768.6</v>
      </c>
      <c r="P2466" t="s">
        <v>86</v>
      </c>
      <c r="Q2466" t="s">
        <v>34</v>
      </c>
    </row>
    <row r="2467" spans="1:17">
      <c r="A2467" t="s">
        <v>3318</v>
      </c>
      <c r="B2467" s="1" t="s">
        <v>736</v>
      </c>
      <c r="C2467" s="1" t="s">
        <v>3090</v>
      </c>
      <c r="D2467" s="1" t="s">
        <v>20</v>
      </c>
      <c r="E2467" t="s">
        <v>628</v>
      </c>
      <c r="F2467" t="s">
        <v>245</v>
      </c>
      <c r="G2467" t="s">
        <v>31</v>
      </c>
      <c r="H2467" t="s">
        <v>70</v>
      </c>
      <c r="I2467" t="s">
        <v>91</v>
      </c>
      <c r="J2467">
        <v>1</v>
      </c>
      <c r="K2467">
        <v>549</v>
      </c>
      <c r="L2467">
        <f>Table1[[#This Row],[Quantity]] * Table1[[#This Row],[UnitPrice]]</f>
        <v>549</v>
      </c>
      <c r="M2467" s="25">
        <v>20</v>
      </c>
      <c r="N2467">
        <f>Table1[[#This Row],[Revenue]]*Table1[[#This Row],[Discount%]]/100</f>
        <v>109.8</v>
      </c>
      <c r="O2467" s="6">
        <f>Table1[[#This Row],[Revenue]]-Table1[[#This Row],[Disc_amount]]</f>
        <v>439.2</v>
      </c>
      <c r="P2467" t="s">
        <v>33</v>
      </c>
      <c r="Q2467" t="s">
        <v>27</v>
      </c>
    </row>
    <row r="2468" spans="1:17">
      <c r="A2468" t="s">
        <v>3319</v>
      </c>
      <c r="B2468" s="1" t="s">
        <v>736</v>
      </c>
      <c r="C2468" s="1" t="s">
        <v>3090</v>
      </c>
      <c r="D2468" s="1" t="s">
        <v>20</v>
      </c>
      <c r="E2468" t="s">
        <v>949</v>
      </c>
      <c r="F2468" t="s">
        <v>77</v>
      </c>
      <c r="G2468" t="s">
        <v>45</v>
      </c>
      <c r="H2468" t="s">
        <v>65</v>
      </c>
      <c r="I2468" t="s">
        <v>94</v>
      </c>
      <c r="J2468">
        <v>1</v>
      </c>
      <c r="K2468">
        <v>899</v>
      </c>
      <c r="L2468">
        <f>Table1[[#This Row],[Quantity]] * Table1[[#This Row],[UnitPrice]]</f>
        <v>899</v>
      </c>
      <c r="M2468" s="25">
        <v>0</v>
      </c>
      <c r="N2468">
        <f>Table1[[#This Row],[Revenue]]*Table1[[#This Row],[Discount%]]/100</f>
        <v>0</v>
      </c>
      <c r="O2468" s="6">
        <f>Table1[[#This Row],[Revenue]]-Table1[[#This Row],[Disc_amount]]</f>
        <v>899</v>
      </c>
      <c r="P2468" t="s">
        <v>41</v>
      </c>
      <c r="Q2468" t="s">
        <v>34</v>
      </c>
    </row>
    <row r="2469" spans="1:17">
      <c r="A2469" t="s">
        <v>3320</v>
      </c>
      <c r="B2469" s="1" t="s">
        <v>736</v>
      </c>
      <c r="C2469" s="1" t="s">
        <v>3090</v>
      </c>
      <c r="D2469" s="1" t="s">
        <v>20</v>
      </c>
      <c r="E2469" t="s">
        <v>586</v>
      </c>
      <c r="F2469" t="s">
        <v>587</v>
      </c>
      <c r="G2469" t="s">
        <v>31</v>
      </c>
      <c r="H2469" t="s">
        <v>65</v>
      </c>
      <c r="I2469" t="s">
        <v>94</v>
      </c>
      <c r="J2469">
        <v>4</v>
      </c>
      <c r="K2469">
        <v>899</v>
      </c>
      <c r="L2469">
        <f>Table1[[#This Row],[Quantity]] * Table1[[#This Row],[UnitPrice]]</f>
        <v>3596</v>
      </c>
      <c r="M2469" s="25">
        <v>15</v>
      </c>
      <c r="N2469">
        <f>Table1[[#This Row],[Revenue]]*Table1[[#This Row],[Discount%]]/100</f>
        <v>539.4</v>
      </c>
      <c r="O2469" s="6">
        <f>Table1[[#This Row],[Revenue]]-Table1[[#This Row],[Disc_amount]]</f>
        <v>3056.6</v>
      </c>
      <c r="P2469" t="s">
        <v>41</v>
      </c>
      <c r="Q2469" t="s">
        <v>27</v>
      </c>
    </row>
    <row r="2470" spans="1:17">
      <c r="A2470" t="s">
        <v>3321</v>
      </c>
      <c r="B2470" s="1" t="s">
        <v>736</v>
      </c>
      <c r="C2470" s="1" t="s">
        <v>3090</v>
      </c>
      <c r="D2470" s="1" t="s">
        <v>20</v>
      </c>
      <c r="E2470" t="s">
        <v>1465</v>
      </c>
      <c r="F2470" t="s">
        <v>1466</v>
      </c>
      <c r="G2470" t="s">
        <v>31</v>
      </c>
      <c r="H2470" t="s">
        <v>46</v>
      </c>
      <c r="I2470" t="s">
        <v>47</v>
      </c>
      <c r="J2470">
        <v>1</v>
      </c>
      <c r="K2470">
        <v>249</v>
      </c>
      <c r="L2470">
        <f>Table1[[#This Row],[Quantity]] * Table1[[#This Row],[UnitPrice]]</f>
        <v>249</v>
      </c>
      <c r="M2470" s="25">
        <v>15</v>
      </c>
      <c r="N2470">
        <f>Table1[[#This Row],[Revenue]]*Table1[[#This Row],[Discount%]]/100</f>
        <v>37.35</v>
      </c>
      <c r="O2470" s="6">
        <f>Table1[[#This Row],[Revenue]]-Table1[[#This Row],[Disc_amount]]</f>
        <v>211.65</v>
      </c>
      <c r="P2470" t="s">
        <v>26</v>
      </c>
      <c r="Q2470" t="s">
        <v>27</v>
      </c>
    </row>
    <row r="2471" spans="1:17">
      <c r="A2471" t="s">
        <v>3322</v>
      </c>
      <c r="B2471" s="1" t="s">
        <v>736</v>
      </c>
      <c r="C2471" s="1" t="s">
        <v>3090</v>
      </c>
      <c r="D2471" s="1" t="s">
        <v>20</v>
      </c>
      <c r="E2471" t="s">
        <v>952</v>
      </c>
      <c r="F2471" t="s">
        <v>134</v>
      </c>
      <c r="G2471" t="s">
        <v>56</v>
      </c>
      <c r="H2471" t="s">
        <v>39</v>
      </c>
      <c r="I2471" t="s">
        <v>51</v>
      </c>
      <c r="J2471">
        <v>1</v>
      </c>
      <c r="K2471">
        <v>2999</v>
      </c>
      <c r="L2471">
        <f>Table1[[#This Row],[Quantity]] * Table1[[#This Row],[UnitPrice]]</f>
        <v>2999</v>
      </c>
      <c r="M2471" s="25">
        <v>20</v>
      </c>
      <c r="N2471">
        <f>Table1[[#This Row],[Revenue]]*Table1[[#This Row],[Discount%]]/100</f>
        <v>599.79999999999995</v>
      </c>
      <c r="O2471" s="6">
        <f>Table1[[#This Row],[Revenue]]-Table1[[#This Row],[Disc_amount]]</f>
        <v>2399.1999999999998</v>
      </c>
      <c r="P2471" t="s">
        <v>86</v>
      </c>
      <c r="Q2471" t="s">
        <v>34</v>
      </c>
    </row>
    <row r="2472" spans="1:17">
      <c r="A2472" t="s">
        <v>3323</v>
      </c>
      <c r="B2472" s="1" t="s">
        <v>736</v>
      </c>
      <c r="C2472" s="1" t="s">
        <v>3090</v>
      </c>
      <c r="D2472" s="1" t="s">
        <v>20</v>
      </c>
      <c r="E2472" t="s">
        <v>573</v>
      </c>
      <c r="F2472" t="s">
        <v>574</v>
      </c>
      <c r="G2472" t="s">
        <v>56</v>
      </c>
      <c r="H2472" t="s">
        <v>108</v>
      </c>
      <c r="I2472" t="s">
        <v>109</v>
      </c>
      <c r="J2472">
        <v>2</v>
      </c>
      <c r="K2472">
        <v>1499</v>
      </c>
      <c r="L2472">
        <f>Table1[[#This Row],[Quantity]] * Table1[[#This Row],[UnitPrice]]</f>
        <v>2998</v>
      </c>
      <c r="M2472" s="25">
        <v>10</v>
      </c>
      <c r="N2472">
        <f>Table1[[#This Row],[Revenue]]*Table1[[#This Row],[Discount%]]/100</f>
        <v>299.8</v>
      </c>
      <c r="O2472" s="6">
        <f>Table1[[#This Row],[Revenue]]-Table1[[#This Row],[Disc_amount]]</f>
        <v>2698.2</v>
      </c>
      <c r="P2472" t="s">
        <v>52</v>
      </c>
      <c r="Q2472" t="s">
        <v>27</v>
      </c>
    </row>
    <row r="2473" spans="1:17">
      <c r="A2473" t="s">
        <v>3324</v>
      </c>
      <c r="B2473" s="1" t="s">
        <v>736</v>
      </c>
      <c r="C2473" s="1" t="s">
        <v>3090</v>
      </c>
      <c r="D2473" s="1" t="s">
        <v>20</v>
      </c>
      <c r="E2473" t="s">
        <v>235</v>
      </c>
      <c r="F2473" t="s">
        <v>236</v>
      </c>
      <c r="G2473" t="s">
        <v>38</v>
      </c>
      <c r="H2473" t="s">
        <v>70</v>
      </c>
      <c r="I2473" t="s">
        <v>91</v>
      </c>
      <c r="J2473">
        <v>3</v>
      </c>
      <c r="K2473">
        <v>549</v>
      </c>
      <c r="L2473">
        <f>Table1[[#This Row],[Quantity]] * Table1[[#This Row],[UnitPrice]]</f>
        <v>1647</v>
      </c>
      <c r="M2473" s="25">
        <v>20</v>
      </c>
      <c r="N2473">
        <f>Table1[[#This Row],[Revenue]]*Table1[[#This Row],[Discount%]]/100</f>
        <v>329.4</v>
      </c>
      <c r="O2473" s="6">
        <f>Table1[[#This Row],[Revenue]]-Table1[[#This Row],[Disc_amount]]</f>
        <v>1317.6</v>
      </c>
      <c r="P2473" t="s">
        <v>41</v>
      </c>
      <c r="Q2473" t="s">
        <v>34</v>
      </c>
    </row>
    <row r="2474" spans="1:17">
      <c r="A2474" t="s">
        <v>3325</v>
      </c>
      <c r="B2474" s="1" t="s">
        <v>736</v>
      </c>
      <c r="C2474" s="1" t="s">
        <v>3090</v>
      </c>
      <c r="D2474" s="1" t="s">
        <v>20</v>
      </c>
      <c r="E2474" t="s">
        <v>224</v>
      </c>
      <c r="F2474" t="s">
        <v>225</v>
      </c>
      <c r="G2474" t="s">
        <v>38</v>
      </c>
      <c r="H2474" t="s">
        <v>39</v>
      </c>
      <c r="I2474" t="s">
        <v>140</v>
      </c>
      <c r="J2474">
        <v>4</v>
      </c>
      <c r="K2474">
        <v>1799</v>
      </c>
      <c r="L2474">
        <f>Table1[[#This Row],[Quantity]] * Table1[[#This Row],[UnitPrice]]</f>
        <v>7196</v>
      </c>
      <c r="M2474" s="25">
        <v>10</v>
      </c>
      <c r="N2474">
        <f>Table1[[#This Row],[Revenue]]*Table1[[#This Row],[Discount%]]/100</f>
        <v>719.6</v>
      </c>
      <c r="O2474" s="6">
        <f>Table1[[#This Row],[Revenue]]-Table1[[#This Row],[Disc_amount]]</f>
        <v>6476.4</v>
      </c>
      <c r="P2474" t="s">
        <v>26</v>
      </c>
      <c r="Q2474" t="s">
        <v>27</v>
      </c>
    </row>
    <row r="2475" spans="1:17">
      <c r="A2475" t="s">
        <v>3326</v>
      </c>
      <c r="B2475" s="1" t="s">
        <v>736</v>
      </c>
      <c r="C2475" s="1" t="s">
        <v>3090</v>
      </c>
      <c r="D2475" s="1" t="s">
        <v>20</v>
      </c>
      <c r="E2475" t="s">
        <v>855</v>
      </c>
      <c r="F2475" t="s">
        <v>856</v>
      </c>
      <c r="G2475" t="s">
        <v>38</v>
      </c>
      <c r="H2475" t="s">
        <v>39</v>
      </c>
      <c r="I2475" t="s">
        <v>40</v>
      </c>
      <c r="J2475">
        <v>1</v>
      </c>
      <c r="K2475">
        <v>599</v>
      </c>
      <c r="L2475">
        <f>Table1[[#This Row],[Quantity]] * Table1[[#This Row],[UnitPrice]]</f>
        <v>599</v>
      </c>
      <c r="M2475" s="25">
        <v>10</v>
      </c>
      <c r="N2475">
        <f>Table1[[#This Row],[Revenue]]*Table1[[#This Row],[Discount%]]/100</f>
        <v>59.9</v>
      </c>
      <c r="O2475" s="6">
        <f>Table1[[#This Row],[Revenue]]-Table1[[#This Row],[Disc_amount]]</f>
        <v>539.1</v>
      </c>
      <c r="P2475" t="s">
        <v>26</v>
      </c>
      <c r="Q2475" t="s">
        <v>34</v>
      </c>
    </row>
    <row r="2476" spans="1:17">
      <c r="A2476" t="s">
        <v>3327</v>
      </c>
      <c r="B2476" s="1" t="s">
        <v>736</v>
      </c>
      <c r="C2476" s="1" t="s">
        <v>3090</v>
      </c>
      <c r="D2476" s="1" t="s">
        <v>20</v>
      </c>
      <c r="E2476" t="s">
        <v>136</v>
      </c>
      <c r="F2476" t="s">
        <v>115</v>
      </c>
      <c r="G2476" t="s">
        <v>56</v>
      </c>
      <c r="H2476" t="s">
        <v>70</v>
      </c>
      <c r="I2476" t="s">
        <v>91</v>
      </c>
      <c r="J2476">
        <v>1</v>
      </c>
      <c r="K2476">
        <v>549</v>
      </c>
      <c r="L2476">
        <f>Table1[[#This Row],[Quantity]] * Table1[[#This Row],[UnitPrice]]</f>
        <v>549</v>
      </c>
      <c r="M2476" s="25">
        <v>20</v>
      </c>
      <c r="N2476">
        <f>Table1[[#This Row],[Revenue]]*Table1[[#This Row],[Discount%]]/100</f>
        <v>109.8</v>
      </c>
      <c r="O2476" s="6">
        <f>Table1[[#This Row],[Revenue]]-Table1[[#This Row],[Disc_amount]]</f>
        <v>439.2</v>
      </c>
      <c r="P2476" t="s">
        <v>52</v>
      </c>
      <c r="Q2476" t="s">
        <v>27</v>
      </c>
    </row>
    <row r="2477" spans="1:17">
      <c r="A2477" t="s">
        <v>3328</v>
      </c>
      <c r="B2477" s="1" t="s">
        <v>752</v>
      </c>
      <c r="C2477" s="1" t="s">
        <v>3090</v>
      </c>
      <c r="D2477" s="1" t="s">
        <v>20</v>
      </c>
      <c r="E2477" t="s">
        <v>655</v>
      </c>
      <c r="F2477" t="s">
        <v>195</v>
      </c>
      <c r="G2477" t="s">
        <v>45</v>
      </c>
      <c r="H2477" t="s">
        <v>39</v>
      </c>
      <c r="I2477" t="s">
        <v>40</v>
      </c>
      <c r="J2477">
        <v>2</v>
      </c>
      <c r="K2477">
        <v>599</v>
      </c>
      <c r="L2477">
        <f>Table1[[#This Row],[Quantity]] * Table1[[#This Row],[UnitPrice]]</f>
        <v>1198</v>
      </c>
      <c r="M2477" s="25">
        <v>20</v>
      </c>
      <c r="N2477">
        <f>Table1[[#This Row],[Revenue]]*Table1[[#This Row],[Discount%]]/100</f>
        <v>239.6</v>
      </c>
      <c r="O2477" s="6">
        <f>Table1[[#This Row],[Revenue]]-Table1[[#This Row],[Disc_amount]]</f>
        <v>958.4</v>
      </c>
      <c r="P2477" t="s">
        <v>26</v>
      </c>
      <c r="Q2477" t="s">
        <v>34</v>
      </c>
    </row>
    <row r="2478" spans="1:17">
      <c r="A2478" t="s">
        <v>3329</v>
      </c>
      <c r="B2478" s="1" t="s">
        <v>752</v>
      </c>
      <c r="C2478" s="1" t="s">
        <v>3090</v>
      </c>
      <c r="D2478" s="1" t="s">
        <v>20</v>
      </c>
      <c r="E2478" t="s">
        <v>464</v>
      </c>
      <c r="F2478" t="s">
        <v>465</v>
      </c>
      <c r="G2478" t="s">
        <v>45</v>
      </c>
      <c r="H2478" t="s">
        <v>24</v>
      </c>
      <c r="I2478" t="s">
        <v>25</v>
      </c>
      <c r="J2478">
        <v>1</v>
      </c>
      <c r="K2478">
        <v>99</v>
      </c>
      <c r="L2478">
        <f>Table1[[#This Row],[Quantity]] * Table1[[#This Row],[UnitPrice]]</f>
        <v>99</v>
      </c>
      <c r="M2478" s="25">
        <v>25</v>
      </c>
      <c r="N2478">
        <f>Table1[[#This Row],[Revenue]]*Table1[[#This Row],[Discount%]]/100</f>
        <v>24.75</v>
      </c>
      <c r="O2478" s="6">
        <f>Table1[[#This Row],[Revenue]]-Table1[[#This Row],[Disc_amount]]</f>
        <v>74.25</v>
      </c>
      <c r="P2478" t="s">
        <v>41</v>
      </c>
      <c r="Q2478" t="s">
        <v>34</v>
      </c>
    </row>
    <row r="2479" spans="1:17">
      <c r="A2479" t="s">
        <v>3330</v>
      </c>
      <c r="B2479" s="1" t="s">
        <v>752</v>
      </c>
      <c r="C2479" s="1" t="s">
        <v>3090</v>
      </c>
      <c r="D2479" s="1" t="s">
        <v>20</v>
      </c>
      <c r="E2479" t="s">
        <v>1279</v>
      </c>
      <c r="F2479" t="s">
        <v>355</v>
      </c>
      <c r="G2479" t="s">
        <v>56</v>
      </c>
      <c r="H2479" t="s">
        <v>70</v>
      </c>
      <c r="I2479" t="s">
        <v>71</v>
      </c>
      <c r="J2479">
        <v>4</v>
      </c>
      <c r="K2479">
        <v>349</v>
      </c>
      <c r="L2479">
        <f>Table1[[#This Row],[Quantity]] * Table1[[#This Row],[UnitPrice]]</f>
        <v>1396</v>
      </c>
      <c r="M2479" s="25">
        <v>20</v>
      </c>
      <c r="N2479">
        <f>Table1[[#This Row],[Revenue]]*Table1[[#This Row],[Discount%]]/100</f>
        <v>279.2</v>
      </c>
      <c r="O2479" s="6">
        <f>Table1[[#This Row],[Revenue]]-Table1[[#This Row],[Disc_amount]]</f>
        <v>1116.8</v>
      </c>
      <c r="P2479" t="s">
        <v>86</v>
      </c>
      <c r="Q2479" t="s">
        <v>27</v>
      </c>
    </row>
    <row r="2480" spans="1:17">
      <c r="A2480" t="s">
        <v>3331</v>
      </c>
      <c r="B2480" s="1" t="s">
        <v>752</v>
      </c>
      <c r="C2480" s="1" t="s">
        <v>3090</v>
      </c>
      <c r="D2480" s="1" t="s">
        <v>20</v>
      </c>
      <c r="E2480" t="s">
        <v>1385</v>
      </c>
      <c r="F2480" t="s">
        <v>153</v>
      </c>
      <c r="G2480" t="s">
        <v>45</v>
      </c>
      <c r="H2480" t="s">
        <v>46</v>
      </c>
      <c r="I2480" t="s">
        <v>47</v>
      </c>
      <c r="J2480">
        <v>1</v>
      </c>
      <c r="K2480">
        <v>249</v>
      </c>
      <c r="L2480">
        <f>Table1[[#This Row],[Quantity]] * Table1[[#This Row],[UnitPrice]]</f>
        <v>249</v>
      </c>
      <c r="M2480" s="25">
        <v>30</v>
      </c>
      <c r="N2480">
        <f>Table1[[#This Row],[Revenue]]*Table1[[#This Row],[Discount%]]/100</f>
        <v>74.7</v>
      </c>
      <c r="O2480" s="6">
        <f>Table1[[#This Row],[Revenue]]-Table1[[#This Row],[Disc_amount]]</f>
        <v>174.3</v>
      </c>
      <c r="P2480" t="s">
        <v>41</v>
      </c>
      <c r="Q2480" t="s">
        <v>34</v>
      </c>
    </row>
    <row r="2481" spans="1:17">
      <c r="A2481" t="s">
        <v>3332</v>
      </c>
      <c r="B2481" s="1" t="s">
        <v>752</v>
      </c>
      <c r="C2481" s="1" t="s">
        <v>3090</v>
      </c>
      <c r="D2481" s="1" t="s">
        <v>20</v>
      </c>
      <c r="E2481" t="s">
        <v>545</v>
      </c>
      <c r="F2481" t="s">
        <v>546</v>
      </c>
      <c r="G2481" t="s">
        <v>23</v>
      </c>
      <c r="H2481" t="s">
        <v>65</v>
      </c>
      <c r="I2481" t="s">
        <v>66</v>
      </c>
      <c r="J2481">
        <v>3</v>
      </c>
      <c r="K2481">
        <v>1999</v>
      </c>
      <c r="L2481">
        <f>Table1[[#This Row],[Quantity]] * Table1[[#This Row],[UnitPrice]]</f>
        <v>5997</v>
      </c>
      <c r="M2481" s="25">
        <v>5</v>
      </c>
      <c r="N2481">
        <f>Table1[[#This Row],[Revenue]]*Table1[[#This Row],[Discount%]]/100</f>
        <v>299.85000000000002</v>
      </c>
      <c r="O2481" s="6">
        <f>Table1[[#This Row],[Revenue]]-Table1[[#This Row],[Disc_amount]]</f>
        <v>5697.15</v>
      </c>
      <c r="P2481" t="s">
        <v>26</v>
      </c>
      <c r="Q2481" t="s">
        <v>27</v>
      </c>
    </row>
    <row r="2482" spans="1:17">
      <c r="A2482" t="s">
        <v>3333</v>
      </c>
      <c r="B2482" s="1" t="s">
        <v>752</v>
      </c>
      <c r="C2482" s="1" t="s">
        <v>3090</v>
      </c>
      <c r="D2482" s="1" t="s">
        <v>20</v>
      </c>
      <c r="E2482" t="s">
        <v>648</v>
      </c>
      <c r="F2482" t="s">
        <v>213</v>
      </c>
      <c r="G2482" t="s">
        <v>23</v>
      </c>
      <c r="H2482" t="s">
        <v>39</v>
      </c>
      <c r="I2482" t="s">
        <v>51</v>
      </c>
      <c r="J2482">
        <v>2</v>
      </c>
      <c r="K2482">
        <v>2999</v>
      </c>
      <c r="L2482">
        <f>Table1[[#This Row],[Quantity]] * Table1[[#This Row],[UnitPrice]]</f>
        <v>5998</v>
      </c>
      <c r="M2482" s="25">
        <v>25</v>
      </c>
      <c r="N2482">
        <f>Table1[[#This Row],[Revenue]]*Table1[[#This Row],[Discount%]]/100</f>
        <v>1499.5</v>
      </c>
      <c r="O2482" s="6">
        <f>Table1[[#This Row],[Revenue]]-Table1[[#This Row],[Disc_amount]]</f>
        <v>4498.5</v>
      </c>
      <c r="P2482" t="s">
        <v>41</v>
      </c>
      <c r="Q2482" t="s">
        <v>27</v>
      </c>
    </row>
    <row r="2483" spans="1:17">
      <c r="A2483" t="s">
        <v>3334</v>
      </c>
      <c r="B2483" s="1" t="s">
        <v>752</v>
      </c>
      <c r="C2483" s="1" t="s">
        <v>3090</v>
      </c>
      <c r="D2483" s="1" t="s">
        <v>20</v>
      </c>
      <c r="E2483" t="s">
        <v>1176</v>
      </c>
      <c r="F2483" t="s">
        <v>173</v>
      </c>
      <c r="G2483" t="s">
        <v>56</v>
      </c>
      <c r="H2483" t="s">
        <v>70</v>
      </c>
      <c r="I2483" t="s">
        <v>91</v>
      </c>
      <c r="J2483">
        <v>1</v>
      </c>
      <c r="K2483">
        <v>549</v>
      </c>
      <c r="L2483">
        <f>Table1[[#This Row],[Quantity]] * Table1[[#This Row],[UnitPrice]]</f>
        <v>549</v>
      </c>
      <c r="M2483" s="25">
        <v>30</v>
      </c>
      <c r="N2483">
        <f>Table1[[#This Row],[Revenue]]*Table1[[#This Row],[Discount%]]/100</f>
        <v>164.7</v>
      </c>
      <c r="O2483" s="6">
        <f>Table1[[#This Row],[Revenue]]-Table1[[#This Row],[Disc_amount]]</f>
        <v>384.3</v>
      </c>
      <c r="P2483" t="s">
        <v>52</v>
      </c>
      <c r="Q2483" t="s">
        <v>27</v>
      </c>
    </row>
    <row r="2484" spans="1:17">
      <c r="A2484" t="s">
        <v>3335</v>
      </c>
      <c r="B2484" s="1" t="s">
        <v>752</v>
      </c>
      <c r="C2484" s="1" t="s">
        <v>3090</v>
      </c>
      <c r="D2484" s="1" t="s">
        <v>20</v>
      </c>
      <c r="E2484" t="s">
        <v>169</v>
      </c>
      <c r="F2484" t="s">
        <v>170</v>
      </c>
      <c r="G2484" t="s">
        <v>38</v>
      </c>
      <c r="H2484" t="s">
        <v>57</v>
      </c>
      <c r="I2484" t="s">
        <v>58</v>
      </c>
      <c r="J2484">
        <v>2</v>
      </c>
      <c r="K2484">
        <v>1299</v>
      </c>
      <c r="L2484">
        <f>Table1[[#This Row],[Quantity]] * Table1[[#This Row],[UnitPrice]]</f>
        <v>2598</v>
      </c>
      <c r="M2484" s="25">
        <v>30</v>
      </c>
      <c r="N2484">
        <f>Table1[[#This Row],[Revenue]]*Table1[[#This Row],[Discount%]]/100</f>
        <v>779.4</v>
      </c>
      <c r="O2484" s="6">
        <f>Table1[[#This Row],[Revenue]]-Table1[[#This Row],[Disc_amount]]</f>
        <v>1818.6</v>
      </c>
      <c r="P2484" t="s">
        <v>86</v>
      </c>
      <c r="Q2484" t="s">
        <v>27</v>
      </c>
    </row>
    <row r="2485" spans="1:17">
      <c r="A2485" t="s">
        <v>3336</v>
      </c>
      <c r="B2485" s="1" t="s">
        <v>752</v>
      </c>
      <c r="C2485" s="1" t="s">
        <v>3090</v>
      </c>
      <c r="D2485" s="1" t="s">
        <v>20</v>
      </c>
      <c r="E2485" t="s">
        <v>2042</v>
      </c>
      <c r="F2485" t="s">
        <v>160</v>
      </c>
      <c r="G2485" t="s">
        <v>45</v>
      </c>
      <c r="H2485" t="s">
        <v>70</v>
      </c>
      <c r="I2485" t="s">
        <v>71</v>
      </c>
      <c r="J2485">
        <v>1</v>
      </c>
      <c r="K2485">
        <v>349</v>
      </c>
      <c r="L2485">
        <f>Table1[[#This Row],[Quantity]] * Table1[[#This Row],[UnitPrice]]</f>
        <v>349</v>
      </c>
      <c r="M2485" s="25">
        <v>25</v>
      </c>
      <c r="N2485">
        <f>Table1[[#This Row],[Revenue]]*Table1[[#This Row],[Discount%]]/100</f>
        <v>87.25</v>
      </c>
      <c r="O2485" s="6">
        <f>Table1[[#This Row],[Revenue]]-Table1[[#This Row],[Disc_amount]]</f>
        <v>261.75</v>
      </c>
      <c r="P2485" t="s">
        <v>41</v>
      </c>
      <c r="Q2485" t="s">
        <v>27</v>
      </c>
    </row>
    <row r="2486" spans="1:17">
      <c r="A2486" t="s">
        <v>3337</v>
      </c>
      <c r="B2486" s="1" t="s">
        <v>752</v>
      </c>
      <c r="C2486" s="1" t="s">
        <v>3090</v>
      </c>
      <c r="D2486" s="1" t="s">
        <v>20</v>
      </c>
      <c r="E2486" t="s">
        <v>946</v>
      </c>
      <c r="F2486" t="s">
        <v>947</v>
      </c>
      <c r="G2486" t="s">
        <v>31</v>
      </c>
      <c r="H2486" t="s">
        <v>39</v>
      </c>
      <c r="I2486" t="s">
        <v>40</v>
      </c>
      <c r="J2486">
        <v>1</v>
      </c>
      <c r="K2486">
        <v>599</v>
      </c>
      <c r="L2486">
        <f>Table1[[#This Row],[Quantity]] * Table1[[#This Row],[UnitPrice]]</f>
        <v>599</v>
      </c>
      <c r="M2486" s="25">
        <v>25</v>
      </c>
      <c r="N2486">
        <f>Table1[[#This Row],[Revenue]]*Table1[[#This Row],[Discount%]]/100</f>
        <v>149.75</v>
      </c>
      <c r="O2486" s="6">
        <f>Table1[[#This Row],[Revenue]]-Table1[[#This Row],[Disc_amount]]</f>
        <v>449.25</v>
      </c>
      <c r="P2486" t="s">
        <v>26</v>
      </c>
      <c r="Q2486" t="s">
        <v>27</v>
      </c>
    </row>
    <row r="2487" spans="1:17">
      <c r="A2487" t="s">
        <v>3338</v>
      </c>
      <c r="B2487" s="1" t="s">
        <v>752</v>
      </c>
      <c r="C2487" s="1" t="s">
        <v>3090</v>
      </c>
      <c r="D2487" s="1" t="s">
        <v>20</v>
      </c>
      <c r="E2487" t="s">
        <v>1118</v>
      </c>
      <c r="F2487" t="s">
        <v>784</v>
      </c>
      <c r="G2487" t="s">
        <v>38</v>
      </c>
      <c r="H2487" t="s">
        <v>65</v>
      </c>
      <c r="I2487" t="s">
        <v>94</v>
      </c>
      <c r="J2487">
        <v>1</v>
      </c>
      <c r="K2487">
        <v>899</v>
      </c>
      <c r="L2487">
        <f>Table1[[#This Row],[Quantity]] * Table1[[#This Row],[UnitPrice]]</f>
        <v>899</v>
      </c>
      <c r="M2487" s="25">
        <v>15</v>
      </c>
      <c r="N2487">
        <f>Table1[[#This Row],[Revenue]]*Table1[[#This Row],[Discount%]]/100</f>
        <v>134.85</v>
      </c>
      <c r="O2487" s="6">
        <f>Table1[[#This Row],[Revenue]]-Table1[[#This Row],[Disc_amount]]</f>
        <v>764.15</v>
      </c>
      <c r="P2487" t="s">
        <v>33</v>
      </c>
      <c r="Q2487" t="s">
        <v>34</v>
      </c>
    </row>
    <row r="2488" spans="1:17">
      <c r="A2488" t="s">
        <v>3339</v>
      </c>
      <c r="B2488" s="1" t="s">
        <v>752</v>
      </c>
      <c r="C2488" s="1" t="s">
        <v>3090</v>
      </c>
      <c r="D2488" s="1" t="s">
        <v>20</v>
      </c>
      <c r="E2488" t="s">
        <v>1318</v>
      </c>
      <c r="F2488" t="s">
        <v>470</v>
      </c>
      <c r="G2488" t="s">
        <v>31</v>
      </c>
      <c r="H2488" t="s">
        <v>108</v>
      </c>
      <c r="I2488" t="s">
        <v>109</v>
      </c>
      <c r="J2488">
        <v>2</v>
      </c>
      <c r="K2488">
        <v>1499</v>
      </c>
      <c r="L2488">
        <f>Table1[[#This Row],[Quantity]] * Table1[[#This Row],[UnitPrice]]</f>
        <v>2998</v>
      </c>
      <c r="M2488" s="25">
        <v>20</v>
      </c>
      <c r="N2488">
        <f>Table1[[#This Row],[Revenue]]*Table1[[#This Row],[Discount%]]/100</f>
        <v>599.6</v>
      </c>
      <c r="O2488" s="6">
        <f>Table1[[#This Row],[Revenue]]-Table1[[#This Row],[Disc_amount]]</f>
        <v>2398.4</v>
      </c>
      <c r="P2488" t="s">
        <v>41</v>
      </c>
      <c r="Q2488" t="s">
        <v>27</v>
      </c>
    </row>
    <row r="2489" spans="1:17">
      <c r="A2489" t="s">
        <v>3340</v>
      </c>
      <c r="B2489" s="1" t="s">
        <v>765</v>
      </c>
      <c r="C2489" s="1" t="s">
        <v>3090</v>
      </c>
      <c r="D2489" s="1" t="s">
        <v>20</v>
      </c>
      <c r="E2489" t="s">
        <v>931</v>
      </c>
      <c r="F2489" t="s">
        <v>115</v>
      </c>
      <c r="G2489" t="s">
        <v>31</v>
      </c>
      <c r="H2489" t="s">
        <v>65</v>
      </c>
      <c r="I2489" t="s">
        <v>66</v>
      </c>
      <c r="J2489">
        <v>1</v>
      </c>
      <c r="K2489">
        <v>1999</v>
      </c>
      <c r="L2489">
        <f>Table1[[#This Row],[Quantity]] * Table1[[#This Row],[UnitPrice]]</f>
        <v>1999</v>
      </c>
      <c r="M2489" s="25">
        <v>30</v>
      </c>
      <c r="N2489">
        <f>Table1[[#This Row],[Revenue]]*Table1[[#This Row],[Discount%]]/100</f>
        <v>599.70000000000005</v>
      </c>
      <c r="O2489" s="6">
        <f>Table1[[#This Row],[Revenue]]-Table1[[#This Row],[Disc_amount]]</f>
        <v>1399.3</v>
      </c>
      <c r="P2489" t="s">
        <v>26</v>
      </c>
      <c r="Q2489" t="s">
        <v>27</v>
      </c>
    </row>
    <row r="2490" spans="1:17">
      <c r="A2490" t="s">
        <v>3341</v>
      </c>
      <c r="B2490" s="1" t="s">
        <v>765</v>
      </c>
      <c r="C2490" s="1" t="s">
        <v>3090</v>
      </c>
      <c r="D2490" s="1" t="s">
        <v>20</v>
      </c>
      <c r="E2490" t="s">
        <v>1237</v>
      </c>
      <c r="F2490" t="s">
        <v>173</v>
      </c>
      <c r="G2490" t="s">
        <v>56</v>
      </c>
      <c r="H2490" t="s">
        <v>39</v>
      </c>
      <c r="I2490" t="s">
        <v>140</v>
      </c>
      <c r="J2490">
        <v>1</v>
      </c>
      <c r="K2490">
        <v>1799</v>
      </c>
      <c r="L2490">
        <f>Table1[[#This Row],[Quantity]] * Table1[[#This Row],[UnitPrice]]</f>
        <v>1799</v>
      </c>
      <c r="M2490" s="25">
        <v>15</v>
      </c>
      <c r="N2490">
        <f>Table1[[#This Row],[Revenue]]*Table1[[#This Row],[Discount%]]/100</f>
        <v>269.85000000000002</v>
      </c>
      <c r="O2490" s="6">
        <f>Table1[[#This Row],[Revenue]]-Table1[[#This Row],[Disc_amount]]</f>
        <v>1529.15</v>
      </c>
      <c r="P2490" t="s">
        <v>41</v>
      </c>
      <c r="Q2490" t="s">
        <v>27</v>
      </c>
    </row>
    <row r="2491" spans="1:17">
      <c r="A2491" t="s">
        <v>3342</v>
      </c>
      <c r="B2491" s="1" t="s">
        <v>765</v>
      </c>
      <c r="C2491" s="1" t="s">
        <v>3090</v>
      </c>
      <c r="D2491" s="1" t="s">
        <v>20</v>
      </c>
      <c r="E2491" t="s">
        <v>977</v>
      </c>
      <c r="F2491" t="s">
        <v>209</v>
      </c>
      <c r="G2491" t="s">
        <v>38</v>
      </c>
      <c r="H2491" t="s">
        <v>70</v>
      </c>
      <c r="I2491" t="s">
        <v>71</v>
      </c>
      <c r="J2491">
        <v>4</v>
      </c>
      <c r="K2491">
        <v>349</v>
      </c>
      <c r="L2491">
        <f>Table1[[#This Row],[Quantity]] * Table1[[#This Row],[UnitPrice]]</f>
        <v>1396</v>
      </c>
      <c r="M2491" s="25">
        <v>25</v>
      </c>
      <c r="N2491">
        <f>Table1[[#This Row],[Revenue]]*Table1[[#This Row],[Discount%]]/100</f>
        <v>349</v>
      </c>
      <c r="O2491" s="6">
        <f>Table1[[#This Row],[Revenue]]-Table1[[#This Row],[Disc_amount]]</f>
        <v>1047</v>
      </c>
      <c r="P2491" t="s">
        <v>33</v>
      </c>
      <c r="Q2491" t="s">
        <v>27</v>
      </c>
    </row>
    <row r="2492" spans="1:17">
      <c r="A2492" t="s">
        <v>3343</v>
      </c>
      <c r="B2492" s="1" t="s">
        <v>765</v>
      </c>
      <c r="C2492" s="1" t="s">
        <v>3090</v>
      </c>
      <c r="D2492" s="1" t="s">
        <v>20</v>
      </c>
      <c r="E2492" t="s">
        <v>286</v>
      </c>
      <c r="F2492" t="s">
        <v>287</v>
      </c>
      <c r="G2492" t="s">
        <v>31</v>
      </c>
      <c r="H2492" t="s">
        <v>108</v>
      </c>
      <c r="I2492" t="s">
        <v>130</v>
      </c>
      <c r="J2492">
        <v>2</v>
      </c>
      <c r="K2492">
        <v>699</v>
      </c>
      <c r="L2492">
        <f>Table1[[#This Row],[Quantity]] * Table1[[#This Row],[UnitPrice]]</f>
        <v>1398</v>
      </c>
      <c r="M2492" s="25">
        <v>15</v>
      </c>
      <c r="N2492">
        <f>Table1[[#This Row],[Revenue]]*Table1[[#This Row],[Discount%]]/100</f>
        <v>209.7</v>
      </c>
      <c r="O2492" s="6">
        <f>Table1[[#This Row],[Revenue]]-Table1[[#This Row],[Disc_amount]]</f>
        <v>1188.3</v>
      </c>
      <c r="P2492" t="s">
        <v>26</v>
      </c>
      <c r="Q2492" t="s">
        <v>27</v>
      </c>
    </row>
    <row r="2493" spans="1:17">
      <c r="A2493" t="s">
        <v>3344</v>
      </c>
      <c r="B2493" s="1" t="s">
        <v>765</v>
      </c>
      <c r="C2493" s="1" t="s">
        <v>3090</v>
      </c>
      <c r="D2493" s="1" t="s">
        <v>20</v>
      </c>
      <c r="E2493" t="s">
        <v>755</v>
      </c>
      <c r="F2493" t="s">
        <v>756</v>
      </c>
      <c r="G2493" t="s">
        <v>23</v>
      </c>
      <c r="H2493" t="s">
        <v>108</v>
      </c>
      <c r="I2493" t="s">
        <v>109</v>
      </c>
      <c r="J2493">
        <v>2</v>
      </c>
      <c r="K2493">
        <v>1499</v>
      </c>
      <c r="L2493">
        <f>Table1[[#This Row],[Quantity]] * Table1[[#This Row],[UnitPrice]]</f>
        <v>2998</v>
      </c>
      <c r="M2493" s="25">
        <v>25</v>
      </c>
      <c r="N2493">
        <f>Table1[[#This Row],[Revenue]]*Table1[[#This Row],[Discount%]]/100</f>
        <v>749.5</v>
      </c>
      <c r="O2493" s="6">
        <f>Table1[[#This Row],[Revenue]]-Table1[[#This Row],[Disc_amount]]</f>
        <v>2248.5</v>
      </c>
      <c r="P2493" t="s">
        <v>41</v>
      </c>
      <c r="Q2493" t="s">
        <v>27</v>
      </c>
    </row>
    <row r="2494" spans="1:17">
      <c r="A2494" t="s">
        <v>3345</v>
      </c>
      <c r="B2494" s="1" t="s">
        <v>765</v>
      </c>
      <c r="C2494" s="1" t="s">
        <v>3090</v>
      </c>
      <c r="D2494" s="1" t="s">
        <v>20</v>
      </c>
      <c r="E2494" t="s">
        <v>832</v>
      </c>
      <c r="F2494" t="s">
        <v>166</v>
      </c>
      <c r="G2494" t="s">
        <v>38</v>
      </c>
      <c r="H2494" t="s">
        <v>70</v>
      </c>
      <c r="I2494" t="s">
        <v>71</v>
      </c>
      <c r="J2494">
        <v>3</v>
      </c>
      <c r="K2494">
        <v>349</v>
      </c>
      <c r="L2494">
        <f>Table1[[#This Row],[Quantity]] * Table1[[#This Row],[UnitPrice]]</f>
        <v>1047</v>
      </c>
      <c r="M2494" s="25">
        <v>20</v>
      </c>
      <c r="N2494">
        <f>Table1[[#This Row],[Revenue]]*Table1[[#This Row],[Discount%]]/100</f>
        <v>209.4</v>
      </c>
      <c r="O2494" s="6">
        <f>Table1[[#This Row],[Revenue]]-Table1[[#This Row],[Disc_amount]]</f>
        <v>837.6</v>
      </c>
      <c r="P2494" t="s">
        <v>26</v>
      </c>
      <c r="Q2494" t="s">
        <v>27</v>
      </c>
    </row>
    <row r="2495" spans="1:17">
      <c r="A2495" t="s">
        <v>3346</v>
      </c>
      <c r="B2495" s="1" t="s">
        <v>765</v>
      </c>
      <c r="C2495" s="1" t="s">
        <v>3090</v>
      </c>
      <c r="D2495" s="1" t="s">
        <v>20</v>
      </c>
      <c r="E2495" t="s">
        <v>817</v>
      </c>
      <c r="F2495" t="s">
        <v>150</v>
      </c>
      <c r="G2495" t="s">
        <v>23</v>
      </c>
      <c r="H2495" t="s">
        <v>46</v>
      </c>
      <c r="I2495" t="s">
        <v>47</v>
      </c>
      <c r="J2495">
        <v>1</v>
      </c>
      <c r="K2495">
        <v>249</v>
      </c>
      <c r="L2495">
        <f>Table1[[#This Row],[Quantity]] * Table1[[#This Row],[UnitPrice]]</f>
        <v>249</v>
      </c>
      <c r="M2495" s="25">
        <v>25</v>
      </c>
      <c r="N2495">
        <f>Table1[[#This Row],[Revenue]]*Table1[[#This Row],[Discount%]]/100</f>
        <v>62.25</v>
      </c>
      <c r="O2495" s="6">
        <f>Table1[[#This Row],[Revenue]]-Table1[[#This Row],[Disc_amount]]</f>
        <v>186.75</v>
      </c>
      <c r="P2495" t="s">
        <v>33</v>
      </c>
      <c r="Q2495" t="s">
        <v>34</v>
      </c>
    </row>
    <row r="2496" spans="1:17">
      <c r="A2496" t="s">
        <v>3347</v>
      </c>
      <c r="B2496" s="1" t="s">
        <v>765</v>
      </c>
      <c r="C2496" s="1" t="s">
        <v>3090</v>
      </c>
      <c r="D2496" s="1" t="s">
        <v>20</v>
      </c>
      <c r="E2496" t="s">
        <v>68</v>
      </c>
      <c r="F2496" t="s">
        <v>69</v>
      </c>
      <c r="G2496" t="s">
        <v>23</v>
      </c>
      <c r="H2496" t="s">
        <v>65</v>
      </c>
      <c r="I2496" t="s">
        <v>66</v>
      </c>
      <c r="J2496">
        <v>2</v>
      </c>
      <c r="K2496">
        <v>1999</v>
      </c>
      <c r="L2496">
        <f>Table1[[#This Row],[Quantity]] * Table1[[#This Row],[UnitPrice]]</f>
        <v>3998</v>
      </c>
      <c r="M2496" s="25">
        <v>0</v>
      </c>
      <c r="N2496">
        <f>Table1[[#This Row],[Revenue]]*Table1[[#This Row],[Discount%]]/100</f>
        <v>0</v>
      </c>
      <c r="O2496" s="6">
        <f>Table1[[#This Row],[Revenue]]-Table1[[#This Row],[Disc_amount]]</f>
        <v>3998</v>
      </c>
      <c r="P2496" t="s">
        <v>26</v>
      </c>
      <c r="Q2496" t="s">
        <v>34</v>
      </c>
    </row>
    <row r="2497" spans="1:17">
      <c r="A2497" t="s">
        <v>3348</v>
      </c>
      <c r="B2497" s="1" t="s">
        <v>765</v>
      </c>
      <c r="C2497" s="1" t="s">
        <v>3090</v>
      </c>
      <c r="D2497" s="1" t="s">
        <v>20</v>
      </c>
      <c r="E2497" t="s">
        <v>776</v>
      </c>
      <c r="F2497" t="s">
        <v>153</v>
      </c>
      <c r="G2497" t="s">
        <v>31</v>
      </c>
      <c r="H2497" t="s">
        <v>46</v>
      </c>
      <c r="I2497" t="s">
        <v>47</v>
      </c>
      <c r="J2497">
        <v>1</v>
      </c>
      <c r="K2497">
        <v>249</v>
      </c>
      <c r="L2497">
        <f>Table1[[#This Row],[Quantity]] * Table1[[#This Row],[UnitPrice]]</f>
        <v>249</v>
      </c>
      <c r="M2497" s="25">
        <v>0</v>
      </c>
      <c r="N2497">
        <f>Table1[[#This Row],[Revenue]]*Table1[[#This Row],[Discount%]]/100</f>
        <v>0</v>
      </c>
      <c r="O2497" s="6">
        <f>Table1[[#This Row],[Revenue]]-Table1[[#This Row],[Disc_amount]]</f>
        <v>249</v>
      </c>
      <c r="P2497" t="s">
        <v>33</v>
      </c>
      <c r="Q2497" t="s">
        <v>27</v>
      </c>
    </row>
    <row r="2498" spans="1:17">
      <c r="A2498" t="s">
        <v>3349</v>
      </c>
      <c r="B2498" s="1" t="s">
        <v>765</v>
      </c>
      <c r="C2498" s="1" t="s">
        <v>3090</v>
      </c>
      <c r="D2498" s="1" t="s">
        <v>20</v>
      </c>
      <c r="E2498" t="s">
        <v>974</v>
      </c>
      <c r="F2498" t="s">
        <v>879</v>
      </c>
      <c r="G2498" t="s">
        <v>56</v>
      </c>
      <c r="H2498" t="s">
        <v>46</v>
      </c>
      <c r="I2498" t="s">
        <v>154</v>
      </c>
      <c r="J2498">
        <v>3</v>
      </c>
      <c r="K2498">
        <v>299</v>
      </c>
      <c r="L2498">
        <f>Table1[[#This Row],[Quantity]] * Table1[[#This Row],[UnitPrice]]</f>
        <v>897</v>
      </c>
      <c r="M2498" s="25">
        <v>25</v>
      </c>
      <c r="N2498">
        <f>Table1[[#This Row],[Revenue]]*Table1[[#This Row],[Discount%]]/100</f>
        <v>224.25</v>
      </c>
      <c r="O2498" s="6">
        <f>Table1[[#This Row],[Revenue]]-Table1[[#This Row],[Disc_amount]]</f>
        <v>672.75</v>
      </c>
      <c r="P2498" t="s">
        <v>33</v>
      </c>
      <c r="Q2498" t="s">
        <v>27</v>
      </c>
    </row>
    <row r="2499" spans="1:17">
      <c r="A2499" t="s">
        <v>3350</v>
      </c>
      <c r="B2499" s="1" t="s">
        <v>775</v>
      </c>
      <c r="C2499" s="1" t="s">
        <v>3090</v>
      </c>
      <c r="D2499" s="1" t="s">
        <v>20</v>
      </c>
      <c r="E2499" t="s">
        <v>1567</v>
      </c>
      <c r="F2499" t="s">
        <v>143</v>
      </c>
      <c r="G2499" t="s">
        <v>23</v>
      </c>
      <c r="H2499" t="s">
        <v>39</v>
      </c>
      <c r="I2499" t="s">
        <v>40</v>
      </c>
      <c r="J2499">
        <v>2</v>
      </c>
      <c r="K2499">
        <v>599</v>
      </c>
      <c r="L2499">
        <f>Table1[[#This Row],[Quantity]] * Table1[[#This Row],[UnitPrice]]</f>
        <v>1198</v>
      </c>
      <c r="M2499" s="25">
        <v>25</v>
      </c>
      <c r="N2499">
        <f>Table1[[#This Row],[Revenue]]*Table1[[#This Row],[Discount%]]/100</f>
        <v>299.5</v>
      </c>
      <c r="O2499" s="6">
        <f>Table1[[#This Row],[Revenue]]-Table1[[#This Row],[Disc_amount]]</f>
        <v>898.5</v>
      </c>
      <c r="P2499" t="s">
        <v>41</v>
      </c>
      <c r="Q2499" t="s">
        <v>34</v>
      </c>
    </row>
    <row r="2500" spans="1:17">
      <c r="A2500" t="s">
        <v>3351</v>
      </c>
      <c r="B2500" s="1" t="s">
        <v>775</v>
      </c>
      <c r="C2500" s="1" t="s">
        <v>3090</v>
      </c>
      <c r="D2500" s="1" t="s">
        <v>20</v>
      </c>
      <c r="E2500" t="s">
        <v>1298</v>
      </c>
      <c r="F2500" t="s">
        <v>384</v>
      </c>
      <c r="G2500" t="s">
        <v>38</v>
      </c>
      <c r="H2500" t="s">
        <v>39</v>
      </c>
      <c r="I2500" t="s">
        <v>51</v>
      </c>
      <c r="J2500">
        <v>3</v>
      </c>
      <c r="K2500">
        <v>2999</v>
      </c>
      <c r="L2500">
        <f>Table1[[#This Row],[Quantity]] * Table1[[#This Row],[UnitPrice]]</f>
        <v>8997</v>
      </c>
      <c r="M2500" s="25">
        <v>25</v>
      </c>
      <c r="N2500">
        <f>Table1[[#This Row],[Revenue]]*Table1[[#This Row],[Discount%]]/100</f>
        <v>2249.25</v>
      </c>
      <c r="O2500" s="6">
        <f>Table1[[#This Row],[Revenue]]-Table1[[#This Row],[Disc_amount]]</f>
        <v>6747.75</v>
      </c>
      <c r="P2500" t="s">
        <v>52</v>
      </c>
      <c r="Q2500" t="s">
        <v>27</v>
      </c>
    </row>
    <row r="2501" spans="1:17">
      <c r="A2501" t="s">
        <v>3352</v>
      </c>
      <c r="B2501" s="1" t="s">
        <v>775</v>
      </c>
      <c r="C2501" s="1" t="s">
        <v>3090</v>
      </c>
      <c r="D2501" s="1" t="s">
        <v>20</v>
      </c>
      <c r="E2501" t="s">
        <v>138</v>
      </c>
      <c r="F2501" t="s">
        <v>139</v>
      </c>
      <c r="G2501" t="s">
        <v>45</v>
      </c>
      <c r="H2501" t="s">
        <v>108</v>
      </c>
      <c r="I2501" t="s">
        <v>109</v>
      </c>
      <c r="J2501">
        <v>3</v>
      </c>
      <c r="K2501">
        <v>1499</v>
      </c>
      <c r="L2501">
        <f>Table1[[#This Row],[Quantity]] * Table1[[#This Row],[UnitPrice]]</f>
        <v>4497</v>
      </c>
      <c r="M2501" s="25">
        <v>15</v>
      </c>
      <c r="N2501">
        <f>Table1[[#This Row],[Revenue]]*Table1[[#This Row],[Discount%]]/100</f>
        <v>674.55</v>
      </c>
      <c r="O2501" s="6">
        <f>Table1[[#This Row],[Revenue]]-Table1[[#This Row],[Disc_amount]]</f>
        <v>3822.45</v>
      </c>
      <c r="P2501" t="s">
        <v>26</v>
      </c>
      <c r="Q2501" t="s">
        <v>27</v>
      </c>
    </row>
    <row r="2502" spans="1:17">
      <c r="A2502" t="s">
        <v>3353</v>
      </c>
      <c r="B2502" s="1" t="s">
        <v>775</v>
      </c>
      <c r="C2502" s="1" t="s">
        <v>3090</v>
      </c>
      <c r="D2502" s="1" t="s">
        <v>20</v>
      </c>
      <c r="E2502" t="s">
        <v>152</v>
      </c>
      <c r="F2502" t="s">
        <v>153</v>
      </c>
      <c r="G2502" t="s">
        <v>38</v>
      </c>
      <c r="H2502" t="s">
        <v>65</v>
      </c>
      <c r="I2502" t="s">
        <v>94</v>
      </c>
      <c r="J2502">
        <v>1</v>
      </c>
      <c r="K2502">
        <v>899</v>
      </c>
      <c r="L2502">
        <f>Table1[[#This Row],[Quantity]] * Table1[[#This Row],[UnitPrice]]</f>
        <v>899</v>
      </c>
      <c r="M2502" s="25">
        <v>5</v>
      </c>
      <c r="N2502">
        <f>Table1[[#This Row],[Revenue]]*Table1[[#This Row],[Discount%]]/100</f>
        <v>44.95</v>
      </c>
      <c r="O2502" s="6">
        <f>Table1[[#This Row],[Revenue]]-Table1[[#This Row],[Disc_amount]]</f>
        <v>854.05</v>
      </c>
      <c r="P2502" t="s">
        <v>33</v>
      </c>
      <c r="Q2502" t="s">
        <v>27</v>
      </c>
    </row>
    <row r="2503" spans="1:17">
      <c r="A2503" t="s">
        <v>3354</v>
      </c>
      <c r="B2503" s="1" t="s">
        <v>775</v>
      </c>
      <c r="C2503" s="1" t="s">
        <v>3090</v>
      </c>
      <c r="D2503" s="1" t="s">
        <v>20</v>
      </c>
      <c r="E2503" t="s">
        <v>2177</v>
      </c>
      <c r="F2503" t="s">
        <v>203</v>
      </c>
      <c r="G2503" t="s">
        <v>23</v>
      </c>
      <c r="H2503" t="s">
        <v>57</v>
      </c>
      <c r="I2503" t="s">
        <v>58</v>
      </c>
      <c r="J2503">
        <v>1</v>
      </c>
      <c r="K2503">
        <v>1299</v>
      </c>
      <c r="L2503">
        <f>Table1[[#This Row],[Quantity]] * Table1[[#This Row],[UnitPrice]]</f>
        <v>1299</v>
      </c>
      <c r="M2503" s="25">
        <v>20</v>
      </c>
      <c r="N2503">
        <f>Table1[[#This Row],[Revenue]]*Table1[[#This Row],[Discount%]]/100</f>
        <v>259.8</v>
      </c>
      <c r="O2503" s="6">
        <f>Table1[[#This Row],[Revenue]]-Table1[[#This Row],[Disc_amount]]</f>
        <v>1039.2</v>
      </c>
      <c r="P2503" t="s">
        <v>26</v>
      </c>
      <c r="Q2503" t="s">
        <v>27</v>
      </c>
    </row>
    <row r="2504" spans="1:17">
      <c r="A2504" t="s">
        <v>3355</v>
      </c>
      <c r="B2504" s="1" t="s">
        <v>775</v>
      </c>
      <c r="C2504" s="1" t="s">
        <v>3090</v>
      </c>
      <c r="D2504" s="1" t="s">
        <v>20</v>
      </c>
      <c r="E2504" t="s">
        <v>484</v>
      </c>
      <c r="F2504" t="s">
        <v>485</v>
      </c>
      <c r="G2504" t="s">
        <v>31</v>
      </c>
      <c r="H2504" t="s">
        <v>39</v>
      </c>
      <c r="I2504" t="s">
        <v>51</v>
      </c>
      <c r="J2504">
        <v>1</v>
      </c>
      <c r="K2504">
        <v>2999</v>
      </c>
      <c r="L2504">
        <f>Table1[[#This Row],[Quantity]] * Table1[[#This Row],[UnitPrice]]</f>
        <v>2999</v>
      </c>
      <c r="M2504" s="25">
        <v>25</v>
      </c>
      <c r="N2504">
        <f>Table1[[#This Row],[Revenue]]*Table1[[#This Row],[Discount%]]/100</f>
        <v>749.75</v>
      </c>
      <c r="O2504" s="6">
        <f>Table1[[#This Row],[Revenue]]-Table1[[#This Row],[Disc_amount]]</f>
        <v>2249.25</v>
      </c>
      <c r="P2504" t="s">
        <v>41</v>
      </c>
      <c r="Q2504" t="s">
        <v>27</v>
      </c>
    </row>
    <row r="2505" spans="1:17">
      <c r="A2505" t="s">
        <v>3356</v>
      </c>
      <c r="B2505" s="1" t="s">
        <v>775</v>
      </c>
      <c r="C2505" s="1" t="s">
        <v>3090</v>
      </c>
      <c r="D2505" s="1" t="s">
        <v>20</v>
      </c>
      <c r="E2505" t="s">
        <v>392</v>
      </c>
      <c r="F2505" t="s">
        <v>236</v>
      </c>
      <c r="G2505" t="s">
        <v>45</v>
      </c>
      <c r="H2505" t="s">
        <v>70</v>
      </c>
      <c r="I2505" t="s">
        <v>71</v>
      </c>
      <c r="J2505">
        <v>4</v>
      </c>
      <c r="K2505">
        <v>349</v>
      </c>
      <c r="L2505">
        <f>Table1[[#This Row],[Quantity]] * Table1[[#This Row],[UnitPrice]]</f>
        <v>1396</v>
      </c>
      <c r="M2505" s="25">
        <v>10</v>
      </c>
      <c r="N2505">
        <f>Table1[[#This Row],[Revenue]]*Table1[[#This Row],[Discount%]]/100</f>
        <v>139.6</v>
      </c>
      <c r="O2505" s="6">
        <f>Table1[[#This Row],[Revenue]]-Table1[[#This Row],[Disc_amount]]</f>
        <v>1256.4000000000001</v>
      </c>
      <c r="P2505" t="s">
        <v>41</v>
      </c>
      <c r="Q2505" t="s">
        <v>27</v>
      </c>
    </row>
    <row r="2506" spans="1:17">
      <c r="A2506" t="s">
        <v>3357</v>
      </c>
      <c r="B2506" s="1" t="s">
        <v>786</v>
      </c>
      <c r="C2506" s="1" t="s">
        <v>3090</v>
      </c>
      <c r="D2506" s="1" t="s">
        <v>20</v>
      </c>
      <c r="E2506" t="s">
        <v>991</v>
      </c>
      <c r="F2506" t="s">
        <v>304</v>
      </c>
      <c r="G2506" t="s">
        <v>56</v>
      </c>
      <c r="H2506" t="s">
        <v>39</v>
      </c>
      <c r="I2506" t="s">
        <v>140</v>
      </c>
      <c r="J2506">
        <v>2</v>
      </c>
      <c r="K2506">
        <v>1799</v>
      </c>
      <c r="L2506">
        <f>Table1[[#This Row],[Quantity]] * Table1[[#This Row],[UnitPrice]]</f>
        <v>3598</v>
      </c>
      <c r="M2506" s="25">
        <v>30</v>
      </c>
      <c r="N2506">
        <f>Table1[[#This Row],[Revenue]]*Table1[[#This Row],[Discount%]]/100</f>
        <v>1079.4000000000001</v>
      </c>
      <c r="O2506" s="6">
        <f>Table1[[#This Row],[Revenue]]-Table1[[#This Row],[Disc_amount]]</f>
        <v>2518.6</v>
      </c>
      <c r="P2506" t="s">
        <v>33</v>
      </c>
      <c r="Q2506" t="s">
        <v>27</v>
      </c>
    </row>
    <row r="2507" spans="1:17">
      <c r="A2507" t="s">
        <v>3358</v>
      </c>
      <c r="B2507" s="1" t="s">
        <v>786</v>
      </c>
      <c r="C2507" s="1" t="s">
        <v>3090</v>
      </c>
      <c r="D2507" s="1" t="s">
        <v>20</v>
      </c>
      <c r="E2507" t="s">
        <v>552</v>
      </c>
      <c r="F2507" t="s">
        <v>553</v>
      </c>
      <c r="G2507" t="s">
        <v>56</v>
      </c>
      <c r="H2507" t="s">
        <v>65</v>
      </c>
      <c r="I2507" t="s">
        <v>66</v>
      </c>
      <c r="J2507">
        <v>1</v>
      </c>
      <c r="K2507">
        <v>1999</v>
      </c>
      <c r="L2507">
        <f>Table1[[#This Row],[Quantity]] * Table1[[#This Row],[UnitPrice]]</f>
        <v>1999</v>
      </c>
      <c r="M2507" s="25">
        <v>10</v>
      </c>
      <c r="N2507">
        <f>Table1[[#This Row],[Revenue]]*Table1[[#This Row],[Discount%]]/100</f>
        <v>199.9</v>
      </c>
      <c r="O2507" s="6">
        <f>Table1[[#This Row],[Revenue]]-Table1[[#This Row],[Disc_amount]]</f>
        <v>1799.1</v>
      </c>
      <c r="P2507" t="s">
        <v>26</v>
      </c>
      <c r="Q2507" t="s">
        <v>34</v>
      </c>
    </row>
    <row r="2508" spans="1:17">
      <c r="A2508" t="s">
        <v>3359</v>
      </c>
      <c r="B2508" s="1" t="s">
        <v>786</v>
      </c>
      <c r="C2508" s="1" t="s">
        <v>3090</v>
      </c>
      <c r="D2508" s="1" t="s">
        <v>20</v>
      </c>
      <c r="E2508" t="s">
        <v>475</v>
      </c>
      <c r="F2508" t="s">
        <v>80</v>
      </c>
      <c r="G2508" t="s">
        <v>56</v>
      </c>
      <c r="H2508" t="s">
        <v>24</v>
      </c>
      <c r="I2508" t="s">
        <v>25</v>
      </c>
      <c r="J2508">
        <v>2</v>
      </c>
      <c r="K2508">
        <v>99</v>
      </c>
      <c r="L2508">
        <f>Table1[[#This Row],[Quantity]] * Table1[[#This Row],[UnitPrice]]</f>
        <v>198</v>
      </c>
      <c r="M2508" s="25">
        <v>5</v>
      </c>
      <c r="N2508">
        <f>Table1[[#This Row],[Revenue]]*Table1[[#This Row],[Discount%]]/100</f>
        <v>9.9</v>
      </c>
      <c r="O2508" s="6">
        <f>Table1[[#This Row],[Revenue]]-Table1[[#This Row],[Disc_amount]]</f>
        <v>188.1</v>
      </c>
      <c r="P2508" t="s">
        <v>33</v>
      </c>
      <c r="Q2508" t="s">
        <v>27</v>
      </c>
    </row>
    <row r="2509" spans="1:17">
      <c r="A2509" t="s">
        <v>3360</v>
      </c>
      <c r="B2509" s="1" t="s">
        <v>786</v>
      </c>
      <c r="C2509" s="1" t="s">
        <v>3090</v>
      </c>
      <c r="D2509" s="1" t="s">
        <v>20</v>
      </c>
      <c r="E2509" t="s">
        <v>200</v>
      </c>
      <c r="F2509" t="s">
        <v>22</v>
      </c>
      <c r="G2509" t="s">
        <v>45</v>
      </c>
      <c r="H2509" t="s">
        <v>24</v>
      </c>
      <c r="I2509" t="s">
        <v>32</v>
      </c>
      <c r="J2509">
        <v>2</v>
      </c>
      <c r="K2509">
        <v>199</v>
      </c>
      <c r="L2509">
        <f>Table1[[#This Row],[Quantity]] * Table1[[#This Row],[UnitPrice]]</f>
        <v>398</v>
      </c>
      <c r="M2509" s="25">
        <v>25</v>
      </c>
      <c r="N2509">
        <f>Table1[[#This Row],[Revenue]]*Table1[[#This Row],[Discount%]]/100</f>
        <v>99.5</v>
      </c>
      <c r="O2509" s="6">
        <f>Table1[[#This Row],[Revenue]]-Table1[[#This Row],[Disc_amount]]</f>
        <v>298.5</v>
      </c>
      <c r="P2509" t="s">
        <v>33</v>
      </c>
      <c r="Q2509" t="s">
        <v>27</v>
      </c>
    </row>
    <row r="2510" spans="1:17">
      <c r="A2510" t="s">
        <v>3361</v>
      </c>
      <c r="B2510" s="1" t="s">
        <v>786</v>
      </c>
      <c r="C2510" s="1" t="s">
        <v>3090</v>
      </c>
      <c r="D2510" s="1" t="s">
        <v>20</v>
      </c>
      <c r="E2510" t="s">
        <v>347</v>
      </c>
      <c r="F2510" t="s">
        <v>348</v>
      </c>
      <c r="G2510" t="s">
        <v>45</v>
      </c>
      <c r="H2510" t="s">
        <v>46</v>
      </c>
      <c r="I2510" t="s">
        <v>154</v>
      </c>
      <c r="J2510">
        <v>2</v>
      </c>
      <c r="K2510">
        <v>299</v>
      </c>
      <c r="L2510">
        <f>Table1[[#This Row],[Quantity]] * Table1[[#This Row],[UnitPrice]]</f>
        <v>598</v>
      </c>
      <c r="M2510" s="25">
        <v>30</v>
      </c>
      <c r="N2510">
        <f>Table1[[#This Row],[Revenue]]*Table1[[#This Row],[Discount%]]/100</f>
        <v>179.4</v>
      </c>
      <c r="O2510" s="6">
        <f>Table1[[#This Row],[Revenue]]-Table1[[#This Row],[Disc_amount]]</f>
        <v>418.6</v>
      </c>
      <c r="P2510" t="s">
        <v>33</v>
      </c>
      <c r="Q2510" t="s">
        <v>34</v>
      </c>
    </row>
    <row r="2511" spans="1:17">
      <c r="A2511" t="s">
        <v>3362</v>
      </c>
      <c r="B2511" s="1" t="s">
        <v>786</v>
      </c>
      <c r="C2511" s="1" t="s">
        <v>3090</v>
      </c>
      <c r="D2511" s="1" t="s">
        <v>20</v>
      </c>
      <c r="E2511" t="s">
        <v>1051</v>
      </c>
      <c r="F2511" t="s">
        <v>462</v>
      </c>
      <c r="G2511" t="s">
        <v>31</v>
      </c>
      <c r="H2511" t="s">
        <v>39</v>
      </c>
      <c r="I2511" t="s">
        <v>40</v>
      </c>
      <c r="J2511">
        <v>2</v>
      </c>
      <c r="K2511">
        <v>599</v>
      </c>
      <c r="L2511">
        <f>Table1[[#This Row],[Quantity]] * Table1[[#This Row],[UnitPrice]]</f>
        <v>1198</v>
      </c>
      <c r="M2511" s="25">
        <v>15</v>
      </c>
      <c r="N2511">
        <f>Table1[[#This Row],[Revenue]]*Table1[[#This Row],[Discount%]]/100</f>
        <v>179.7</v>
      </c>
      <c r="O2511" s="6">
        <f>Table1[[#This Row],[Revenue]]-Table1[[#This Row],[Disc_amount]]</f>
        <v>1018.3</v>
      </c>
      <c r="P2511" t="s">
        <v>33</v>
      </c>
      <c r="Q2511" t="s">
        <v>27</v>
      </c>
    </row>
    <row r="2512" spans="1:17">
      <c r="A2512" t="s">
        <v>3363</v>
      </c>
      <c r="B2512" s="1" t="s">
        <v>786</v>
      </c>
      <c r="C2512" s="1" t="s">
        <v>3090</v>
      </c>
      <c r="D2512" s="1" t="s">
        <v>20</v>
      </c>
      <c r="E2512" t="s">
        <v>968</v>
      </c>
      <c r="F2512" t="s">
        <v>907</v>
      </c>
      <c r="G2512" t="s">
        <v>56</v>
      </c>
      <c r="H2512" t="s">
        <v>70</v>
      </c>
      <c r="I2512" t="s">
        <v>91</v>
      </c>
      <c r="J2512">
        <v>3</v>
      </c>
      <c r="K2512">
        <v>549</v>
      </c>
      <c r="L2512">
        <f>Table1[[#This Row],[Quantity]] * Table1[[#This Row],[UnitPrice]]</f>
        <v>1647</v>
      </c>
      <c r="M2512" s="25">
        <v>5</v>
      </c>
      <c r="N2512">
        <f>Table1[[#This Row],[Revenue]]*Table1[[#This Row],[Discount%]]/100</f>
        <v>82.35</v>
      </c>
      <c r="O2512" s="6">
        <f>Table1[[#This Row],[Revenue]]-Table1[[#This Row],[Disc_amount]]</f>
        <v>1564.65</v>
      </c>
      <c r="P2512" t="s">
        <v>41</v>
      </c>
      <c r="Q2512" t="s">
        <v>27</v>
      </c>
    </row>
    <row r="2513" spans="1:17">
      <c r="A2513" t="s">
        <v>3364</v>
      </c>
      <c r="B2513" s="1" t="s">
        <v>786</v>
      </c>
      <c r="C2513" s="1" t="s">
        <v>3090</v>
      </c>
      <c r="D2513" s="1" t="s">
        <v>20</v>
      </c>
      <c r="E2513" t="s">
        <v>596</v>
      </c>
      <c r="F2513" t="s">
        <v>597</v>
      </c>
      <c r="G2513" t="s">
        <v>38</v>
      </c>
      <c r="H2513" t="s">
        <v>39</v>
      </c>
      <c r="I2513" t="s">
        <v>51</v>
      </c>
      <c r="J2513">
        <v>1</v>
      </c>
      <c r="K2513">
        <v>2999</v>
      </c>
      <c r="L2513">
        <f>Table1[[#This Row],[Quantity]] * Table1[[#This Row],[UnitPrice]]</f>
        <v>2999</v>
      </c>
      <c r="M2513" s="25">
        <v>10</v>
      </c>
      <c r="N2513">
        <f>Table1[[#This Row],[Revenue]]*Table1[[#This Row],[Discount%]]/100</f>
        <v>299.89999999999998</v>
      </c>
      <c r="O2513" s="6">
        <f>Table1[[#This Row],[Revenue]]-Table1[[#This Row],[Disc_amount]]</f>
        <v>2699.1</v>
      </c>
      <c r="P2513" t="s">
        <v>26</v>
      </c>
      <c r="Q2513" t="s">
        <v>27</v>
      </c>
    </row>
    <row r="2514" spans="1:17">
      <c r="A2514" t="s">
        <v>3365</v>
      </c>
      <c r="B2514" s="1" t="s">
        <v>786</v>
      </c>
      <c r="C2514" s="1" t="s">
        <v>3090</v>
      </c>
      <c r="D2514" s="1" t="s">
        <v>20</v>
      </c>
      <c r="E2514" t="s">
        <v>1064</v>
      </c>
      <c r="F2514" t="s">
        <v>183</v>
      </c>
      <c r="G2514" t="s">
        <v>23</v>
      </c>
      <c r="H2514" t="s">
        <v>46</v>
      </c>
      <c r="I2514" t="s">
        <v>47</v>
      </c>
      <c r="J2514">
        <v>1</v>
      </c>
      <c r="K2514">
        <v>249</v>
      </c>
      <c r="L2514">
        <f>Table1[[#This Row],[Quantity]] * Table1[[#This Row],[UnitPrice]]</f>
        <v>249</v>
      </c>
      <c r="M2514" s="25">
        <v>20</v>
      </c>
      <c r="N2514">
        <f>Table1[[#This Row],[Revenue]]*Table1[[#This Row],[Discount%]]/100</f>
        <v>49.8</v>
      </c>
      <c r="O2514" s="6">
        <f>Table1[[#This Row],[Revenue]]-Table1[[#This Row],[Disc_amount]]</f>
        <v>199.2</v>
      </c>
      <c r="P2514" t="s">
        <v>52</v>
      </c>
      <c r="Q2514" t="s">
        <v>27</v>
      </c>
    </row>
    <row r="2515" spans="1:17">
      <c r="A2515" t="s">
        <v>3366</v>
      </c>
      <c r="B2515" s="1" t="s">
        <v>808</v>
      </c>
      <c r="C2515" s="1" t="s">
        <v>3090</v>
      </c>
      <c r="D2515" s="1" t="s">
        <v>20</v>
      </c>
      <c r="E2515" t="s">
        <v>1803</v>
      </c>
      <c r="F2515" t="s">
        <v>1463</v>
      </c>
      <c r="G2515" t="s">
        <v>45</v>
      </c>
      <c r="H2515" t="s">
        <v>65</v>
      </c>
      <c r="I2515" t="s">
        <v>66</v>
      </c>
      <c r="J2515">
        <v>2</v>
      </c>
      <c r="K2515">
        <v>1999</v>
      </c>
      <c r="L2515">
        <f>Table1[[#This Row],[Quantity]] * Table1[[#This Row],[UnitPrice]]</f>
        <v>3998</v>
      </c>
      <c r="M2515" s="25">
        <v>25</v>
      </c>
      <c r="N2515">
        <f>Table1[[#This Row],[Revenue]]*Table1[[#This Row],[Discount%]]/100</f>
        <v>999.5</v>
      </c>
      <c r="O2515" s="6">
        <f>Table1[[#This Row],[Revenue]]-Table1[[#This Row],[Disc_amount]]</f>
        <v>2998.5</v>
      </c>
      <c r="P2515" t="s">
        <v>26</v>
      </c>
      <c r="Q2515" t="s">
        <v>27</v>
      </c>
    </row>
    <row r="2516" spans="1:17">
      <c r="A2516" t="s">
        <v>3367</v>
      </c>
      <c r="B2516" s="1" t="s">
        <v>808</v>
      </c>
      <c r="C2516" s="1" t="s">
        <v>3090</v>
      </c>
      <c r="D2516" s="1" t="s">
        <v>20</v>
      </c>
      <c r="E2516" t="s">
        <v>2865</v>
      </c>
      <c r="F2516" t="s">
        <v>209</v>
      </c>
      <c r="G2516" t="s">
        <v>56</v>
      </c>
      <c r="H2516" t="s">
        <v>108</v>
      </c>
      <c r="I2516" t="s">
        <v>109</v>
      </c>
      <c r="J2516">
        <v>1</v>
      </c>
      <c r="K2516">
        <v>1499</v>
      </c>
      <c r="L2516">
        <f>Table1[[#This Row],[Quantity]] * Table1[[#This Row],[UnitPrice]]</f>
        <v>1499</v>
      </c>
      <c r="M2516" s="25">
        <v>30</v>
      </c>
      <c r="N2516">
        <f>Table1[[#This Row],[Revenue]]*Table1[[#This Row],[Discount%]]/100</f>
        <v>449.7</v>
      </c>
      <c r="O2516" s="6">
        <f>Table1[[#This Row],[Revenue]]-Table1[[#This Row],[Disc_amount]]</f>
        <v>1049.3</v>
      </c>
      <c r="P2516" t="s">
        <v>41</v>
      </c>
      <c r="Q2516" t="s">
        <v>27</v>
      </c>
    </row>
    <row r="2517" spans="1:17">
      <c r="A2517" t="s">
        <v>3368</v>
      </c>
      <c r="B2517" s="1" t="s">
        <v>808</v>
      </c>
      <c r="C2517" s="1" t="s">
        <v>3090</v>
      </c>
      <c r="D2517" s="1" t="s">
        <v>20</v>
      </c>
      <c r="E2517" t="s">
        <v>89</v>
      </c>
      <c r="F2517" t="s">
        <v>90</v>
      </c>
      <c r="G2517" t="s">
        <v>45</v>
      </c>
      <c r="H2517" t="s">
        <v>39</v>
      </c>
      <c r="I2517" t="s">
        <v>51</v>
      </c>
      <c r="J2517">
        <v>1</v>
      </c>
      <c r="K2517">
        <v>2999</v>
      </c>
      <c r="L2517">
        <f>Table1[[#This Row],[Quantity]] * Table1[[#This Row],[UnitPrice]]</f>
        <v>2999</v>
      </c>
      <c r="M2517" s="25">
        <v>20</v>
      </c>
      <c r="N2517">
        <f>Table1[[#This Row],[Revenue]]*Table1[[#This Row],[Discount%]]/100</f>
        <v>599.79999999999995</v>
      </c>
      <c r="O2517" s="6">
        <f>Table1[[#This Row],[Revenue]]-Table1[[#This Row],[Disc_amount]]</f>
        <v>2399.1999999999998</v>
      </c>
      <c r="P2517" t="s">
        <v>33</v>
      </c>
      <c r="Q2517" t="s">
        <v>27</v>
      </c>
    </row>
    <row r="2518" spans="1:17">
      <c r="A2518" t="s">
        <v>3369</v>
      </c>
      <c r="B2518" s="1" t="s">
        <v>808</v>
      </c>
      <c r="C2518" s="1" t="s">
        <v>3090</v>
      </c>
      <c r="D2518" s="1" t="s">
        <v>20</v>
      </c>
      <c r="E2518" t="s">
        <v>396</v>
      </c>
      <c r="F2518" t="s">
        <v>323</v>
      </c>
      <c r="G2518" t="s">
        <v>45</v>
      </c>
      <c r="H2518" t="s">
        <v>24</v>
      </c>
      <c r="I2518" t="s">
        <v>32</v>
      </c>
      <c r="J2518">
        <v>1</v>
      </c>
      <c r="K2518">
        <v>199</v>
      </c>
      <c r="L2518">
        <f>Table1[[#This Row],[Quantity]] * Table1[[#This Row],[UnitPrice]]</f>
        <v>199</v>
      </c>
      <c r="M2518" s="25">
        <v>10</v>
      </c>
      <c r="N2518">
        <f>Table1[[#This Row],[Revenue]]*Table1[[#This Row],[Discount%]]/100</f>
        <v>19.899999999999999</v>
      </c>
      <c r="O2518" s="6">
        <f>Table1[[#This Row],[Revenue]]-Table1[[#This Row],[Disc_amount]]</f>
        <v>179.1</v>
      </c>
      <c r="P2518" t="s">
        <v>86</v>
      </c>
      <c r="Q2518" t="s">
        <v>34</v>
      </c>
    </row>
    <row r="2519" spans="1:17">
      <c r="A2519" t="s">
        <v>3370</v>
      </c>
      <c r="B2519" s="1" t="s">
        <v>808</v>
      </c>
      <c r="C2519" s="1" t="s">
        <v>3090</v>
      </c>
      <c r="D2519" s="1" t="s">
        <v>20</v>
      </c>
      <c r="E2519" t="s">
        <v>241</v>
      </c>
      <c r="F2519" t="s">
        <v>242</v>
      </c>
      <c r="G2519" t="s">
        <v>45</v>
      </c>
      <c r="H2519" t="s">
        <v>70</v>
      </c>
      <c r="I2519" t="s">
        <v>71</v>
      </c>
      <c r="J2519">
        <v>1</v>
      </c>
      <c r="K2519">
        <v>349</v>
      </c>
      <c r="L2519">
        <f>Table1[[#This Row],[Quantity]] * Table1[[#This Row],[UnitPrice]]</f>
        <v>349</v>
      </c>
      <c r="M2519" s="25">
        <v>0</v>
      </c>
      <c r="N2519">
        <f>Table1[[#This Row],[Revenue]]*Table1[[#This Row],[Discount%]]/100</f>
        <v>0</v>
      </c>
      <c r="O2519" s="6">
        <f>Table1[[#This Row],[Revenue]]-Table1[[#This Row],[Disc_amount]]</f>
        <v>349</v>
      </c>
      <c r="P2519" t="s">
        <v>33</v>
      </c>
      <c r="Q2519" t="s">
        <v>27</v>
      </c>
    </row>
    <row r="2520" spans="1:17">
      <c r="A2520" t="s">
        <v>3371</v>
      </c>
      <c r="B2520" s="1" t="s">
        <v>808</v>
      </c>
      <c r="C2520" s="1" t="s">
        <v>3090</v>
      </c>
      <c r="D2520" s="1" t="s">
        <v>20</v>
      </c>
      <c r="E2520" t="s">
        <v>360</v>
      </c>
      <c r="F2520" t="s">
        <v>123</v>
      </c>
      <c r="G2520" t="s">
        <v>38</v>
      </c>
      <c r="H2520" t="s">
        <v>65</v>
      </c>
      <c r="I2520" t="s">
        <v>66</v>
      </c>
      <c r="J2520">
        <v>1</v>
      </c>
      <c r="K2520">
        <v>1999</v>
      </c>
      <c r="L2520">
        <f>Table1[[#This Row],[Quantity]] * Table1[[#This Row],[UnitPrice]]</f>
        <v>1999</v>
      </c>
      <c r="M2520" s="25">
        <v>5</v>
      </c>
      <c r="N2520">
        <f>Table1[[#This Row],[Revenue]]*Table1[[#This Row],[Discount%]]/100</f>
        <v>99.95</v>
      </c>
      <c r="O2520" s="6">
        <f>Table1[[#This Row],[Revenue]]-Table1[[#This Row],[Disc_amount]]</f>
        <v>1899.05</v>
      </c>
      <c r="P2520" t="s">
        <v>86</v>
      </c>
      <c r="Q2520" t="s">
        <v>27</v>
      </c>
    </row>
    <row r="2521" spans="1:17">
      <c r="A2521" t="s">
        <v>3372</v>
      </c>
      <c r="B2521" s="1" t="s">
        <v>808</v>
      </c>
      <c r="C2521" s="1" t="s">
        <v>3090</v>
      </c>
      <c r="D2521" s="1" t="s">
        <v>20</v>
      </c>
      <c r="E2521" t="s">
        <v>1439</v>
      </c>
      <c r="F2521" t="s">
        <v>195</v>
      </c>
      <c r="G2521" t="s">
        <v>23</v>
      </c>
      <c r="H2521" t="s">
        <v>70</v>
      </c>
      <c r="I2521" t="s">
        <v>91</v>
      </c>
      <c r="J2521">
        <v>1</v>
      </c>
      <c r="K2521">
        <v>549</v>
      </c>
      <c r="L2521">
        <f>Table1[[#This Row],[Quantity]] * Table1[[#This Row],[UnitPrice]]</f>
        <v>549</v>
      </c>
      <c r="M2521" s="25">
        <v>10</v>
      </c>
      <c r="N2521">
        <f>Table1[[#This Row],[Revenue]]*Table1[[#This Row],[Discount%]]/100</f>
        <v>54.9</v>
      </c>
      <c r="O2521" s="6">
        <f>Table1[[#This Row],[Revenue]]-Table1[[#This Row],[Disc_amount]]</f>
        <v>494.1</v>
      </c>
      <c r="P2521" t="s">
        <v>26</v>
      </c>
      <c r="Q2521" t="s">
        <v>27</v>
      </c>
    </row>
    <row r="2522" spans="1:17">
      <c r="A2522" t="s">
        <v>3373</v>
      </c>
      <c r="B2522" s="1" t="s">
        <v>808</v>
      </c>
      <c r="C2522" s="1" t="s">
        <v>3090</v>
      </c>
      <c r="D2522" s="1" t="s">
        <v>20</v>
      </c>
      <c r="E2522" t="s">
        <v>1201</v>
      </c>
      <c r="F2522" t="s">
        <v>323</v>
      </c>
      <c r="G2522" t="s">
        <v>23</v>
      </c>
      <c r="H2522" t="s">
        <v>39</v>
      </c>
      <c r="I2522" t="s">
        <v>40</v>
      </c>
      <c r="J2522">
        <v>3</v>
      </c>
      <c r="K2522">
        <v>599</v>
      </c>
      <c r="L2522">
        <f>Table1[[#This Row],[Quantity]] * Table1[[#This Row],[UnitPrice]]</f>
        <v>1797</v>
      </c>
      <c r="M2522" s="25">
        <v>15</v>
      </c>
      <c r="N2522">
        <f>Table1[[#This Row],[Revenue]]*Table1[[#This Row],[Discount%]]/100</f>
        <v>269.55</v>
      </c>
      <c r="O2522" s="6">
        <f>Table1[[#This Row],[Revenue]]-Table1[[#This Row],[Disc_amount]]</f>
        <v>1527.45</v>
      </c>
      <c r="P2522" t="s">
        <v>26</v>
      </c>
      <c r="Q2522" t="s">
        <v>27</v>
      </c>
    </row>
    <row r="2523" spans="1:17">
      <c r="A2523" t="s">
        <v>3374</v>
      </c>
      <c r="B2523" s="1" t="s">
        <v>808</v>
      </c>
      <c r="C2523" s="1" t="s">
        <v>3090</v>
      </c>
      <c r="D2523" s="1" t="s">
        <v>20</v>
      </c>
      <c r="E2523" t="s">
        <v>592</v>
      </c>
      <c r="F2523" t="s">
        <v>268</v>
      </c>
      <c r="G2523" t="s">
        <v>56</v>
      </c>
      <c r="H2523" t="s">
        <v>108</v>
      </c>
      <c r="I2523" t="s">
        <v>130</v>
      </c>
      <c r="J2523">
        <v>2</v>
      </c>
      <c r="K2523">
        <v>699</v>
      </c>
      <c r="L2523">
        <f>Table1[[#This Row],[Quantity]] * Table1[[#This Row],[UnitPrice]]</f>
        <v>1398</v>
      </c>
      <c r="M2523" s="25">
        <v>10</v>
      </c>
      <c r="N2523">
        <f>Table1[[#This Row],[Revenue]]*Table1[[#This Row],[Discount%]]/100</f>
        <v>139.80000000000001</v>
      </c>
      <c r="O2523" s="6">
        <f>Table1[[#This Row],[Revenue]]-Table1[[#This Row],[Disc_amount]]</f>
        <v>1258.2</v>
      </c>
      <c r="P2523" t="s">
        <v>86</v>
      </c>
      <c r="Q2523" t="s">
        <v>27</v>
      </c>
    </row>
    <row r="2524" spans="1:17">
      <c r="A2524" t="s">
        <v>3375</v>
      </c>
      <c r="B2524" s="1" t="s">
        <v>808</v>
      </c>
      <c r="C2524" s="1" t="s">
        <v>3090</v>
      </c>
      <c r="D2524" s="1" t="s">
        <v>20</v>
      </c>
      <c r="E2524" t="s">
        <v>1163</v>
      </c>
      <c r="F2524" t="s">
        <v>390</v>
      </c>
      <c r="G2524" t="s">
        <v>31</v>
      </c>
      <c r="H2524" t="s">
        <v>108</v>
      </c>
      <c r="I2524" t="s">
        <v>130</v>
      </c>
      <c r="J2524">
        <v>1</v>
      </c>
      <c r="K2524">
        <v>699</v>
      </c>
      <c r="L2524">
        <f>Table1[[#This Row],[Quantity]] * Table1[[#This Row],[UnitPrice]]</f>
        <v>699</v>
      </c>
      <c r="M2524" s="25">
        <v>30</v>
      </c>
      <c r="N2524">
        <f>Table1[[#This Row],[Revenue]]*Table1[[#This Row],[Discount%]]/100</f>
        <v>209.7</v>
      </c>
      <c r="O2524" s="6">
        <f>Table1[[#This Row],[Revenue]]-Table1[[#This Row],[Disc_amount]]</f>
        <v>489.3</v>
      </c>
      <c r="P2524" t="s">
        <v>33</v>
      </c>
      <c r="Q2524" t="s">
        <v>27</v>
      </c>
    </row>
    <row r="2525" spans="1:17">
      <c r="A2525" t="s">
        <v>3376</v>
      </c>
      <c r="B2525" s="1" t="s">
        <v>808</v>
      </c>
      <c r="C2525" s="1" t="s">
        <v>3090</v>
      </c>
      <c r="D2525" s="1" t="s">
        <v>20</v>
      </c>
      <c r="E2525" t="s">
        <v>843</v>
      </c>
      <c r="F2525" t="s">
        <v>501</v>
      </c>
      <c r="G2525" t="s">
        <v>38</v>
      </c>
      <c r="H2525" t="s">
        <v>70</v>
      </c>
      <c r="I2525" t="s">
        <v>91</v>
      </c>
      <c r="J2525">
        <v>1</v>
      </c>
      <c r="K2525">
        <v>549</v>
      </c>
      <c r="L2525">
        <f>Table1[[#This Row],[Quantity]] * Table1[[#This Row],[UnitPrice]]</f>
        <v>549</v>
      </c>
      <c r="M2525" s="25">
        <v>0</v>
      </c>
      <c r="N2525">
        <f>Table1[[#This Row],[Revenue]]*Table1[[#This Row],[Discount%]]/100</f>
        <v>0</v>
      </c>
      <c r="O2525" s="6">
        <f>Table1[[#This Row],[Revenue]]-Table1[[#This Row],[Disc_amount]]</f>
        <v>549</v>
      </c>
      <c r="P2525" t="s">
        <v>86</v>
      </c>
      <c r="Q2525" t="s">
        <v>34</v>
      </c>
    </row>
    <row r="2526" spans="1:17">
      <c r="A2526" t="s">
        <v>3377</v>
      </c>
      <c r="B2526" s="1" t="s">
        <v>808</v>
      </c>
      <c r="C2526" s="1" t="s">
        <v>3090</v>
      </c>
      <c r="D2526" s="1" t="s">
        <v>20</v>
      </c>
      <c r="E2526" t="s">
        <v>159</v>
      </c>
      <c r="F2526" t="s">
        <v>160</v>
      </c>
      <c r="G2526" t="s">
        <v>45</v>
      </c>
      <c r="H2526" t="s">
        <v>46</v>
      </c>
      <c r="I2526" t="s">
        <v>154</v>
      </c>
      <c r="J2526">
        <v>1</v>
      </c>
      <c r="K2526">
        <v>299</v>
      </c>
      <c r="L2526">
        <f>Table1[[#This Row],[Quantity]] * Table1[[#This Row],[UnitPrice]]</f>
        <v>299</v>
      </c>
      <c r="M2526" s="25">
        <v>0</v>
      </c>
      <c r="N2526">
        <f>Table1[[#This Row],[Revenue]]*Table1[[#This Row],[Discount%]]/100</f>
        <v>0</v>
      </c>
      <c r="O2526" s="6">
        <f>Table1[[#This Row],[Revenue]]-Table1[[#This Row],[Disc_amount]]</f>
        <v>299</v>
      </c>
      <c r="P2526" t="s">
        <v>41</v>
      </c>
      <c r="Q2526" t="s">
        <v>27</v>
      </c>
    </row>
    <row r="2527" spans="1:17">
      <c r="A2527" t="s">
        <v>3378</v>
      </c>
      <c r="B2527" s="1" t="s">
        <v>808</v>
      </c>
      <c r="C2527" s="1" t="s">
        <v>3090</v>
      </c>
      <c r="D2527" s="1" t="s">
        <v>20</v>
      </c>
      <c r="E2527" t="s">
        <v>606</v>
      </c>
      <c r="F2527" t="s">
        <v>607</v>
      </c>
      <c r="G2527" t="s">
        <v>23</v>
      </c>
      <c r="H2527" t="s">
        <v>46</v>
      </c>
      <c r="I2527" t="s">
        <v>47</v>
      </c>
      <c r="J2527">
        <v>3</v>
      </c>
      <c r="K2527">
        <v>249</v>
      </c>
      <c r="L2527">
        <f>Table1[[#This Row],[Quantity]] * Table1[[#This Row],[UnitPrice]]</f>
        <v>747</v>
      </c>
      <c r="M2527" s="25">
        <v>5</v>
      </c>
      <c r="N2527">
        <f>Table1[[#This Row],[Revenue]]*Table1[[#This Row],[Discount%]]/100</f>
        <v>37.35</v>
      </c>
      <c r="O2527" s="6">
        <f>Table1[[#This Row],[Revenue]]-Table1[[#This Row],[Disc_amount]]</f>
        <v>709.65</v>
      </c>
      <c r="P2527" t="s">
        <v>26</v>
      </c>
      <c r="Q2527" t="s">
        <v>34</v>
      </c>
    </row>
    <row r="2528" spans="1:17">
      <c r="A2528" t="s">
        <v>3379</v>
      </c>
      <c r="B2528" s="1" t="s">
        <v>820</v>
      </c>
      <c r="C2528" s="1" t="s">
        <v>3090</v>
      </c>
      <c r="D2528" s="1" t="s">
        <v>20</v>
      </c>
      <c r="E2528" t="s">
        <v>156</v>
      </c>
      <c r="F2528" t="s">
        <v>157</v>
      </c>
      <c r="G2528" t="s">
        <v>56</v>
      </c>
      <c r="H2528" t="s">
        <v>108</v>
      </c>
      <c r="I2528" t="s">
        <v>130</v>
      </c>
      <c r="J2528">
        <v>2</v>
      </c>
      <c r="K2528">
        <v>699</v>
      </c>
      <c r="L2528">
        <f>Table1[[#This Row],[Quantity]] * Table1[[#This Row],[UnitPrice]]</f>
        <v>1398</v>
      </c>
      <c r="M2528" s="25">
        <v>25</v>
      </c>
      <c r="N2528">
        <f>Table1[[#This Row],[Revenue]]*Table1[[#This Row],[Discount%]]/100</f>
        <v>349.5</v>
      </c>
      <c r="O2528" s="6">
        <f>Table1[[#This Row],[Revenue]]-Table1[[#This Row],[Disc_amount]]</f>
        <v>1048.5</v>
      </c>
      <c r="P2528" t="s">
        <v>26</v>
      </c>
      <c r="Q2528" t="s">
        <v>27</v>
      </c>
    </row>
    <row r="2529" spans="1:17">
      <c r="A2529" t="s">
        <v>3380</v>
      </c>
      <c r="B2529" s="1" t="s">
        <v>820</v>
      </c>
      <c r="C2529" s="1" t="s">
        <v>3090</v>
      </c>
      <c r="D2529" s="1" t="s">
        <v>20</v>
      </c>
      <c r="E2529" t="s">
        <v>1110</v>
      </c>
      <c r="F2529" t="s">
        <v>279</v>
      </c>
      <c r="G2529" t="s">
        <v>38</v>
      </c>
      <c r="H2529" t="s">
        <v>70</v>
      </c>
      <c r="I2529" t="s">
        <v>91</v>
      </c>
      <c r="J2529">
        <v>4</v>
      </c>
      <c r="K2529">
        <v>549</v>
      </c>
      <c r="L2529">
        <f>Table1[[#This Row],[Quantity]] * Table1[[#This Row],[UnitPrice]]</f>
        <v>2196</v>
      </c>
      <c r="M2529" s="25">
        <v>10</v>
      </c>
      <c r="N2529">
        <f>Table1[[#This Row],[Revenue]]*Table1[[#This Row],[Discount%]]/100</f>
        <v>219.6</v>
      </c>
      <c r="O2529" s="6">
        <f>Table1[[#This Row],[Revenue]]-Table1[[#This Row],[Disc_amount]]</f>
        <v>1976.4</v>
      </c>
      <c r="P2529" t="s">
        <v>52</v>
      </c>
      <c r="Q2529" t="s">
        <v>27</v>
      </c>
    </row>
    <row r="2530" spans="1:17">
      <c r="A2530" t="s">
        <v>3381</v>
      </c>
      <c r="B2530" s="1" t="s">
        <v>820</v>
      </c>
      <c r="C2530" s="1" t="s">
        <v>3090</v>
      </c>
      <c r="D2530" s="1" t="s">
        <v>20</v>
      </c>
      <c r="E2530" t="s">
        <v>2326</v>
      </c>
      <c r="F2530" t="s">
        <v>129</v>
      </c>
      <c r="G2530" t="s">
        <v>23</v>
      </c>
      <c r="H2530" t="s">
        <v>39</v>
      </c>
      <c r="I2530" t="s">
        <v>40</v>
      </c>
      <c r="J2530">
        <v>4</v>
      </c>
      <c r="K2530">
        <v>599</v>
      </c>
      <c r="L2530">
        <f>Table1[[#This Row],[Quantity]] * Table1[[#This Row],[UnitPrice]]</f>
        <v>2396</v>
      </c>
      <c r="M2530" s="25">
        <v>25</v>
      </c>
      <c r="N2530">
        <f>Table1[[#This Row],[Revenue]]*Table1[[#This Row],[Discount%]]/100</f>
        <v>599</v>
      </c>
      <c r="O2530" s="6">
        <f>Table1[[#This Row],[Revenue]]-Table1[[#This Row],[Disc_amount]]</f>
        <v>1797</v>
      </c>
      <c r="P2530" t="s">
        <v>41</v>
      </c>
      <c r="Q2530" t="s">
        <v>27</v>
      </c>
    </row>
    <row r="2531" spans="1:17">
      <c r="A2531" t="s">
        <v>3382</v>
      </c>
      <c r="B2531" s="1" t="s">
        <v>820</v>
      </c>
      <c r="C2531" s="1" t="s">
        <v>3090</v>
      </c>
      <c r="D2531" s="1" t="s">
        <v>20</v>
      </c>
      <c r="E2531" t="s">
        <v>424</v>
      </c>
      <c r="F2531" t="s">
        <v>425</v>
      </c>
      <c r="G2531" t="s">
        <v>23</v>
      </c>
      <c r="H2531" t="s">
        <v>39</v>
      </c>
      <c r="I2531" t="s">
        <v>140</v>
      </c>
      <c r="J2531">
        <v>2</v>
      </c>
      <c r="K2531">
        <v>1799</v>
      </c>
      <c r="L2531">
        <f>Table1[[#This Row],[Quantity]] * Table1[[#This Row],[UnitPrice]]</f>
        <v>3598</v>
      </c>
      <c r="M2531" s="25">
        <v>30</v>
      </c>
      <c r="N2531">
        <f>Table1[[#This Row],[Revenue]]*Table1[[#This Row],[Discount%]]/100</f>
        <v>1079.4000000000001</v>
      </c>
      <c r="O2531" s="6">
        <f>Table1[[#This Row],[Revenue]]-Table1[[#This Row],[Disc_amount]]</f>
        <v>2518.6</v>
      </c>
      <c r="P2531" t="s">
        <v>41</v>
      </c>
      <c r="Q2531" t="s">
        <v>27</v>
      </c>
    </row>
    <row r="2532" spans="1:17">
      <c r="A2532" t="s">
        <v>3383</v>
      </c>
      <c r="B2532" s="1" t="s">
        <v>820</v>
      </c>
      <c r="C2532" s="1" t="s">
        <v>3090</v>
      </c>
      <c r="D2532" s="1" t="s">
        <v>20</v>
      </c>
      <c r="E2532" t="s">
        <v>568</v>
      </c>
      <c r="F2532" t="s">
        <v>569</v>
      </c>
      <c r="G2532" t="s">
        <v>56</v>
      </c>
      <c r="H2532" t="s">
        <v>57</v>
      </c>
      <c r="I2532" t="s">
        <v>58</v>
      </c>
      <c r="J2532">
        <v>1</v>
      </c>
      <c r="K2532">
        <v>1299</v>
      </c>
      <c r="L2532">
        <f>Table1[[#This Row],[Quantity]] * Table1[[#This Row],[UnitPrice]]</f>
        <v>1299</v>
      </c>
      <c r="M2532" s="25">
        <v>10</v>
      </c>
      <c r="N2532">
        <f>Table1[[#This Row],[Revenue]]*Table1[[#This Row],[Discount%]]/100</f>
        <v>129.9</v>
      </c>
      <c r="O2532" s="6">
        <f>Table1[[#This Row],[Revenue]]-Table1[[#This Row],[Disc_amount]]</f>
        <v>1169.0999999999999</v>
      </c>
      <c r="P2532" t="s">
        <v>33</v>
      </c>
      <c r="Q2532" t="s">
        <v>27</v>
      </c>
    </row>
    <row r="2533" spans="1:17">
      <c r="A2533" t="s">
        <v>3384</v>
      </c>
      <c r="B2533" s="1" t="s">
        <v>820</v>
      </c>
      <c r="C2533" s="1" t="s">
        <v>3090</v>
      </c>
      <c r="D2533" s="1" t="s">
        <v>20</v>
      </c>
      <c r="E2533" t="s">
        <v>405</v>
      </c>
      <c r="F2533" t="s">
        <v>248</v>
      </c>
      <c r="G2533" t="s">
        <v>56</v>
      </c>
      <c r="H2533" t="s">
        <v>39</v>
      </c>
      <c r="I2533" t="s">
        <v>140</v>
      </c>
      <c r="J2533">
        <v>1</v>
      </c>
      <c r="K2533">
        <v>1799</v>
      </c>
      <c r="L2533">
        <f>Table1[[#This Row],[Quantity]] * Table1[[#This Row],[UnitPrice]]</f>
        <v>1799</v>
      </c>
      <c r="M2533" s="25">
        <v>20</v>
      </c>
      <c r="N2533">
        <f>Table1[[#This Row],[Revenue]]*Table1[[#This Row],[Discount%]]/100</f>
        <v>359.8</v>
      </c>
      <c r="O2533" s="6">
        <f>Table1[[#This Row],[Revenue]]-Table1[[#This Row],[Disc_amount]]</f>
        <v>1439.2</v>
      </c>
      <c r="P2533" t="s">
        <v>41</v>
      </c>
      <c r="Q2533" t="s">
        <v>27</v>
      </c>
    </row>
    <row r="2534" spans="1:17">
      <c r="A2534" t="s">
        <v>3385</v>
      </c>
      <c r="B2534" s="1" t="s">
        <v>820</v>
      </c>
      <c r="C2534" s="1" t="s">
        <v>3090</v>
      </c>
      <c r="D2534" s="1" t="s">
        <v>20</v>
      </c>
      <c r="E2534" t="s">
        <v>1214</v>
      </c>
      <c r="F2534" t="s">
        <v>376</v>
      </c>
      <c r="G2534" t="s">
        <v>31</v>
      </c>
      <c r="H2534" t="s">
        <v>65</v>
      </c>
      <c r="I2534" t="s">
        <v>98</v>
      </c>
      <c r="J2534">
        <v>1</v>
      </c>
      <c r="K2534">
        <v>499</v>
      </c>
      <c r="L2534">
        <f>Table1[[#This Row],[Quantity]] * Table1[[#This Row],[UnitPrice]]</f>
        <v>499</v>
      </c>
      <c r="M2534" s="25">
        <v>15</v>
      </c>
      <c r="N2534">
        <f>Table1[[#This Row],[Revenue]]*Table1[[#This Row],[Discount%]]/100</f>
        <v>74.849999999999994</v>
      </c>
      <c r="O2534" s="6">
        <f>Table1[[#This Row],[Revenue]]-Table1[[#This Row],[Disc_amount]]</f>
        <v>424.15</v>
      </c>
      <c r="P2534" t="s">
        <v>26</v>
      </c>
      <c r="Q2534" t="s">
        <v>34</v>
      </c>
    </row>
    <row r="2535" spans="1:17">
      <c r="A2535" t="s">
        <v>3386</v>
      </c>
      <c r="B2535" s="1" t="s">
        <v>820</v>
      </c>
      <c r="C2535" s="1" t="s">
        <v>3090</v>
      </c>
      <c r="D2535" s="1" t="s">
        <v>20</v>
      </c>
      <c r="E2535" t="s">
        <v>1575</v>
      </c>
      <c r="F2535" t="s">
        <v>311</v>
      </c>
      <c r="G2535" t="s">
        <v>23</v>
      </c>
      <c r="H2535" t="s">
        <v>65</v>
      </c>
      <c r="I2535" t="s">
        <v>98</v>
      </c>
      <c r="J2535">
        <v>3</v>
      </c>
      <c r="K2535">
        <v>499</v>
      </c>
      <c r="L2535">
        <f>Table1[[#This Row],[Quantity]] * Table1[[#This Row],[UnitPrice]]</f>
        <v>1497</v>
      </c>
      <c r="M2535" s="25">
        <v>30</v>
      </c>
      <c r="N2535">
        <f>Table1[[#This Row],[Revenue]]*Table1[[#This Row],[Discount%]]/100</f>
        <v>449.1</v>
      </c>
      <c r="O2535" s="6">
        <f>Table1[[#This Row],[Revenue]]-Table1[[#This Row],[Disc_amount]]</f>
        <v>1047.9000000000001</v>
      </c>
      <c r="P2535" t="s">
        <v>33</v>
      </c>
      <c r="Q2535" t="s">
        <v>27</v>
      </c>
    </row>
    <row r="2536" spans="1:17">
      <c r="A2536" t="s">
        <v>3387</v>
      </c>
      <c r="B2536" s="1" t="s">
        <v>820</v>
      </c>
      <c r="C2536" s="1" t="s">
        <v>3090</v>
      </c>
      <c r="D2536" s="1" t="s">
        <v>20</v>
      </c>
      <c r="E2536" t="s">
        <v>73</v>
      </c>
      <c r="F2536" t="s">
        <v>74</v>
      </c>
      <c r="G2536" t="s">
        <v>56</v>
      </c>
      <c r="H2536" t="s">
        <v>65</v>
      </c>
      <c r="I2536" t="s">
        <v>94</v>
      </c>
      <c r="J2536">
        <v>1</v>
      </c>
      <c r="K2536">
        <v>899</v>
      </c>
      <c r="L2536">
        <f>Table1[[#This Row],[Quantity]] * Table1[[#This Row],[UnitPrice]]</f>
        <v>899</v>
      </c>
      <c r="M2536" s="25">
        <v>20</v>
      </c>
      <c r="N2536">
        <f>Table1[[#This Row],[Revenue]]*Table1[[#This Row],[Discount%]]/100</f>
        <v>179.8</v>
      </c>
      <c r="O2536" s="6">
        <f>Table1[[#This Row],[Revenue]]-Table1[[#This Row],[Disc_amount]]</f>
        <v>719.2</v>
      </c>
      <c r="P2536" t="s">
        <v>26</v>
      </c>
      <c r="Q2536" t="s">
        <v>27</v>
      </c>
    </row>
    <row r="2537" spans="1:17">
      <c r="A2537" t="s">
        <v>3388</v>
      </c>
      <c r="B2537" s="1" t="s">
        <v>820</v>
      </c>
      <c r="C2537" s="1" t="s">
        <v>3090</v>
      </c>
      <c r="D2537" s="1" t="s">
        <v>20</v>
      </c>
      <c r="E2537" t="s">
        <v>354</v>
      </c>
      <c r="F2537" t="s">
        <v>355</v>
      </c>
      <c r="G2537" t="s">
        <v>23</v>
      </c>
      <c r="H2537" t="s">
        <v>39</v>
      </c>
      <c r="I2537" t="s">
        <v>40</v>
      </c>
      <c r="J2537">
        <v>1</v>
      </c>
      <c r="K2537">
        <v>599</v>
      </c>
      <c r="L2537">
        <f>Table1[[#This Row],[Quantity]] * Table1[[#This Row],[UnitPrice]]</f>
        <v>599</v>
      </c>
      <c r="M2537" s="25">
        <v>5</v>
      </c>
      <c r="N2537">
        <f>Table1[[#This Row],[Revenue]]*Table1[[#This Row],[Discount%]]/100</f>
        <v>29.95</v>
      </c>
      <c r="O2537" s="6">
        <f>Table1[[#This Row],[Revenue]]-Table1[[#This Row],[Disc_amount]]</f>
        <v>569.04999999999995</v>
      </c>
      <c r="P2537" t="s">
        <v>26</v>
      </c>
      <c r="Q2537" t="s">
        <v>27</v>
      </c>
    </row>
    <row r="2538" spans="1:17">
      <c r="A2538" t="s">
        <v>3389</v>
      </c>
      <c r="B2538" s="1" t="s">
        <v>820</v>
      </c>
      <c r="C2538" s="1" t="s">
        <v>3090</v>
      </c>
      <c r="D2538" s="1" t="s">
        <v>20</v>
      </c>
      <c r="E2538" t="s">
        <v>1099</v>
      </c>
      <c r="F2538" t="s">
        <v>465</v>
      </c>
      <c r="G2538" t="s">
        <v>23</v>
      </c>
      <c r="H2538" t="s">
        <v>65</v>
      </c>
      <c r="I2538" t="s">
        <v>66</v>
      </c>
      <c r="J2538">
        <v>3</v>
      </c>
      <c r="K2538">
        <v>1999</v>
      </c>
      <c r="L2538">
        <f>Table1[[#This Row],[Quantity]] * Table1[[#This Row],[UnitPrice]]</f>
        <v>5997</v>
      </c>
      <c r="M2538" s="25">
        <v>10</v>
      </c>
      <c r="N2538">
        <f>Table1[[#This Row],[Revenue]]*Table1[[#This Row],[Discount%]]/100</f>
        <v>599.70000000000005</v>
      </c>
      <c r="O2538" s="6">
        <f>Table1[[#This Row],[Revenue]]-Table1[[#This Row],[Disc_amount]]</f>
        <v>5397.3</v>
      </c>
      <c r="P2538" t="s">
        <v>41</v>
      </c>
      <c r="Q2538" t="s">
        <v>34</v>
      </c>
    </row>
    <row r="2539" spans="1:17">
      <c r="A2539" t="s">
        <v>3390</v>
      </c>
      <c r="B2539" s="1" t="s">
        <v>820</v>
      </c>
      <c r="C2539" s="1" t="s">
        <v>3090</v>
      </c>
      <c r="D2539" s="1" t="s">
        <v>20</v>
      </c>
      <c r="E2539" t="s">
        <v>316</v>
      </c>
      <c r="F2539" t="s">
        <v>317</v>
      </c>
      <c r="G2539" t="s">
        <v>45</v>
      </c>
      <c r="H2539" t="s">
        <v>108</v>
      </c>
      <c r="I2539" t="s">
        <v>109</v>
      </c>
      <c r="J2539">
        <v>1</v>
      </c>
      <c r="K2539">
        <v>1499</v>
      </c>
      <c r="L2539">
        <f>Table1[[#This Row],[Quantity]] * Table1[[#This Row],[UnitPrice]]</f>
        <v>1499</v>
      </c>
      <c r="M2539" s="25">
        <v>15</v>
      </c>
      <c r="N2539">
        <f>Table1[[#This Row],[Revenue]]*Table1[[#This Row],[Discount%]]/100</f>
        <v>224.85</v>
      </c>
      <c r="O2539" s="6">
        <f>Table1[[#This Row],[Revenue]]-Table1[[#This Row],[Disc_amount]]</f>
        <v>1274.1500000000001</v>
      </c>
      <c r="P2539" t="s">
        <v>33</v>
      </c>
      <c r="Q2539" t="s">
        <v>27</v>
      </c>
    </row>
    <row r="2540" spans="1:17">
      <c r="A2540" t="s">
        <v>3391</v>
      </c>
      <c r="B2540" s="1" t="s">
        <v>830</v>
      </c>
      <c r="C2540" s="1" t="s">
        <v>3090</v>
      </c>
      <c r="D2540" s="1" t="s">
        <v>20</v>
      </c>
      <c r="E2540" t="s">
        <v>1337</v>
      </c>
      <c r="F2540" t="s">
        <v>584</v>
      </c>
      <c r="G2540" t="s">
        <v>45</v>
      </c>
      <c r="H2540" t="s">
        <v>108</v>
      </c>
      <c r="I2540" t="s">
        <v>109</v>
      </c>
      <c r="J2540">
        <v>1</v>
      </c>
      <c r="K2540">
        <v>1499</v>
      </c>
      <c r="L2540">
        <f>Table1[[#This Row],[Quantity]] * Table1[[#This Row],[UnitPrice]]</f>
        <v>1499</v>
      </c>
      <c r="M2540" s="25">
        <v>5</v>
      </c>
      <c r="N2540">
        <f>Table1[[#This Row],[Revenue]]*Table1[[#This Row],[Discount%]]/100</f>
        <v>74.95</v>
      </c>
      <c r="O2540" s="6">
        <f>Table1[[#This Row],[Revenue]]-Table1[[#This Row],[Disc_amount]]</f>
        <v>1424.05</v>
      </c>
      <c r="P2540" t="s">
        <v>33</v>
      </c>
      <c r="Q2540" t="s">
        <v>34</v>
      </c>
    </row>
    <row r="2541" spans="1:17">
      <c r="A2541" t="s">
        <v>3392</v>
      </c>
      <c r="B2541" s="1" t="s">
        <v>830</v>
      </c>
      <c r="C2541" s="1" t="s">
        <v>3090</v>
      </c>
      <c r="D2541" s="1" t="s">
        <v>20</v>
      </c>
      <c r="E2541" t="s">
        <v>899</v>
      </c>
      <c r="F2541" t="s">
        <v>900</v>
      </c>
      <c r="G2541" t="s">
        <v>38</v>
      </c>
      <c r="H2541" t="s">
        <v>57</v>
      </c>
      <c r="I2541" t="s">
        <v>62</v>
      </c>
      <c r="J2541">
        <v>1</v>
      </c>
      <c r="K2541">
        <v>799</v>
      </c>
      <c r="L2541">
        <f>Table1[[#This Row],[Quantity]] * Table1[[#This Row],[UnitPrice]]</f>
        <v>799</v>
      </c>
      <c r="M2541" s="25">
        <v>0</v>
      </c>
      <c r="N2541">
        <f>Table1[[#This Row],[Revenue]]*Table1[[#This Row],[Discount%]]/100</f>
        <v>0</v>
      </c>
      <c r="O2541" s="6">
        <f>Table1[[#This Row],[Revenue]]-Table1[[#This Row],[Disc_amount]]</f>
        <v>799</v>
      </c>
      <c r="P2541" t="s">
        <v>52</v>
      </c>
      <c r="Q2541" t="s">
        <v>27</v>
      </c>
    </row>
    <row r="2542" spans="1:17">
      <c r="A2542" t="s">
        <v>3393</v>
      </c>
      <c r="B2542" s="1" t="s">
        <v>830</v>
      </c>
      <c r="C2542" s="1" t="s">
        <v>3090</v>
      </c>
      <c r="D2542" s="1" t="s">
        <v>20</v>
      </c>
      <c r="E2542" t="s">
        <v>565</v>
      </c>
      <c r="F2542" t="s">
        <v>203</v>
      </c>
      <c r="G2542" t="s">
        <v>45</v>
      </c>
      <c r="H2542" t="s">
        <v>65</v>
      </c>
      <c r="I2542" t="s">
        <v>66</v>
      </c>
      <c r="J2542">
        <v>3</v>
      </c>
      <c r="K2542">
        <v>1999</v>
      </c>
      <c r="L2542">
        <f>Table1[[#This Row],[Quantity]] * Table1[[#This Row],[UnitPrice]]</f>
        <v>5997</v>
      </c>
      <c r="M2542" s="25">
        <v>10</v>
      </c>
      <c r="N2542">
        <f>Table1[[#This Row],[Revenue]]*Table1[[#This Row],[Discount%]]/100</f>
        <v>599.70000000000005</v>
      </c>
      <c r="O2542" s="6">
        <f>Table1[[#This Row],[Revenue]]-Table1[[#This Row],[Disc_amount]]</f>
        <v>5397.3</v>
      </c>
      <c r="P2542" t="s">
        <v>52</v>
      </c>
      <c r="Q2542" t="s">
        <v>27</v>
      </c>
    </row>
    <row r="2543" spans="1:17">
      <c r="A2543" t="s">
        <v>3394</v>
      </c>
      <c r="B2543" s="1" t="s">
        <v>830</v>
      </c>
      <c r="C2543" s="1" t="s">
        <v>3090</v>
      </c>
      <c r="D2543" s="1" t="s">
        <v>20</v>
      </c>
      <c r="E2543" t="s">
        <v>1434</v>
      </c>
      <c r="F2543" t="s">
        <v>326</v>
      </c>
      <c r="G2543" t="s">
        <v>31</v>
      </c>
      <c r="H2543" t="s">
        <v>65</v>
      </c>
      <c r="I2543" t="s">
        <v>94</v>
      </c>
      <c r="J2543">
        <v>1</v>
      </c>
      <c r="K2543">
        <v>899</v>
      </c>
      <c r="L2543">
        <f>Table1[[#This Row],[Quantity]] * Table1[[#This Row],[UnitPrice]]</f>
        <v>899</v>
      </c>
      <c r="M2543" s="25">
        <v>15</v>
      </c>
      <c r="N2543">
        <f>Table1[[#This Row],[Revenue]]*Table1[[#This Row],[Discount%]]/100</f>
        <v>134.85</v>
      </c>
      <c r="O2543" s="6">
        <f>Table1[[#This Row],[Revenue]]-Table1[[#This Row],[Disc_amount]]</f>
        <v>764.15</v>
      </c>
      <c r="P2543" t="s">
        <v>52</v>
      </c>
      <c r="Q2543" t="s">
        <v>27</v>
      </c>
    </row>
    <row r="2544" spans="1:17">
      <c r="A2544" t="s">
        <v>3395</v>
      </c>
      <c r="B2544" s="1" t="s">
        <v>830</v>
      </c>
      <c r="C2544" s="1" t="s">
        <v>3090</v>
      </c>
      <c r="D2544" s="1" t="s">
        <v>20</v>
      </c>
      <c r="E2544" t="s">
        <v>1075</v>
      </c>
      <c r="F2544" t="s">
        <v>150</v>
      </c>
      <c r="G2544" t="s">
        <v>38</v>
      </c>
      <c r="H2544" t="s">
        <v>70</v>
      </c>
      <c r="I2544" t="s">
        <v>71</v>
      </c>
      <c r="J2544">
        <v>1</v>
      </c>
      <c r="K2544">
        <v>349</v>
      </c>
      <c r="L2544">
        <f>Table1[[#This Row],[Quantity]] * Table1[[#This Row],[UnitPrice]]</f>
        <v>349</v>
      </c>
      <c r="M2544" s="25">
        <v>20</v>
      </c>
      <c r="N2544">
        <f>Table1[[#This Row],[Revenue]]*Table1[[#This Row],[Discount%]]/100</f>
        <v>69.8</v>
      </c>
      <c r="O2544" s="6">
        <f>Table1[[#This Row],[Revenue]]-Table1[[#This Row],[Disc_amount]]</f>
        <v>279.2</v>
      </c>
      <c r="P2544" t="s">
        <v>33</v>
      </c>
      <c r="Q2544" t="s">
        <v>27</v>
      </c>
    </row>
    <row r="2545" spans="1:17">
      <c r="A2545" t="s">
        <v>3396</v>
      </c>
      <c r="B2545" s="1" t="s">
        <v>830</v>
      </c>
      <c r="C2545" s="1" t="s">
        <v>3090</v>
      </c>
      <c r="D2545" s="1" t="s">
        <v>20</v>
      </c>
      <c r="E2545" t="s">
        <v>806</v>
      </c>
      <c r="F2545" t="s">
        <v>139</v>
      </c>
      <c r="G2545" t="s">
        <v>31</v>
      </c>
      <c r="H2545" t="s">
        <v>65</v>
      </c>
      <c r="I2545" t="s">
        <v>98</v>
      </c>
      <c r="J2545">
        <v>1</v>
      </c>
      <c r="K2545">
        <v>499</v>
      </c>
      <c r="L2545">
        <f>Table1[[#This Row],[Quantity]] * Table1[[#This Row],[UnitPrice]]</f>
        <v>499</v>
      </c>
      <c r="M2545" s="25">
        <v>0</v>
      </c>
      <c r="N2545">
        <f>Table1[[#This Row],[Revenue]]*Table1[[#This Row],[Discount%]]/100</f>
        <v>0</v>
      </c>
      <c r="O2545" s="6">
        <f>Table1[[#This Row],[Revenue]]-Table1[[#This Row],[Disc_amount]]</f>
        <v>499</v>
      </c>
      <c r="P2545" t="s">
        <v>52</v>
      </c>
      <c r="Q2545" t="s">
        <v>34</v>
      </c>
    </row>
    <row r="2546" spans="1:17">
      <c r="A2546" t="s">
        <v>3397</v>
      </c>
      <c r="B2546" s="1" t="s">
        <v>830</v>
      </c>
      <c r="C2546" s="1" t="s">
        <v>3090</v>
      </c>
      <c r="D2546" s="1" t="s">
        <v>20</v>
      </c>
      <c r="E2546" t="s">
        <v>713</v>
      </c>
      <c r="F2546" t="s">
        <v>714</v>
      </c>
      <c r="G2546" t="s">
        <v>56</v>
      </c>
      <c r="H2546" t="s">
        <v>108</v>
      </c>
      <c r="I2546" t="s">
        <v>109</v>
      </c>
      <c r="J2546">
        <v>1</v>
      </c>
      <c r="K2546">
        <v>1499</v>
      </c>
      <c r="L2546">
        <f>Table1[[#This Row],[Quantity]] * Table1[[#This Row],[UnitPrice]]</f>
        <v>1499</v>
      </c>
      <c r="M2546" s="25">
        <v>15</v>
      </c>
      <c r="N2546">
        <f>Table1[[#This Row],[Revenue]]*Table1[[#This Row],[Discount%]]/100</f>
        <v>224.85</v>
      </c>
      <c r="O2546" s="6">
        <f>Table1[[#This Row],[Revenue]]-Table1[[#This Row],[Disc_amount]]</f>
        <v>1274.1500000000001</v>
      </c>
      <c r="P2546" t="s">
        <v>33</v>
      </c>
      <c r="Q2546" t="s">
        <v>34</v>
      </c>
    </row>
    <row r="2547" spans="1:17">
      <c r="A2547" t="s">
        <v>3398</v>
      </c>
      <c r="B2547" s="1" t="s">
        <v>830</v>
      </c>
      <c r="C2547" s="1" t="s">
        <v>3090</v>
      </c>
      <c r="D2547" s="1" t="s">
        <v>20</v>
      </c>
      <c r="E2547" t="s">
        <v>1355</v>
      </c>
      <c r="F2547" t="s">
        <v>265</v>
      </c>
      <c r="G2547" t="s">
        <v>23</v>
      </c>
      <c r="H2547" t="s">
        <v>24</v>
      </c>
      <c r="I2547" t="s">
        <v>25</v>
      </c>
      <c r="J2547">
        <v>2</v>
      </c>
      <c r="K2547">
        <v>99</v>
      </c>
      <c r="L2547">
        <f>Table1[[#This Row],[Quantity]] * Table1[[#This Row],[UnitPrice]]</f>
        <v>198</v>
      </c>
      <c r="M2547" s="25">
        <v>20</v>
      </c>
      <c r="N2547">
        <f>Table1[[#This Row],[Revenue]]*Table1[[#This Row],[Discount%]]/100</f>
        <v>39.6</v>
      </c>
      <c r="O2547" s="6">
        <f>Table1[[#This Row],[Revenue]]-Table1[[#This Row],[Disc_amount]]</f>
        <v>158.4</v>
      </c>
      <c r="P2547" t="s">
        <v>52</v>
      </c>
      <c r="Q2547" t="s">
        <v>27</v>
      </c>
    </row>
    <row r="2548" spans="1:17">
      <c r="A2548" t="s">
        <v>3399</v>
      </c>
      <c r="B2548" s="1" t="s">
        <v>830</v>
      </c>
      <c r="C2548" s="1" t="s">
        <v>3090</v>
      </c>
      <c r="D2548" s="1" t="s">
        <v>20</v>
      </c>
      <c r="E2548" t="s">
        <v>373</v>
      </c>
      <c r="F2548" t="s">
        <v>183</v>
      </c>
      <c r="G2548" t="s">
        <v>31</v>
      </c>
      <c r="H2548" t="s">
        <v>70</v>
      </c>
      <c r="I2548" t="s">
        <v>91</v>
      </c>
      <c r="J2548">
        <v>2</v>
      </c>
      <c r="K2548">
        <v>549</v>
      </c>
      <c r="L2548">
        <f>Table1[[#This Row],[Quantity]] * Table1[[#This Row],[UnitPrice]]</f>
        <v>1098</v>
      </c>
      <c r="M2548" s="25">
        <v>0</v>
      </c>
      <c r="N2548">
        <f>Table1[[#This Row],[Revenue]]*Table1[[#This Row],[Discount%]]/100</f>
        <v>0</v>
      </c>
      <c r="O2548" s="6">
        <f>Table1[[#This Row],[Revenue]]-Table1[[#This Row],[Disc_amount]]</f>
        <v>1098</v>
      </c>
      <c r="P2548" t="s">
        <v>41</v>
      </c>
      <c r="Q2548" t="s">
        <v>27</v>
      </c>
    </row>
    <row r="2549" spans="1:17">
      <c r="A2549" t="s">
        <v>3400</v>
      </c>
      <c r="B2549" s="1" t="s">
        <v>830</v>
      </c>
      <c r="C2549" s="1" t="s">
        <v>3090</v>
      </c>
      <c r="D2549" s="1" t="s">
        <v>20</v>
      </c>
      <c r="E2549" t="s">
        <v>603</v>
      </c>
      <c r="F2549" t="s">
        <v>604</v>
      </c>
      <c r="G2549" t="s">
        <v>31</v>
      </c>
      <c r="H2549" t="s">
        <v>39</v>
      </c>
      <c r="I2549" t="s">
        <v>51</v>
      </c>
      <c r="J2549">
        <v>1</v>
      </c>
      <c r="K2549">
        <v>2999</v>
      </c>
      <c r="L2549">
        <f>Table1[[#This Row],[Quantity]] * Table1[[#This Row],[UnitPrice]]</f>
        <v>2999</v>
      </c>
      <c r="M2549" s="25">
        <v>30</v>
      </c>
      <c r="N2549">
        <f>Table1[[#This Row],[Revenue]]*Table1[[#This Row],[Discount%]]/100</f>
        <v>899.7</v>
      </c>
      <c r="O2549" s="6">
        <f>Table1[[#This Row],[Revenue]]-Table1[[#This Row],[Disc_amount]]</f>
        <v>2099.3000000000002</v>
      </c>
      <c r="P2549" t="s">
        <v>33</v>
      </c>
      <c r="Q2549" t="s">
        <v>34</v>
      </c>
    </row>
    <row r="2550" spans="1:17">
      <c r="A2550" t="s">
        <v>3401</v>
      </c>
      <c r="B2550" s="1" t="s">
        <v>1113</v>
      </c>
      <c r="C2550" s="1" t="s">
        <v>3090</v>
      </c>
      <c r="D2550" s="1" t="s">
        <v>20</v>
      </c>
      <c r="E2550" t="s">
        <v>852</v>
      </c>
      <c r="F2550" t="s">
        <v>853</v>
      </c>
      <c r="G2550" t="s">
        <v>45</v>
      </c>
      <c r="H2550" t="s">
        <v>57</v>
      </c>
      <c r="I2550" t="s">
        <v>58</v>
      </c>
      <c r="J2550">
        <v>1</v>
      </c>
      <c r="K2550">
        <v>1299</v>
      </c>
      <c r="L2550">
        <f>Table1[[#This Row],[Quantity]] * Table1[[#This Row],[UnitPrice]]</f>
        <v>1299</v>
      </c>
      <c r="M2550" s="25">
        <v>20</v>
      </c>
      <c r="N2550">
        <f>Table1[[#This Row],[Revenue]]*Table1[[#This Row],[Discount%]]/100</f>
        <v>259.8</v>
      </c>
      <c r="O2550" s="6">
        <f>Table1[[#This Row],[Revenue]]-Table1[[#This Row],[Disc_amount]]</f>
        <v>1039.2</v>
      </c>
      <c r="P2550" t="s">
        <v>33</v>
      </c>
      <c r="Q2550" t="s">
        <v>34</v>
      </c>
    </row>
    <row r="2551" spans="1:17">
      <c r="A2551" t="s">
        <v>3402</v>
      </c>
      <c r="B2551" s="1" t="s">
        <v>1113</v>
      </c>
      <c r="C2551" s="1" t="s">
        <v>3090</v>
      </c>
      <c r="D2551" s="1" t="s">
        <v>20</v>
      </c>
      <c r="E2551" t="s">
        <v>921</v>
      </c>
      <c r="F2551" t="s">
        <v>104</v>
      </c>
      <c r="G2551" t="s">
        <v>56</v>
      </c>
      <c r="H2551" t="s">
        <v>57</v>
      </c>
      <c r="I2551" t="s">
        <v>62</v>
      </c>
      <c r="J2551">
        <v>1</v>
      </c>
      <c r="K2551">
        <v>799</v>
      </c>
      <c r="L2551">
        <f>Table1[[#This Row],[Quantity]] * Table1[[#This Row],[UnitPrice]]</f>
        <v>799</v>
      </c>
      <c r="M2551" s="25">
        <v>5</v>
      </c>
      <c r="N2551">
        <f>Table1[[#This Row],[Revenue]]*Table1[[#This Row],[Discount%]]/100</f>
        <v>39.950000000000003</v>
      </c>
      <c r="O2551" s="6">
        <f>Table1[[#This Row],[Revenue]]-Table1[[#This Row],[Disc_amount]]</f>
        <v>759.05</v>
      </c>
      <c r="P2551" t="s">
        <v>26</v>
      </c>
      <c r="Q2551" t="s">
        <v>34</v>
      </c>
    </row>
    <row r="2552" spans="1:17">
      <c r="A2552" t="s">
        <v>3403</v>
      </c>
      <c r="B2552" s="1" t="s">
        <v>1113</v>
      </c>
      <c r="C2552" s="1" t="s">
        <v>3090</v>
      </c>
      <c r="D2552" s="1" t="s">
        <v>20</v>
      </c>
      <c r="E2552" t="s">
        <v>2177</v>
      </c>
      <c r="F2552" t="s">
        <v>203</v>
      </c>
      <c r="G2552" t="s">
        <v>56</v>
      </c>
      <c r="H2552" t="s">
        <v>108</v>
      </c>
      <c r="I2552" t="s">
        <v>109</v>
      </c>
      <c r="J2552">
        <v>3</v>
      </c>
      <c r="K2552">
        <v>1499</v>
      </c>
      <c r="L2552">
        <f>Table1[[#This Row],[Quantity]] * Table1[[#This Row],[UnitPrice]]</f>
        <v>4497</v>
      </c>
      <c r="M2552" s="25">
        <v>25</v>
      </c>
      <c r="N2552">
        <f>Table1[[#This Row],[Revenue]]*Table1[[#This Row],[Discount%]]/100</f>
        <v>1124.25</v>
      </c>
      <c r="O2552" s="6">
        <f>Table1[[#This Row],[Revenue]]-Table1[[#This Row],[Disc_amount]]</f>
        <v>3372.75</v>
      </c>
      <c r="P2552" t="s">
        <v>52</v>
      </c>
      <c r="Q2552" t="s">
        <v>34</v>
      </c>
    </row>
    <row r="2553" spans="1:17">
      <c r="A2553" t="s">
        <v>3404</v>
      </c>
      <c r="B2553" s="1" t="s">
        <v>1113</v>
      </c>
      <c r="C2553" s="1" t="s">
        <v>3090</v>
      </c>
      <c r="D2553" s="1" t="s">
        <v>20</v>
      </c>
      <c r="E2553" t="s">
        <v>568</v>
      </c>
      <c r="F2553" t="s">
        <v>569</v>
      </c>
      <c r="G2553" t="s">
        <v>31</v>
      </c>
      <c r="H2553" t="s">
        <v>39</v>
      </c>
      <c r="I2553" t="s">
        <v>40</v>
      </c>
      <c r="J2553">
        <v>1</v>
      </c>
      <c r="K2553">
        <v>599</v>
      </c>
      <c r="L2553">
        <f>Table1[[#This Row],[Quantity]] * Table1[[#This Row],[UnitPrice]]</f>
        <v>599</v>
      </c>
      <c r="M2553" s="25">
        <v>20</v>
      </c>
      <c r="N2553">
        <f>Table1[[#This Row],[Revenue]]*Table1[[#This Row],[Discount%]]/100</f>
        <v>119.8</v>
      </c>
      <c r="O2553" s="6">
        <f>Table1[[#This Row],[Revenue]]-Table1[[#This Row],[Disc_amount]]</f>
        <v>479.2</v>
      </c>
      <c r="P2553" t="s">
        <v>26</v>
      </c>
      <c r="Q2553" t="s">
        <v>34</v>
      </c>
    </row>
    <row r="2554" spans="1:17">
      <c r="A2554" t="s">
        <v>3405</v>
      </c>
      <c r="B2554" s="1" t="s">
        <v>1113</v>
      </c>
      <c r="C2554" s="1" t="s">
        <v>3090</v>
      </c>
      <c r="D2554" s="1" t="s">
        <v>20</v>
      </c>
      <c r="E2554" t="s">
        <v>691</v>
      </c>
      <c r="F2554" t="s">
        <v>338</v>
      </c>
      <c r="G2554" t="s">
        <v>45</v>
      </c>
      <c r="H2554" t="s">
        <v>39</v>
      </c>
      <c r="I2554" t="s">
        <v>140</v>
      </c>
      <c r="J2554">
        <v>1</v>
      </c>
      <c r="K2554">
        <v>1799</v>
      </c>
      <c r="L2554">
        <f>Table1[[#This Row],[Quantity]] * Table1[[#This Row],[UnitPrice]]</f>
        <v>1799</v>
      </c>
      <c r="M2554" s="25">
        <v>0</v>
      </c>
      <c r="N2554">
        <f>Table1[[#This Row],[Revenue]]*Table1[[#This Row],[Discount%]]/100</f>
        <v>0</v>
      </c>
      <c r="O2554" s="6">
        <f>Table1[[#This Row],[Revenue]]-Table1[[#This Row],[Disc_amount]]</f>
        <v>1799</v>
      </c>
      <c r="P2554" t="s">
        <v>41</v>
      </c>
      <c r="Q2554" t="s">
        <v>34</v>
      </c>
    </row>
    <row r="2555" spans="1:17">
      <c r="A2555" t="s">
        <v>3406</v>
      </c>
      <c r="B2555" s="1" t="s">
        <v>1113</v>
      </c>
      <c r="C2555" s="1" t="s">
        <v>3090</v>
      </c>
      <c r="D2555" s="1" t="s">
        <v>20</v>
      </c>
      <c r="E2555" t="s">
        <v>136</v>
      </c>
      <c r="F2555" t="s">
        <v>115</v>
      </c>
      <c r="G2555" t="s">
        <v>31</v>
      </c>
      <c r="H2555" t="s">
        <v>46</v>
      </c>
      <c r="I2555" t="s">
        <v>47</v>
      </c>
      <c r="J2555">
        <v>5</v>
      </c>
      <c r="K2555">
        <v>249</v>
      </c>
      <c r="L2555">
        <f>Table1[[#This Row],[Quantity]] * Table1[[#This Row],[UnitPrice]]</f>
        <v>1245</v>
      </c>
      <c r="M2555" s="25">
        <v>20</v>
      </c>
      <c r="N2555">
        <f>Table1[[#This Row],[Revenue]]*Table1[[#This Row],[Discount%]]/100</f>
        <v>249</v>
      </c>
      <c r="O2555" s="6">
        <f>Table1[[#This Row],[Revenue]]-Table1[[#This Row],[Disc_amount]]</f>
        <v>996</v>
      </c>
      <c r="P2555" t="s">
        <v>86</v>
      </c>
      <c r="Q2555" t="s">
        <v>27</v>
      </c>
    </row>
    <row r="2556" spans="1:17">
      <c r="A2556" t="s">
        <v>3407</v>
      </c>
      <c r="B2556" s="1" t="s">
        <v>1113</v>
      </c>
      <c r="C2556" s="1" t="s">
        <v>3090</v>
      </c>
      <c r="D2556" s="1" t="s">
        <v>20</v>
      </c>
      <c r="E2556" t="s">
        <v>1592</v>
      </c>
      <c r="F2556" t="s">
        <v>876</v>
      </c>
      <c r="G2556" t="s">
        <v>38</v>
      </c>
      <c r="H2556" t="s">
        <v>39</v>
      </c>
      <c r="I2556" t="s">
        <v>40</v>
      </c>
      <c r="J2556">
        <v>1</v>
      </c>
      <c r="K2556">
        <v>599</v>
      </c>
      <c r="L2556">
        <f>Table1[[#This Row],[Quantity]] * Table1[[#This Row],[UnitPrice]]</f>
        <v>599</v>
      </c>
      <c r="M2556" s="25">
        <v>15</v>
      </c>
      <c r="N2556">
        <f>Table1[[#This Row],[Revenue]]*Table1[[#This Row],[Discount%]]/100</f>
        <v>89.85</v>
      </c>
      <c r="O2556" s="6">
        <f>Table1[[#This Row],[Revenue]]-Table1[[#This Row],[Disc_amount]]</f>
        <v>509.15</v>
      </c>
      <c r="P2556" t="s">
        <v>33</v>
      </c>
      <c r="Q2556" t="s">
        <v>34</v>
      </c>
    </row>
    <row r="2557" spans="1:17">
      <c r="A2557" t="s">
        <v>3408</v>
      </c>
      <c r="B2557" s="1" t="s">
        <v>1113</v>
      </c>
      <c r="C2557" s="1" t="s">
        <v>3090</v>
      </c>
      <c r="D2557" s="1" t="s">
        <v>20</v>
      </c>
      <c r="E2557" t="s">
        <v>60</v>
      </c>
      <c r="F2557" t="s">
        <v>61</v>
      </c>
      <c r="G2557" t="s">
        <v>31</v>
      </c>
      <c r="H2557" t="s">
        <v>108</v>
      </c>
      <c r="I2557" t="s">
        <v>130</v>
      </c>
      <c r="J2557">
        <v>1</v>
      </c>
      <c r="K2557">
        <v>699</v>
      </c>
      <c r="L2557">
        <f>Table1[[#This Row],[Quantity]] * Table1[[#This Row],[UnitPrice]]</f>
        <v>699</v>
      </c>
      <c r="M2557" s="25">
        <v>20</v>
      </c>
      <c r="N2557">
        <f>Table1[[#This Row],[Revenue]]*Table1[[#This Row],[Discount%]]/100</f>
        <v>139.80000000000001</v>
      </c>
      <c r="O2557" s="6">
        <f>Table1[[#This Row],[Revenue]]-Table1[[#This Row],[Disc_amount]]</f>
        <v>559.20000000000005</v>
      </c>
      <c r="P2557" t="s">
        <v>41</v>
      </c>
      <c r="Q2557" t="s">
        <v>34</v>
      </c>
    </row>
    <row r="2558" spans="1:17">
      <c r="A2558" t="s">
        <v>3409</v>
      </c>
      <c r="B2558" s="1" t="s">
        <v>1113</v>
      </c>
      <c r="C2558" s="1" t="s">
        <v>3090</v>
      </c>
      <c r="D2558" s="1" t="s">
        <v>20</v>
      </c>
      <c r="E2558" t="s">
        <v>357</v>
      </c>
      <c r="F2558" t="s">
        <v>358</v>
      </c>
      <c r="G2558" t="s">
        <v>45</v>
      </c>
      <c r="H2558" t="s">
        <v>65</v>
      </c>
      <c r="I2558" t="s">
        <v>66</v>
      </c>
      <c r="J2558">
        <v>3</v>
      </c>
      <c r="K2558">
        <v>1999</v>
      </c>
      <c r="L2558">
        <f>Table1[[#This Row],[Quantity]] * Table1[[#This Row],[UnitPrice]]</f>
        <v>5997</v>
      </c>
      <c r="M2558" s="25">
        <v>15</v>
      </c>
      <c r="N2558">
        <f>Table1[[#This Row],[Revenue]]*Table1[[#This Row],[Discount%]]/100</f>
        <v>899.55</v>
      </c>
      <c r="O2558" s="6">
        <f>Table1[[#This Row],[Revenue]]-Table1[[#This Row],[Disc_amount]]</f>
        <v>5097.45</v>
      </c>
      <c r="P2558" t="s">
        <v>33</v>
      </c>
      <c r="Q2558" t="s">
        <v>34</v>
      </c>
    </row>
    <row r="2559" spans="1:17">
      <c r="A2559" t="s">
        <v>3410</v>
      </c>
      <c r="B2559" s="1" t="s">
        <v>1113</v>
      </c>
      <c r="C2559" s="1" t="s">
        <v>3090</v>
      </c>
      <c r="D2559" s="1" t="s">
        <v>20</v>
      </c>
      <c r="E2559" t="s">
        <v>709</v>
      </c>
      <c r="F2559" t="s">
        <v>694</v>
      </c>
      <c r="G2559" t="s">
        <v>38</v>
      </c>
      <c r="H2559" t="s">
        <v>46</v>
      </c>
      <c r="I2559" t="s">
        <v>154</v>
      </c>
      <c r="J2559">
        <v>3</v>
      </c>
      <c r="K2559">
        <v>299</v>
      </c>
      <c r="L2559">
        <f>Table1[[#This Row],[Quantity]] * Table1[[#This Row],[UnitPrice]]</f>
        <v>897</v>
      </c>
      <c r="M2559" s="25">
        <v>10</v>
      </c>
      <c r="N2559">
        <f>Table1[[#This Row],[Revenue]]*Table1[[#This Row],[Discount%]]/100</f>
        <v>89.7</v>
      </c>
      <c r="O2559" s="6">
        <f>Table1[[#This Row],[Revenue]]-Table1[[#This Row],[Disc_amount]]</f>
        <v>807.3</v>
      </c>
      <c r="P2559" t="s">
        <v>33</v>
      </c>
      <c r="Q2559" t="s">
        <v>27</v>
      </c>
    </row>
    <row r="2560" spans="1:17">
      <c r="A2560" t="s">
        <v>3411</v>
      </c>
      <c r="B2560" s="1" t="s">
        <v>1113</v>
      </c>
      <c r="C2560" s="1" t="s">
        <v>3090</v>
      </c>
      <c r="D2560" s="1" t="s">
        <v>20</v>
      </c>
      <c r="E2560" t="s">
        <v>152</v>
      </c>
      <c r="F2560" t="s">
        <v>153</v>
      </c>
      <c r="G2560" t="s">
        <v>56</v>
      </c>
      <c r="H2560" t="s">
        <v>108</v>
      </c>
      <c r="I2560" t="s">
        <v>130</v>
      </c>
      <c r="J2560">
        <v>3</v>
      </c>
      <c r="K2560">
        <v>699</v>
      </c>
      <c r="L2560">
        <f>Table1[[#This Row],[Quantity]] * Table1[[#This Row],[UnitPrice]]</f>
        <v>2097</v>
      </c>
      <c r="M2560" s="25">
        <v>25</v>
      </c>
      <c r="N2560">
        <f>Table1[[#This Row],[Revenue]]*Table1[[#This Row],[Discount%]]/100</f>
        <v>524.25</v>
      </c>
      <c r="O2560" s="6">
        <f>Table1[[#This Row],[Revenue]]-Table1[[#This Row],[Disc_amount]]</f>
        <v>1572.75</v>
      </c>
      <c r="P2560" t="s">
        <v>26</v>
      </c>
      <c r="Q2560" t="s">
        <v>27</v>
      </c>
    </row>
    <row r="2561" spans="1:17">
      <c r="A2561" t="s">
        <v>3412</v>
      </c>
      <c r="B2561" s="1" t="s">
        <v>1113</v>
      </c>
      <c r="C2561" s="1" t="s">
        <v>3090</v>
      </c>
      <c r="D2561" s="1" t="s">
        <v>20</v>
      </c>
      <c r="E2561" t="s">
        <v>60</v>
      </c>
      <c r="F2561" t="s">
        <v>61</v>
      </c>
      <c r="G2561" t="s">
        <v>45</v>
      </c>
      <c r="H2561" t="s">
        <v>108</v>
      </c>
      <c r="I2561" t="s">
        <v>130</v>
      </c>
      <c r="J2561">
        <v>1</v>
      </c>
      <c r="K2561">
        <v>699</v>
      </c>
      <c r="L2561">
        <f>Table1[[#This Row],[Quantity]] * Table1[[#This Row],[UnitPrice]]</f>
        <v>699</v>
      </c>
      <c r="M2561" s="25">
        <v>25</v>
      </c>
      <c r="N2561">
        <f>Table1[[#This Row],[Revenue]]*Table1[[#This Row],[Discount%]]/100</f>
        <v>174.75</v>
      </c>
      <c r="O2561" s="6">
        <f>Table1[[#This Row],[Revenue]]-Table1[[#This Row],[Disc_amount]]</f>
        <v>524.25</v>
      </c>
      <c r="P2561" t="s">
        <v>26</v>
      </c>
      <c r="Q2561" t="s">
        <v>27</v>
      </c>
    </row>
    <row r="2562" spans="1:17">
      <c r="A2562" t="s">
        <v>3413</v>
      </c>
      <c r="B2562" s="1" t="s">
        <v>1113</v>
      </c>
      <c r="C2562" s="1" t="s">
        <v>3090</v>
      </c>
      <c r="D2562" s="1" t="s">
        <v>20</v>
      </c>
      <c r="E2562" t="s">
        <v>100</v>
      </c>
      <c r="F2562" t="s">
        <v>101</v>
      </c>
      <c r="G2562" t="s">
        <v>38</v>
      </c>
      <c r="H2562" t="s">
        <v>70</v>
      </c>
      <c r="I2562" t="s">
        <v>71</v>
      </c>
      <c r="J2562">
        <v>2</v>
      </c>
      <c r="K2562">
        <v>349</v>
      </c>
      <c r="L2562">
        <f>Table1[[#This Row],[Quantity]] * Table1[[#This Row],[UnitPrice]]</f>
        <v>698</v>
      </c>
      <c r="M2562" s="25">
        <v>15</v>
      </c>
      <c r="N2562">
        <f>Table1[[#This Row],[Revenue]]*Table1[[#This Row],[Discount%]]/100</f>
        <v>104.7</v>
      </c>
      <c r="O2562" s="6">
        <f>Table1[[#This Row],[Revenue]]-Table1[[#This Row],[Disc_amount]]</f>
        <v>593.29999999999995</v>
      </c>
      <c r="P2562" t="s">
        <v>86</v>
      </c>
      <c r="Q2562" t="s">
        <v>34</v>
      </c>
    </row>
    <row r="2563" spans="1:17">
      <c r="A2563" t="s">
        <v>3414</v>
      </c>
      <c r="B2563" s="1" t="s">
        <v>1123</v>
      </c>
      <c r="C2563" s="1" t="s">
        <v>3090</v>
      </c>
      <c r="D2563" s="1" t="s">
        <v>20</v>
      </c>
      <c r="E2563" t="s">
        <v>1913</v>
      </c>
      <c r="F2563" t="s">
        <v>462</v>
      </c>
      <c r="G2563" t="s">
        <v>38</v>
      </c>
      <c r="H2563" t="s">
        <v>46</v>
      </c>
      <c r="I2563" t="s">
        <v>154</v>
      </c>
      <c r="J2563">
        <v>1</v>
      </c>
      <c r="K2563">
        <v>299</v>
      </c>
      <c r="L2563">
        <f>Table1[[#This Row],[Quantity]] * Table1[[#This Row],[UnitPrice]]</f>
        <v>299</v>
      </c>
      <c r="M2563" s="25">
        <v>5</v>
      </c>
      <c r="N2563">
        <f>Table1[[#This Row],[Revenue]]*Table1[[#This Row],[Discount%]]/100</f>
        <v>14.95</v>
      </c>
      <c r="O2563" s="6">
        <f>Table1[[#This Row],[Revenue]]-Table1[[#This Row],[Disc_amount]]</f>
        <v>284.05</v>
      </c>
      <c r="P2563" t="s">
        <v>26</v>
      </c>
      <c r="Q2563" t="s">
        <v>34</v>
      </c>
    </row>
    <row r="2564" spans="1:17">
      <c r="A2564" t="s">
        <v>3415</v>
      </c>
      <c r="B2564" s="1" t="s">
        <v>1123</v>
      </c>
      <c r="C2564" s="1" t="s">
        <v>3090</v>
      </c>
      <c r="D2564" s="1" t="s">
        <v>20</v>
      </c>
      <c r="E2564" t="s">
        <v>347</v>
      </c>
      <c r="F2564" t="s">
        <v>348</v>
      </c>
      <c r="G2564" t="s">
        <v>56</v>
      </c>
      <c r="H2564" t="s">
        <v>24</v>
      </c>
      <c r="I2564" t="s">
        <v>25</v>
      </c>
      <c r="J2564">
        <v>1</v>
      </c>
      <c r="K2564">
        <v>99</v>
      </c>
      <c r="L2564">
        <f>Table1[[#This Row],[Quantity]] * Table1[[#This Row],[UnitPrice]]</f>
        <v>99</v>
      </c>
      <c r="M2564" s="25">
        <v>5</v>
      </c>
      <c r="N2564">
        <f>Table1[[#This Row],[Revenue]]*Table1[[#This Row],[Discount%]]/100</f>
        <v>4.95</v>
      </c>
      <c r="O2564" s="6">
        <f>Table1[[#This Row],[Revenue]]-Table1[[#This Row],[Disc_amount]]</f>
        <v>94.05</v>
      </c>
      <c r="P2564" t="s">
        <v>86</v>
      </c>
      <c r="Q2564" t="s">
        <v>27</v>
      </c>
    </row>
    <row r="2565" spans="1:17">
      <c r="A2565" t="s">
        <v>3416</v>
      </c>
      <c r="B2565" s="1" t="s">
        <v>1123</v>
      </c>
      <c r="C2565" s="1" t="s">
        <v>3090</v>
      </c>
      <c r="D2565" s="1" t="s">
        <v>20</v>
      </c>
      <c r="E2565" t="s">
        <v>316</v>
      </c>
      <c r="F2565" t="s">
        <v>317</v>
      </c>
      <c r="G2565" t="s">
        <v>31</v>
      </c>
      <c r="H2565" t="s">
        <v>70</v>
      </c>
      <c r="I2565" t="s">
        <v>71</v>
      </c>
      <c r="J2565">
        <v>1</v>
      </c>
      <c r="K2565">
        <v>349</v>
      </c>
      <c r="L2565">
        <f>Table1[[#This Row],[Quantity]] * Table1[[#This Row],[UnitPrice]]</f>
        <v>349</v>
      </c>
      <c r="M2565" s="25">
        <v>30</v>
      </c>
      <c r="N2565">
        <f>Table1[[#This Row],[Revenue]]*Table1[[#This Row],[Discount%]]/100</f>
        <v>104.7</v>
      </c>
      <c r="O2565" s="6">
        <f>Table1[[#This Row],[Revenue]]-Table1[[#This Row],[Disc_amount]]</f>
        <v>244.3</v>
      </c>
      <c r="P2565" t="s">
        <v>52</v>
      </c>
      <c r="Q2565" t="s">
        <v>34</v>
      </c>
    </row>
    <row r="2566" spans="1:17">
      <c r="A2566" t="s">
        <v>3417</v>
      </c>
      <c r="B2566" s="1" t="s">
        <v>1123</v>
      </c>
      <c r="C2566" s="1" t="s">
        <v>3090</v>
      </c>
      <c r="D2566" s="1" t="s">
        <v>20</v>
      </c>
      <c r="E2566" t="s">
        <v>594</v>
      </c>
      <c r="F2566" t="s">
        <v>546</v>
      </c>
      <c r="G2566" t="s">
        <v>56</v>
      </c>
      <c r="H2566" t="s">
        <v>108</v>
      </c>
      <c r="I2566" t="s">
        <v>109</v>
      </c>
      <c r="J2566">
        <v>3</v>
      </c>
      <c r="K2566">
        <v>1499</v>
      </c>
      <c r="L2566">
        <f>Table1[[#This Row],[Quantity]] * Table1[[#This Row],[UnitPrice]]</f>
        <v>4497</v>
      </c>
      <c r="M2566" s="25">
        <v>25</v>
      </c>
      <c r="N2566">
        <f>Table1[[#This Row],[Revenue]]*Table1[[#This Row],[Discount%]]/100</f>
        <v>1124.25</v>
      </c>
      <c r="O2566" s="6">
        <f>Table1[[#This Row],[Revenue]]-Table1[[#This Row],[Disc_amount]]</f>
        <v>3372.75</v>
      </c>
      <c r="P2566" t="s">
        <v>33</v>
      </c>
      <c r="Q2566" t="s">
        <v>27</v>
      </c>
    </row>
    <row r="2567" spans="1:17">
      <c r="A2567" t="s">
        <v>3418</v>
      </c>
      <c r="B2567" s="1" t="s">
        <v>1123</v>
      </c>
      <c r="C2567" s="1" t="s">
        <v>3090</v>
      </c>
      <c r="D2567" s="1" t="s">
        <v>20</v>
      </c>
      <c r="E2567" t="s">
        <v>49</v>
      </c>
      <c r="F2567" t="s">
        <v>50</v>
      </c>
      <c r="G2567" t="s">
        <v>45</v>
      </c>
      <c r="H2567" t="s">
        <v>65</v>
      </c>
      <c r="I2567" t="s">
        <v>94</v>
      </c>
      <c r="J2567">
        <v>1</v>
      </c>
      <c r="K2567">
        <v>899</v>
      </c>
      <c r="L2567">
        <f>Table1[[#This Row],[Quantity]] * Table1[[#This Row],[UnitPrice]]</f>
        <v>899</v>
      </c>
      <c r="M2567" s="25">
        <v>25</v>
      </c>
      <c r="N2567">
        <f>Table1[[#This Row],[Revenue]]*Table1[[#This Row],[Discount%]]/100</f>
        <v>224.75</v>
      </c>
      <c r="O2567" s="6">
        <f>Table1[[#This Row],[Revenue]]-Table1[[#This Row],[Disc_amount]]</f>
        <v>674.25</v>
      </c>
      <c r="P2567" t="s">
        <v>41</v>
      </c>
      <c r="Q2567" t="s">
        <v>27</v>
      </c>
    </row>
    <row r="2568" spans="1:17">
      <c r="A2568" t="s">
        <v>3419</v>
      </c>
      <c r="B2568" s="1" t="s">
        <v>1123</v>
      </c>
      <c r="C2568" s="1" t="s">
        <v>3090</v>
      </c>
      <c r="D2568" s="1" t="s">
        <v>20</v>
      </c>
      <c r="E2568" t="s">
        <v>1066</v>
      </c>
      <c r="F2568" t="s">
        <v>143</v>
      </c>
      <c r="G2568" t="s">
        <v>56</v>
      </c>
      <c r="H2568" t="s">
        <v>108</v>
      </c>
      <c r="I2568" t="s">
        <v>109</v>
      </c>
      <c r="J2568">
        <v>1</v>
      </c>
      <c r="K2568">
        <v>1499</v>
      </c>
      <c r="L2568">
        <f>Table1[[#This Row],[Quantity]] * Table1[[#This Row],[UnitPrice]]</f>
        <v>1499</v>
      </c>
      <c r="M2568" s="25">
        <v>25</v>
      </c>
      <c r="N2568">
        <f>Table1[[#This Row],[Revenue]]*Table1[[#This Row],[Discount%]]/100</f>
        <v>374.75</v>
      </c>
      <c r="O2568" s="6">
        <f>Table1[[#This Row],[Revenue]]-Table1[[#This Row],[Disc_amount]]</f>
        <v>1124.25</v>
      </c>
      <c r="P2568" t="s">
        <v>41</v>
      </c>
      <c r="Q2568" t="s">
        <v>34</v>
      </c>
    </row>
    <row r="2569" spans="1:17">
      <c r="A2569" t="s">
        <v>3420</v>
      </c>
      <c r="B2569" s="1" t="s">
        <v>1123</v>
      </c>
      <c r="C2569" s="1" t="s">
        <v>3090</v>
      </c>
      <c r="D2569" s="1" t="s">
        <v>20</v>
      </c>
      <c r="E2569" t="s">
        <v>1465</v>
      </c>
      <c r="F2569" t="s">
        <v>1466</v>
      </c>
      <c r="G2569" t="s">
        <v>23</v>
      </c>
      <c r="H2569" t="s">
        <v>24</v>
      </c>
      <c r="I2569" t="s">
        <v>32</v>
      </c>
      <c r="J2569">
        <v>1</v>
      </c>
      <c r="K2569">
        <v>199</v>
      </c>
      <c r="L2569">
        <f>Table1[[#This Row],[Quantity]] * Table1[[#This Row],[UnitPrice]]</f>
        <v>199</v>
      </c>
      <c r="M2569" s="25">
        <v>30</v>
      </c>
      <c r="N2569">
        <f>Table1[[#This Row],[Revenue]]*Table1[[#This Row],[Discount%]]/100</f>
        <v>59.7</v>
      </c>
      <c r="O2569" s="6">
        <f>Table1[[#This Row],[Revenue]]-Table1[[#This Row],[Disc_amount]]</f>
        <v>139.30000000000001</v>
      </c>
      <c r="P2569" t="s">
        <v>41</v>
      </c>
      <c r="Q2569" t="s">
        <v>27</v>
      </c>
    </row>
    <row r="2570" spans="1:17">
      <c r="A2570" t="s">
        <v>3421</v>
      </c>
      <c r="B2570" s="1" t="s">
        <v>1123</v>
      </c>
      <c r="C2570" s="1" t="s">
        <v>3090</v>
      </c>
      <c r="D2570" s="1" t="s">
        <v>20</v>
      </c>
      <c r="E2570" t="s">
        <v>182</v>
      </c>
      <c r="F2570" t="s">
        <v>183</v>
      </c>
      <c r="G2570" t="s">
        <v>56</v>
      </c>
      <c r="H2570" t="s">
        <v>70</v>
      </c>
      <c r="I2570" t="s">
        <v>91</v>
      </c>
      <c r="J2570">
        <v>2</v>
      </c>
      <c r="K2570">
        <v>549</v>
      </c>
      <c r="L2570">
        <f>Table1[[#This Row],[Quantity]] * Table1[[#This Row],[UnitPrice]]</f>
        <v>1098</v>
      </c>
      <c r="M2570" s="25">
        <v>0</v>
      </c>
      <c r="N2570">
        <f>Table1[[#This Row],[Revenue]]*Table1[[#This Row],[Discount%]]/100</f>
        <v>0</v>
      </c>
      <c r="O2570" s="6">
        <f>Table1[[#This Row],[Revenue]]-Table1[[#This Row],[Disc_amount]]</f>
        <v>1098</v>
      </c>
      <c r="P2570" t="s">
        <v>26</v>
      </c>
      <c r="Q2570" t="s">
        <v>34</v>
      </c>
    </row>
    <row r="2571" spans="1:17">
      <c r="A2571" t="s">
        <v>3422</v>
      </c>
      <c r="B2571" s="1" t="s">
        <v>1123</v>
      </c>
      <c r="C2571" s="1" t="s">
        <v>3090</v>
      </c>
      <c r="D2571" s="1" t="s">
        <v>20</v>
      </c>
      <c r="E2571" t="s">
        <v>795</v>
      </c>
      <c r="F2571" t="s">
        <v>796</v>
      </c>
      <c r="G2571" t="s">
        <v>38</v>
      </c>
      <c r="H2571" t="s">
        <v>57</v>
      </c>
      <c r="I2571" t="s">
        <v>62</v>
      </c>
      <c r="J2571">
        <v>1</v>
      </c>
      <c r="K2571">
        <v>799</v>
      </c>
      <c r="L2571">
        <f>Table1[[#This Row],[Quantity]] * Table1[[#This Row],[UnitPrice]]</f>
        <v>799</v>
      </c>
      <c r="M2571" s="25">
        <v>5</v>
      </c>
      <c r="N2571">
        <f>Table1[[#This Row],[Revenue]]*Table1[[#This Row],[Discount%]]/100</f>
        <v>39.950000000000003</v>
      </c>
      <c r="O2571" s="6">
        <f>Table1[[#This Row],[Revenue]]-Table1[[#This Row],[Disc_amount]]</f>
        <v>759.05</v>
      </c>
      <c r="P2571" t="s">
        <v>41</v>
      </c>
      <c r="Q2571" t="s">
        <v>27</v>
      </c>
    </row>
    <row r="2572" spans="1:17">
      <c r="A2572" t="s">
        <v>3423</v>
      </c>
      <c r="B2572" s="1" t="s">
        <v>1123</v>
      </c>
      <c r="C2572" s="1" t="s">
        <v>3090</v>
      </c>
      <c r="D2572" s="1" t="s">
        <v>20</v>
      </c>
      <c r="E2572" t="s">
        <v>1946</v>
      </c>
      <c r="F2572" t="s">
        <v>74</v>
      </c>
      <c r="G2572" t="s">
        <v>23</v>
      </c>
      <c r="H2572" t="s">
        <v>65</v>
      </c>
      <c r="I2572" t="s">
        <v>98</v>
      </c>
      <c r="J2572">
        <v>1</v>
      </c>
      <c r="K2572">
        <v>499</v>
      </c>
      <c r="L2572">
        <f>Table1[[#This Row],[Quantity]] * Table1[[#This Row],[UnitPrice]]</f>
        <v>499</v>
      </c>
      <c r="M2572" s="25">
        <v>15</v>
      </c>
      <c r="N2572">
        <f>Table1[[#This Row],[Revenue]]*Table1[[#This Row],[Discount%]]/100</f>
        <v>74.849999999999994</v>
      </c>
      <c r="O2572" s="6">
        <f>Table1[[#This Row],[Revenue]]-Table1[[#This Row],[Disc_amount]]</f>
        <v>424.15</v>
      </c>
      <c r="P2572" t="s">
        <v>41</v>
      </c>
      <c r="Q2572" t="s">
        <v>34</v>
      </c>
    </row>
    <row r="2573" spans="1:17">
      <c r="A2573" t="s">
        <v>3424</v>
      </c>
      <c r="B2573" s="1" t="s">
        <v>1123</v>
      </c>
      <c r="C2573" s="1" t="s">
        <v>3090</v>
      </c>
      <c r="D2573" s="1" t="s">
        <v>20</v>
      </c>
      <c r="E2573" t="s">
        <v>1038</v>
      </c>
      <c r="F2573" t="s">
        <v>245</v>
      </c>
      <c r="G2573" t="s">
        <v>23</v>
      </c>
      <c r="H2573" t="s">
        <v>24</v>
      </c>
      <c r="I2573" t="s">
        <v>25</v>
      </c>
      <c r="J2573">
        <v>1</v>
      </c>
      <c r="K2573">
        <v>99</v>
      </c>
      <c r="L2573">
        <f>Table1[[#This Row],[Quantity]] * Table1[[#This Row],[UnitPrice]]</f>
        <v>99</v>
      </c>
      <c r="M2573" s="25">
        <v>20</v>
      </c>
      <c r="N2573">
        <f>Table1[[#This Row],[Revenue]]*Table1[[#This Row],[Discount%]]/100</f>
        <v>19.8</v>
      </c>
      <c r="O2573" s="6">
        <f>Table1[[#This Row],[Revenue]]-Table1[[#This Row],[Disc_amount]]</f>
        <v>79.2</v>
      </c>
      <c r="P2573" t="s">
        <v>26</v>
      </c>
      <c r="Q2573" t="s">
        <v>34</v>
      </c>
    </row>
    <row r="2574" spans="1:17">
      <c r="A2574" t="s">
        <v>3425</v>
      </c>
      <c r="B2574" s="1" t="s">
        <v>1123</v>
      </c>
      <c r="C2574" s="1" t="s">
        <v>3090</v>
      </c>
      <c r="D2574" s="1" t="s">
        <v>20</v>
      </c>
      <c r="E2574" t="s">
        <v>1658</v>
      </c>
      <c r="F2574" t="s">
        <v>61</v>
      </c>
      <c r="G2574" t="s">
        <v>23</v>
      </c>
      <c r="H2574" t="s">
        <v>70</v>
      </c>
      <c r="I2574" t="s">
        <v>71</v>
      </c>
      <c r="J2574">
        <v>1</v>
      </c>
      <c r="K2574">
        <v>349</v>
      </c>
      <c r="L2574">
        <f>Table1[[#This Row],[Quantity]] * Table1[[#This Row],[UnitPrice]]</f>
        <v>349</v>
      </c>
      <c r="M2574" s="25">
        <v>10</v>
      </c>
      <c r="N2574">
        <f>Table1[[#This Row],[Revenue]]*Table1[[#This Row],[Discount%]]/100</f>
        <v>34.9</v>
      </c>
      <c r="O2574" s="6">
        <f>Table1[[#This Row],[Revenue]]-Table1[[#This Row],[Disc_amount]]</f>
        <v>314.10000000000002</v>
      </c>
      <c r="P2574" t="s">
        <v>41</v>
      </c>
      <c r="Q2574" t="s">
        <v>27</v>
      </c>
    </row>
    <row r="2575" spans="1:17">
      <c r="A2575" t="s">
        <v>3426</v>
      </c>
      <c r="B2575" s="1" t="s">
        <v>1123</v>
      </c>
      <c r="C2575" s="1" t="s">
        <v>3090</v>
      </c>
      <c r="D2575" s="1" t="s">
        <v>20</v>
      </c>
      <c r="E2575" t="s">
        <v>252</v>
      </c>
      <c r="F2575" t="s">
        <v>253</v>
      </c>
      <c r="G2575" t="s">
        <v>31</v>
      </c>
      <c r="H2575" t="s">
        <v>108</v>
      </c>
      <c r="I2575" t="s">
        <v>130</v>
      </c>
      <c r="J2575">
        <v>2</v>
      </c>
      <c r="K2575">
        <v>699</v>
      </c>
      <c r="L2575">
        <f>Table1[[#This Row],[Quantity]] * Table1[[#This Row],[UnitPrice]]</f>
        <v>1398</v>
      </c>
      <c r="M2575" s="25">
        <v>30</v>
      </c>
      <c r="N2575">
        <f>Table1[[#This Row],[Revenue]]*Table1[[#This Row],[Discount%]]/100</f>
        <v>419.4</v>
      </c>
      <c r="O2575" s="6">
        <f>Table1[[#This Row],[Revenue]]-Table1[[#This Row],[Disc_amount]]</f>
        <v>978.6</v>
      </c>
      <c r="P2575" t="s">
        <v>26</v>
      </c>
      <c r="Q2575" t="s">
        <v>34</v>
      </c>
    </row>
    <row r="2576" spans="1:17">
      <c r="A2576" t="s">
        <v>3427</v>
      </c>
      <c r="B2576" s="1" t="s">
        <v>1123</v>
      </c>
      <c r="C2576" s="1" t="s">
        <v>3090</v>
      </c>
      <c r="D2576" s="1" t="s">
        <v>20</v>
      </c>
      <c r="E2576" t="s">
        <v>1734</v>
      </c>
      <c r="F2576" t="s">
        <v>1735</v>
      </c>
      <c r="G2576" t="s">
        <v>38</v>
      </c>
      <c r="H2576" t="s">
        <v>39</v>
      </c>
      <c r="I2576" t="s">
        <v>51</v>
      </c>
      <c r="J2576">
        <v>4</v>
      </c>
      <c r="K2576">
        <v>2999</v>
      </c>
      <c r="L2576">
        <f>Table1[[#This Row],[Quantity]] * Table1[[#This Row],[UnitPrice]]</f>
        <v>11996</v>
      </c>
      <c r="M2576" s="25">
        <v>0</v>
      </c>
      <c r="N2576">
        <f>Table1[[#This Row],[Revenue]]*Table1[[#This Row],[Discount%]]/100</f>
        <v>0</v>
      </c>
      <c r="O2576" s="6">
        <f>Table1[[#This Row],[Revenue]]-Table1[[#This Row],[Disc_amount]]</f>
        <v>11996</v>
      </c>
      <c r="P2576" t="s">
        <v>33</v>
      </c>
      <c r="Q2576" t="s">
        <v>34</v>
      </c>
    </row>
    <row r="2577" spans="1:17">
      <c r="A2577" t="s">
        <v>3428</v>
      </c>
      <c r="B2577" s="1" t="s">
        <v>1123</v>
      </c>
      <c r="C2577" s="1" t="s">
        <v>3090</v>
      </c>
      <c r="D2577" s="1" t="s">
        <v>20</v>
      </c>
      <c r="E2577" t="s">
        <v>1019</v>
      </c>
      <c r="F2577" t="s">
        <v>1020</v>
      </c>
      <c r="G2577" t="s">
        <v>31</v>
      </c>
      <c r="H2577" t="s">
        <v>46</v>
      </c>
      <c r="I2577" t="s">
        <v>154</v>
      </c>
      <c r="J2577">
        <v>3</v>
      </c>
      <c r="K2577">
        <v>299</v>
      </c>
      <c r="L2577">
        <f>Table1[[#This Row],[Quantity]] * Table1[[#This Row],[UnitPrice]]</f>
        <v>897</v>
      </c>
      <c r="M2577" s="25">
        <v>0</v>
      </c>
      <c r="N2577">
        <f>Table1[[#This Row],[Revenue]]*Table1[[#This Row],[Discount%]]/100</f>
        <v>0</v>
      </c>
      <c r="O2577" s="6">
        <f>Table1[[#This Row],[Revenue]]-Table1[[#This Row],[Disc_amount]]</f>
        <v>897</v>
      </c>
      <c r="P2577" t="s">
        <v>33</v>
      </c>
      <c r="Q2577" t="s">
        <v>27</v>
      </c>
    </row>
    <row r="2578" spans="1:17">
      <c r="A2578" t="s">
        <v>3429</v>
      </c>
      <c r="B2578" s="1" t="s">
        <v>1123</v>
      </c>
      <c r="C2578" s="1" t="s">
        <v>3090</v>
      </c>
      <c r="D2578" s="1" t="s">
        <v>20</v>
      </c>
      <c r="E2578" t="s">
        <v>657</v>
      </c>
      <c r="F2578" t="s">
        <v>147</v>
      </c>
      <c r="G2578" t="s">
        <v>31</v>
      </c>
      <c r="H2578" t="s">
        <v>70</v>
      </c>
      <c r="I2578" t="s">
        <v>91</v>
      </c>
      <c r="J2578">
        <v>2</v>
      </c>
      <c r="K2578">
        <v>549</v>
      </c>
      <c r="L2578">
        <f>Table1[[#This Row],[Quantity]] * Table1[[#This Row],[UnitPrice]]</f>
        <v>1098</v>
      </c>
      <c r="M2578" s="25">
        <v>0</v>
      </c>
      <c r="N2578">
        <f>Table1[[#This Row],[Revenue]]*Table1[[#This Row],[Discount%]]/100</f>
        <v>0</v>
      </c>
      <c r="O2578" s="6">
        <f>Table1[[#This Row],[Revenue]]-Table1[[#This Row],[Disc_amount]]</f>
        <v>1098</v>
      </c>
      <c r="P2578" t="s">
        <v>26</v>
      </c>
      <c r="Q2578" t="s">
        <v>27</v>
      </c>
    </row>
    <row r="2579" spans="1:17">
      <c r="A2579" t="s">
        <v>3430</v>
      </c>
      <c r="B2579" s="1" t="s">
        <v>2479</v>
      </c>
      <c r="C2579" s="1" t="s">
        <v>3431</v>
      </c>
      <c r="D2579" s="1" t="s">
        <v>20</v>
      </c>
      <c r="E2579" t="s">
        <v>1655</v>
      </c>
      <c r="F2579" t="s">
        <v>384</v>
      </c>
      <c r="G2579" t="s">
        <v>31</v>
      </c>
      <c r="H2579" t="s">
        <v>65</v>
      </c>
      <c r="I2579" t="s">
        <v>98</v>
      </c>
      <c r="J2579">
        <v>1</v>
      </c>
      <c r="K2579">
        <v>499</v>
      </c>
      <c r="L2579">
        <f>Table1[[#This Row],[Quantity]] * Table1[[#This Row],[UnitPrice]]</f>
        <v>499</v>
      </c>
      <c r="M2579" s="25">
        <v>0</v>
      </c>
      <c r="N2579">
        <f>Table1[[#This Row],[Revenue]]*Table1[[#This Row],[Discount%]]/100</f>
        <v>0</v>
      </c>
      <c r="O2579" s="6">
        <f>Table1[[#This Row],[Revenue]]-Table1[[#This Row],[Disc_amount]]</f>
        <v>499</v>
      </c>
      <c r="P2579" t="s">
        <v>52</v>
      </c>
      <c r="Q2579" t="s">
        <v>27</v>
      </c>
    </row>
    <row r="2580" spans="1:17">
      <c r="A2580" t="s">
        <v>3432</v>
      </c>
      <c r="B2580" s="1" t="s">
        <v>2479</v>
      </c>
      <c r="C2580" s="1" t="s">
        <v>3431</v>
      </c>
      <c r="D2580" s="1" t="s">
        <v>20</v>
      </c>
      <c r="E2580" t="s">
        <v>2039</v>
      </c>
      <c r="F2580" t="s">
        <v>358</v>
      </c>
      <c r="G2580" t="s">
        <v>38</v>
      </c>
      <c r="H2580" t="s">
        <v>108</v>
      </c>
      <c r="I2580" t="s">
        <v>130</v>
      </c>
      <c r="J2580">
        <v>1</v>
      </c>
      <c r="K2580">
        <v>699</v>
      </c>
      <c r="L2580">
        <f>Table1[[#This Row],[Quantity]] * Table1[[#This Row],[UnitPrice]]</f>
        <v>699</v>
      </c>
      <c r="M2580" s="25">
        <v>0</v>
      </c>
      <c r="N2580">
        <f>Table1[[#This Row],[Revenue]]*Table1[[#This Row],[Discount%]]/100</f>
        <v>0</v>
      </c>
      <c r="O2580" s="6">
        <f>Table1[[#This Row],[Revenue]]-Table1[[#This Row],[Disc_amount]]</f>
        <v>699</v>
      </c>
      <c r="P2580" t="s">
        <v>26</v>
      </c>
      <c r="Q2580" t="s">
        <v>27</v>
      </c>
    </row>
    <row r="2581" spans="1:17">
      <c r="A2581" t="s">
        <v>3433</v>
      </c>
      <c r="B2581" s="1" t="s">
        <v>2479</v>
      </c>
      <c r="C2581" s="1" t="s">
        <v>3431</v>
      </c>
      <c r="D2581" s="1" t="s">
        <v>20</v>
      </c>
      <c r="E2581" t="s">
        <v>453</v>
      </c>
      <c r="F2581" t="s">
        <v>454</v>
      </c>
      <c r="G2581" t="s">
        <v>45</v>
      </c>
      <c r="H2581" t="s">
        <v>39</v>
      </c>
      <c r="I2581" t="s">
        <v>51</v>
      </c>
      <c r="J2581">
        <v>1</v>
      </c>
      <c r="K2581">
        <v>2999</v>
      </c>
      <c r="L2581">
        <f>Table1[[#This Row],[Quantity]] * Table1[[#This Row],[UnitPrice]]</f>
        <v>2999</v>
      </c>
      <c r="M2581" s="25">
        <v>20</v>
      </c>
      <c r="N2581">
        <f>Table1[[#This Row],[Revenue]]*Table1[[#This Row],[Discount%]]/100</f>
        <v>599.79999999999995</v>
      </c>
      <c r="O2581" s="6">
        <f>Table1[[#This Row],[Revenue]]-Table1[[#This Row],[Disc_amount]]</f>
        <v>2399.1999999999998</v>
      </c>
      <c r="P2581" t="s">
        <v>41</v>
      </c>
      <c r="Q2581" t="s">
        <v>34</v>
      </c>
    </row>
    <row r="2582" spans="1:17">
      <c r="A2582" t="s">
        <v>3434</v>
      </c>
      <c r="B2582" s="1" t="s">
        <v>2479</v>
      </c>
      <c r="C2582" s="1" t="s">
        <v>3431</v>
      </c>
      <c r="D2582" s="1" t="s">
        <v>20</v>
      </c>
      <c r="E2582" t="s">
        <v>899</v>
      </c>
      <c r="F2582" t="s">
        <v>900</v>
      </c>
      <c r="G2582" t="s">
        <v>38</v>
      </c>
      <c r="H2582" t="s">
        <v>39</v>
      </c>
      <c r="I2582" t="s">
        <v>51</v>
      </c>
      <c r="J2582">
        <v>2</v>
      </c>
      <c r="K2582">
        <v>2999</v>
      </c>
      <c r="L2582">
        <f>Table1[[#This Row],[Quantity]] * Table1[[#This Row],[UnitPrice]]</f>
        <v>5998</v>
      </c>
      <c r="M2582" s="25">
        <v>30</v>
      </c>
      <c r="N2582">
        <f>Table1[[#This Row],[Revenue]]*Table1[[#This Row],[Discount%]]/100</f>
        <v>1799.4</v>
      </c>
      <c r="O2582" s="6">
        <f>Table1[[#This Row],[Revenue]]-Table1[[#This Row],[Disc_amount]]</f>
        <v>4198.6000000000004</v>
      </c>
      <c r="P2582" t="s">
        <v>86</v>
      </c>
      <c r="Q2582" t="s">
        <v>34</v>
      </c>
    </row>
    <row r="2583" spans="1:17">
      <c r="A2583" t="s">
        <v>3435</v>
      </c>
      <c r="B2583" s="1" t="s">
        <v>2479</v>
      </c>
      <c r="C2583" s="1" t="s">
        <v>3431</v>
      </c>
      <c r="D2583" s="1" t="s">
        <v>20</v>
      </c>
      <c r="E2583" t="s">
        <v>383</v>
      </c>
      <c r="F2583" t="s">
        <v>384</v>
      </c>
      <c r="G2583" t="s">
        <v>31</v>
      </c>
      <c r="H2583" t="s">
        <v>70</v>
      </c>
      <c r="I2583" t="s">
        <v>91</v>
      </c>
      <c r="J2583">
        <v>2</v>
      </c>
      <c r="K2583">
        <v>549</v>
      </c>
      <c r="L2583">
        <f>Table1[[#This Row],[Quantity]] * Table1[[#This Row],[UnitPrice]]</f>
        <v>1098</v>
      </c>
      <c r="M2583" s="25">
        <v>20</v>
      </c>
      <c r="N2583">
        <f>Table1[[#This Row],[Revenue]]*Table1[[#This Row],[Discount%]]/100</f>
        <v>219.6</v>
      </c>
      <c r="O2583" s="6">
        <f>Table1[[#This Row],[Revenue]]-Table1[[#This Row],[Disc_amount]]</f>
        <v>878.4</v>
      </c>
      <c r="P2583" t="s">
        <v>86</v>
      </c>
      <c r="Q2583" t="s">
        <v>34</v>
      </c>
    </row>
    <row r="2584" spans="1:17">
      <c r="A2584" t="s">
        <v>3436</v>
      </c>
      <c r="B2584" s="1" t="s">
        <v>2479</v>
      </c>
      <c r="C2584" s="1" t="s">
        <v>3431</v>
      </c>
      <c r="D2584" s="1" t="s">
        <v>20</v>
      </c>
      <c r="E2584" t="s">
        <v>725</v>
      </c>
      <c r="F2584" t="s">
        <v>726</v>
      </c>
      <c r="G2584" t="s">
        <v>56</v>
      </c>
      <c r="H2584" t="s">
        <v>108</v>
      </c>
      <c r="I2584" t="s">
        <v>109</v>
      </c>
      <c r="J2584">
        <v>1</v>
      </c>
      <c r="K2584">
        <v>1499</v>
      </c>
      <c r="L2584">
        <f>Table1[[#This Row],[Quantity]] * Table1[[#This Row],[UnitPrice]]</f>
        <v>1499</v>
      </c>
      <c r="M2584" s="25">
        <v>25</v>
      </c>
      <c r="N2584">
        <f>Table1[[#This Row],[Revenue]]*Table1[[#This Row],[Discount%]]/100</f>
        <v>374.75</v>
      </c>
      <c r="O2584" s="6">
        <f>Table1[[#This Row],[Revenue]]-Table1[[#This Row],[Disc_amount]]</f>
        <v>1124.25</v>
      </c>
      <c r="P2584" t="s">
        <v>86</v>
      </c>
      <c r="Q2584" t="s">
        <v>27</v>
      </c>
    </row>
    <row r="2585" spans="1:17">
      <c r="A2585" t="s">
        <v>3437</v>
      </c>
      <c r="B2585" s="1" t="s">
        <v>2479</v>
      </c>
      <c r="C2585" s="1" t="s">
        <v>3431</v>
      </c>
      <c r="D2585" s="1" t="s">
        <v>20</v>
      </c>
      <c r="E2585" t="s">
        <v>2039</v>
      </c>
      <c r="F2585" t="s">
        <v>358</v>
      </c>
      <c r="G2585" t="s">
        <v>31</v>
      </c>
      <c r="H2585" t="s">
        <v>65</v>
      </c>
      <c r="I2585" t="s">
        <v>94</v>
      </c>
      <c r="J2585">
        <v>5</v>
      </c>
      <c r="K2585">
        <v>899</v>
      </c>
      <c r="L2585">
        <f>Table1[[#This Row],[Quantity]] * Table1[[#This Row],[UnitPrice]]</f>
        <v>4495</v>
      </c>
      <c r="M2585" s="25">
        <v>25</v>
      </c>
      <c r="N2585">
        <f>Table1[[#This Row],[Revenue]]*Table1[[#This Row],[Discount%]]/100</f>
        <v>1123.75</v>
      </c>
      <c r="O2585" s="6">
        <f>Table1[[#This Row],[Revenue]]-Table1[[#This Row],[Disc_amount]]</f>
        <v>3371.25</v>
      </c>
      <c r="P2585" t="s">
        <v>26</v>
      </c>
      <c r="Q2585" t="s">
        <v>27</v>
      </c>
    </row>
    <row r="2586" spans="1:17">
      <c r="A2586" t="s">
        <v>3438</v>
      </c>
      <c r="B2586" s="1" t="s">
        <v>2479</v>
      </c>
      <c r="C2586" s="1" t="s">
        <v>3431</v>
      </c>
      <c r="D2586" s="1" t="s">
        <v>20</v>
      </c>
      <c r="E2586" t="s">
        <v>640</v>
      </c>
      <c r="F2586" t="s">
        <v>225</v>
      </c>
      <c r="G2586" t="s">
        <v>45</v>
      </c>
      <c r="H2586" t="s">
        <v>39</v>
      </c>
      <c r="I2586" t="s">
        <v>40</v>
      </c>
      <c r="J2586">
        <v>2</v>
      </c>
      <c r="K2586">
        <v>599</v>
      </c>
      <c r="L2586">
        <f>Table1[[#This Row],[Quantity]] * Table1[[#This Row],[UnitPrice]]</f>
        <v>1198</v>
      </c>
      <c r="M2586" s="25">
        <v>10</v>
      </c>
      <c r="N2586">
        <f>Table1[[#This Row],[Revenue]]*Table1[[#This Row],[Discount%]]/100</f>
        <v>119.8</v>
      </c>
      <c r="O2586" s="6">
        <f>Table1[[#This Row],[Revenue]]-Table1[[#This Row],[Disc_amount]]</f>
        <v>1078.2</v>
      </c>
      <c r="P2586" t="s">
        <v>41</v>
      </c>
      <c r="Q2586" t="s">
        <v>27</v>
      </c>
    </row>
    <row r="2587" spans="1:17">
      <c r="A2587" t="s">
        <v>3439</v>
      </c>
      <c r="B2587" s="1" t="s">
        <v>2479</v>
      </c>
      <c r="C2587" s="1" t="s">
        <v>3431</v>
      </c>
      <c r="D2587" s="1" t="s">
        <v>20</v>
      </c>
      <c r="E2587" t="s">
        <v>1129</v>
      </c>
      <c r="F2587" t="s">
        <v>345</v>
      </c>
      <c r="G2587" t="s">
        <v>56</v>
      </c>
      <c r="H2587" t="s">
        <v>46</v>
      </c>
      <c r="I2587" t="s">
        <v>154</v>
      </c>
      <c r="J2587">
        <v>1</v>
      </c>
      <c r="K2587">
        <v>299</v>
      </c>
      <c r="L2587">
        <f>Table1[[#This Row],[Quantity]] * Table1[[#This Row],[UnitPrice]]</f>
        <v>299</v>
      </c>
      <c r="M2587" s="25">
        <v>10</v>
      </c>
      <c r="N2587">
        <f>Table1[[#This Row],[Revenue]]*Table1[[#This Row],[Discount%]]/100</f>
        <v>29.9</v>
      </c>
      <c r="O2587" s="6">
        <f>Table1[[#This Row],[Revenue]]-Table1[[#This Row],[Disc_amount]]</f>
        <v>269.10000000000002</v>
      </c>
      <c r="P2587" t="s">
        <v>86</v>
      </c>
      <c r="Q2587" t="s">
        <v>27</v>
      </c>
    </row>
    <row r="2588" spans="1:17">
      <c r="A2588" t="s">
        <v>3440</v>
      </c>
      <c r="B2588" s="1" t="s">
        <v>2479</v>
      </c>
      <c r="C2588" s="1" t="s">
        <v>3431</v>
      </c>
      <c r="D2588" s="1" t="s">
        <v>20</v>
      </c>
      <c r="E2588" t="s">
        <v>1578</v>
      </c>
      <c r="F2588" t="s">
        <v>44</v>
      </c>
      <c r="G2588" t="s">
        <v>45</v>
      </c>
      <c r="H2588" t="s">
        <v>46</v>
      </c>
      <c r="I2588" t="s">
        <v>47</v>
      </c>
      <c r="J2588">
        <v>3</v>
      </c>
      <c r="K2588">
        <v>249</v>
      </c>
      <c r="L2588">
        <f>Table1[[#This Row],[Quantity]] * Table1[[#This Row],[UnitPrice]]</f>
        <v>747</v>
      </c>
      <c r="M2588" s="25">
        <v>5</v>
      </c>
      <c r="N2588">
        <f>Table1[[#This Row],[Revenue]]*Table1[[#This Row],[Discount%]]/100</f>
        <v>37.35</v>
      </c>
      <c r="O2588" s="6">
        <f>Table1[[#This Row],[Revenue]]-Table1[[#This Row],[Disc_amount]]</f>
        <v>709.65</v>
      </c>
      <c r="P2588" t="s">
        <v>26</v>
      </c>
      <c r="Q2588" t="s">
        <v>34</v>
      </c>
    </row>
    <row r="2589" spans="1:17">
      <c r="A2589" t="s">
        <v>3441</v>
      </c>
      <c r="B2589" s="1" t="s">
        <v>2479</v>
      </c>
      <c r="C2589" s="1" t="s">
        <v>3431</v>
      </c>
      <c r="D2589" s="1" t="s">
        <v>20</v>
      </c>
      <c r="E2589" t="s">
        <v>394</v>
      </c>
      <c r="F2589" t="s">
        <v>338</v>
      </c>
      <c r="G2589" t="s">
        <v>45</v>
      </c>
      <c r="H2589" t="s">
        <v>24</v>
      </c>
      <c r="I2589" t="s">
        <v>25</v>
      </c>
      <c r="J2589">
        <v>1</v>
      </c>
      <c r="K2589">
        <v>99</v>
      </c>
      <c r="L2589">
        <f>Table1[[#This Row],[Quantity]] * Table1[[#This Row],[UnitPrice]]</f>
        <v>99</v>
      </c>
      <c r="M2589" s="25">
        <v>30</v>
      </c>
      <c r="N2589">
        <f>Table1[[#This Row],[Revenue]]*Table1[[#This Row],[Discount%]]/100</f>
        <v>29.7</v>
      </c>
      <c r="O2589" s="6">
        <f>Table1[[#This Row],[Revenue]]-Table1[[#This Row],[Disc_amount]]</f>
        <v>69.3</v>
      </c>
      <c r="P2589" t="s">
        <v>26</v>
      </c>
      <c r="Q2589" t="s">
        <v>27</v>
      </c>
    </row>
    <row r="2590" spans="1:17">
      <c r="A2590" t="s">
        <v>3442</v>
      </c>
      <c r="B2590" s="1" t="s">
        <v>2479</v>
      </c>
      <c r="C2590" s="1" t="s">
        <v>3431</v>
      </c>
      <c r="D2590" s="1" t="s">
        <v>20</v>
      </c>
      <c r="E2590" t="s">
        <v>1270</v>
      </c>
      <c r="F2590" t="s">
        <v>90</v>
      </c>
      <c r="G2590" t="s">
        <v>31</v>
      </c>
      <c r="H2590" t="s">
        <v>39</v>
      </c>
      <c r="I2590" t="s">
        <v>40</v>
      </c>
      <c r="J2590">
        <v>1</v>
      </c>
      <c r="K2590">
        <v>599</v>
      </c>
      <c r="L2590">
        <f>Table1[[#This Row],[Quantity]] * Table1[[#This Row],[UnitPrice]]</f>
        <v>599</v>
      </c>
      <c r="M2590" s="25">
        <v>30</v>
      </c>
      <c r="N2590">
        <f>Table1[[#This Row],[Revenue]]*Table1[[#This Row],[Discount%]]/100</f>
        <v>179.7</v>
      </c>
      <c r="O2590" s="6">
        <f>Table1[[#This Row],[Revenue]]-Table1[[#This Row],[Disc_amount]]</f>
        <v>419.3</v>
      </c>
      <c r="P2590" t="s">
        <v>41</v>
      </c>
      <c r="Q2590" t="s">
        <v>34</v>
      </c>
    </row>
    <row r="2591" spans="1:17">
      <c r="A2591" t="s">
        <v>3443</v>
      </c>
      <c r="B2591" s="1" t="s">
        <v>2479</v>
      </c>
      <c r="C2591" s="1" t="s">
        <v>3431</v>
      </c>
      <c r="D2591" s="1" t="s">
        <v>20</v>
      </c>
      <c r="E2591" t="s">
        <v>725</v>
      </c>
      <c r="F2591" t="s">
        <v>726</v>
      </c>
      <c r="G2591" t="s">
        <v>31</v>
      </c>
      <c r="H2591" t="s">
        <v>108</v>
      </c>
      <c r="I2591" t="s">
        <v>109</v>
      </c>
      <c r="J2591">
        <v>1</v>
      </c>
      <c r="K2591">
        <v>1499</v>
      </c>
      <c r="L2591">
        <f>Table1[[#This Row],[Quantity]] * Table1[[#This Row],[UnitPrice]]</f>
        <v>1499</v>
      </c>
      <c r="M2591" s="25">
        <v>30</v>
      </c>
      <c r="N2591">
        <f>Table1[[#This Row],[Revenue]]*Table1[[#This Row],[Discount%]]/100</f>
        <v>449.7</v>
      </c>
      <c r="O2591" s="6">
        <f>Table1[[#This Row],[Revenue]]-Table1[[#This Row],[Disc_amount]]</f>
        <v>1049.3</v>
      </c>
      <c r="P2591" t="s">
        <v>33</v>
      </c>
      <c r="Q2591" t="s">
        <v>27</v>
      </c>
    </row>
    <row r="2592" spans="1:17">
      <c r="A2592" t="s">
        <v>3444</v>
      </c>
      <c r="B2592" s="1" t="s">
        <v>2479</v>
      </c>
      <c r="C2592" s="1" t="s">
        <v>3431</v>
      </c>
      <c r="D2592" s="1" t="s">
        <v>20</v>
      </c>
      <c r="E2592" t="s">
        <v>1116</v>
      </c>
      <c r="F2592" t="s">
        <v>694</v>
      </c>
      <c r="G2592" t="s">
        <v>56</v>
      </c>
      <c r="H2592" t="s">
        <v>24</v>
      </c>
      <c r="I2592" t="s">
        <v>32</v>
      </c>
      <c r="J2592">
        <v>1</v>
      </c>
      <c r="K2592">
        <v>199</v>
      </c>
      <c r="L2592">
        <f>Table1[[#This Row],[Quantity]] * Table1[[#This Row],[UnitPrice]]</f>
        <v>199</v>
      </c>
      <c r="M2592" s="25">
        <v>25</v>
      </c>
      <c r="N2592">
        <f>Table1[[#This Row],[Revenue]]*Table1[[#This Row],[Discount%]]/100</f>
        <v>49.75</v>
      </c>
      <c r="O2592" s="6">
        <f>Table1[[#This Row],[Revenue]]-Table1[[#This Row],[Disc_amount]]</f>
        <v>149.25</v>
      </c>
      <c r="P2592" t="s">
        <v>86</v>
      </c>
      <c r="Q2592" t="s">
        <v>27</v>
      </c>
    </row>
    <row r="2593" spans="1:17">
      <c r="A2593" t="s">
        <v>3445</v>
      </c>
      <c r="B2593" s="1" t="s">
        <v>2479</v>
      </c>
      <c r="C2593" s="1" t="s">
        <v>3431</v>
      </c>
      <c r="D2593" s="1" t="s">
        <v>20</v>
      </c>
      <c r="E2593" t="s">
        <v>82</v>
      </c>
      <c r="F2593" t="s">
        <v>83</v>
      </c>
      <c r="G2593" t="s">
        <v>31</v>
      </c>
      <c r="H2593" t="s">
        <v>70</v>
      </c>
      <c r="I2593" t="s">
        <v>71</v>
      </c>
      <c r="J2593">
        <v>1</v>
      </c>
      <c r="K2593">
        <v>349</v>
      </c>
      <c r="L2593">
        <f>Table1[[#This Row],[Quantity]] * Table1[[#This Row],[UnitPrice]]</f>
        <v>349</v>
      </c>
      <c r="M2593" s="25">
        <v>15</v>
      </c>
      <c r="N2593">
        <f>Table1[[#This Row],[Revenue]]*Table1[[#This Row],[Discount%]]/100</f>
        <v>52.35</v>
      </c>
      <c r="O2593" s="6">
        <f>Table1[[#This Row],[Revenue]]-Table1[[#This Row],[Disc_amount]]</f>
        <v>296.64999999999998</v>
      </c>
      <c r="P2593" t="s">
        <v>26</v>
      </c>
      <c r="Q2593" t="s">
        <v>27</v>
      </c>
    </row>
    <row r="2594" spans="1:17">
      <c r="A2594" t="s">
        <v>3446</v>
      </c>
      <c r="B2594" s="1" t="s">
        <v>2483</v>
      </c>
      <c r="C2594" s="1" t="s">
        <v>3431</v>
      </c>
      <c r="D2594" s="1" t="s">
        <v>20</v>
      </c>
      <c r="E2594" t="s">
        <v>640</v>
      </c>
      <c r="F2594" t="s">
        <v>225</v>
      </c>
      <c r="G2594" t="s">
        <v>23</v>
      </c>
      <c r="H2594" t="s">
        <v>24</v>
      </c>
      <c r="I2594" t="s">
        <v>32</v>
      </c>
      <c r="J2594">
        <v>2</v>
      </c>
      <c r="K2594">
        <v>199</v>
      </c>
      <c r="L2594">
        <f>Table1[[#This Row],[Quantity]] * Table1[[#This Row],[UnitPrice]]</f>
        <v>398</v>
      </c>
      <c r="M2594" s="25">
        <v>0</v>
      </c>
      <c r="N2594">
        <f>Table1[[#This Row],[Revenue]]*Table1[[#This Row],[Discount%]]/100</f>
        <v>0</v>
      </c>
      <c r="O2594" s="6">
        <f>Table1[[#This Row],[Revenue]]-Table1[[#This Row],[Disc_amount]]</f>
        <v>398</v>
      </c>
      <c r="P2594" t="s">
        <v>86</v>
      </c>
      <c r="Q2594" t="s">
        <v>27</v>
      </c>
    </row>
    <row r="2595" spans="1:17">
      <c r="A2595" t="s">
        <v>3447</v>
      </c>
      <c r="B2595" s="1" t="s">
        <v>2483</v>
      </c>
      <c r="C2595" s="1" t="s">
        <v>3431</v>
      </c>
      <c r="D2595" s="1" t="s">
        <v>20</v>
      </c>
      <c r="E2595" t="s">
        <v>79</v>
      </c>
      <c r="F2595" t="s">
        <v>80</v>
      </c>
      <c r="G2595" t="s">
        <v>23</v>
      </c>
      <c r="H2595" t="s">
        <v>70</v>
      </c>
      <c r="I2595" t="s">
        <v>71</v>
      </c>
      <c r="J2595">
        <v>1</v>
      </c>
      <c r="K2595">
        <v>349</v>
      </c>
      <c r="L2595">
        <f>Table1[[#This Row],[Quantity]] * Table1[[#This Row],[UnitPrice]]</f>
        <v>349</v>
      </c>
      <c r="M2595" s="25">
        <v>20</v>
      </c>
      <c r="N2595">
        <f>Table1[[#This Row],[Revenue]]*Table1[[#This Row],[Discount%]]/100</f>
        <v>69.8</v>
      </c>
      <c r="O2595" s="6">
        <f>Table1[[#This Row],[Revenue]]-Table1[[#This Row],[Disc_amount]]</f>
        <v>279.2</v>
      </c>
      <c r="P2595" t="s">
        <v>41</v>
      </c>
      <c r="Q2595" t="s">
        <v>34</v>
      </c>
    </row>
    <row r="2596" spans="1:17">
      <c r="A2596" t="s">
        <v>3448</v>
      </c>
      <c r="B2596" s="1" t="s">
        <v>2483</v>
      </c>
      <c r="C2596" s="1" t="s">
        <v>3431</v>
      </c>
      <c r="D2596" s="1" t="s">
        <v>20</v>
      </c>
      <c r="E2596" t="s">
        <v>111</v>
      </c>
      <c r="F2596" t="s">
        <v>107</v>
      </c>
      <c r="G2596" t="s">
        <v>45</v>
      </c>
      <c r="H2596" t="s">
        <v>108</v>
      </c>
      <c r="I2596" t="s">
        <v>130</v>
      </c>
      <c r="J2596">
        <v>4</v>
      </c>
      <c r="K2596">
        <v>699</v>
      </c>
      <c r="L2596">
        <f>Table1[[#This Row],[Quantity]] * Table1[[#This Row],[UnitPrice]]</f>
        <v>2796</v>
      </c>
      <c r="M2596" s="25">
        <v>15</v>
      </c>
      <c r="N2596">
        <f>Table1[[#This Row],[Revenue]]*Table1[[#This Row],[Discount%]]/100</f>
        <v>419.4</v>
      </c>
      <c r="O2596" s="6">
        <f>Table1[[#This Row],[Revenue]]-Table1[[#This Row],[Disc_amount]]</f>
        <v>2376.6</v>
      </c>
      <c r="P2596" t="s">
        <v>41</v>
      </c>
      <c r="Q2596" t="s">
        <v>27</v>
      </c>
    </row>
    <row r="2597" spans="1:17">
      <c r="A2597" t="s">
        <v>3449</v>
      </c>
      <c r="B2597" s="1" t="s">
        <v>2483</v>
      </c>
      <c r="C2597" s="1" t="s">
        <v>3431</v>
      </c>
      <c r="D2597" s="1" t="s">
        <v>20</v>
      </c>
      <c r="E2597" t="s">
        <v>1038</v>
      </c>
      <c r="F2597" t="s">
        <v>245</v>
      </c>
      <c r="G2597" t="s">
        <v>23</v>
      </c>
      <c r="H2597" t="s">
        <v>70</v>
      </c>
      <c r="I2597" t="s">
        <v>71</v>
      </c>
      <c r="J2597">
        <v>2</v>
      </c>
      <c r="K2597">
        <v>349</v>
      </c>
      <c r="L2597">
        <f>Table1[[#This Row],[Quantity]] * Table1[[#This Row],[UnitPrice]]</f>
        <v>698</v>
      </c>
      <c r="M2597" s="25">
        <v>15</v>
      </c>
      <c r="N2597">
        <f>Table1[[#This Row],[Revenue]]*Table1[[#This Row],[Discount%]]/100</f>
        <v>104.7</v>
      </c>
      <c r="O2597" s="6">
        <f>Table1[[#This Row],[Revenue]]-Table1[[#This Row],[Disc_amount]]</f>
        <v>593.29999999999995</v>
      </c>
      <c r="P2597" t="s">
        <v>41</v>
      </c>
      <c r="Q2597" t="s">
        <v>27</v>
      </c>
    </row>
    <row r="2598" spans="1:17">
      <c r="A2598" t="s">
        <v>3450</v>
      </c>
      <c r="B2598" s="1" t="s">
        <v>2483</v>
      </c>
      <c r="C2598" s="1" t="s">
        <v>3431</v>
      </c>
      <c r="D2598" s="1" t="s">
        <v>20</v>
      </c>
      <c r="E2598" t="s">
        <v>993</v>
      </c>
      <c r="F2598" t="s">
        <v>203</v>
      </c>
      <c r="G2598" t="s">
        <v>45</v>
      </c>
      <c r="H2598" t="s">
        <v>65</v>
      </c>
      <c r="I2598" t="s">
        <v>66</v>
      </c>
      <c r="J2598">
        <v>3</v>
      </c>
      <c r="K2598">
        <v>1999</v>
      </c>
      <c r="L2598">
        <f>Table1[[#This Row],[Quantity]] * Table1[[#This Row],[UnitPrice]]</f>
        <v>5997</v>
      </c>
      <c r="M2598" s="25">
        <v>20</v>
      </c>
      <c r="N2598">
        <f>Table1[[#This Row],[Revenue]]*Table1[[#This Row],[Discount%]]/100</f>
        <v>1199.4000000000001</v>
      </c>
      <c r="O2598" s="6">
        <f>Table1[[#This Row],[Revenue]]-Table1[[#This Row],[Disc_amount]]</f>
        <v>4797.6000000000004</v>
      </c>
      <c r="P2598" t="s">
        <v>86</v>
      </c>
      <c r="Q2598" t="s">
        <v>34</v>
      </c>
    </row>
    <row r="2599" spans="1:17">
      <c r="A2599" t="s">
        <v>3451</v>
      </c>
      <c r="B2599" s="1" t="s">
        <v>2483</v>
      </c>
      <c r="C2599" s="1" t="s">
        <v>3431</v>
      </c>
      <c r="D2599" s="1" t="s">
        <v>20</v>
      </c>
      <c r="E2599" t="s">
        <v>1685</v>
      </c>
      <c r="F2599" t="s">
        <v>784</v>
      </c>
      <c r="G2599" t="s">
        <v>45</v>
      </c>
      <c r="H2599" t="s">
        <v>108</v>
      </c>
      <c r="I2599" t="s">
        <v>130</v>
      </c>
      <c r="J2599">
        <v>1</v>
      </c>
      <c r="K2599">
        <v>699</v>
      </c>
      <c r="L2599">
        <f>Table1[[#This Row],[Quantity]] * Table1[[#This Row],[UnitPrice]]</f>
        <v>699</v>
      </c>
      <c r="M2599" s="25">
        <v>25</v>
      </c>
      <c r="N2599">
        <f>Table1[[#This Row],[Revenue]]*Table1[[#This Row],[Discount%]]/100</f>
        <v>174.75</v>
      </c>
      <c r="O2599" s="6">
        <f>Table1[[#This Row],[Revenue]]-Table1[[#This Row],[Disc_amount]]</f>
        <v>524.25</v>
      </c>
      <c r="P2599" t="s">
        <v>26</v>
      </c>
      <c r="Q2599" t="s">
        <v>27</v>
      </c>
    </row>
    <row r="2600" spans="1:17">
      <c r="A2600" t="s">
        <v>3452</v>
      </c>
      <c r="B2600" s="1" t="s">
        <v>2488</v>
      </c>
      <c r="C2600" s="1" t="s">
        <v>3431</v>
      </c>
      <c r="D2600" s="1" t="s">
        <v>20</v>
      </c>
      <c r="E2600" t="s">
        <v>146</v>
      </c>
      <c r="F2600" t="s">
        <v>147</v>
      </c>
      <c r="G2600" t="s">
        <v>38</v>
      </c>
      <c r="H2600" t="s">
        <v>65</v>
      </c>
      <c r="I2600" t="s">
        <v>66</v>
      </c>
      <c r="J2600">
        <v>5</v>
      </c>
      <c r="K2600">
        <v>1999</v>
      </c>
      <c r="L2600">
        <f>Table1[[#This Row],[Quantity]] * Table1[[#This Row],[UnitPrice]]</f>
        <v>9995</v>
      </c>
      <c r="M2600" s="25">
        <v>15</v>
      </c>
      <c r="N2600">
        <f>Table1[[#This Row],[Revenue]]*Table1[[#This Row],[Discount%]]/100</f>
        <v>1499.25</v>
      </c>
      <c r="O2600" s="6">
        <f>Table1[[#This Row],[Revenue]]-Table1[[#This Row],[Disc_amount]]</f>
        <v>8495.75</v>
      </c>
      <c r="P2600" t="s">
        <v>33</v>
      </c>
      <c r="Q2600" t="s">
        <v>27</v>
      </c>
    </row>
    <row r="2601" spans="1:17">
      <c r="A2601" t="s">
        <v>3453</v>
      </c>
      <c r="B2601" s="1" t="s">
        <v>2488</v>
      </c>
      <c r="C2601" s="1" t="s">
        <v>3431</v>
      </c>
      <c r="D2601" s="1" t="s">
        <v>20</v>
      </c>
      <c r="E2601" t="s">
        <v>289</v>
      </c>
      <c r="F2601" t="s">
        <v>290</v>
      </c>
      <c r="G2601" t="s">
        <v>23</v>
      </c>
      <c r="H2601" t="s">
        <v>24</v>
      </c>
      <c r="I2601" t="s">
        <v>25</v>
      </c>
      <c r="J2601">
        <v>2</v>
      </c>
      <c r="K2601">
        <v>99</v>
      </c>
      <c r="L2601">
        <f>Table1[[#This Row],[Quantity]] * Table1[[#This Row],[UnitPrice]]</f>
        <v>198</v>
      </c>
      <c r="M2601" s="25">
        <v>30</v>
      </c>
      <c r="N2601">
        <f>Table1[[#This Row],[Revenue]]*Table1[[#This Row],[Discount%]]/100</f>
        <v>59.4</v>
      </c>
      <c r="O2601" s="6">
        <f>Table1[[#This Row],[Revenue]]-Table1[[#This Row],[Disc_amount]]</f>
        <v>138.6</v>
      </c>
      <c r="P2601" t="s">
        <v>86</v>
      </c>
      <c r="Q2601" t="s">
        <v>34</v>
      </c>
    </row>
    <row r="2602" spans="1:17">
      <c r="A2602" t="s">
        <v>3454</v>
      </c>
      <c r="B2602" s="1" t="s">
        <v>2488</v>
      </c>
      <c r="C2602" s="1" t="s">
        <v>3431</v>
      </c>
      <c r="D2602" s="1" t="s">
        <v>20</v>
      </c>
      <c r="E2602" t="s">
        <v>3455</v>
      </c>
      <c r="F2602" t="s">
        <v>30</v>
      </c>
      <c r="G2602" t="s">
        <v>56</v>
      </c>
      <c r="H2602" t="s">
        <v>46</v>
      </c>
      <c r="I2602" t="s">
        <v>47</v>
      </c>
      <c r="J2602">
        <v>4</v>
      </c>
      <c r="K2602">
        <v>249</v>
      </c>
      <c r="L2602">
        <f>Table1[[#This Row],[Quantity]] * Table1[[#This Row],[UnitPrice]]</f>
        <v>996</v>
      </c>
      <c r="M2602" s="25">
        <v>30</v>
      </c>
      <c r="N2602">
        <f>Table1[[#This Row],[Revenue]]*Table1[[#This Row],[Discount%]]/100</f>
        <v>298.8</v>
      </c>
      <c r="O2602" s="6">
        <f>Table1[[#This Row],[Revenue]]-Table1[[#This Row],[Disc_amount]]</f>
        <v>697.2</v>
      </c>
      <c r="P2602" t="s">
        <v>41</v>
      </c>
      <c r="Q2602" t="s">
        <v>27</v>
      </c>
    </row>
    <row r="2603" spans="1:17">
      <c r="A2603" t="s">
        <v>3456</v>
      </c>
      <c r="B2603" s="1" t="s">
        <v>2488</v>
      </c>
      <c r="C2603" s="1" t="s">
        <v>3431</v>
      </c>
      <c r="D2603" s="1" t="s">
        <v>20</v>
      </c>
      <c r="E2603" t="s">
        <v>716</v>
      </c>
      <c r="F2603" t="s">
        <v>717</v>
      </c>
      <c r="G2603" t="s">
        <v>31</v>
      </c>
      <c r="H2603" t="s">
        <v>65</v>
      </c>
      <c r="I2603" t="s">
        <v>66</v>
      </c>
      <c r="J2603">
        <v>1</v>
      </c>
      <c r="K2603">
        <v>1999</v>
      </c>
      <c r="L2603">
        <f>Table1[[#This Row],[Quantity]] * Table1[[#This Row],[UnitPrice]]</f>
        <v>1999</v>
      </c>
      <c r="M2603" s="25">
        <v>10</v>
      </c>
      <c r="N2603">
        <f>Table1[[#This Row],[Revenue]]*Table1[[#This Row],[Discount%]]/100</f>
        <v>199.9</v>
      </c>
      <c r="O2603" s="6">
        <f>Table1[[#This Row],[Revenue]]-Table1[[#This Row],[Disc_amount]]</f>
        <v>1799.1</v>
      </c>
      <c r="P2603" t="s">
        <v>26</v>
      </c>
      <c r="Q2603" t="s">
        <v>27</v>
      </c>
    </row>
    <row r="2604" spans="1:17">
      <c r="A2604" t="s">
        <v>3457</v>
      </c>
      <c r="B2604" s="1" t="s">
        <v>2488</v>
      </c>
      <c r="C2604" s="1" t="s">
        <v>3431</v>
      </c>
      <c r="D2604" s="1" t="s">
        <v>20</v>
      </c>
      <c r="E2604" t="s">
        <v>783</v>
      </c>
      <c r="F2604" t="s">
        <v>784</v>
      </c>
      <c r="G2604" t="s">
        <v>23</v>
      </c>
      <c r="H2604" t="s">
        <v>57</v>
      </c>
      <c r="I2604" t="s">
        <v>62</v>
      </c>
      <c r="J2604">
        <v>2</v>
      </c>
      <c r="K2604">
        <v>799</v>
      </c>
      <c r="L2604">
        <f>Table1[[#This Row],[Quantity]] * Table1[[#This Row],[UnitPrice]]</f>
        <v>1598</v>
      </c>
      <c r="M2604" s="25">
        <v>20</v>
      </c>
      <c r="N2604">
        <f>Table1[[#This Row],[Revenue]]*Table1[[#This Row],[Discount%]]/100</f>
        <v>319.60000000000002</v>
      </c>
      <c r="O2604" s="6">
        <f>Table1[[#This Row],[Revenue]]-Table1[[#This Row],[Disc_amount]]</f>
        <v>1278.4000000000001</v>
      </c>
      <c r="P2604" t="s">
        <v>41</v>
      </c>
      <c r="Q2604" t="s">
        <v>34</v>
      </c>
    </row>
    <row r="2605" spans="1:17">
      <c r="A2605" t="s">
        <v>3458</v>
      </c>
      <c r="B2605" s="1" t="s">
        <v>2488</v>
      </c>
      <c r="C2605" s="1" t="s">
        <v>3431</v>
      </c>
      <c r="D2605" s="1" t="s">
        <v>20</v>
      </c>
      <c r="E2605" t="s">
        <v>545</v>
      </c>
      <c r="F2605" t="s">
        <v>546</v>
      </c>
      <c r="G2605" t="s">
        <v>45</v>
      </c>
      <c r="H2605" t="s">
        <v>39</v>
      </c>
      <c r="I2605" t="s">
        <v>51</v>
      </c>
      <c r="J2605">
        <v>2</v>
      </c>
      <c r="K2605">
        <v>2999</v>
      </c>
      <c r="L2605">
        <f>Table1[[#This Row],[Quantity]] * Table1[[#This Row],[UnitPrice]]</f>
        <v>5998</v>
      </c>
      <c r="M2605" s="25">
        <v>30</v>
      </c>
      <c r="N2605">
        <f>Table1[[#This Row],[Revenue]]*Table1[[#This Row],[Discount%]]/100</f>
        <v>1799.4</v>
      </c>
      <c r="O2605" s="6">
        <f>Table1[[#This Row],[Revenue]]-Table1[[#This Row],[Disc_amount]]</f>
        <v>4198.6000000000004</v>
      </c>
      <c r="P2605" t="s">
        <v>52</v>
      </c>
      <c r="Q2605" t="s">
        <v>34</v>
      </c>
    </row>
    <row r="2606" spans="1:17">
      <c r="A2606" t="s">
        <v>3459</v>
      </c>
      <c r="B2606" s="1" t="s">
        <v>2488</v>
      </c>
      <c r="C2606" s="1" t="s">
        <v>3431</v>
      </c>
      <c r="D2606" s="1" t="s">
        <v>20</v>
      </c>
      <c r="E2606" t="s">
        <v>993</v>
      </c>
      <c r="F2606" t="s">
        <v>203</v>
      </c>
      <c r="G2606" t="s">
        <v>23</v>
      </c>
      <c r="H2606" t="s">
        <v>46</v>
      </c>
      <c r="I2606" t="s">
        <v>47</v>
      </c>
      <c r="J2606">
        <v>4</v>
      </c>
      <c r="K2606">
        <v>249</v>
      </c>
      <c r="L2606">
        <f>Table1[[#This Row],[Quantity]] * Table1[[#This Row],[UnitPrice]]</f>
        <v>996</v>
      </c>
      <c r="M2606" s="25">
        <v>10</v>
      </c>
      <c r="N2606">
        <f>Table1[[#This Row],[Revenue]]*Table1[[#This Row],[Discount%]]/100</f>
        <v>99.6</v>
      </c>
      <c r="O2606" s="6">
        <f>Table1[[#This Row],[Revenue]]-Table1[[#This Row],[Disc_amount]]</f>
        <v>896.4</v>
      </c>
      <c r="P2606" t="s">
        <v>26</v>
      </c>
      <c r="Q2606" t="s">
        <v>27</v>
      </c>
    </row>
    <row r="2607" spans="1:17">
      <c r="A2607" t="s">
        <v>3460</v>
      </c>
      <c r="B2607" s="1" t="s">
        <v>2488</v>
      </c>
      <c r="C2607" s="1" t="s">
        <v>3431</v>
      </c>
      <c r="D2607" s="1" t="s">
        <v>20</v>
      </c>
      <c r="E2607" t="s">
        <v>1279</v>
      </c>
      <c r="F2607" t="s">
        <v>355</v>
      </c>
      <c r="G2607" t="s">
        <v>38</v>
      </c>
      <c r="H2607" t="s">
        <v>46</v>
      </c>
      <c r="I2607" t="s">
        <v>154</v>
      </c>
      <c r="J2607">
        <v>1</v>
      </c>
      <c r="K2607">
        <v>299</v>
      </c>
      <c r="L2607">
        <f>Table1[[#This Row],[Quantity]] * Table1[[#This Row],[UnitPrice]]</f>
        <v>299</v>
      </c>
      <c r="M2607" s="25">
        <v>15</v>
      </c>
      <c r="N2607">
        <f>Table1[[#This Row],[Revenue]]*Table1[[#This Row],[Discount%]]/100</f>
        <v>44.85</v>
      </c>
      <c r="O2607" s="6">
        <f>Table1[[#This Row],[Revenue]]-Table1[[#This Row],[Disc_amount]]</f>
        <v>254.15</v>
      </c>
      <c r="P2607" t="s">
        <v>26</v>
      </c>
      <c r="Q2607" t="s">
        <v>27</v>
      </c>
    </row>
    <row r="2608" spans="1:17">
      <c r="A2608" t="s">
        <v>3461</v>
      </c>
      <c r="B2608" s="1" t="s">
        <v>2488</v>
      </c>
      <c r="C2608" s="1" t="s">
        <v>3431</v>
      </c>
      <c r="D2608" s="1" t="s">
        <v>20</v>
      </c>
      <c r="E2608" t="s">
        <v>200</v>
      </c>
      <c r="F2608" t="s">
        <v>22</v>
      </c>
      <c r="G2608" t="s">
        <v>56</v>
      </c>
      <c r="H2608" t="s">
        <v>70</v>
      </c>
      <c r="I2608" t="s">
        <v>71</v>
      </c>
      <c r="J2608">
        <v>2</v>
      </c>
      <c r="K2608">
        <v>349</v>
      </c>
      <c r="L2608">
        <f>Table1[[#This Row],[Quantity]] * Table1[[#This Row],[UnitPrice]]</f>
        <v>698</v>
      </c>
      <c r="M2608" s="25">
        <v>25</v>
      </c>
      <c r="N2608">
        <f>Table1[[#This Row],[Revenue]]*Table1[[#This Row],[Discount%]]/100</f>
        <v>174.5</v>
      </c>
      <c r="O2608" s="6">
        <f>Table1[[#This Row],[Revenue]]-Table1[[#This Row],[Disc_amount]]</f>
        <v>523.5</v>
      </c>
      <c r="P2608" t="s">
        <v>41</v>
      </c>
      <c r="Q2608" t="s">
        <v>27</v>
      </c>
    </row>
    <row r="2609" spans="1:17">
      <c r="A2609" t="s">
        <v>3462</v>
      </c>
      <c r="B2609" s="1" t="s">
        <v>2488</v>
      </c>
      <c r="C2609" s="1" t="s">
        <v>3431</v>
      </c>
      <c r="D2609" s="1" t="s">
        <v>20</v>
      </c>
      <c r="E2609" t="s">
        <v>1015</v>
      </c>
      <c r="F2609" t="s">
        <v>123</v>
      </c>
      <c r="G2609" t="s">
        <v>56</v>
      </c>
      <c r="H2609" t="s">
        <v>108</v>
      </c>
      <c r="I2609" t="s">
        <v>130</v>
      </c>
      <c r="J2609">
        <v>1</v>
      </c>
      <c r="K2609">
        <v>699</v>
      </c>
      <c r="L2609">
        <f>Table1[[#This Row],[Quantity]] * Table1[[#This Row],[UnitPrice]]</f>
        <v>699</v>
      </c>
      <c r="M2609" s="25">
        <v>15</v>
      </c>
      <c r="N2609">
        <f>Table1[[#This Row],[Revenue]]*Table1[[#This Row],[Discount%]]/100</f>
        <v>104.85</v>
      </c>
      <c r="O2609" s="6">
        <f>Table1[[#This Row],[Revenue]]-Table1[[#This Row],[Disc_amount]]</f>
        <v>594.15</v>
      </c>
      <c r="P2609" t="s">
        <v>41</v>
      </c>
      <c r="Q2609" t="s">
        <v>27</v>
      </c>
    </row>
    <row r="2610" spans="1:17">
      <c r="A2610" t="s">
        <v>3463</v>
      </c>
      <c r="B2610" s="1" t="s">
        <v>2488</v>
      </c>
      <c r="C2610" s="1" t="s">
        <v>3431</v>
      </c>
      <c r="D2610" s="1" t="s">
        <v>20</v>
      </c>
      <c r="E2610" t="s">
        <v>289</v>
      </c>
      <c r="F2610" t="s">
        <v>290</v>
      </c>
      <c r="G2610" t="s">
        <v>31</v>
      </c>
      <c r="H2610" t="s">
        <v>65</v>
      </c>
      <c r="I2610" t="s">
        <v>94</v>
      </c>
      <c r="J2610">
        <v>1</v>
      </c>
      <c r="K2610">
        <v>899</v>
      </c>
      <c r="L2610">
        <f>Table1[[#This Row],[Quantity]] * Table1[[#This Row],[UnitPrice]]</f>
        <v>899</v>
      </c>
      <c r="M2610" s="25">
        <v>10</v>
      </c>
      <c r="N2610">
        <f>Table1[[#This Row],[Revenue]]*Table1[[#This Row],[Discount%]]/100</f>
        <v>89.9</v>
      </c>
      <c r="O2610" s="6">
        <f>Table1[[#This Row],[Revenue]]-Table1[[#This Row],[Disc_amount]]</f>
        <v>809.1</v>
      </c>
      <c r="P2610" t="s">
        <v>33</v>
      </c>
      <c r="Q2610" t="s">
        <v>27</v>
      </c>
    </row>
    <row r="2611" spans="1:17">
      <c r="A2611" t="s">
        <v>3464</v>
      </c>
      <c r="B2611" s="1" t="s">
        <v>2488</v>
      </c>
      <c r="C2611" s="1" t="s">
        <v>3431</v>
      </c>
      <c r="D2611" s="1" t="s">
        <v>20</v>
      </c>
      <c r="E2611" t="s">
        <v>235</v>
      </c>
      <c r="F2611" t="s">
        <v>236</v>
      </c>
      <c r="G2611" t="s">
        <v>38</v>
      </c>
      <c r="H2611" t="s">
        <v>65</v>
      </c>
      <c r="I2611" t="s">
        <v>94</v>
      </c>
      <c r="J2611">
        <v>4</v>
      </c>
      <c r="K2611">
        <v>899</v>
      </c>
      <c r="L2611">
        <f>Table1[[#This Row],[Quantity]] * Table1[[#This Row],[UnitPrice]]</f>
        <v>3596</v>
      </c>
      <c r="M2611" s="25">
        <v>5</v>
      </c>
      <c r="N2611">
        <f>Table1[[#This Row],[Revenue]]*Table1[[#This Row],[Discount%]]/100</f>
        <v>179.8</v>
      </c>
      <c r="O2611" s="6">
        <f>Table1[[#This Row],[Revenue]]-Table1[[#This Row],[Disc_amount]]</f>
        <v>3416.2</v>
      </c>
      <c r="P2611" t="s">
        <v>26</v>
      </c>
      <c r="Q2611" t="s">
        <v>27</v>
      </c>
    </row>
    <row r="2612" spans="1:17">
      <c r="A2612" t="s">
        <v>3465</v>
      </c>
      <c r="B2612" s="1" t="s">
        <v>2488</v>
      </c>
      <c r="C2612" s="1" t="s">
        <v>3431</v>
      </c>
      <c r="D2612" s="1" t="s">
        <v>20</v>
      </c>
      <c r="E2612" t="s">
        <v>811</v>
      </c>
      <c r="F2612" t="s">
        <v>166</v>
      </c>
      <c r="G2612" t="s">
        <v>45</v>
      </c>
      <c r="H2612" t="s">
        <v>65</v>
      </c>
      <c r="I2612" t="s">
        <v>66</v>
      </c>
      <c r="J2612">
        <v>2</v>
      </c>
      <c r="K2612">
        <v>1999</v>
      </c>
      <c r="L2612">
        <f>Table1[[#This Row],[Quantity]] * Table1[[#This Row],[UnitPrice]]</f>
        <v>3998</v>
      </c>
      <c r="M2612" s="25">
        <v>15</v>
      </c>
      <c r="N2612">
        <f>Table1[[#This Row],[Revenue]]*Table1[[#This Row],[Discount%]]/100</f>
        <v>599.70000000000005</v>
      </c>
      <c r="O2612" s="6">
        <f>Table1[[#This Row],[Revenue]]-Table1[[#This Row],[Disc_amount]]</f>
        <v>3398.3</v>
      </c>
      <c r="P2612" t="s">
        <v>41</v>
      </c>
      <c r="Q2612" t="s">
        <v>27</v>
      </c>
    </row>
    <row r="2613" spans="1:17">
      <c r="A2613" t="s">
        <v>3466</v>
      </c>
      <c r="B2613" s="1" t="s">
        <v>2488</v>
      </c>
      <c r="C2613" s="1" t="s">
        <v>3431</v>
      </c>
      <c r="D2613" s="1" t="s">
        <v>20</v>
      </c>
      <c r="E2613" t="s">
        <v>282</v>
      </c>
      <c r="F2613" t="s">
        <v>283</v>
      </c>
      <c r="G2613" t="s">
        <v>56</v>
      </c>
      <c r="H2613" t="s">
        <v>57</v>
      </c>
      <c r="I2613" t="s">
        <v>58</v>
      </c>
      <c r="J2613">
        <v>2</v>
      </c>
      <c r="K2613">
        <v>1299</v>
      </c>
      <c r="L2613">
        <f>Table1[[#This Row],[Quantity]] * Table1[[#This Row],[UnitPrice]]</f>
        <v>2598</v>
      </c>
      <c r="M2613" s="25">
        <v>15</v>
      </c>
      <c r="N2613">
        <f>Table1[[#This Row],[Revenue]]*Table1[[#This Row],[Discount%]]/100</f>
        <v>389.7</v>
      </c>
      <c r="O2613" s="6">
        <f>Table1[[#This Row],[Revenue]]-Table1[[#This Row],[Disc_amount]]</f>
        <v>2208.3000000000002</v>
      </c>
      <c r="P2613" t="s">
        <v>52</v>
      </c>
      <c r="Q2613" t="s">
        <v>27</v>
      </c>
    </row>
    <row r="2614" spans="1:17">
      <c r="A2614" t="s">
        <v>3467</v>
      </c>
      <c r="B2614" s="1" t="s">
        <v>2488</v>
      </c>
      <c r="C2614" s="1" t="s">
        <v>3431</v>
      </c>
      <c r="D2614" s="1" t="s">
        <v>20</v>
      </c>
      <c r="E2614" t="s">
        <v>1049</v>
      </c>
      <c r="F2614" t="s">
        <v>415</v>
      </c>
      <c r="G2614" t="s">
        <v>38</v>
      </c>
      <c r="H2614" t="s">
        <v>24</v>
      </c>
      <c r="I2614" t="s">
        <v>25</v>
      </c>
      <c r="J2614">
        <v>4</v>
      </c>
      <c r="K2614">
        <v>99</v>
      </c>
      <c r="L2614">
        <f>Table1[[#This Row],[Quantity]] * Table1[[#This Row],[UnitPrice]]</f>
        <v>396</v>
      </c>
      <c r="M2614" s="25">
        <v>30</v>
      </c>
      <c r="N2614">
        <f>Table1[[#This Row],[Revenue]]*Table1[[#This Row],[Discount%]]/100</f>
        <v>118.8</v>
      </c>
      <c r="O2614" s="6">
        <f>Table1[[#This Row],[Revenue]]-Table1[[#This Row],[Disc_amount]]</f>
        <v>277.2</v>
      </c>
      <c r="P2614" t="s">
        <v>41</v>
      </c>
      <c r="Q2614" t="s">
        <v>27</v>
      </c>
    </row>
    <row r="2615" spans="1:17">
      <c r="A2615" t="s">
        <v>3468</v>
      </c>
      <c r="B2615" s="1" t="s">
        <v>2488</v>
      </c>
      <c r="C2615" s="1" t="s">
        <v>3431</v>
      </c>
      <c r="D2615" s="1" t="s">
        <v>20</v>
      </c>
      <c r="E2615" t="s">
        <v>855</v>
      </c>
      <c r="F2615" t="s">
        <v>856</v>
      </c>
      <c r="G2615" t="s">
        <v>23</v>
      </c>
      <c r="H2615" t="s">
        <v>65</v>
      </c>
      <c r="I2615" t="s">
        <v>98</v>
      </c>
      <c r="J2615">
        <v>5</v>
      </c>
      <c r="K2615">
        <v>499</v>
      </c>
      <c r="L2615">
        <f>Table1[[#This Row],[Quantity]] * Table1[[#This Row],[UnitPrice]]</f>
        <v>2495</v>
      </c>
      <c r="M2615" s="25">
        <v>30</v>
      </c>
      <c r="N2615">
        <f>Table1[[#This Row],[Revenue]]*Table1[[#This Row],[Discount%]]/100</f>
        <v>748.5</v>
      </c>
      <c r="O2615" s="6">
        <f>Table1[[#This Row],[Revenue]]-Table1[[#This Row],[Disc_amount]]</f>
        <v>1746.5</v>
      </c>
      <c r="P2615" t="s">
        <v>33</v>
      </c>
      <c r="Q2615" t="s">
        <v>27</v>
      </c>
    </row>
    <row r="2616" spans="1:17">
      <c r="A2616" t="s">
        <v>3469</v>
      </c>
      <c r="B2616" s="1" t="s">
        <v>2497</v>
      </c>
      <c r="C2616" s="1" t="s">
        <v>3431</v>
      </c>
      <c r="D2616" s="1" t="s">
        <v>20</v>
      </c>
      <c r="E2616" t="s">
        <v>498</v>
      </c>
      <c r="F2616" t="s">
        <v>358</v>
      </c>
      <c r="G2616" t="s">
        <v>38</v>
      </c>
      <c r="H2616" t="s">
        <v>65</v>
      </c>
      <c r="I2616" t="s">
        <v>66</v>
      </c>
      <c r="J2616">
        <v>2</v>
      </c>
      <c r="K2616">
        <v>1999</v>
      </c>
      <c r="L2616">
        <f>Table1[[#This Row],[Quantity]] * Table1[[#This Row],[UnitPrice]]</f>
        <v>3998</v>
      </c>
      <c r="M2616" s="25">
        <v>20</v>
      </c>
      <c r="N2616">
        <f>Table1[[#This Row],[Revenue]]*Table1[[#This Row],[Discount%]]/100</f>
        <v>799.6</v>
      </c>
      <c r="O2616" s="6">
        <f>Table1[[#This Row],[Revenue]]-Table1[[#This Row],[Disc_amount]]</f>
        <v>3198.4</v>
      </c>
      <c r="P2616" t="s">
        <v>41</v>
      </c>
      <c r="Q2616" t="s">
        <v>34</v>
      </c>
    </row>
    <row r="2617" spans="1:17">
      <c r="A2617" t="s">
        <v>3470</v>
      </c>
      <c r="B2617" s="1" t="s">
        <v>2497</v>
      </c>
      <c r="C2617" s="1" t="s">
        <v>3431</v>
      </c>
      <c r="D2617" s="1" t="s">
        <v>20</v>
      </c>
      <c r="E2617" t="s">
        <v>334</v>
      </c>
      <c r="F2617" t="s">
        <v>335</v>
      </c>
      <c r="G2617" t="s">
        <v>31</v>
      </c>
      <c r="H2617" t="s">
        <v>46</v>
      </c>
      <c r="I2617" t="s">
        <v>154</v>
      </c>
      <c r="J2617">
        <v>4</v>
      </c>
      <c r="K2617">
        <v>299</v>
      </c>
      <c r="L2617">
        <f>Table1[[#This Row],[Quantity]] * Table1[[#This Row],[UnitPrice]]</f>
        <v>1196</v>
      </c>
      <c r="M2617" s="25">
        <v>30</v>
      </c>
      <c r="N2617">
        <f>Table1[[#This Row],[Revenue]]*Table1[[#This Row],[Discount%]]/100</f>
        <v>358.8</v>
      </c>
      <c r="O2617" s="6">
        <f>Table1[[#This Row],[Revenue]]-Table1[[#This Row],[Disc_amount]]</f>
        <v>837.2</v>
      </c>
      <c r="P2617" t="s">
        <v>52</v>
      </c>
      <c r="Q2617" t="s">
        <v>27</v>
      </c>
    </row>
    <row r="2618" spans="1:17">
      <c r="A2618" t="s">
        <v>3471</v>
      </c>
      <c r="B2618" s="1" t="s">
        <v>2497</v>
      </c>
      <c r="C2618" s="1" t="s">
        <v>3431</v>
      </c>
      <c r="D2618" s="1" t="s">
        <v>20</v>
      </c>
      <c r="E2618" t="s">
        <v>840</v>
      </c>
      <c r="F2618" t="s">
        <v>462</v>
      </c>
      <c r="G2618" t="s">
        <v>45</v>
      </c>
      <c r="H2618" t="s">
        <v>108</v>
      </c>
      <c r="I2618" t="s">
        <v>130</v>
      </c>
      <c r="J2618">
        <v>2</v>
      </c>
      <c r="K2618">
        <v>699</v>
      </c>
      <c r="L2618">
        <f>Table1[[#This Row],[Quantity]] * Table1[[#This Row],[UnitPrice]]</f>
        <v>1398</v>
      </c>
      <c r="M2618" s="25">
        <v>30</v>
      </c>
      <c r="N2618">
        <f>Table1[[#This Row],[Revenue]]*Table1[[#This Row],[Discount%]]/100</f>
        <v>419.4</v>
      </c>
      <c r="O2618" s="6">
        <f>Table1[[#This Row],[Revenue]]-Table1[[#This Row],[Disc_amount]]</f>
        <v>978.6</v>
      </c>
      <c r="P2618" t="s">
        <v>26</v>
      </c>
      <c r="Q2618" t="s">
        <v>27</v>
      </c>
    </row>
    <row r="2619" spans="1:17">
      <c r="A2619" t="s">
        <v>3472</v>
      </c>
      <c r="B2619" s="1" t="s">
        <v>2497</v>
      </c>
      <c r="C2619" s="1" t="s">
        <v>3431</v>
      </c>
      <c r="D2619" s="1" t="s">
        <v>20</v>
      </c>
      <c r="E2619" t="s">
        <v>1620</v>
      </c>
      <c r="F2619" t="s">
        <v>836</v>
      </c>
      <c r="G2619" t="s">
        <v>23</v>
      </c>
      <c r="H2619" t="s">
        <v>46</v>
      </c>
      <c r="I2619" t="s">
        <v>154</v>
      </c>
      <c r="J2619">
        <v>2</v>
      </c>
      <c r="K2619">
        <v>299</v>
      </c>
      <c r="L2619">
        <f>Table1[[#This Row],[Quantity]] * Table1[[#This Row],[UnitPrice]]</f>
        <v>598</v>
      </c>
      <c r="M2619" s="25">
        <v>30</v>
      </c>
      <c r="N2619">
        <f>Table1[[#This Row],[Revenue]]*Table1[[#This Row],[Discount%]]/100</f>
        <v>179.4</v>
      </c>
      <c r="O2619" s="6">
        <f>Table1[[#This Row],[Revenue]]-Table1[[#This Row],[Disc_amount]]</f>
        <v>418.6</v>
      </c>
      <c r="P2619" t="s">
        <v>86</v>
      </c>
      <c r="Q2619" t="s">
        <v>27</v>
      </c>
    </row>
    <row r="2620" spans="1:17">
      <c r="A2620" t="s">
        <v>3473</v>
      </c>
      <c r="B2620" s="1" t="s">
        <v>2497</v>
      </c>
      <c r="C2620" s="1" t="s">
        <v>3431</v>
      </c>
      <c r="D2620" s="1" t="s">
        <v>20</v>
      </c>
      <c r="E2620" t="s">
        <v>968</v>
      </c>
      <c r="F2620" t="s">
        <v>907</v>
      </c>
      <c r="G2620" t="s">
        <v>31</v>
      </c>
      <c r="H2620" t="s">
        <v>65</v>
      </c>
      <c r="I2620" t="s">
        <v>94</v>
      </c>
      <c r="J2620">
        <v>1</v>
      </c>
      <c r="K2620">
        <v>899</v>
      </c>
      <c r="L2620">
        <f>Table1[[#This Row],[Quantity]] * Table1[[#This Row],[UnitPrice]]</f>
        <v>899</v>
      </c>
      <c r="M2620" s="25">
        <v>5</v>
      </c>
      <c r="N2620">
        <f>Table1[[#This Row],[Revenue]]*Table1[[#This Row],[Discount%]]/100</f>
        <v>44.95</v>
      </c>
      <c r="O2620" s="6">
        <f>Table1[[#This Row],[Revenue]]-Table1[[#This Row],[Disc_amount]]</f>
        <v>854.05</v>
      </c>
      <c r="P2620" t="s">
        <v>52</v>
      </c>
      <c r="Q2620" t="s">
        <v>27</v>
      </c>
    </row>
    <row r="2621" spans="1:17">
      <c r="A2621" t="s">
        <v>3474</v>
      </c>
      <c r="B2621" s="1" t="s">
        <v>2497</v>
      </c>
      <c r="C2621" s="1" t="s">
        <v>3431</v>
      </c>
      <c r="D2621" s="1" t="s">
        <v>20</v>
      </c>
      <c r="E2621" t="s">
        <v>970</v>
      </c>
      <c r="F2621" t="s">
        <v>971</v>
      </c>
      <c r="G2621" t="s">
        <v>45</v>
      </c>
      <c r="H2621" t="s">
        <v>24</v>
      </c>
      <c r="I2621" t="s">
        <v>32</v>
      </c>
      <c r="J2621">
        <v>2</v>
      </c>
      <c r="K2621">
        <v>199</v>
      </c>
      <c r="L2621">
        <f>Table1[[#This Row],[Quantity]] * Table1[[#This Row],[UnitPrice]]</f>
        <v>398</v>
      </c>
      <c r="M2621" s="25">
        <v>10</v>
      </c>
      <c r="N2621">
        <f>Table1[[#This Row],[Revenue]]*Table1[[#This Row],[Discount%]]/100</f>
        <v>39.799999999999997</v>
      </c>
      <c r="O2621" s="6">
        <f>Table1[[#This Row],[Revenue]]-Table1[[#This Row],[Disc_amount]]</f>
        <v>358.2</v>
      </c>
      <c r="P2621" t="s">
        <v>41</v>
      </c>
      <c r="Q2621" t="s">
        <v>27</v>
      </c>
    </row>
    <row r="2622" spans="1:17">
      <c r="A2622" t="s">
        <v>3475</v>
      </c>
      <c r="B2622" s="1" t="s">
        <v>2497</v>
      </c>
      <c r="C2622" s="1" t="s">
        <v>3431</v>
      </c>
      <c r="D2622" s="1" t="s">
        <v>20</v>
      </c>
      <c r="E2622" t="s">
        <v>776</v>
      </c>
      <c r="F2622" t="s">
        <v>153</v>
      </c>
      <c r="G2622" t="s">
        <v>56</v>
      </c>
      <c r="H2622" t="s">
        <v>24</v>
      </c>
      <c r="I2622" t="s">
        <v>32</v>
      </c>
      <c r="J2622">
        <v>2</v>
      </c>
      <c r="K2622">
        <v>199</v>
      </c>
      <c r="L2622">
        <f>Table1[[#This Row],[Quantity]] * Table1[[#This Row],[UnitPrice]]</f>
        <v>398</v>
      </c>
      <c r="M2622" s="25">
        <v>10</v>
      </c>
      <c r="N2622">
        <f>Table1[[#This Row],[Revenue]]*Table1[[#This Row],[Discount%]]/100</f>
        <v>39.799999999999997</v>
      </c>
      <c r="O2622" s="6">
        <f>Table1[[#This Row],[Revenue]]-Table1[[#This Row],[Disc_amount]]</f>
        <v>358.2</v>
      </c>
      <c r="P2622" t="s">
        <v>26</v>
      </c>
      <c r="Q2622" t="s">
        <v>27</v>
      </c>
    </row>
    <row r="2623" spans="1:17">
      <c r="A2623" t="s">
        <v>3476</v>
      </c>
      <c r="B2623" s="1" t="s">
        <v>2497</v>
      </c>
      <c r="C2623" s="1" t="s">
        <v>3431</v>
      </c>
      <c r="D2623" s="1" t="s">
        <v>20</v>
      </c>
      <c r="E2623" t="s">
        <v>787</v>
      </c>
      <c r="F2623" t="s">
        <v>788</v>
      </c>
      <c r="G2623" t="s">
        <v>23</v>
      </c>
      <c r="H2623" t="s">
        <v>65</v>
      </c>
      <c r="I2623" t="s">
        <v>94</v>
      </c>
      <c r="J2623">
        <v>3</v>
      </c>
      <c r="K2623">
        <v>899</v>
      </c>
      <c r="L2623">
        <f>Table1[[#This Row],[Quantity]] * Table1[[#This Row],[UnitPrice]]</f>
        <v>2697</v>
      </c>
      <c r="M2623" s="25">
        <v>10</v>
      </c>
      <c r="N2623">
        <f>Table1[[#This Row],[Revenue]]*Table1[[#This Row],[Discount%]]/100</f>
        <v>269.7</v>
      </c>
      <c r="O2623" s="6">
        <f>Table1[[#This Row],[Revenue]]-Table1[[#This Row],[Disc_amount]]</f>
        <v>2427.3000000000002</v>
      </c>
      <c r="P2623" t="s">
        <v>41</v>
      </c>
      <c r="Q2623" t="s">
        <v>34</v>
      </c>
    </row>
    <row r="2624" spans="1:17">
      <c r="A2624" t="s">
        <v>3477</v>
      </c>
      <c r="B2624" s="1" t="s">
        <v>2497</v>
      </c>
      <c r="C2624" s="1" t="s">
        <v>3431</v>
      </c>
      <c r="D2624" s="1" t="s">
        <v>20</v>
      </c>
      <c r="E2624" t="s">
        <v>222</v>
      </c>
      <c r="F2624" t="s">
        <v>166</v>
      </c>
      <c r="G2624" t="s">
        <v>38</v>
      </c>
      <c r="H2624" t="s">
        <v>70</v>
      </c>
      <c r="I2624" t="s">
        <v>71</v>
      </c>
      <c r="J2624">
        <v>1</v>
      </c>
      <c r="K2624">
        <v>349</v>
      </c>
      <c r="L2624">
        <f>Table1[[#This Row],[Quantity]] * Table1[[#This Row],[UnitPrice]]</f>
        <v>349</v>
      </c>
      <c r="M2624" s="25">
        <v>25</v>
      </c>
      <c r="N2624">
        <f>Table1[[#This Row],[Revenue]]*Table1[[#This Row],[Discount%]]/100</f>
        <v>87.25</v>
      </c>
      <c r="O2624" s="6">
        <f>Table1[[#This Row],[Revenue]]-Table1[[#This Row],[Disc_amount]]</f>
        <v>261.75</v>
      </c>
      <c r="P2624" t="s">
        <v>52</v>
      </c>
      <c r="Q2624" t="s">
        <v>27</v>
      </c>
    </row>
    <row r="2625" spans="1:17">
      <c r="A2625" t="s">
        <v>3478</v>
      </c>
      <c r="B2625" s="1" t="s">
        <v>2497</v>
      </c>
      <c r="C2625" s="1" t="s">
        <v>3431</v>
      </c>
      <c r="D2625" s="1" t="s">
        <v>20</v>
      </c>
      <c r="E2625" t="s">
        <v>244</v>
      </c>
      <c r="F2625" t="s">
        <v>245</v>
      </c>
      <c r="G2625" t="s">
        <v>56</v>
      </c>
      <c r="H2625" t="s">
        <v>108</v>
      </c>
      <c r="I2625" t="s">
        <v>109</v>
      </c>
      <c r="J2625">
        <v>2</v>
      </c>
      <c r="K2625">
        <v>1499</v>
      </c>
      <c r="L2625">
        <f>Table1[[#This Row],[Quantity]] * Table1[[#This Row],[UnitPrice]]</f>
        <v>2998</v>
      </c>
      <c r="M2625" s="25">
        <v>10</v>
      </c>
      <c r="N2625">
        <f>Table1[[#This Row],[Revenue]]*Table1[[#This Row],[Discount%]]/100</f>
        <v>299.8</v>
      </c>
      <c r="O2625" s="6">
        <f>Table1[[#This Row],[Revenue]]-Table1[[#This Row],[Disc_amount]]</f>
        <v>2698.2</v>
      </c>
      <c r="P2625" t="s">
        <v>26</v>
      </c>
      <c r="Q2625" t="s">
        <v>27</v>
      </c>
    </row>
    <row r="2626" spans="1:17">
      <c r="A2626" t="s">
        <v>3479</v>
      </c>
      <c r="B2626" s="1" t="s">
        <v>2497</v>
      </c>
      <c r="C2626" s="1" t="s">
        <v>3431</v>
      </c>
      <c r="D2626" s="1" t="s">
        <v>20</v>
      </c>
      <c r="E2626" t="s">
        <v>928</v>
      </c>
      <c r="F2626" t="s">
        <v>147</v>
      </c>
      <c r="G2626" t="s">
        <v>56</v>
      </c>
      <c r="H2626" t="s">
        <v>65</v>
      </c>
      <c r="I2626" t="s">
        <v>94</v>
      </c>
      <c r="J2626">
        <v>4</v>
      </c>
      <c r="K2626">
        <v>899</v>
      </c>
      <c r="L2626">
        <f>Table1[[#This Row],[Quantity]] * Table1[[#This Row],[UnitPrice]]</f>
        <v>3596</v>
      </c>
      <c r="M2626" s="25">
        <v>5</v>
      </c>
      <c r="N2626">
        <f>Table1[[#This Row],[Revenue]]*Table1[[#This Row],[Discount%]]/100</f>
        <v>179.8</v>
      </c>
      <c r="O2626" s="6">
        <f>Table1[[#This Row],[Revenue]]-Table1[[#This Row],[Disc_amount]]</f>
        <v>3416.2</v>
      </c>
      <c r="P2626" t="s">
        <v>33</v>
      </c>
      <c r="Q2626" t="s">
        <v>27</v>
      </c>
    </row>
    <row r="2627" spans="1:17">
      <c r="A2627" t="s">
        <v>3480</v>
      </c>
      <c r="B2627" s="1" t="s">
        <v>2497</v>
      </c>
      <c r="C2627" s="1" t="s">
        <v>3431</v>
      </c>
      <c r="D2627" s="1" t="s">
        <v>20</v>
      </c>
      <c r="E2627" t="s">
        <v>128</v>
      </c>
      <c r="F2627" t="s">
        <v>129</v>
      </c>
      <c r="G2627" t="s">
        <v>31</v>
      </c>
      <c r="H2627" t="s">
        <v>70</v>
      </c>
      <c r="I2627" t="s">
        <v>71</v>
      </c>
      <c r="J2627">
        <v>3</v>
      </c>
      <c r="K2627">
        <v>349</v>
      </c>
      <c r="L2627">
        <f>Table1[[#This Row],[Quantity]] * Table1[[#This Row],[UnitPrice]]</f>
        <v>1047</v>
      </c>
      <c r="M2627" s="25">
        <v>20</v>
      </c>
      <c r="N2627">
        <f>Table1[[#This Row],[Revenue]]*Table1[[#This Row],[Discount%]]/100</f>
        <v>209.4</v>
      </c>
      <c r="O2627" s="6">
        <f>Table1[[#This Row],[Revenue]]-Table1[[#This Row],[Disc_amount]]</f>
        <v>837.6</v>
      </c>
      <c r="P2627" t="s">
        <v>41</v>
      </c>
      <c r="Q2627" t="s">
        <v>34</v>
      </c>
    </row>
    <row r="2628" spans="1:17">
      <c r="A2628" t="s">
        <v>3481</v>
      </c>
      <c r="B2628" s="1" t="s">
        <v>2497</v>
      </c>
      <c r="C2628" s="1" t="s">
        <v>3431</v>
      </c>
      <c r="D2628" s="1" t="s">
        <v>20</v>
      </c>
      <c r="E2628" t="s">
        <v>128</v>
      </c>
      <c r="F2628" t="s">
        <v>129</v>
      </c>
      <c r="G2628" t="s">
        <v>38</v>
      </c>
      <c r="H2628" t="s">
        <v>65</v>
      </c>
      <c r="I2628" t="s">
        <v>66</v>
      </c>
      <c r="J2628">
        <v>2</v>
      </c>
      <c r="K2628">
        <v>1999</v>
      </c>
      <c r="L2628">
        <f>Table1[[#This Row],[Quantity]] * Table1[[#This Row],[UnitPrice]]</f>
        <v>3998</v>
      </c>
      <c r="M2628" s="25">
        <v>30</v>
      </c>
      <c r="N2628">
        <f>Table1[[#This Row],[Revenue]]*Table1[[#This Row],[Discount%]]/100</f>
        <v>1199.4000000000001</v>
      </c>
      <c r="O2628" s="6">
        <f>Table1[[#This Row],[Revenue]]-Table1[[#This Row],[Disc_amount]]</f>
        <v>2798.6</v>
      </c>
      <c r="P2628" t="s">
        <v>41</v>
      </c>
      <c r="Q2628" t="s">
        <v>27</v>
      </c>
    </row>
    <row r="2629" spans="1:17">
      <c r="A2629" t="s">
        <v>3482</v>
      </c>
      <c r="B2629" s="1" t="s">
        <v>2497</v>
      </c>
      <c r="C2629" s="1" t="s">
        <v>3431</v>
      </c>
      <c r="D2629" s="1" t="s">
        <v>20</v>
      </c>
      <c r="E2629" t="s">
        <v>561</v>
      </c>
      <c r="F2629" t="s">
        <v>562</v>
      </c>
      <c r="G2629" t="s">
        <v>56</v>
      </c>
      <c r="H2629" t="s">
        <v>108</v>
      </c>
      <c r="I2629" t="s">
        <v>130</v>
      </c>
      <c r="J2629">
        <v>1</v>
      </c>
      <c r="K2629">
        <v>699</v>
      </c>
      <c r="L2629">
        <f>Table1[[#This Row],[Quantity]] * Table1[[#This Row],[UnitPrice]]</f>
        <v>699</v>
      </c>
      <c r="M2629" s="25">
        <v>5</v>
      </c>
      <c r="N2629">
        <f>Table1[[#This Row],[Revenue]]*Table1[[#This Row],[Discount%]]/100</f>
        <v>34.950000000000003</v>
      </c>
      <c r="O2629" s="6">
        <f>Table1[[#This Row],[Revenue]]-Table1[[#This Row],[Disc_amount]]</f>
        <v>664.05</v>
      </c>
      <c r="P2629" t="s">
        <v>33</v>
      </c>
      <c r="Q2629" t="s">
        <v>27</v>
      </c>
    </row>
    <row r="2630" spans="1:17">
      <c r="A2630" t="s">
        <v>3483</v>
      </c>
      <c r="B2630" s="1" t="s">
        <v>2497</v>
      </c>
      <c r="C2630" s="1" t="s">
        <v>3431</v>
      </c>
      <c r="D2630" s="1" t="s">
        <v>20</v>
      </c>
      <c r="E2630" t="s">
        <v>1038</v>
      </c>
      <c r="F2630" t="s">
        <v>245</v>
      </c>
      <c r="G2630" t="s">
        <v>38</v>
      </c>
      <c r="H2630" t="s">
        <v>70</v>
      </c>
      <c r="I2630" t="s">
        <v>91</v>
      </c>
      <c r="J2630">
        <v>3</v>
      </c>
      <c r="K2630">
        <v>549</v>
      </c>
      <c r="L2630">
        <f>Table1[[#This Row],[Quantity]] * Table1[[#This Row],[UnitPrice]]</f>
        <v>1647</v>
      </c>
      <c r="M2630" s="25">
        <v>15</v>
      </c>
      <c r="N2630">
        <f>Table1[[#This Row],[Revenue]]*Table1[[#This Row],[Discount%]]/100</f>
        <v>247.05</v>
      </c>
      <c r="O2630" s="6">
        <f>Table1[[#This Row],[Revenue]]-Table1[[#This Row],[Disc_amount]]</f>
        <v>1399.95</v>
      </c>
      <c r="P2630" t="s">
        <v>33</v>
      </c>
      <c r="Q2630" t="s">
        <v>27</v>
      </c>
    </row>
    <row r="2631" spans="1:17">
      <c r="A2631" t="s">
        <v>3484</v>
      </c>
      <c r="B2631" s="1" t="s">
        <v>2506</v>
      </c>
      <c r="C2631" s="1" t="s">
        <v>3431</v>
      </c>
      <c r="D2631" s="1" t="s">
        <v>20</v>
      </c>
      <c r="E2631" t="s">
        <v>915</v>
      </c>
      <c r="F2631" t="s">
        <v>345</v>
      </c>
      <c r="G2631" t="s">
        <v>45</v>
      </c>
      <c r="H2631" t="s">
        <v>65</v>
      </c>
      <c r="I2631" t="s">
        <v>66</v>
      </c>
      <c r="J2631">
        <v>3</v>
      </c>
      <c r="K2631">
        <v>1999</v>
      </c>
      <c r="L2631">
        <f>Table1[[#This Row],[Quantity]] * Table1[[#This Row],[UnitPrice]]</f>
        <v>5997</v>
      </c>
      <c r="M2631" s="25">
        <v>0</v>
      </c>
      <c r="N2631">
        <f>Table1[[#This Row],[Revenue]]*Table1[[#This Row],[Discount%]]/100</f>
        <v>0</v>
      </c>
      <c r="O2631" s="6">
        <f>Table1[[#This Row],[Revenue]]-Table1[[#This Row],[Disc_amount]]</f>
        <v>5997</v>
      </c>
      <c r="P2631" t="s">
        <v>33</v>
      </c>
      <c r="Q2631" t="s">
        <v>27</v>
      </c>
    </row>
    <row r="2632" spans="1:17">
      <c r="A2632" t="s">
        <v>3485</v>
      </c>
      <c r="B2632" s="1" t="s">
        <v>2506</v>
      </c>
      <c r="C2632" s="1" t="s">
        <v>3431</v>
      </c>
      <c r="D2632" s="1" t="s">
        <v>20</v>
      </c>
      <c r="E2632" t="s">
        <v>946</v>
      </c>
      <c r="F2632" t="s">
        <v>947</v>
      </c>
      <c r="G2632" t="s">
        <v>56</v>
      </c>
      <c r="H2632" t="s">
        <v>70</v>
      </c>
      <c r="I2632" t="s">
        <v>91</v>
      </c>
      <c r="J2632">
        <v>1</v>
      </c>
      <c r="K2632">
        <v>549</v>
      </c>
      <c r="L2632">
        <f>Table1[[#This Row],[Quantity]] * Table1[[#This Row],[UnitPrice]]</f>
        <v>549</v>
      </c>
      <c r="M2632" s="25">
        <v>15</v>
      </c>
      <c r="N2632">
        <f>Table1[[#This Row],[Revenue]]*Table1[[#This Row],[Discount%]]/100</f>
        <v>82.35</v>
      </c>
      <c r="O2632" s="6">
        <f>Table1[[#This Row],[Revenue]]-Table1[[#This Row],[Disc_amount]]</f>
        <v>466.65</v>
      </c>
      <c r="P2632" t="s">
        <v>26</v>
      </c>
      <c r="Q2632" t="s">
        <v>34</v>
      </c>
    </row>
    <row r="2633" spans="1:17">
      <c r="A2633" t="s">
        <v>3486</v>
      </c>
      <c r="B2633" s="1" t="s">
        <v>2506</v>
      </c>
      <c r="C2633" s="1" t="s">
        <v>3431</v>
      </c>
      <c r="D2633" s="1" t="s">
        <v>20</v>
      </c>
      <c r="E2633" t="s">
        <v>986</v>
      </c>
      <c r="F2633" t="s">
        <v>209</v>
      </c>
      <c r="G2633" t="s">
        <v>38</v>
      </c>
      <c r="H2633" t="s">
        <v>57</v>
      </c>
      <c r="I2633" t="s">
        <v>62</v>
      </c>
      <c r="J2633">
        <v>1</v>
      </c>
      <c r="K2633">
        <v>799</v>
      </c>
      <c r="L2633">
        <f>Table1[[#This Row],[Quantity]] * Table1[[#This Row],[UnitPrice]]</f>
        <v>799</v>
      </c>
      <c r="M2633" s="25">
        <v>20</v>
      </c>
      <c r="N2633">
        <f>Table1[[#This Row],[Revenue]]*Table1[[#This Row],[Discount%]]/100</f>
        <v>159.80000000000001</v>
      </c>
      <c r="O2633" s="6">
        <f>Table1[[#This Row],[Revenue]]-Table1[[#This Row],[Disc_amount]]</f>
        <v>639.20000000000005</v>
      </c>
      <c r="P2633" t="s">
        <v>33</v>
      </c>
      <c r="Q2633" t="s">
        <v>27</v>
      </c>
    </row>
    <row r="2634" spans="1:17">
      <c r="A2634" t="s">
        <v>3487</v>
      </c>
      <c r="B2634" s="1" t="s">
        <v>2506</v>
      </c>
      <c r="C2634" s="1" t="s">
        <v>3431</v>
      </c>
      <c r="D2634" s="1" t="s">
        <v>20</v>
      </c>
      <c r="E2634" t="s">
        <v>847</v>
      </c>
      <c r="F2634" t="s">
        <v>675</v>
      </c>
      <c r="G2634" t="s">
        <v>45</v>
      </c>
      <c r="H2634" t="s">
        <v>65</v>
      </c>
      <c r="I2634" t="s">
        <v>66</v>
      </c>
      <c r="J2634">
        <v>1</v>
      </c>
      <c r="K2634">
        <v>1999</v>
      </c>
      <c r="L2634">
        <f>Table1[[#This Row],[Quantity]] * Table1[[#This Row],[UnitPrice]]</f>
        <v>1999</v>
      </c>
      <c r="M2634" s="25">
        <v>0</v>
      </c>
      <c r="N2634">
        <f>Table1[[#This Row],[Revenue]]*Table1[[#This Row],[Discount%]]/100</f>
        <v>0</v>
      </c>
      <c r="O2634" s="6">
        <f>Table1[[#This Row],[Revenue]]-Table1[[#This Row],[Disc_amount]]</f>
        <v>1999</v>
      </c>
      <c r="P2634" t="s">
        <v>86</v>
      </c>
      <c r="Q2634" t="s">
        <v>27</v>
      </c>
    </row>
    <row r="2635" spans="1:17">
      <c r="A2635" t="s">
        <v>3488</v>
      </c>
      <c r="B2635" s="1" t="s">
        <v>2506</v>
      </c>
      <c r="C2635" s="1" t="s">
        <v>3431</v>
      </c>
      <c r="D2635" s="1" t="s">
        <v>20</v>
      </c>
      <c r="E2635" t="s">
        <v>1747</v>
      </c>
      <c r="F2635" t="s">
        <v>796</v>
      </c>
      <c r="G2635" t="s">
        <v>56</v>
      </c>
      <c r="H2635" t="s">
        <v>46</v>
      </c>
      <c r="I2635" t="s">
        <v>154</v>
      </c>
      <c r="J2635">
        <v>3</v>
      </c>
      <c r="K2635">
        <v>299</v>
      </c>
      <c r="L2635">
        <f>Table1[[#This Row],[Quantity]] * Table1[[#This Row],[UnitPrice]]</f>
        <v>897</v>
      </c>
      <c r="M2635" s="25">
        <v>0</v>
      </c>
      <c r="N2635">
        <f>Table1[[#This Row],[Revenue]]*Table1[[#This Row],[Discount%]]/100</f>
        <v>0</v>
      </c>
      <c r="O2635" s="6">
        <f>Table1[[#This Row],[Revenue]]-Table1[[#This Row],[Disc_amount]]</f>
        <v>897</v>
      </c>
      <c r="P2635" t="s">
        <v>26</v>
      </c>
      <c r="Q2635" t="s">
        <v>34</v>
      </c>
    </row>
    <row r="2636" spans="1:17">
      <c r="A2636" t="s">
        <v>3489</v>
      </c>
      <c r="B2636" s="1" t="s">
        <v>2506</v>
      </c>
      <c r="C2636" s="1" t="s">
        <v>3431</v>
      </c>
      <c r="D2636" s="1" t="s">
        <v>20</v>
      </c>
      <c r="E2636" t="s">
        <v>888</v>
      </c>
      <c r="F2636" t="s">
        <v>698</v>
      </c>
      <c r="G2636" t="s">
        <v>45</v>
      </c>
      <c r="H2636" t="s">
        <v>46</v>
      </c>
      <c r="I2636" t="s">
        <v>47</v>
      </c>
      <c r="J2636">
        <v>2</v>
      </c>
      <c r="K2636">
        <v>249</v>
      </c>
      <c r="L2636">
        <f>Table1[[#This Row],[Quantity]] * Table1[[#This Row],[UnitPrice]]</f>
        <v>498</v>
      </c>
      <c r="M2636" s="25">
        <v>25</v>
      </c>
      <c r="N2636">
        <f>Table1[[#This Row],[Revenue]]*Table1[[#This Row],[Discount%]]/100</f>
        <v>124.5</v>
      </c>
      <c r="O2636" s="6">
        <f>Table1[[#This Row],[Revenue]]-Table1[[#This Row],[Disc_amount]]</f>
        <v>373.5</v>
      </c>
      <c r="P2636" t="s">
        <v>41</v>
      </c>
      <c r="Q2636" t="s">
        <v>27</v>
      </c>
    </row>
    <row r="2637" spans="1:17">
      <c r="A2637" t="s">
        <v>3490</v>
      </c>
      <c r="B2637" s="1" t="s">
        <v>2506</v>
      </c>
      <c r="C2637" s="1" t="s">
        <v>3431</v>
      </c>
      <c r="D2637" s="1" t="s">
        <v>20</v>
      </c>
      <c r="E2637" t="s">
        <v>1176</v>
      </c>
      <c r="F2637" t="s">
        <v>173</v>
      </c>
      <c r="G2637" t="s">
        <v>56</v>
      </c>
      <c r="H2637" t="s">
        <v>57</v>
      </c>
      <c r="I2637" t="s">
        <v>58</v>
      </c>
      <c r="J2637">
        <v>3</v>
      </c>
      <c r="K2637">
        <v>1299</v>
      </c>
      <c r="L2637">
        <f>Table1[[#This Row],[Quantity]] * Table1[[#This Row],[UnitPrice]]</f>
        <v>3897</v>
      </c>
      <c r="M2637" s="25">
        <v>25</v>
      </c>
      <c r="N2637">
        <f>Table1[[#This Row],[Revenue]]*Table1[[#This Row],[Discount%]]/100</f>
        <v>974.25</v>
      </c>
      <c r="O2637" s="6">
        <f>Table1[[#This Row],[Revenue]]-Table1[[#This Row],[Disc_amount]]</f>
        <v>2922.75</v>
      </c>
      <c r="P2637" t="s">
        <v>41</v>
      </c>
      <c r="Q2637" t="s">
        <v>27</v>
      </c>
    </row>
    <row r="2638" spans="1:17">
      <c r="A2638" t="s">
        <v>3491</v>
      </c>
      <c r="B2638" s="1" t="s">
        <v>2506</v>
      </c>
      <c r="C2638" s="1" t="s">
        <v>3431</v>
      </c>
      <c r="D2638" s="1" t="s">
        <v>20</v>
      </c>
      <c r="E2638" t="s">
        <v>1101</v>
      </c>
      <c r="F2638" t="s">
        <v>989</v>
      </c>
      <c r="G2638" t="s">
        <v>56</v>
      </c>
      <c r="H2638" t="s">
        <v>108</v>
      </c>
      <c r="I2638" t="s">
        <v>109</v>
      </c>
      <c r="J2638">
        <v>1</v>
      </c>
      <c r="K2638">
        <v>1499</v>
      </c>
      <c r="L2638">
        <f>Table1[[#This Row],[Quantity]] * Table1[[#This Row],[UnitPrice]]</f>
        <v>1499</v>
      </c>
      <c r="M2638" s="25">
        <v>0</v>
      </c>
      <c r="N2638">
        <f>Table1[[#This Row],[Revenue]]*Table1[[#This Row],[Discount%]]/100</f>
        <v>0</v>
      </c>
      <c r="O2638" s="6">
        <f>Table1[[#This Row],[Revenue]]-Table1[[#This Row],[Disc_amount]]</f>
        <v>1499</v>
      </c>
      <c r="P2638" t="s">
        <v>86</v>
      </c>
      <c r="Q2638" t="s">
        <v>34</v>
      </c>
    </row>
    <row r="2639" spans="1:17">
      <c r="A2639" t="s">
        <v>3492</v>
      </c>
      <c r="B2639" s="1" t="s">
        <v>2506</v>
      </c>
      <c r="C2639" s="1" t="s">
        <v>3431</v>
      </c>
      <c r="D2639" s="1" t="s">
        <v>20</v>
      </c>
      <c r="E2639" t="s">
        <v>954</v>
      </c>
      <c r="F2639" t="s">
        <v>569</v>
      </c>
      <c r="G2639" t="s">
        <v>45</v>
      </c>
      <c r="H2639" t="s">
        <v>46</v>
      </c>
      <c r="I2639" t="s">
        <v>47</v>
      </c>
      <c r="J2639">
        <v>1</v>
      </c>
      <c r="K2639">
        <v>249</v>
      </c>
      <c r="L2639">
        <f>Table1[[#This Row],[Quantity]] * Table1[[#This Row],[UnitPrice]]</f>
        <v>249</v>
      </c>
      <c r="M2639" s="25">
        <v>5</v>
      </c>
      <c r="N2639">
        <f>Table1[[#This Row],[Revenue]]*Table1[[#This Row],[Discount%]]/100</f>
        <v>12.45</v>
      </c>
      <c r="O2639" s="6">
        <f>Table1[[#This Row],[Revenue]]-Table1[[#This Row],[Disc_amount]]</f>
        <v>236.55</v>
      </c>
      <c r="P2639" t="s">
        <v>52</v>
      </c>
      <c r="Q2639" t="s">
        <v>27</v>
      </c>
    </row>
    <row r="2640" spans="1:17">
      <c r="A2640" t="s">
        <v>3493</v>
      </c>
      <c r="B2640" s="1" t="s">
        <v>2506</v>
      </c>
      <c r="C2640" s="1" t="s">
        <v>3431</v>
      </c>
      <c r="D2640" s="1" t="s">
        <v>20</v>
      </c>
      <c r="E2640" t="s">
        <v>652</v>
      </c>
      <c r="F2640" t="s">
        <v>443</v>
      </c>
      <c r="G2640" t="s">
        <v>23</v>
      </c>
      <c r="H2640" t="s">
        <v>46</v>
      </c>
      <c r="I2640" t="s">
        <v>154</v>
      </c>
      <c r="J2640">
        <v>1</v>
      </c>
      <c r="K2640">
        <v>299</v>
      </c>
      <c r="L2640">
        <f>Table1[[#This Row],[Quantity]] * Table1[[#This Row],[UnitPrice]]</f>
        <v>299</v>
      </c>
      <c r="M2640" s="25">
        <v>30</v>
      </c>
      <c r="N2640">
        <f>Table1[[#This Row],[Revenue]]*Table1[[#This Row],[Discount%]]/100</f>
        <v>89.7</v>
      </c>
      <c r="O2640" s="6">
        <f>Table1[[#This Row],[Revenue]]-Table1[[#This Row],[Disc_amount]]</f>
        <v>209.3</v>
      </c>
      <c r="P2640" t="s">
        <v>26</v>
      </c>
      <c r="Q2640" t="s">
        <v>27</v>
      </c>
    </row>
    <row r="2641" spans="1:17">
      <c r="A2641" t="s">
        <v>3494</v>
      </c>
      <c r="B2641" s="1" t="s">
        <v>2506</v>
      </c>
      <c r="C2641" s="1" t="s">
        <v>3431</v>
      </c>
      <c r="D2641" s="1" t="s">
        <v>20</v>
      </c>
      <c r="E2641" t="s">
        <v>583</v>
      </c>
      <c r="F2641" t="s">
        <v>584</v>
      </c>
      <c r="G2641" t="s">
        <v>45</v>
      </c>
      <c r="H2641" t="s">
        <v>65</v>
      </c>
      <c r="I2641" t="s">
        <v>94</v>
      </c>
      <c r="J2641">
        <v>2</v>
      </c>
      <c r="K2641">
        <v>899</v>
      </c>
      <c r="L2641">
        <f>Table1[[#This Row],[Quantity]] * Table1[[#This Row],[UnitPrice]]</f>
        <v>1798</v>
      </c>
      <c r="M2641" s="25">
        <v>25</v>
      </c>
      <c r="N2641">
        <f>Table1[[#This Row],[Revenue]]*Table1[[#This Row],[Discount%]]/100</f>
        <v>449.5</v>
      </c>
      <c r="O2641" s="6">
        <f>Table1[[#This Row],[Revenue]]-Table1[[#This Row],[Disc_amount]]</f>
        <v>1348.5</v>
      </c>
      <c r="P2641" t="s">
        <v>86</v>
      </c>
      <c r="Q2641" t="s">
        <v>27</v>
      </c>
    </row>
    <row r="2642" spans="1:17">
      <c r="A2642" t="s">
        <v>3495</v>
      </c>
      <c r="B2642" s="1" t="s">
        <v>2506</v>
      </c>
      <c r="C2642" s="1" t="s">
        <v>3431</v>
      </c>
      <c r="D2642" s="1" t="s">
        <v>20</v>
      </c>
      <c r="E2642" t="s">
        <v>750</v>
      </c>
      <c r="F2642" t="s">
        <v>83</v>
      </c>
      <c r="G2642" t="s">
        <v>23</v>
      </c>
      <c r="H2642" t="s">
        <v>57</v>
      </c>
      <c r="I2642" t="s">
        <v>62</v>
      </c>
      <c r="J2642">
        <v>2</v>
      </c>
      <c r="K2642">
        <v>799</v>
      </c>
      <c r="L2642">
        <f>Table1[[#This Row],[Quantity]] * Table1[[#This Row],[UnitPrice]]</f>
        <v>1598</v>
      </c>
      <c r="M2642" s="25">
        <v>5</v>
      </c>
      <c r="N2642">
        <f>Table1[[#This Row],[Revenue]]*Table1[[#This Row],[Discount%]]/100</f>
        <v>79.900000000000006</v>
      </c>
      <c r="O2642" s="6">
        <f>Table1[[#This Row],[Revenue]]-Table1[[#This Row],[Disc_amount]]</f>
        <v>1518.1</v>
      </c>
      <c r="P2642" t="s">
        <v>33</v>
      </c>
      <c r="Q2642" t="s">
        <v>27</v>
      </c>
    </row>
    <row r="2643" spans="1:17">
      <c r="A2643" t="s">
        <v>3496</v>
      </c>
      <c r="B2643" s="1" t="s">
        <v>2506</v>
      </c>
      <c r="C2643" s="1" t="s">
        <v>3431</v>
      </c>
      <c r="D2643" s="1" t="s">
        <v>20</v>
      </c>
      <c r="E2643" t="s">
        <v>394</v>
      </c>
      <c r="F2643" t="s">
        <v>338</v>
      </c>
      <c r="G2643" t="s">
        <v>31</v>
      </c>
      <c r="H2643" t="s">
        <v>24</v>
      </c>
      <c r="I2643" t="s">
        <v>25</v>
      </c>
      <c r="J2643">
        <v>1</v>
      </c>
      <c r="K2643">
        <v>99</v>
      </c>
      <c r="L2643">
        <f>Table1[[#This Row],[Quantity]] * Table1[[#This Row],[UnitPrice]]</f>
        <v>99</v>
      </c>
      <c r="M2643" s="25">
        <v>5</v>
      </c>
      <c r="N2643">
        <f>Table1[[#This Row],[Revenue]]*Table1[[#This Row],[Discount%]]/100</f>
        <v>4.95</v>
      </c>
      <c r="O2643" s="6">
        <f>Table1[[#This Row],[Revenue]]-Table1[[#This Row],[Disc_amount]]</f>
        <v>94.05</v>
      </c>
      <c r="P2643" t="s">
        <v>86</v>
      </c>
      <c r="Q2643" t="s">
        <v>27</v>
      </c>
    </row>
    <row r="2644" spans="1:17">
      <c r="A2644" t="s">
        <v>3497</v>
      </c>
      <c r="B2644" s="1" t="s">
        <v>2506</v>
      </c>
      <c r="C2644" s="1" t="s">
        <v>3431</v>
      </c>
      <c r="D2644" s="1" t="s">
        <v>20</v>
      </c>
      <c r="E2644" t="s">
        <v>252</v>
      </c>
      <c r="F2644" t="s">
        <v>253</v>
      </c>
      <c r="G2644" t="s">
        <v>31</v>
      </c>
      <c r="H2644" t="s">
        <v>57</v>
      </c>
      <c r="I2644" t="s">
        <v>58</v>
      </c>
      <c r="J2644">
        <v>1</v>
      </c>
      <c r="K2644">
        <v>1299</v>
      </c>
      <c r="L2644">
        <f>Table1[[#This Row],[Quantity]] * Table1[[#This Row],[UnitPrice]]</f>
        <v>1299</v>
      </c>
      <c r="M2644" s="25">
        <v>15</v>
      </c>
      <c r="N2644">
        <f>Table1[[#This Row],[Revenue]]*Table1[[#This Row],[Discount%]]/100</f>
        <v>194.85</v>
      </c>
      <c r="O2644" s="6">
        <f>Table1[[#This Row],[Revenue]]-Table1[[#This Row],[Disc_amount]]</f>
        <v>1104.1500000000001</v>
      </c>
      <c r="P2644" t="s">
        <v>41</v>
      </c>
      <c r="Q2644" t="s">
        <v>27</v>
      </c>
    </row>
    <row r="2645" spans="1:17">
      <c r="A2645" t="s">
        <v>3498</v>
      </c>
      <c r="B2645" s="1" t="s">
        <v>2506</v>
      </c>
      <c r="C2645" s="1" t="s">
        <v>3431</v>
      </c>
      <c r="D2645" s="1" t="s">
        <v>20</v>
      </c>
      <c r="E2645" t="s">
        <v>1623</v>
      </c>
      <c r="F2645" t="s">
        <v>1624</v>
      </c>
      <c r="G2645" t="s">
        <v>38</v>
      </c>
      <c r="H2645" t="s">
        <v>39</v>
      </c>
      <c r="I2645" t="s">
        <v>51</v>
      </c>
      <c r="J2645">
        <v>2</v>
      </c>
      <c r="K2645">
        <v>2999</v>
      </c>
      <c r="L2645">
        <f>Table1[[#This Row],[Quantity]] * Table1[[#This Row],[UnitPrice]]</f>
        <v>5998</v>
      </c>
      <c r="M2645" s="25">
        <v>20</v>
      </c>
      <c r="N2645">
        <f>Table1[[#This Row],[Revenue]]*Table1[[#This Row],[Discount%]]/100</f>
        <v>1199.5999999999999</v>
      </c>
      <c r="O2645" s="6">
        <f>Table1[[#This Row],[Revenue]]-Table1[[#This Row],[Disc_amount]]</f>
        <v>4798.3999999999996</v>
      </c>
      <c r="P2645" t="s">
        <v>33</v>
      </c>
      <c r="Q2645" t="s">
        <v>34</v>
      </c>
    </row>
    <row r="2646" spans="1:17">
      <c r="A2646" t="s">
        <v>3499</v>
      </c>
      <c r="B2646" s="1" t="s">
        <v>2506</v>
      </c>
      <c r="C2646" s="1" t="s">
        <v>3431</v>
      </c>
      <c r="D2646" s="1" t="s">
        <v>20</v>
      </c>
      <c r="E2646" t="s">
        <v>612</v>
      </c>
      <c r="F2646" t="s">
        <v>613</v>
      </c>
      <c r="G2646" t="s">
        <v>56</v>
      </c>
      <c r="H2646" t="s">
        <v>108</v>
      </c>
      <c r="I2646" t="s">
        <v>130</v>
      </c>
      <c r="J2646">
        <v>2</v>
      </c>
      <c r="K2646">
        <v>699</v>
      </c>
      <c r="L2646">
        <f>Table1[[#This Row],[Quantity]] * Table1[[#This Row],[UnitPrice]]</f>
        <v>1398</v>
      </c>
      <c r="M2646" s="25">
        <v>15</v>
      </c>
      <c r="N2646">
        <f>Table1[[#This Row],[Revenue]]*Table1[[#This Row],[Discount%]]/100</f>
        <v>209.7</v>
      </c>
      <c r="O2646" s="6">
        <f>Table1[[#This Row],[Revenue]]-Table1[[#This Row],[Disc_amount]]</f>
        <v>1188.3</v>
      </c>
      <c r="P2646" t="s">
        <v>41</v>
      </c>
      <c r="Q2646" t="s">
        <v>27</v>
      </c>
    </row>
    <row r="2647" spans="1:17">
      <c r="A2647" t="s">
        <v>3500</v>
      </c>
      <c r="B2647" s="1" t="s">
        <v>2514</v>
      </c>
      <c r="C2647" s="1" t="s">
        <v>3431</v>
      </c>
      <c r="D2647" s="1" t="s">
        <v>20</v>
      </c>
      <c r="E2647" t="s">
        <v>674</v>
      </c>
      <c r="F2647" t="s">
        <v>675</v>
      </c>
      <c r="G2647" t="s">
        <v>38</v>
      </c>
      <c r="H2647" t="s">
        <v>57</v>
      </c>
      <c r="I2647" t="s">
        <v>62</v>
      </c>
      <c r="J2647">
        <v>1</v>
      </c>
      <c r="K2647">
        <v>799</v>
      </c>
      <c r="L2647">
        <f>Table1[[#This Row],[Quantity]] * Table1[[#This Row],[UnitPrice]]</f>
        <v>799</v>
      </c>
      <c r="M2647" s="25">
        <v>30</v>
      </c>
      <c r="N2647">
        <f>Table1[[#This Row],[Revenue]]*Table1[[#This Row],[Discount%]]/100</f>
        <v>239.7</v>
      </c>
      <c r="O2647" s="6">
        <f>Table1[[#This Row],[Revenue]]-Table1[[#This Row],[Disc_amount]]</f>
        <v>559.29999999999995</v>
      </c>
      <c r="P2647" t="s">
        <v>52</v>
      </c>
      <c r="Q2647" t="s">
        <v>34</v>
      </c>
    </row>
    <row r="2648" spans="1:17">
      <c r="A2648" t="s">
        <v>3501</v>
      </c>
      <c r="B2648" s="1" t="s">
        <v>2514</v>
      </c>
      <c r="C2648" s="1" t="s">
        <v>3431</v>
      </c>
      <c r="D2648" s="1" t="s">
        <v>20</v>
      </c>
      <c r="E2648" t="s">
        <v>464</v>
      </c>
      <c r="F2648" t="s">
        <v>465</v>
      </c>
      <c r="G2648" t="s">
        <v>38</v>
      </c>
      <c r="H2648" t="s">
        <v>108</v>
      </c>
      <c r="I2648" t="s">
        <v>109</v>
      </c>
      <c r="J2648">
        <v>3</v>
      </c>
      <c r="K2648">
        <v>1499</v>
      </c>
      <c r="L2648">
        <f>Table1[[#This Row],[Quantity]] * Table1[[#This Row],[UnitPrice]]</f>
        <v>4497</v>
      </c>
      <c r="M2648" s="25">
        <v>10</v>
      </c>
      <c r="N2648">
        <f>Table1[[#This Row],[Revenue]]*Table1[[#This Row],[Discount%]]/100</f>
        <v>449.7</v>
      </c>
      <c r="O2648" s="6">
        <f>Table1[[#This Row],[Revenue]]-Table1[[#This Row],[Disc_amount]]</f>
        <v>4047.3</v>
      </c>
      <c r="P2648" t="s">
        <v>86</v>
      </c>
      <c r="Q2648" t="s">
        <v>34</v>
      </c>
    </row>
    <row r="2649" spans="1:17">
      <c r="A2649" t="s">
        <v>3502</v>
      </c>
      <c r="B2649" s="1" t="s">
        <v>2514</v>
      </c>
      <c r="C2649" s="1" t="s">
        <v>3431</v>
      </c>
      <c r="D2649" s="1" t="s">
        <v>20</v>
      </c>
      <c r="E2649" t="s">
        <v>238</v>
      </c>
      <c r="F2649" t="s">
        <v>239</v>
      </c>
      <c r="G2649" t="s">
        <v>38</v>
      </c>
      <c r="H2649" t="s">
        <v>65</v>
      </c>
      <c r="I2649" t="s">
        <v>98</v>
      </c>
      <c r="J2649">
        <v>1</v>
      </c>
      <c r="K2649">
        <v>499</v>
      </c>
      <c r="L2649">
        <f>Table1[[#This Row],[Quantity]] * Table1[[#This Row],[UnitPrice]]</f>
        <v>499</v>
      </c>
      <c r="M2649" s="25">
        <v>0</v>
      </c>
      <c r="N2649">
        <f>Table1[[#This Row],[Revenue]]*Table1[[#This Row],[Discount%]]/100</f>
        <v>0</v>
      </c>
      <c r="O2649" s="6">
        <f>Table1[[#This Row],[Revenue]]-Table1[[#This Row],[Disc_amount]]</f>
        <v>499</v>
      </c>
      <c r="P2649" t="s">
        <v>41</v>
      </c>
      <c r="Q2649" t="s">
        <v>34</v>
      </c>
    </row>
    <row r="2650" spans="1:17">
      <c r="A2650" t="s">
        <v>3503</v>
      </c>
      <c r="B2650" s="1" t="s">
        <v>2514</v>
      </c>
      <c r="C2650" s="1" t="s">
        <v>3431</v>
      </c>
      <c r="D2650" s="1" t="s">
        <v>20</v>
      </c>
      <c r="E2650" t="s">
        <v>96</v>
      </c>
      <c r="F2650" t="s">
        <v>97</v>
      </c>
      <c r="G2650" t="s">
        <v>31</v>
      </c>
      <c r="H2650" t="s">
        <v>24</v>
      </c>
      <c r="I2650" t="s">
        <v>25</v>
      </c>
      <c r="J2650">
        <v>4</v>
      </c>
      <c r="K2650">
        <v>99</v>
      </c>
      <c r="L2650">
        <f>Table1[[#This Row],[Quantity]] * Table1[[#This Row],[UnitPrice]]</f>
        <v>396</v>
      </c>
      <c r="M2650" s="25">
        <v>10</v>
      </c>
      <c r="N2650">
        <f>Table1[[#This Row],[Revenue]]*Table1[[#This Row],[Discount%]]/100</f>
        <v>39.6</v>
      </c>
      <c r="O2650" s="6">
        <f>Table1[[#This Row],[Revenue]]-Table1[[#This Row],[Disc_amount]]</f>
        <v>356.4</v>
      </c>
      <c r="P2650" t="s">
        <v>33</v>
      </c>
      <c r="Q2650" t="s">
        <v>34</v>
      </c>
    </row>
    <row r="2651" spans="1:17">
      <c r="A2651" t="s">
        <v>3504</v>
      </c>
      <c r="B2651" s="1" t="s">
        <v>2514</v>
      </c>
      <c r="C2651" s="1" t="s">
        <v>3431</v>
      </c>
      <c r="D2651" s="1" t="s">
        <v>20</v>
      </c>
      <c r="E2651" t="s">
        <v>375</v>
      </c>
      <c r="F2651" t="s">
        <v>376</v>
      </c>
      <c r="G2651" t="s">
        <v>31</v>
      </c>
      <c r="H2651" t="s">
        <v>65</v>
      </c>
      <c r="I2651" t="s">
        <v>94</v>
      </c>
      <c r="J2651">
        <v>2</v>
      </c>
      <c r="K2651">
        <v>899</v>
      </c>
      <c r="L2651">
        <f>Table1[[#This Row],[Quantity]] * Table1[[#This Row],[UnitPrice]]</f>
        <v>1798</v>
      </c>
      <c r="M2651" s="25">
        <v>0</v>
      </c>
      <c r="N2651">
        <f>Table1[[#This Row],[Revenue]]*Table1[[#This Row],[Discount%]]/100</f>
        <v>0</v>
      </c>
      <c r="O2651" s="6">
        <f>Table1[[#This Row],[Revenue]]-Table1[[#This Row],[Disc_amount]]</f>
        <v>1798</v>
      </c>
      <c r="P2651" t="s">
        <v>33</v>
      </c>
      <c r="Q2651" t="s">
        <v>34</v>
      </c>
    </row>
    <row r="2652" spans="1:17">
      <c r="A2652" t="s">
        <v>3505</v>
      </c>
      <c r="B2652" s="1" t="s">
        <v>2514</v>
      </c>
      <c r="C2652" s="1" t="s">
        <v>3431</v>
      </c>
      <c r="D2652" s="1" t="s">
        <v>20</v>
      </c>
      <c r="E2652" t="s">
        <v>357</v>
      </c>
      <c r="F2652" t="s">
        <v>358</v>
      </c>
      <c r="G2652" t="s">
        <v>31</v>
      </c>
      <c r="H2652" t="s">
        <v>57</v>
      </c>
      <c r="I2652" t="s">
        <v>62</v>
      </c>
      <c r="J2652">
        <v>1</v>
      </c>
      <c r="K2652">
        <v>799</v>
      </c>
      <c r="L2652">
        <f>Table1[[#This Row],[Quantity]] * Table1[[#This Row],[UnitPrice]]</f>
        <v>799</v>
      </c>
      <c r="M2652" s="25">
        <v>25</v>
      </c>
      <c r="N2652">
        <f>Table1[[#This Row],[Revenue]]*Table1[[#This Row],[Discount%]]/100</f>
        <v>199.75</v>
      </c>
      <c r="O2652" s="6">
        <f>Table1[[#This Row],[Revenue]]-Table1[[#This Row],[Disc_amount]]</f>
        <v>599.25</v>
      </c>
      <c r="P2652" t="s">
        <v>26</v>
      </c>
      <c r="Q2652" t="s">
        <v>27</v>
      </c>
    </row>
    <row r="2653" spans="1:17">
      <c r="A2653" t="s">
        <v>3506</v>
      </c>
      <c r="B2653" s="1" t="s">
        <v>2514</v>
      </c>
      <c r="C2653" s="1" t="s">
        <v>3431</v>
      </c>
      <c r="D2653" s="1" t="s">
        <v>20</v>
      </c>
      <c r="E2653" t="s">
        <v>286</v>
      </c>
      <c r="F2653" t="s">
        <v>287</v>
      </c>
      <c r="G2653" t="s">
        <v>23</v>
      </c>
      <c r="H2653" t="s">
        <v>39</v>
      </c>
      <c r="I2653" t="s">
        <v>51</v>
      </c>
      <c r="J2653">
        <v>1</v>
      </c>
      <c r="K2653">
        <v>2999</v>
      </c>
      <c r="L2653">
        <f>Table1[[#This Row],[Quantity]] * Table1[[#This Row],[UnitPrice]]</f>
        <v>2999</v>
      </c>
      <c r="M2653" s="25">
        <v>20</v>
      </c>
      <c r="N2653">
        <f>Table1[[#This Row],[Revenue]]*Table1[[#This Row],[Discount%]]/100</f>
        <v>599.79999999999995</v>
      </c>
      <c r="O2653" s="6">
        <f>Table1[[#This Row],[Revenue]]-Table1[[#This Row],[Disc_amount]]</f>
        <v>2399.1999999999998</v>
      </c>
      <c r="P2653" t="s">
        <v>26</v>
      </c>
      <c r="Q2653" t="s">
        <v>27</v>
      </c>
    </row>
    <row r="2654" spans="1:17">
      <c r="A2654" t="s">
        <v>3507</v>
      </c>
      <c r="B2654" s="1" t="s">
        <v>2514</v>
      </c>
      <c r="C2654" s="1" t="s">
        <v>3431</v>
      </c>
      <c r="D2654" s="1" t="s">
        <v>20</v>
      </c>
      <c r="E2654" t="s">
        <v>691</v>
      </c>
      <c r="F2654" t="s">
        <v>338</v>
      </c>
      <c r="G2654" t="s">
        <v>38</v>
      </c>
      <c r="H2654" t="s">
        <v>39</v>
      </c>
      <c r="I2654" t="s">
        <v>51</v>
      </c>
      <c r="J2654">
        <v>2</v>
      </c>
      <c r="K2654">
        <v>2999</v>
      </c>
      <c r="L2654">
        <f>Table1[[#This Row],[Quantity]] * Table1[[#This Row],[UnitPrice]]</f>
        <v>5998</v>
      </c>
      <c r="M2654" s="25">
        <v>0</v>
      </c>
      <c r="N2654">
        <f>Table1[[#This Row],[Revenue]]*Table1[[#This Row],[Discount%]]/100</f>
        <v>0</v>
      </c>
      <c r="O2654" s="6">
        <f>Table1[[#This Row],[Revenue]]-Table1[[#This Row],[Disc_amount]]</f>
        <v>5998</v>
      </c>
      <c r="P2654" t="s">
        <v>41</v>
      </c>
      <c r="Q2654" t="s">
        <v>34</v>
      </c>
    </row>
    <row r="2655" spans="1:17">
      <c r="A2655" t="s">
        <v>3508</v>
      </c>
      <c r="B2655" s="1" t="s">
        <v>2514</v>
      </c>
      <c r="C2655" s="1" t="s">
        <v>3431</v>
      </c>
      <c r="D2655" s="1" t="s">
        <v>20</v>
      </c>
      <c r="E2655" t="s">
        <v>1658</v>
      </c>
      <c r="F2655" t="s">
        <v>61</v>
      </c>
      <c r="G2655" t="s">
        <v>38</v>
      </c>
      <c r="H2655" t="s">
        <v>65</v>
      </c>
      <c r="I2655" t="s">
        <v>94</v>
      </c>
      <c r="J2655">
        <v>1</v>
      </c>
      <c r="K2655">
        <v>899</v>
      </c>
      <c r="L2655">
        <f>Table1[[#This Row],[Quantity]] * Table1[[#This Row],[UnitPrice]]</f>
        <v>899</v>
      </c>
      <c r="M2655" s="25">
        <v>0</v>
      </c>
      <c r="N2655">
        <f>Table1[[#This Row],[Revenue]]*Table1[[#This Row],[Discount%]]/100</f>
        <v>0</v>
      </c>
      <c r="O2655" s="6">
        <f>Table1[[#This Row],[Revenue]]-Table1[[#This Row],[Disc_amount]]</f>
        <v>899</v>
      </c>
      <c r="P2655" t="s">
        <v>33</v>
      </c>
      <c r="Q2655" t="s">
        <v>27</v>
      </c>
    </row>
    <row r="2656" spans="1:17">
      <c r="A2656" t="s">
        <v>3509</v>
      </c>
      <c r="B2656" s="1" t="s">
        <v>2514</v>
      </c>
      <c r="C2656" s="1" t="s">
        <v>3431</v>
      </c>
      <c r="D2656" s="1" t="s">
        <v>20</v>
      </c>
      <c r="E2656" t="s">
        <v>1147</v>
      </c>
      <c r="F2656" t="s">
        <v>788</v>
      </c>
      <c r="G2656" t="s">
        <v>45</v>
      </c>
      <c r="H2656" t="s">
        <v>70</v>
      </c>
      <c r="I2656" t="s">
        <v>71</v>
      </c>
      <c r="J2656">
        <v>2</v>
      </c>
      <c r="K2656">
        <v>349</v>
      </c>
      <c r="L2656">
        <f>Table1[[#This Row],[Quantity]] * Table1[[#This Row],[UnitPrice]]</f>
        <v>698</v>
      </c>
      <c r="M2656" s="25">
        <v>0</v>
      </c>
      <c r="N2656">
        <f>Table1[[#This Row],[Revenue]]*Table1[[#This Row],[Discount%]]/100</f>
        <v>0</v>
      </c>
      <c r="O2656" s="6">
        <f>Table1[[#This Row],[Revenue]]-Table1[[#This Row],[Disc_amount]]</f>
        <v>698</v>
      </c>
      <c r="P2656" t="s">
        <v>52</v>
      </c>
      <c r="Q2656" t="s">
        <v>34</v>
      </c>
    </row>
    <row r="2657" spans="1:17">
      <c r="A2657" t="s">
        <v>3510</v>
      </c>
      <c r="B2657" s="1" t="s">
        <v>2514</v>
      </c>
      <c r="C2657" s="1" t="s">
        <v>3431</v>
      </c>
      <c r="D2657" s="1" t="s">
        <v>20</v>
      </c>
      <c r="E2657" t="s">
        <v>231</v>
      </c>
      <c r="F2657" t="s">
        <v>173</v>
      </c>
      <c r="G2657" t="s">
        <v>38</v>
      </c>
      <c r="H2657" t="s">
        <v>65</v>
      </c>
      <c r="I2657" t="s">
        <v>94</v>
      </c>
      <c r="J2657">
        <v>1</v>
      </c>
      <c r="K2657">
        <v>899</v>
      </c>
      <c r="L2657">
        <f>Table1[[#This Row],[Quantity]] * Table1[[#This Row],[UnitPrice]]</f>
        <v>899</v>
      </c>
      <c r="M2657" s="25">
        <v>30</v>
      </c>
      <c r="N2657">
        <f>Table1[[#This Row],[Revenue]]*Table1[[#This Row],[Discount%]]/100</f>
        <v>269.7</v>
      </c>
      <c r="O2657" s="6">
        <f>Table1[[#This Row],[Revenue]]-Table1[[#This Row],[Disc_amount]]</f>
        <v>629.29999999999995</v>
      </c>
      <c r="P2657" t="s">
        <v>52</v>
      </c>
      <c r="Q2657" t="s">
        <v>27</v>
      </c>
    </row>
    <row r="2658" spans="1:17">
      <c r="A2658" t="s">
        <v>3511</v>
      </c>
      <c r="B2658" s="1" t="s">
        <v>2514</v>
      </c>
      <c r="C2658" s="1" t="s">
        <v>3431</v>
      </c>
      <c r="D2658" s="1" t="s">
        <v>20</v>
      </c>
      <c r="E2658" t="s">
        <v>231</v>
      </c>
      <c r="F2658" t="s">
        <v>173</v>
      </c>
      <c r="G2658" t="s">
        <v>56</v>
      </c>
      <c r="H2658" t="s">
        <v>65</v>
      </c>
      <c r="I2658" t="s">
        <v>98</v>
      </c>
      <c r="J2658">
        <v>1</v>
      </c>
      <c r="K2658">
        <v>499</v>
      </c>
      <c r="L2658">
        <f>Table1[[#This Row],[Quantity]] * Table1[[#This Row],[UnitPrice]]</f>
        <v>499</v>
      </c>
      <c r="M2658" s="25">
        <v>30</v>
      </c>
      <c r="N2658">
        <f>Table1[[#This Row],[Revenue]]*Table1[[#This Row],[Discount%]]/100</f>
        <v>149.69999999999999</v>
      </c>
      <c r="O2658" s="6">
        <f>Table1[[#This Row],[Revenue]]-Table1[[#This Row],[Disc_amount]]</f>
        <v>349.3</v>
      </c>
      <c r="P2658" t="s">
        <v>41</v>
      </c>
      <c r="Q2658" t="s">
        <v>34</v>
      </c>
    </row>
    <row r="2659" spans="1:17">
      <c r="A2659" t="s">
        <v>3512</v>
      </c>
      <c r="B2659" s="1" t="s">
        <v>2523</v>
      </c>
      <c r="C2659" s="1" t="s">
        <v>3431</v>
      </c>
      <c r="D2659" s="1" t="s">
        <v>20</v>
      </c>
      <c r="E2659" t="s">
        <v>289</v>
      </c>
      <c r="F2659" t="s">
        <v>290</v>
      </c>
      <c r="G2659" t="s">
        <v>45</v>
      </c>
      <c r="H2659" t="s">
        <v>46</v>
      </c>
      <c r="I2659" t="s">
        <v>154</v>
      </c>
      <c r="J2659">
        <v>2</v>
      </c>
      <c r="K2659">
        <v>299</v>
      </c>
      <c r="L2659">
        <f>Table1[[#This Row],[Quantity]] * Table1[[#This Row],[UnitPrice]]</f>
        <v>598</v>
      </c>
      <c r="M2659" s="25">
        <v>20</v>
      </c>
      <c r="N2659">
        <f>Table1[[#This Row],[Revenue]]*Table1[[#This Row],[Discount%]]/100</f>
        <v>119.6</v>
      </c>
      <c r="O2659" s="6">
        <f>Table1[[#This Row],[Revenue]]-Table1[[#This Row],[Disc_amount]]</f>
        <v>478.4</v>
      </c>
      <c r="P2659" t="s">
        <v>41</v>
      </c>
      <c r="Q2659" t="s">
        <v>34</v>
      </c>
    </row>
    <row r="2660" spans="1:17">
      <c r="A2660" t="s">
        <v>3513</v>
      </c>
      <c r="B2660" s="1" t="s">
        <v>2523</v>
      </c>
      <c r="C2660" s="1" t="s">
        <v>3431</v>
      </c>
      <c r="D2660" s="1" t="s">
        <v>20</v>
      </c>
      <c r="E2660" t="s">
        <v>1592</v>
      </c>
      <c r="F2660" t="s">
        <v>876</v>
      </c>
      <c r="G2660" t="s">
        <v>38</v>
      </c>
      <c r="H2660" t="s">
        <v>65</v>
      </c>
      <c r="I2660" t="s">
        <v>94</v>
      </c>
      <c r="J2660">
        <v>1</v>
      </c>
      <c r="K2660">
        <v>899</v>
      </c>
      <c r="L2660">
        <f>Table1[[#This Row],[Quantity]] * Table1[[#This Row],[UnitPrice]]</f>
        <v>899</v>
      </c>
      <c r="M2660" s="25">
        <v>30</v>
      </c>
      <c r="N2660">
        <f>Table1[[#This Row],[Revenue]]*Table1[[#This Row],[Discount%]]/100</f>
        <v>269.7</v>
      </c>
      <c r="O2660" s="6">
        <f>Table1[[#This Row],[Revenue]]-Table1[[#This Row],[Disc_amount]]</f>
        <v>629.29999999999995</v>
      </c>
      <c r="P2660" t="s">
        <v>41</v>
      </c>
      <c r="Q2660" t="s">
        <v>27</v>
      </c>
    </row>
    <row r="2661" spans="1:17">
      <c r="A2661" t="s">
        <v>3514</v>
      </c>
      <c r="B2661" s="1" t="s">
        <v>2523</v>
      </c>
      <c r="C2661" s="1" t="s">
        <v>3431</v>
      </c>
      <c r="D2661" s="1" t="s">
        <v>20</v>
      </c>
      <c r="E2661" t="s">
        <v>1298</v>
      </c>
      <c r="F2661" t="s">
        <v>384</v>
      </c>
      <c r="G2661" t="s">
        <v>38</v>
      </c>
      <c r="H2661" t="s">
        <v>108</v>
      </c>
      <c r="I2661" t="s">
        <v>109</v>
      </c>
      <c r="J2661">
        <v>1</v>
      </c>
      <c r="K2661">
        <v>1499</v>
      </c>
      <c r="L2661">
        <f>Table1[[#This Row],[Quantity]] * Table1[[#This Row],[UnitPrice]]</f>
        <v>1499</v>
      </c>
      <c r="M2661" s="25">
        <v>30</v>
      </c>
      <c r="N2661">
        <f>Table1[[#This Row],[Revenue]]*Table1[[#This Row],[Discount%]]/100</f>
        <v>449.7</v>
      </c>
      <c r="O2661" s="6">
        <f>Table1[[#This Row],[Revenue]]-Table1[[#This Row],[Disc_amount]]</f>
        <v>1049.3</v>
      </c>
      <c r="P2661" t="s">
        <v>26</v>
      </c>
      <c r="Q2661" t="s">
        <v>27</v>
      </c>
    </row>
    <row r="2662" spans="1:17">
      <c r="A2662" t="s">
        <v>3515</v>
      </c>
      <c r="B2662" s="1" t="s">
        <v>2523</v>
      </c>
      <c r="C2662" s="1" t="s">
        <v>3431</v>
      </c>
      <c r="D2662" s="1" t="s">
        <v>20</v>
      </c>
      <c r="E2662" t="s">
        <v>988</v>
      </c>
      <c r="F2662" t="s">
        <v>989</v>
      </c>
      <c r="G2662" t="s">
        <v>31</v>
      </c>
      <c r="H2662" t="s">
        <v>70</v>
      </c>
      <c r="I2662" t="s">
        <v>91</v>
      </c>
      <c r="J2662">
        <v>1</v>
      </c>
      <c r="K2662">
        <v>549</v>
      </c>
      <c r="L2662">
        <f>Table1[[#This Row],[Quantity]] * Table1[[#This Row],[UnitPrice]]</f>
        <v>549</v>
      </c>
      <c r="M2662" s="25">
        <v>0</v>
      </c>
      <c r="N2662">
        <f>Table1[[#This Row],[Revenue]]*Table1[[#This Row],[Discount%]]/100</f>
        <v>0</v>
      </c>
      <c r="O2662" s="6">
        <f>Table1[[#This Row],[Revenue]]-Table1[[#This Row],[Disc_amount]]</f>
        <v>549</v>
      </c>
      <c r="P2662" t="s">
        <v>33</v>
      </c>
      <c r="Q2662" t="s">
        <v>27</v>
      </c>
    </row>
    <row r="2663" spans="1:17">
      <c r="A2663" t="s">
        <v>3516</v>
      </c>
      <c r="B2663" s="1" t="s">
        <v>2523</v>
      </c>
      <c r="C2663" s="1" t="s">
        <v>3431</v>
      </c>
      <c r="D2663" s="1" t="s">
        <v>20</v>
      </c>
      <c r="E2663" t="s">
        <v>1279</v>
      </c>
      <c r="F2663" t="s">
        <v>355</v>
      </c>
      <c r="G2663" t="s">
        <v>45</v>
      </c>
      <c r="H2663" t="s">
        <v>65</v>
      </c>
      <c r="I2663" t="s">
        <v>98</v>
      </c>
      <c r="J2663">
        <v>3</v>
      </c>
      <c r="K2663">
        <v>499</v>
      </c>
      <c r="L2663">
        <f>Table1[[#This Row],[Quantity]] * Table1[[#This Row],[UnitPrice]]</f>
        <v>1497</v>
      </c>
      <c r="M2663" s="25">
        <v>15</v>
      </c>
      <c r="N2663">
        <f>Table1[[#This Row],[Revenue]]*Table1[[#This Row],[Discount%]]/100</f>
        <v>224.55</v>
      </c>
      <c r="O2663" s="6">
        <f>Table1[[#This Row],[Revenue]]-Table1[[#This Row],[Disc_amount]]</f>
        <v>1272.45</v>
      </c>
      <c r="P2663" t="s">
        <v>41</v>
      </c>
      <c r="Q2663" t="s">
        <v>27</v>
      </c>
    </row>
    <row r="2664" spans="1:17">
      <c r="A2664" t="s">
        <v>3517</v>
      </c>
      <c r="B2664" s="1" t="s">
        <v>2523</v>
      </c>
      <c r="C2664" s="1" t="s">
        <v>3431</v>
      </c>
      <c r="D2664" s="1" t="s">
        <v>20</v>
      </c>
      <c r="E2664" t="s">
        <v>970</v>
      </c>
      <c r="F2664" t="s">
        <v>971</v>
      </c>
      <c r="G2664" t="s">
        <v>38</v>
      </c>
      <c r="H2664" t="s">
        <v>24</v>
      </c>
      <c r="I2664" t="s">
        <v>32</v>
      </c>
      <c r="J2664">
        <v>4</v>
      </c>
      <c r="K2664">
        <v>199</v>
      </c>
      <c r="L2664">
        <f>Table1[[#This Row],[Quantity]] * Table1[[#This Row],[UnitPrice]]</f>
        <v>796</v>
      </c>
      <c r="M2664" s="25">
        <v>10</v>
      </c>
      <c r="N2664">
        <f>Table1[[#This Row],[Revenue]]*Table1[[#This Row],[Discount%]]/100</f>
        <v>79.599999999999994</v>
      </c>
      <c r="O2664" s="6">
        <f>Table1[[#This Row],[Revenue]]-Table1[[#This Row],[Disc_amount]]</f>
        <v>716.4</v>
      </c>
      <c r="P2664" t="s">
        <v>33</v>
      </c>
      <c r="Q2664" t="s">
        <v>27</v>
      </c>
    </row>
    <row r="2665" spans="1:17">
      <c r="A2665" t="s">
        <v>3518</v>
      </c>
      <c r="B2665" s="1" t="s">
        <v>2523</v>
      </c>
      <c r="C2665" s="1" t="s">
        <v>3431</v>
      </c>
      <c r="D2665" s="1" t="s">
        <v>20</v>
      </c>
      <c r="E2665" t="s">
        <v>146</v>
      </c>
      <c r="F2665" t="s">
        <v>147</v>
      </c>
      <c r="G2665" t="s">
        <v>31</v>
      </c>
      <c r="H2665" t="s">
        <v>108</v>
      </c>
      <c r="I2665" t="s">
        <v>109</v>
      </c>
      <c r="J2665">
        <v>2</v>
      </c>
      <c r="K2665">
        <v>1499</v>
      </c>
      <c r="L2665">
        <f>Table1[[#This Row],[Quantity]] * Table1[[#This Row],[UnitPrice]]</f>
        <v>2998</v>
      </c>
      <c r="M2665" s="25">
        <v>10</v>
      </c>
      <c r="N2665">
        <f>Table1[[#This Row],[Revenue]]*Table1[[#This Row],[Discount%]]/100</f>
        <v>299.8</v>
      </c>
      <c r="O2665" s="6">
        <f>Table1[[#This Row],[Revenue]]-Table1[[#This Row],[Disc_amount]]</f>
        <v>2698.2</v>
      </c>
      <c r="P2665" t="s">
        <v>26</v>
      </c>
      <c r="Q2665" t="s">
        <v>27</v>
      </c>
    </row>
    <row r="2666" spans="1:17">
      <c r="A2666" t="s">
        <v>3519</v>
      </c>
      <c r="B2666" s="1" t="s">
        <v>2523</v>
      </c>
      <c r="C2666" s="1" t="s">
        <v>3431</v>
      </c>
      <c r="D2666" s="1" t="s">
        <v>20</v>
      </c>
      <c r="E2666" t="s">
        <v>437</v>
      </c>
      <c r="F2666" t="s">
        <v>438</v>
      </c>
      <c r="G2666" t="s">
        <v>31</v>
      </c>
      <c r="H2666" t="s">
        <v>108</v>
      </c>
      <c r="I2666" t="s">
        <v>130</v>
      </c>
      <c r="J2666">
        <v>1</v>
      </c>
      <c r="K2666">
        <v>699</v>
      </c>
      <c r="L2666">
        <f>Table1[[#This Row],[Quantity]] * Table1[[#This Row],[UnitPrice]]</f>
        <v>699</v>
      </c>
      <c r="M2666" s="25">
        <v>20</v>
      </c>
      <c r="N2666">
        <f>Table1[[#This Row],[Revenue]]*Table1[[#This Row],[Discount%]]/100</f>
        <v>139.80000000000001</v>
      </c>
      <c r="O2666" s="6">
        <f>Table1[[#This Row],[Revenue]]-Table1[[#This Row],[Disc_amount]]</f>
        <v>559.20000000000005</v>
      </c>
      <c r="P2666" t="s">
        <v>33</v>
      </c>
      <c r="Q2666" t="s">
        <v>34</v>
      </c>
    </row>
    <row r="2667" spans="1:17">
      <c r="A2667" t="s">
        <v>3520</v>
      </c>
      <c r="B2667" s="1" t="s">
        <v>2523</v>
      </c>
      <c r="C2667" s="1" t="s">
        <v>3431</v>
      </c>
      <c r="D2667" s="1" t="s">
        <v>20</v>
      </c>
      <c r="E2667" t="s">
        <v>1344</v>
      </c>
      <c r="F2667" t="s">
        <v>694</v>
      </c>
      <c r="G2667" t="s">
        <v>45</v>
      </c>
      <c r="H2667" t="s">
        <v>65</v>
      </c>
      <c r="I2667" t="s">
        <v>94</v>
      </c>
      <c r="J2667">
        <v>3</v>
      </c>
      <c r="K2667">
        <v>899</v>
      </c>
      <c r="L2667">
        <f>Table1[[#This Row],[Quantity]] * Table1[[#This Row],[UnitPrice]]</f>
        <v>2697</v>
      </c>
      <c r="M2667" s="25">
        <v>25</v>
      </c>
      <c r="N2667">
        <f>Table1[[#This Row],[Revenue]]*Table1[[#This Row],[Discount%]]/100</f>
        <v>674.25</v>
      </c>
      <c r="O2667" s="6">
        <f>Table1[[#This Row],[Revenue]]-Table1[[#This Row],[Disc_amount]]</f>
        <v>2022.75</v>
      </c>
      <c r="P2667" t="s">
        <v>41</v>
      </c>
      <c r="Q2667" t="s">
        <v>27</v>
      </c>
    </row>
    <row r="2668" spans="1:17">
      <c r="A2668" t="s">
        <v>3521</v>
      </c>
      <c r="B2668" s="1" t="s">
        <v>2523</v>
      </c>
      <c r="C2668" s="1" t="s">
        <v>3431</v>
      </c>
      <c r="D2668" s="1" t="s">
        <v>20</v>
      </c>
      <c r="E2668" t="s">
        <v>1015</v>
      </c>
      <c r="F2668" t="s">
        <v>123</v>
      </c>
      <c r="G2668" t="s">
        <v>31</v>
      </c>
      <c r="H2668" t="s">
        <v>65</v>
      </c>
      <c r="I2668" t="s">
        <v>94</v>
      </c>
      <c r="J2668">
        <v>3</v>
      </c>
      <c r="K2668">
        <v>899</v>
      </c>
      <c r="L2668">
        <f>Table1[[#This Row],[Quantity]] * Table1[[#This Row],[UnitPrice]]</f>
        <v>2697</v>
      </c>
      <c r="M2668" s="25">
        <v>15</v>
      </c>
      <c r="N2668">
        <f>Table1[[#This Row],[Revenue]]*Table1[[#This Row],[Discount%]]/100</f>
        <v>404.55</v>
      </c>
      <c r="O2668" s="6">
        <f>Table1[[#This Row],[Revenue]]-Table1[[#This Row],[Disc_amount]]</f>
        <v>2292.4499999999998</v>
      </c>
      <c r="P2668" t="s">
        <v>26</v>
      </c>
      <c r="Q2668" t="s">
        <v>27</v>
      </c>
    </row>
    <row r="2669" spans="1:17">
      <c r="A2669" t="s">
        <v>3522</v>
      </c>
      <c r="B2669" s="1" t="s">
        <v>2523</v>
      </c>
      <c r="C2669" s="1" t="s">
        <v>3431</v>
      </c>
      <c r="D2669" s="1" t="s">
        <v>20</v>
      </c>
      <c r="E2669" t="s">
        <v>1038</v>
      </c>
      <c r="F2669" t="s">
        <v>245</v>
      </c>
      <c r="G2669" t="s">
        <v>56</v>
      </c>
      <c r="H2669" t="s">
        <v>65</v>
      </c>
      <c r="I2669" t="s">
        <v>98</v>
      </c>
      <c r="J2669">
        <v>1</v>
      </c>
      <c r="K2669">
        <v>499</v>
      </c>
      <c r="L2669">
        <f>Table1[[#This Row],[Quantity]] * Table1[[#This Row],[UnitPrice]]</f>
        <v>499</v>
      </c>
      <c r="M2669" s="25">
        <v>5</v>
      </c>
      <c r="N2669">
        <f>Table1[[#This Row],[Revenue]]*Table1[[#This Row],[Discount%]]/100</f>
        <v>24.95</v>
      </c>
      <c r="O2669" s="6">
        <f>Table1[[#This Row],[Revenue]]-Table1[[#This Row],[Disc_amount]]</f>
        <v>474.05</v>
      </c>
      <c r="P2669" t="s">
        <v>52</v>
      </c>
      <c r="Q2669" t="s">
        <v>34</v>
      </c>
    </row>
    <row r="2670" spans="1:17">
      <c r="A2670" t="s">
        <v>3523</v>
      </c>
      <c r="B2670" s="1" t="s">
        <v>2523</v>
      </c>
      <c r="C2670" s="1" t="s">
        <v>3431</v>
      </c>
      <c r="D2670" s="1" t="s">
        <v>20</v>
      </c>
      <c r="E2670" t="s">
        <v>1279</v>
      </c>
      <c r="F2670" t="s">
        <v>355</v>
      </c>
      <c r="G2670" t="s">
        <v>38</v>
      </c>
      <c r="H2670" t="s">
        <v>65</v>
      </c>
      <c r="I2670" t="s">
        <v>66</v>
      </c>
      <c r="J2670">
        <v>1</v>
      </c>
      <c r="K2670">
        <v>1999</v>
      </c>
      <c r="L2670">
        <f>Table1[[#This Row],[Quantity]] * Table1[[#This Row],[UnitPrice]]</f>
        <v>1999</v>
      </c>
      <c r="M2670" s="25">
        <v>15</v>
      </c>
      <c r="N2670">
        <f>Table1[[#This Row],[Revenue]]*Table1[[#This Row],[Discount%]]/100</f>
        <v>299.85000000000002</v>
      </c>
      <c r="O2670" s="6">
        <f>Table1[[#This Row],[Revenue]]-Table1[[#This Row],[Disc_amount]]</f>
        <v>1699.15</v>
      </c>
      <c r="P2670" t="s">
        <v>86</v>
      </c>
      <c r="Q2670" t="s">
        <v>27</v>
      </c>
    </row>
    <row r="2671" spans="1:17">
      <c r="A2671" t="s">
        <v>3524</v>
      </c>
      <c r="B2671" s="1" t="s">
        <v>2523</v>
      </c>
      <c r="C2671" s="1" t="s">
        <v>3431</v>
      </c>
      <c r="D2671" s="1" t="s">
        <v>20</v>
      </c>
      <c r="E2671" t="s">
        <v>1861</v>
      </c>
      <c r="F2671" t="s">
        <v>1862</v>
      </c>
      <c r="G2671" t="s">
        <v>56</v>
      </c>
      <c r="H2671" t="s">
        <v>108</v>
      </c>
      <c r="I2671" t="s">
        <v>109</v>
      </c>
      <c r="J2671">
        <v>2</v>
      </c>
      <c r="K2671">
        <v>1499</v>
      </c>
      <c r="L2671">
        <f>Table1[[#This Row],[Quantity]] * Table1[[#This Row],[UnitPrice]]</f>
        <v>2998</v>
      </c>
      <c r="M2671" s="25">
        <v>0</v>
      </c>
      <c r="N2671">
        <f>Table1[[#This Row],[Revenue]]*Table1[[#This Row],[Discount%]]/100</f>
        <v>0</v>
      </c>
      <c r="O2671" s="6">
        <f>Table1[[#This Row],[Revenue]]-Table1[[#This Row],[Disc_amount]]</f>
        <v>2998</v>
      </c>
      <c r="P2671" t="s">
        <v>33</v>
      </c>
      <c r="Q2671" t="s">
        <v>34</v>
      </c>
    </row>
    <row r="2672" spans="1:17">
      <c r="A2672" t="s">
        <v>3525</v>
      </c>
      <c r="B2672" s="1" t="s">
        <v>2523</v>
      </c>
      <c r="C2672" s="1" t="s">
        <v>3431</v>
      </c>
      <c r="D2672" s="1" t="s">
        <v>20</v>
      </c>
      <c r="E2672" t="s">
        <v>405</v>
      </c>
      <c r="F2672" t="s">
        <v>248</v>
      </c>
      <c r="G2672" t="s">
        <v>56</v>
      </c>
      <c r="H2672" t="s">
        <v>46</v>
      </c>
      <c r="I2672" t="s">
        <v>154</v>
      </c>
      <c r="J2672">
        <v>5</v>
      </c>
      <c r="K2672">
        <v>299</v>
      </c>
      <c r="L2672">
        <f>Table1[[#This Row],[Quantity]] * Table1[[#This Row],[UnitPrice]]</f>
        <v>1495</v>
      </c>
      <c r="M2672" s="25">
        <v>10</v>
      </c>
      <c r="N2672">
        <f>Table1[[#This Row],[Revenue]]*Table1[[#This Row],[Discount%]]/100</f>
        <v>149.5</v>
      </c>
      <c r="O2672" s="6">
        <f>Table1[[#This Row],[Revenue]]-Table1[[#This Row],[Disc_amount]]</f>
        <v>1345.5</v>
      </c>
      <c r="P2672" t="s">
        <v>26</v>
      </c>
      <c r="Q2672" t="s">
        <v>27</v>
      </c>
    </row>
    <row r="2673" spans="1:17">
      <c r="A2673" t="s">
        <v>3526</v>
      </c>
      <c r="B2673" s="1" t="s">
        <v>2523</v>
      </c>
      <c r="C2673" s="1" t="s">
        <v>3431</v>
      </c>
      <c r="D2673" s="1" t="s">
        <v>20</v>
      </c>
      <c r="E2673" t="s">
        <v>780</v>
      </c>
      <c r="F2673" t="s">
        <v>504</v>
      </c>
      <c r="G2673" t="s">
        <v>56</v>
      </c>
      <c r="H2673" t="s">
        <v>24</v>
      </c>
      <c r="I2673" t="s">
        <v>32</v>
      </c>
      <c r="J2673">
        <v>1</v>
      </c>
      <c r="K2673">
        <v>199</v>
      </c>
      <c r="L2673">
        <f>Table1[[#This Row],[Quantity]] * Table1[[#This Row],[UnitPrice]]</f>
        <v>199</v>
      </c>
      <c r="M2673" s="25">
        <v>5</v>
      </c>
      <c r="N2673">
        <f>Table1[[#This Row],[Revenue]]*Table1[[#This Row],[Discount%]]/100</f>
        <v>9.9499999999999993</v>
      </c>
      <c r="O2673" s="6">
        <f>Table1[[#This Row],[Revenue]]-Table1[[#This Row],[Disc_amount]]</f>
        <v>189.05</v>
      </c>
      <c r="P2673" t="s">
        <v>26</v>
      </c>
      <c r="Q2673" t="s">
        <v>27</v>
      </c>
    </row>
    <row r="2674" spans="1:17">
      <c r="A2674" t="s">
        <v>3527</v>
      </c>
      <c r="B2674" s="1" t="s">
        <v>2523</v>
      </c>
      <c r="C2674" s="1" t="s">
        <v>3431</v>
      </c>
      <c r="D2674" s="1" t="s">
        <v>20</v>
      </c>
      <c r="E2674" t="s">
        <v>373</v>
      </c>
      <c r="F2674" t="s">
        <v>183</v>
      </c>
      <c r="G2674" t="s">
        <v>31</v>
      </c>
      <c r="H2674" t="s">
        <v>24</v>
      </c>
      <c r="I2674" t="s">
        <v>32</v>
      </c>
      <c r="J2674">
        <v>5</v>
      </c>
      <c r="K2674">
        <v>199</v>
      </c>
      <c r="L2674">
        <f>Table1[[#This Row],[Quantity]] * Table1[[#This Row],[UnitPrice]]</f>
        <v>995</v>
      </c>
      <c r="M2674" s="25">
        <v>15</v>
      </c>
      <c r="N2674">
        <f>Table1[[#This Row],[Revenue]]*Table1[[#This Row],[Discount%]]/100</f>
        <v>149.25</v>
      </c>
      <c r="O2674" s="6">
        <f>Table1[[#This Row],[Revenue]]-Table1[[#This Row],[Disc_amount]]</f>
        <v>845.75</v>
      </c>
      <c r="P2674" t="s">
        <v>86</v>
      </c>
      <c r="Q2674" t="s">
        <v>27</v>
      </c>
    </row>
    <row r="2675" spans="1:17">
      <c r="A2675" t="s">
        <v>3528</v>
      </c>
      <c r="B2675" s="1" t="s">
        <v>2536</v>
      </c>
      <c r="C2675" s="1" t="s">
        <v>3431</v>
      </c>
      <c r="D2675" s="1" t="s">
        <v>20</v>
      </c>
      <c r="E2675" t="s">
        <v>1049</v>
      </c>
      <c r="F2675" t="s">
        <v>415</v>
      </c>
      <c r="G2675" t="s">
        <v>45</v>
      </c>
      <c r="H2675" t="s">
        <v>65</v>
      </c>
      <c r="I2675" t="s">
        <v>94</v>
      </c>
      <c r="J2675">
        <v>4</v>
      </c>
      <c r="K2675">
        <v>899</v>
      </c>
      <c r="L2675">
        <f>Table1[[#This Row],[Quantity]] * Table1[[#This Row],[UnitPrice]]</f>
        <v>3596</v>
      </c>
      <c r="M2675" s="25">
        <v>30</v>
      </c>
      <c r="N2675">
        <f>Table1[[#This Row],[Revenue]]*Table1[[#This Row],[Discount%]]/100</f>
        <v>1078.8</v>
      </c>
      <c r="O2675" s="6">
        <f>Table1[[#This Row],[Revenue]]-Table1[[#This Row],[Disc_amount]]</f>
        <v>2517.1999999999998</v>
      </c>
      <c r="P2675" t="s">
        <v>41</v>
      </c>
      <c r="Q2675" t="s">
        <v>27</v>
      </c>
    </row>
    <row r="2676" spans="1:17">
      <c r="A2676" t="s">
        <v>3529</v>
      </c>
      <c r="B2676" s="1" t="s">
        <v>2536</v>
      </c>
      <c r="C2676" s="1" t="s">
        <v>3431</v>
      </c>
      <c r="D2676" s="1" t="s">
        <v>20</v>
      </c>
      <c r="E2676" t="s">
        <v>1772</v>
      </c>
      <c r="F2676" t="s">
        <v>1292</v>
      </c>
      <c r="G2676" t="s">
        <v>31</v>
      </c>
      <c r="H2676" t="s">
        <v>39</v>
      </c>
      <c r="I2676" t="s">
        <v>40</v>
      </c>
      <c r="J2676">
        <v>1</v>
      </c>
      <c r="K2676">
        <v>599</v>
      </c>
      <c r="L2676">
        <f>Table1[[#This Row],[Quantity]] * Table1[[#This Row],[UnitPrice]]</f>
        <v>599</v>
      </c>
      <c r="M2676" s="25">
        <v>20</v>
      </c>
      <c r="N2676">
        <f>Table1[[#This Row],[Revenue]]*Table1[[#This Row],[Discount%]]/100</f>
        <v>119.8</v>
      </c>
      <c r="O2676" s="6">
        <f>Table1[[#This Row],[Revenue]]-Table1[[#This Row],[Disc_amount]]</f>
        <v>479.2</v>
      </c>
      <c r="P2676" t="s">
        <v>52</v>
      </c>
      <c r="Q2676" t="s">
        <v>34</v>
      </c>
    </row>
    <row r="2677" spans="1:17">
      <c r="A2677" t="s">
        <v>3530</v>
      </c>
      <c r="B2677" s="1" t="s">
        <v>2536</v>
      </c>
      <c r="C2677" s="1" t="s">
        <v>3431</v>
      </c>
      <c r="D2677" s="1" t="s">
        <v>20</v>
      </c>
      <c r="E2677" t="s">
        <v>175</v>
      </c>
      <c r="F2677" t="s">
        <v>176</v>
      </c>
      <c r="G2677" t="s">
        <v>56</v>
      </c>
      <c r="H2677" t="s">
        <v>39</v>
      </c>
      <c r="I2677" t="s">
        <v>40</v>
      </c>
      <c r="J2677">
        <v>3</v>
      </c>
      <c r="K2677">
        <v>599</v>
      </c>
      <c r="L2677">
        <f>Table1[[#This Row],[Quantity]] * Table1[[#This Row],[UnitPrice]]</f>
        <v>1797</v>
      </c>
      <c r="M2677" s="25">
        <v>15</v>
      </c>
      <c r="N2677">
        <f>Table1[[#This Row],[Revenue]]*Table1[[#This Row],[Discount%]]/100</f>
        <v>269.55</v>
      </c>
      <c r="O2677" s="6">
        <f>Table1[[#This Row],[Revenue]]-Table1[[#This Row],[Disc_amount]]</f>
        <v>1527.45</v>
      </c>
      <c r="P2677" t="s">
        <v>41</v>
      </c>
      <c r="Q2677" t="s">
        <v>27</v>
      </c>
    </row>
    <row r="2678" spans="1:17">
      <c r="A2678" t="s">
        <v>3531</v>
      </c>
      <c r="B2678" s="1" t="s">
        <v>2536</v>
      </c>
      <c r="C2678" s="1" t="s">
        <v>3431</v>
      </c>
      <c r="D2678" s="1" t="s">
        <v>20</v>
      </c>
      <c r="E2678" t="s">
        <v>352</v>
      </c>
      <c r="F2678" t="s">
        <v>134</v>
      </c>
      <c r="G2678" t="s">
        <v>23</v>
      </c>
      <c r="H2678" t="s">
        <v>24</v>
      </c>
      <c r="I2678" t="s">
        <v>32</v>
      </c>
      <c r="J2678">
        <v>4</v>
      </c>
      <c r="K2678">
        <v>199</v>
      </c>
      <c r="L2678">
        <f>Table1[[#This Row],[Quantity]] * Table1[[#This Row],[UnitPrice]]</f>
        <v>796</v>
      </c>
      <c r="M2678" s="25">
        <v>30</v>
      </c>
      <c r="N2678">
        <f>Table1[[#This Row],[Revenue]]*Table1[[#This Row],[Discount%]]/100</f>
        <v>238.8</v>
      </c>
      <c r="O2678" s="6">
        <f>Table1[[#This Row],[Revenue]]-Table1[[#This Row],[Disc_amount]]</f>
        <v>557.20000000000005</v>
      </c>
      <c r="P2678" t="s">
        <v>33</v>
      </c>
      <c r="Q2678" t="s">
        <v>27</v>
      </c>
    </row>
    <row r="2679" spans="1:17">
      <c r="A2679" t="s">
        <v>3532</v>
      </c>
      <c r="B2679" s="1" t="s">
        <v>2536</v>
      </c>
      <c r="C2679" s="1" t="s">
        <v>3431</v>
      </c>
      <c r="D2679" s="1" t="s">
        <v>20</v>
      </c>
      <c r="E2679" t="s">
        <v>319</v>
      </c>
      <c r="F2679" t="s">
        <v>213</v>
      </c>
      <c r="G2679" t="s">
        <v>23</v>
      </c>
      <c r="H2679" t="s">
        <v>39</v>
      </c>
      <c r="I2679" t="s">
        <v>140</v>
      </c>
      <c r="J2679">
        <v>1</v>
      </c>
      <c r="K2679">
        <v>1799</v>
      </c>
      <c r="L2679">
        <f>Table1[[#This Row],[Quantity]] * Table1[[#This Row],[UnitPrice]]</f>
        <v>1799</v>
      </c>
      <c r="M2679" s="25">
        <v>15</v>
      </c>
      <c r="N2679">
        <f>Table1[[#This Row],[Revenue]]*Table1[[#This Row],[Discount%]]/100</f>
        <v>269.85000000000002</v>
      </c>
      <c r="O2679" s="6">
        <f>Table1[[#This Row],[Revenue]]-Table1[[#This Row],[Disc_amount]]</f>
        <v>1529.15</v>
      </c>
      <c r="P2679" t="s">
        <v>86</v>
      </c>
      <c r="Q2679" t="s">
        <v>27</v>
      </c>
    </row>
    <row r="2680" spans="1:17">
      <c r="A2680" t="s">
        <v>3533</v>
      </c>
      <c r="B2680" s="1" t="s">
        <v>2536</v>
      </c>
      <c r="C2680" s="1" t="s">
        <v>3431</v>
      </c>
      <c r="D2680" s="1" t="s">
        <v>20</v>
      </c>
      <c r="E2680" t="s">
        <v>954</v>
      </c>
      <c r="F2680" t="s">
        <v>569</v>
      </c>
      <c r="G2680" t="s">
        <v>31</v>
      </c>
      <c r="H2680" t="s">
        <v>24</v>
      </c>
      <c r="I2680" t="s">
        <v>25</v>
      </c>
      <c r="J2680">
        <v>1</v>
      </c>
      <c r="K2680">
        <v>99</v>
      </c>
      <c r="L2680">
        <f>Table1[[#This Row],[Quantity]] * Table1[[#This Row],[UnitPrice]]</f>
        <v>99</v>
      </c>
      <c r="M2680" s="25">
        <v>20</v>
      </c>
      <c r="N2680">
        <f>Table1[[#This Row],[Revenue]]*Table1[[#This Row],[Discount%]]/100</f>
        <v>19.8</v>
      </c>
      <c r="O2680" s="6">
        <f>Table1[[#This Row],[Revenue]]-Table1[[#This Row],[Disc_amount]]</f>
        <v>79.2</v>
      </c>
      <c r="P2680" t="s">
        <v>52</v>
      </c>
      <c r="Q2680" t="s">
        <v>27</v>
      </c>
    </row>
    <row r="2681" spans="1:17">
      <c r="A2681" t="s">
        <v>3534</v>
      </c>
      <c r="B2681" s="1" t="s">
        <v>2536</v>
      </c>
      <c r="C2681" s="1" t="s">
        <v>3431</v>
      </c>
      <c r="D2681" s="1" t="s">
        <v>20</v>
      </c>
      <c r="E2681" t="s">
        <v>1088</v>
      </c>
      <c r="F2681" t="s">
        <v>160</v>
      </c>
      <c r="G2681" t="s">
        <v>45</v>
      </c>
      <c r="H2681" t="s">
        <v>39</v>
      </c>
      <c r="I2681" t="s">
        <v>40</v>
      </c>
      <c r="J2681">
        <v>1</v>
      </c>
      <c r="K2681">
        <v>599</v>
      </c>
      <c r="L2681">
        <f>Table1[[#This Row],[Quantity]] * Table1[[#This Row],[UnitPrice]]</f>
        <v>599</v>
      </c>
      <c r="M2681" s="25">
        <v>25</v>
      </c>
      <c r="N2681">
        <f>Table1[[#This Row],[Revenue]]*Table1[[#This Row],[Discount%]]/100</f>
        <v>149.75</v>
      </c>
      <c r="O2681" s="6">
        <f>Table1[[#This Row],[Revenue]]-Table1[[#This Row],[Disc_amount]]</f>
        <v>449.25</v>
      </c>
      <c r="P2681" t="s">
        <v>33</v>
      </c>
      <c r="Q2681" t="s">
        <v>27</v>
      </c>
    </row>
    <row r="2682" spans="1:17">
      <c r="A2682" t="s">
        <v>3535</v>
      </c>
      <c r="B2682" s="1" t="s">
        <v>2536</v>
      </c>
      <c r="C2682" s="1" t="s">
        <v>3431</v>
      </c>
      <c r="D2682" s="1" t="s">
        <v>20</v>
      </c>
      <c r="E2682" t="s">
        <v>202</v>
      </c>
      <c r="F2682" t="s">
        <v>203</v>
      </c>
      <c r="G2682" t="s">
        <v>31</v>
      </c>
      <c r="H2682" t="s">
        <v>46</v>
      </c>
      <c r="I2682" t="s">
        <v>47</v>
      </c>
      <c r="J2682">
        <v>4</v>
      </c>
      <c r="K2682">
        <v>249</v>
      </c>
      <c r="L2682">
        <f>Table1[[#This Row],[Quantity]] * Table1[[#This Row],[UnitPrice]]</f>
        <v>996</v>
      </c>
      <c r="M2682" s="25">
        <v>5</v>
      </c>
      <c r="N2682">
        <f>Table1[[#This Row],[Revenue]]*Table1[[#This Row],[Discount%]]/100</f>
        <v>49.8</v>
      </c>
      <c r="O2682" s="6">
        <f>Table1[[#This Row],[Revenue]]-Table1[[#This Row],[Disc_amount]]</f>
        <v>946.2</v>
      </c>
      <c r="P2682" t="s">
        <v>52</v>
      </c>
      <c r="Q2682" t="s">
        <v>27</v>
      </c>
    </row>
    <row r="2683" spans="1:17">
      <c r="A2683" t="s">
        <v>3536</v>
      </c>
      <c r="B2683" s="1" t="s">
        <v>2536</v>
      </c>
      <c r="C2683" s="1" t="s">
        <v>3431</v>
      </c>
      <c r="D2683" s="1" t="s">
        <v>20</v>
      </c>
      <c r="E2683" t="s">
        <v>931</v>
      </c>
      <c r="F2683" t="s">
        <v>115</v>
      </c>
      <c r="G2683" t="s">
        <v>45</v>
      </c>
      <c r="H2683" t="s">
        <v>39</v>
      </c>
      <c r="I2683" t="s">
        <v>40</v>
      </c>
      <c r="J2683">
        <v>5</v>
      </c>
      <c r="K2683">
        <v>599</v>
      </c>
      <c r="L2683">
        <f>Table1[[#This Row],[Quantity]] * Table1[[#This Row],[UnitPrice]]</f>
        <v>2995</v>
      </c>
      <c r="M2683" s="25">
        <v>5</v>
      </c>
      <c r="N2683">
        <f>Table1[[#This Row],[Revenue]]*Table1[[#This Row],[Discount%]]/100</f>
        <v>149.75</v>
      </c>
      <c r="O2683" s="6">
        <f>Table1[[#This Row],[Revenue]]-Table1[[#This Row],[Disc_amount]]</f>
        <v>2845.25</v>
      </c>
      <c r="P2683" t="s">
        <v>33</v>
      </c>
      <c r="Q2683" t="s">
        <v>27</v>
      </c>
    </row>
    <row r="2684" spans="1:17">
      <c r="A2684" t="s">
        <v>3537</v>
      </c>
      <c r="B2684" s="1" t="s">
        <v>2536</v>
      </c>
      <c r="C2684" s="1" t="s">
        <v>3431</v>
      </c>
      <c r="D2684" s="1" t="s">
        <v>20</v>
      </c>
      <c r="E2684" t="s">
        <v>1946</v>
      </c>
      <c r="F2684" t="s">
        <v>74</v>
      </c>
      <c r="G2684" t="s">
        <v>56</v>
      </c>
      <c r="H2684" t="s">
        <v>24</v>
      </c>
      <c r="I2684" t="s">
        <v>25</v>
      </c>
      <c r="J2684">
        <v>5</v>
      </c>
      <c r="K2684">
        <v>99</v>
      </c>
      <c r="L2684">
        <f>Table1[[#This Row],[Quantity]] * Table1[[#This Row],[UnitPrice]]</f>
        <v>495</v>
      </c>
      <c r="M2684" s="25">
        <v>15</v>
      </c>
      <c r="N2684">
        <f>Table1[[#This Row],[Revenue]]*Table1[[#This Row],[Discount%]]/100</f>
        <v>74.25</v>
      </c>
      <c r="O2684" s="6">
        <f>Table1[[#This Row],[Revenue]]-Table1[[#This Row],[Disc_amount]]</f>
        <v>420.75</v>
      </c>
      <c r="P2684" t="s">
        <v>33</v>
      </c>
      <c r="Q2684" t="s">
        <v>34</v>
      </c>
    </row>
    <row r="2685" spans="1:17">
      <c r="A2685" t="s">
        <v>3538</v>
      </c>
      <c r="B2685" s="1" t="s">
        <v>2536</v>
      </c>
      <c r="C2685" s="1" t="s">
        <v>3431</v>
      </c>
      <c r="D2685" s="1" t="s">
        <v>20</v>
      </c>
      <c r="E2685" t="s">
        <v>709</v>
      </c>
      <c r="F2685" t="s">
        <v>694</v>
      </c>
      <c r="G2685" t="s">
        <v>23</v>
      </c>
      <c r="H2685" t="s">
        <v>65</v>
      </c>
      <c r="I2685" t="s">
        <v>98</v>
      </c>
      <c r="J2685">
        <v>3</v>
      </c>
      <c r="K2685">
        <v>499</v>
      </c>
      <c r="L2685">
        <f>Table1[[#This Row],[Quantity]] * Table1[[#This Row],[UnitPrice]]</f>
        <v>1497</v>
      </c>
      <c r="M2685" s="25">
        <v>30</v>
      </c>
      <c r="N2685">
        <f>Table1[[#This Row],[Revenue]]*Table1[[#This Row],[Discount%]]/100</f>
        <v>449.1</v>
      </c>
      <c r="O2685" s="6">
        <f>Table1[[#This Row],[Revenue]]-Table1[[#This Row],[Disc_amount]]</f>
        <v>1047.9000000000001</v>
      </c>
      <c r="P2685" t="s">
        <v>86</v>
      </c>
      <c r="Q2685" t="s">
        <v>27</v>
      </c>
    </row>
    <row r="2686" spans="1:17">
      <c r="A2686" t="s">
        <v>3539</v>
      </c>
      <c r="B2686" s="1" t="s">
        <v>2536</v>
      </c>
      <c r="C2686" s="1" t="s">
        <v>3431</v>
      </c>
      <c r="D2686" s="1" t="s">
        <v>20</v>
      </c>
      <c r="E2686" t="s">
        <v>354</v>
      </c>
      <c r="F2686" t="s">
        <v>355</v>
      </c>
      <c r="G2686" t="s">
        <v>23</v>
      </c>
      <c r="H2686" t="s">
        <v>65</v>
      </c>
      <c r="I2686" t="s">
        <v>94</v>
      </c>
      <c r="J2686">
        <v>4</v>
      </c>
      <c r="K2686">
        <v>899</v>
      </c>
      <c r="L2686">
        <f>Table1[[#This Row],[Quantity]] * Table1[[#This Row],[UnitPrice]]</f>
        <v>3596</v>
      </c>
      <c r="M2686" s="25">
        <v>10</v>
      </c>
      <c r="N2686">
        <f>Table1[[#This Row],[Revenue]]*Table1[[#This Row],[Discount%]]/100</f>
        <v>359.6</v>
      </c>
      <c r="O2686" s="6">
        <f>Table1[[#This Row],[Revenue]]-Table1[[#This Row],[Disc_amount]]</f>
        <v>3236.4</v>
      </c>
      <c r="P2686" t="s">
        <v>26</v>
      </c>
      <c r="Q2686" t="s">
        <v>27</v>
      </c>
    </row>
    <row r="2687" spans="1:17">
      <c r="A2687" t="s">
        <v>3540</v>
      </c>
      <c r="B2687" s="1" t="s">
        <v>2536</v>
      </c>
      <c r="C2687" s="1" t="s">
        <v>3431</v>
      </c>
      <c r="D2687" s="1" t="s">
        <v>20</v>
      </c>
      <c r="E2687" t="s">
        <v>2061</v>
      </c>
      <c r="F2687" t="s">
        <v>2062</v>
      </c>
      <c r="G2687" t="s">
        <v>23</v>
      </c>
      <c r="H2687" t="s">
        <v>57</v>
      </c>
      <c r="I2687" t="s">
        <v>58</v>
      </c>
      <c r="J2687">
        <v>2</v>
      </c>
      <c r="K2687">
        <v>1299</v>
      </c>
      <c r="L2687">
        <f>Table1[[#This Row],[Quantity]] * Table1[[#This Row],[UnitPrice]]</f>
        <v>2598</v>
      </c>
      <c r="M2687" s="25">
        <v>25</v>
      </c>
      <c r="N2687">
        <f>Table1[[#This Row],[Revenue]]*Table1[[#This Row],[Discount%]]/100</f>
        <v>649.5</v>
      </c>
      <c r="O2687" s="6">
        <f>Table1[[#This Row],[Revenue]]-Table1[[#This Row],[Disc_amount]]</f>
        <v>1948.5</v>
      </c>
      <c r="P2687" t="s">
        <v>26</v>
      </c>
      <c r="Q2687" t="s">
        <v>34</v>
      </c>
    </row>
    <row r="2688" spans="1:17">
      <c r="A2688" t="s">
        <v>3541</v>
      </c>
      <c r="B2688" s="1" t="s">
        <v>2536</v>
      </c>
      <c r="C2688" s="1" t="s">
        <v>3431</v>
      </c>
      <c r="D2688" s="1" t="s">
        <v>20</v>
      </c>
      <c r="E2688" t="s">
        <v>449</v>
      </c>
      <c r="F2688" t="s">
        <v>450</v>
      </c>
      <c r="G2688" t="s">
        <v>23</v>
      </c>
      <c r="H2688" t="s">
        <v>57</v>
      </c>
      <c r="I2688" t="s">
        <v>62</v>
      </c>
      <c r="J2688">
        <v>2</v>
      </c>
      <c r="K2688">
        <v>799</v>
      </c>
      <c r="L2688">
        <f>Table1[[#This Row],[Quantity]] * Table1[[#This Row],[UnitPrice]]</f>
        <v>1598</v>
      </c>
      <c r="M2688" s="25">
        <v>30</v>
      </c>
      <c r="N2688">
        <f>Table1[[#This Row],[Revenue]]*Table1[[#This Row],[Discount%]]/100</f>
        <v>479.4</v>
      </c>
      <c r="O2688" s="6">
        <f>Table1[[#This Row],[Revenue]]-Table1[[#This Row],[Disc_amount]]</f>
        <v>1118.5999999999999</v>
      </c>
      <c r="P2688" t="s">
        <v>41</v>
      </c>
      <c r="Q2688" t="s">
        <v>27</v>
      </c>
    </row>
    <row r="2689" spans="1:17">
      <c r="A2689" t="s">
        <v>3542</v>
      </c>
      <c r="B2689" s="1" t="s">
        <v>2536</v>
      </c>
      <c r="C2689" s="1" t="s">
        <v>3431</v>
      </c>
      <c r="D2689" s="1" t="s">
        <v>20</v>
      </c>
      <c r="E2689" t="s">
        <v>368</v>
      </c>
      <c r="F2689" t="s">
        <v>369</v>
      </c>
      <c r="G2689" t="s">
        <v>31</v>
      </c>
      <c r="H2689" t="s">
        <v>46</v>
      </c>
      <c r="I2689" t="s">
        <v>154</v>
      </c>
      <c r="J2689">
        <v>3</v>
      </c>
      <c r="K2689">
        <v>299</v>
      </c>
      <c r="L2689">
        <f>Table1[[#This Row],[Quantity]] * Table1[[#This Row],[UnitPrice]]</f>
        <v>897</v>
      </c>
      <c r="M2689" s="25">
        <v>15</v>
      </c>
      <c r="N2689">
        <f>Table1[[#This Row],[Revenue]]*Table1[[#This Row],[Discount%]]/100</f>
        <v>134.55000000000001</v>
      </c>
      <c r="O2689" s="6">
        <f>Table1[[#This Row],[Revenue]]-Table1[[#This Row],[Disc_amount]]</f>
        <v>762.45</v>
      </c>
      <c r="P2689" t="s">
        <v>33</v>
      </c>
      <c r="Q2689" t="s">
        <v>27</v>
      </c>
    </row>
    <row r="2690" spans="1:17">
      <c r="A2690" t="s">
        <v>3543</v>
      </c>
      <c r="B2690" s="1" t="s">
        <v>2536</v>
      </c>
      <c r="C2690" s="1" t="s">
        <v>3431</v>
      </c>
      <c r="D2690" s="1" t="s">
        <v>20</v>
      </c>
      <c r="E2690" t="s">
        <v>1355</v>
      </c>
      <c r="F2690" t="s">
        <v>265</v>
      </c>
      <c r="G2690" t="s">
        <v>23</v>
      </c>
      <c r="H2690" t="s">
        <v>24</v>
      </c>
      <c r="I2690" t="s">
        <v>25</v>
      </c>
      <c r="J2690">
        <v>3</v>
      </c>
      <c r="K2690">
        <v>99</v>
      </c>
      <c r="L2690">
        <f>Table1[[#This Row],[Quantity]] * Table1[[#This Row],[UnitPrice]]</f>
        <v>297</v>
      </c>
      <c r="M2690" s="25">
        <v>30</v>
      </c>
      <c r="N2690">
        <f>Table1[[#This Row],[Revenue]]*Table1[[#This Row],[Discount%]]/100</f>
        <v>89.1</v>
      </c>
      <c r="O2690" s="6">
        <f>Table1[[#This Row],[Revenue]]-Table1[[#This Row],[Disc_amount]]</f>
        <v>207.9</v>
      </c>
      <c r="P2690" t="s">
        <v>33</v>
      </c>
      <c r="Q2690" t="s">
        <v>27</v>
      </c>
    </row>
    <row r="2691" spans="1:17">
      <c r="A2691" t="s">
        <v>3544</v>
      </c>
      <c r="B2691" s="1" t="s">
        <v>2536</v>
      </c>
      <c r="C2691" s="1" t="s">
        <v>3431</v>
      </c>
      <c r="D2691" s="1" t="s">
        <v>20</v>
      </c>
      <c r="E2691" t="s">
        <v>817</v>
      </c>
      <c r="F2691" t="s">
        <v>150</v>
      </c>
      <c r="G2691" t="s">
        <v>38</v>
      </c>
      <c r="H2691" t="s">
        <v>70</v>
      </c>
      <c r="I2691" t="s">
        <v>71</v>
      </c>
      <c r="J2691">
        <v>2</v>
      </c>
      <c r="K2691">
        <v>349</v>
      </c>
      <c r="L2691">
        <f>Table1[[#This Row],[Quantity]] * Table1[[#This Row],[UnitPrice]]</f>
        <v>698</v>
      </c>
      <c r="M2691" s="25">
        <v>25</v>
      </c>
      <c r="N2691">
        <f>Table1[[#This Row],[Revenue]]*Table1[[#This Row],[Discount%]]/100</f>
        <v>174.5</v>
      </c>
      <c r="O2691" s="6">
        <f>Table1[[#This Row],[Revenue]]-Table1[[#This Row],[Disc_amount]]</f>
        <v>523.5</v>
      </c>
      <c r="P2691" t="s">
        <v>33</v>
      </c>
      <c r="Q2691" t="s">
        <v>34</v>
      </c>
    </row>
    <row r="2692" spans="1:17">
      <c r="A2692" t="s">
        <v>3545</v>
      </c>
      <c r="B2692" s="1" t="s">
        <v>2536</v>
      </c>
      <c r="C2692" s="1" t="s">
        <v>3431</v>
      </c>
      <c r="D2692" s="1" t="s">
        <v>20</v>
      </c>
      <c r="E2692" t="s">
        <v>778</v>
      </c>
      <c r="F2692" t="s">
        <v>287</v>
      </c>
      <c r="G2692" t="s">
        <v>23</v>
      </c>
      <c r="H2692" t="s">
        <v>70</v>
      </c>
      <c r="I2692" t="s">
        <v>71</v>
      </c>
      <c r="J2692">
        <v>1</v>
      </c>
      <c r="K2692">
        <v>349</v>
      </c>
      <c r="L2692">
        <f>Table1[[#This Row],[Quantity]] * Table1[[#This Row],[UnitPrice]]</f>
        <v>349</v>
      </c>
      <c r="M2692" s="25">
        <v>20</v>
      </c>
      <c r="N2692">
        <f>Table1[[#This Row],[Revenue]]*Table1[[#This Row],[Discount%]]/100</f>
        <v>69.8</v>
      </c>
      <c r="O2692" s="6">
        <f>Table1[[#This Row],[Revenue]]-Table1[[#This Row],[Disc_amount]]</f>
        <v>279.2</v>
      </c>
      <c r="P2692" t="s">
        <v>33</v>
      </c>
      <c r="Q2692" t="s">
        <v>27</v>
      </c>
    </row>
    <row r="2693" spans="1:17">
      <c r="A2693" t="s">
        <v>3546</v>
      </c>
      <c r="B2693" s="1" t="s">
        <v>2543</v>
      </c>
      <c r="C2693" s="1" t="s">
        <v>3431</v>
      </c>
      <c r="D2693" s="1" t="s">
        <v>20</v>
      </c>
      <c r="E2693" t="s">
        <v>510</v>
      </c>
      <c r="F2693" t="s">
        <v>425</v>
      </c>
      <c r="G2693" t="s">
        <v>31</v>
      </c>
      <c r="H2693" t="s">
        <v>70</v>
      </c>
      <c r="I2693" t="s">
        <v>91</v>
      </c>
      <c r="J2693">
        <v>1</v>
      </c>
      <c r="K2693">
        <v>549</v>
      </c>
      <c r="L2693">
        <f>Table1[[#This Row],[Quantity]] * Table1[[#This Row],[UnitPrice]]</f>
        <v>549</v>
      </c>
      <c r="M2693" s="25">
        <v>10</v>
      </c>
      <c r="N2693">
        <f>Table1[[#This Row],[Revenue]]*Table1[[#This Row],[Discount%]]/100</f>
        <v>54.9</v>
      </c>
      <c r="O2693" s="6">
        <f>Table1[[#This Row],[Revenue]]-Table1[[#This Row],[Disc_amount]]</f>
        <v>494.1</v>
      </c>
      <c r="P2693" t="s">
        <v>33</v>
      </c>
      <c r="Q2693" t="s">
        <v>27</v>
      </c>
    </row>
    <row r="2694" spans="1:17">
      <c r="A2694" t="s">
        <v>3547</v>
      </c>
      <c r="B2694" s="1" t="s">
        <v>2543</v>
      </c>
      <c r="C2694" s="1" t="s">
        <v>3431</v>
      </c>
      <c r="D2694" s="1" t="s">
        <v>20</v>
      </c>
      <c r="E2694" t="s">
        <v>341</v>
      </c>
      <c r="F2694" t="s">
        <v>342</v>
      </c>
      <c r="G2694" t="s">
        <v>56</v>
      </c>
      <c r="H2694" t="s">
        <v>39</v>
      </c>
      <c r="I2694" t="s">
        <v>40</v>
      </c>
      <c r="J2694">
        <v>1</v>
      </c>
      <c r="K2694">
        <v>599</v>
      </c>
      <c r="L2694">
        <f>Table1[[#This Row],[Quantity]] * Table1[[#This Row],[UnitPrice]]</f>
        <v>599</v>
      </c>
      <c r="M2694" s="25">
        <v>30</v>
      </c>
      <c r="N2694">
        <f>Table1[[#This Row],[Revenue]]*Table1[[#This Row],[Discount%]]/100</f>
        <v>179.7</v>
      </c>
      <c r="O2694" s="6">
        <f>Table1[[#This Row],[Revenue]]-Table1[[#This Row],[Disc_amount]]</f>
        <v>419.3</v>
      </c>
      <c r="P2694" t="s">
        <v>41</v>
      </c>
      <c r="Q2694" t="s">
        <v>27</v>
      </c>
    </row>
    <row r="2695" spans="1:17">
      <c r="A2695" t="s">
        <v>3548</v>
      </c>
      <c r="B2695" s="1" t="s">
        <v>2543</v>
      </c>
      <c r="C2695" s="1" t="s">
        <v>3431</v>
      </c>
      <c r="D2695" s="1" t="s">
        <v>20</v>
      </c>
      <c r="E2695" t="s">
        <v>1201</v>
      </c>
      <c r="F2695" t="s">
        <v>323</v>
      </c>
      <c r="G2695" t="s">
        <v>31</v>
      </c>
      <c r="H2695" t="s">
        <v>24</v>
      </c>
      <c r="I2695" t="s">
        <v>32</v>
      </c>
      <c r="J2695">
        <v>1</v>
      </c>
      <c r="K2695">
        <v>199</v>
      </c>
      <c r="L2695">
        <f>Table1[[#This Row],[Quantity]] * Table1[[#This Row],[UnitPrice]]</f>
        <v>199</v>
      </c>
      <c r="M2695" s="25">
        <v>0</v>
      </c>
      <c r="N2695">
        <f>Table1[[#This Row],[Revenue]]*Table1[[#This Row],[Discount%]]/100</f>
        <v>0</v>
      </c>
      <c r="O2695" s="6">
        <f>Table1[[#This Row],[Revenue]]-Table1[[#This Row],[Disc_amount]]</f>
        <v>199</v>
      </c>
      <c r="P2695" t="s">
        <v>26</v>
      </c>
      <c r="Q2695" t="s">
        <v>34</v>
      </c>
    </row>
    <row r="2696" spans="1:17">
      <c r="A2696" t="s">
        <v>3549</v>
      </c>
      <c r="B2696" s="1" t="s">
        <v>2543</v>
      </c>
      <c r="C2696" s="1" t="s">
        <v>3431</v>
      </c>
      <c r="D2696" s="1" t="s">
        <v>20</v>
      </c>
      <c r="E2696" t="s">
        <v>1152</v>
      </c>
      <c r="F2696" t="s">
        <v>209</v>
      </c>
      <c r="G2696" t="s">
        <v>56</v>
      </c>
      <c r="H2696" t="s">
        <v>46</v>
      </c>
      <c r="I2696" t="s">
        <v>154</v>
      </c>
      <c r="J2696">
        <v>1</v>
      </c>
      <c r="K2696">
        <v>299</v>
      </c>
      <c r="L2696">
        <f>Table1[[#This Row],[Quantity]] * Table1[[#This Row],[UnitPrice]]</f>
        <v>299</v>
      </c>
      <c r="M2696" s="25">
        <v>20</v>
      </c>
      <c r="N2696">
        <f>Table1[[#This Row],[Revenue]]*Table1[[#This Row],[Discount%]]/100</f>
        <v>59.8</v>
      </c>
      <c r="O2696" s="6">
        <f>Table1[[#This Row],[Revenue]]-Table1[[#This Row],[Disc_amount]]</f>
        <v>239.2</v>
      </c>
      <c r="P2696" t="s">
        <v>41</v>
      </c>
      <c r="Q2696" t="s">
        <v>34</v>
      </c>
    </row>
    <row r="2697" spans="1:17">
      <c r="A2697" t="s">
        <v>3550</v>
      </c>
      <c r="B2697" s="1" t="s">
        <v>2543</v>
      </c>
      <c r="C2697" s="1" t="s">
        <v>3431</v>
      </c>
      <c r="D2697" s="1" t="s">
        <v>20</v>
      </c>
      <c r="E2697" t="s">
        <v>1163</v>
      </c>
      <c r="F2697" t="s">
        <v>390</v>
      </c>
      <c r="G2697" t="s">
        <v>38</v>
      </c>
      <c r="H2697" t="s">
        <v>57</v>
      </c>
      <c r="I2697" t="s">
        <v>62</v>
      </c>
      <c r="J2697">
        <v>1</v>
      </c>
      <c r="K2697">
        <v>799</v>
      </c>
      <c r="L2697">
        <f>Table1[[#This Row],[Quantity]] * Table1[[#This Row],[UnitPrice]]</f>
        <v>799</v>
      </c>
      <c r="M2697" s="25">
        <v>30</v>
      </c>
      <c r="N2697">
        <f>Table1[[#This Row],[Revenue]]*Table1[[#This Row],[Discount%]]/100</f>
        <v>239.7</v>
      </c>
      <c r="O2697" s="6">
        <f>Table1[[#This Row],[Revenue]]-Table1[[#This Row],[Disc_amount]]</f>
        <v>559.29999999999995</v>
      </c>
      <c r="P2697" t="s">
        <v>52</v>
      </c>
      <c r="Q2697" t="s">
        <v>34</v>
      </c>
    </row>
    <row r="2698" spans="1:17">
      <c r="A2698" t="s">
        <v>3551</v>
      </c>
      <c r="B2698" s="1" t="s">
        <v>2543</v>
      </c>
      <c r="C2698" s="1" t="s">
        <v>3431</v>
      </c>
      <c r="D2698" s="1" t="s">
        <v>20</v>
      </c>
      <c r="E2698" t="s">
        <v>766</v>
      </c>
      <c r="F2698" t="s">
        <v>767</v>
      </c>
      <c r="G2698" t="s">
        <v>45</v>
      </c>
      <c r="H2698" t="s">
        <v>108</v>
      </c>
      <c r="I2698" t="s">
        <v>109</v>
      </c>
      <c r="J2698">
        <v>1</v>
      </c>
      <c r="K2698">
        <v>1499</v>
      </c>
      <c r="L2698">
        <f>Table1[[#This Row],[Quantity]] * Table1[[#This Row],[UnitPrice]]</f>
        <v>1499</v>
      </c>
      <c r="M2698" s="25">
        <v>25</v>
      </c>
      <c r="N2698">
        <f>Table1[[#This Row],[Revenue]]*Table1[[#This Row],[Discount%]]/100</f>
        <v>374.75</v>
      </c>
      <c r="O2698" s="6">
        <f>Table1[[#This Row],[Revenue]]-Table1[[#This Row],[Disc_amount]]</f>
        <v>1124.25</v>
      </c>
      <c r="P2698" t="s">
        <v>52</v>
      </c>
      <c r="Q2698" t="s">
        <v>34</v>
      </c>
    </row>
    <row r="2699" spans="1:17">
      <c r="A2699" t="s">
        <v>3552</v>
      </c>
      <c r="B2699" s="1" t="s">
        <v>2543</v>
      </c>
      <c r="C2699" s="1" t="s">
        <v>3431</v>
      </c>
      <c r="D2699" s="1" t="s">
        <v>20</v>
      </c>
      <c r="E2699" t="s">
        <v>2142</v>
      </c>
      <c r="F2699" t="s">
        <v>473</v>
      </c>
      <c r="G2699" t="s">
        <v>45</v>
      </c>
      <c r="H2699" t="s">
        <v>57</v>
      </c>
      <c r="I2699" t="s">
        <v>62</v>
      </c>
      <c r="J2699">
        <v>3</v>
      </c>
      <c r="K2699">
        <v>799</v>
      </c>
      <c r="L2699">
        <f>Table1[[#This Row],[Quantity]] * Table1[[#This Row],[UnitPrice]]</f>
        <v>2397</v>
      </c>
      <c r="M2699" s="25">
        <v>10</v>
      </c>
      <c r="N2699">
        <f>Table1[[#This Row],[Revenue]]*Table1[[#This Row],[Discount%]]/100</f>
        <v>239.7</v>
      </c>
      <c r="O2699" s="6">
        <f>Table1[[#This Row],[Revenue]]-Table1[[#This Row],[Disc_amount]]</f>
        <v>2157.3000000000002</v>
      </c>
      <c r="P2699" t="s">
        <v>52</v>
      </c>
      <c r="Q2699" t="s">
        <v>27</v>
      </c>
    </row>
    <row r="2700" spans="1:17">
      <c r="A2700" t="s">
        <v>3553</v>
      </c>
      <c r="B2700" s="1" t="s">
        <v>2543</v>
      </c>
      <c r="C2700" s="1" t="s">
        <v>3431</v>
      </c>
      <c r="D2700" s="1" t="s">
        <v>20</v>
      </c>
      <c r="E2700" t="s">
        <v>194</v>
      </c>
      <c r="F2700" t="s">
        <v>195</v>
      </c>
      <c r="G2700" t="s">
        <v>56</v>
      </c>
      <c r="H2700" t="s">
        <v>65</v>
      </c>
      <c r="I2700" t="s">
        <v>66</v>
      </c>
      <c r="J2700">
        <v>1</v>
      </c>
      <c r="K2700">
        <v>1999</v>
      </c>
      <c r="L2700">
        <f>Table1[[#This Row],[Quantity]] * Table1[[#This Row],[UnitPrice]]</f>
        <v>1999</v>
      </c>
      <c r="M2700" s="25">
        <v>10</v>
      </c>
      <c r="N2700">
        <f>Table1[[#This Row],[Revenue]]*Table1[[#This Row],[Discount%]]/100</f>
        <v>199.9</v>
      </c>
      <c r="O2700" s="6">
        <f>Table1[[#This Row],[Revenue]]-Table1[[#This Row],[Disc_amount]]</f>
        <v>1799.1</v>
      </c>
      <c r="P2700" t="s">
        <v>33</v>
      </c>
      <c r="Q2700" t="s">
        <v>34</v>
      </c>
    </row>
    <row r="2701" spans="1:17">
      <c r="A2701" t="s">
        <v>3554</v>
      </c>
      <c r="B2701" s="1" t="s">
        <v>2543</v>
      </c>
      <c r="C2701" s="1" t="s">
        <v>3431</v>
      </c>
      <c r="D2701" s="1" t="s">
        <v>20</v>
      </c>
      <c r="E2701" t="s">
        <v>1803</v>
      </c>
      <c r="F2701" t="s">
        <v>1463</v>
      </c>
      <c r="G2701" t="s">
        <v>38</v>
      </c>
      <c r="H2701" t="s">
        <v>70</v>
      </c>
      <c r="I2701" t="s">
        <v>71</v>
      </c>
      <c r="J2701">
        <v>2</v>
      </c>
      <c r="K2701">
        <v>349</v>
      </c>
      <c r="L2701">
        <f>Table1[[#This Row],[Quantity]] * Table1[[#This Row],[UnitPrice]]</f>
        <v>698</v>
      </c>
      <c r="M2701" s="25">
        <v>20</v>
      </c>
      <c r="N2701">
        <f>Table1[[#This Row],[Revenue]]*Table1[[#This Row],[Discount%]]/100</f>
        <v>139.6</v>
      </c>
      <c r="O2701" s="6">
        <f>Table1[[#This Row],[Revenue]]-Table1[[#This Row],[Disc_amount]]</f>
        <v>558.4</v>
      </c>
      <c r="P2701" t="s">
        <v>33</v>
      </c>
      <c r="Q2701" t="s">
        <v>34</v>
      </c>
    </row>
    <row r="2702" spans="1:17">
      <c r="A2702" t="s">
        <v>3555</v>
      </c>
      <c r="B2702" s="1" t="s">
        <v>2555</v>
      </c>
      <c r="C2702" s="1" t="s">
        <v>3431</v>
      </c>
      <c r="D2702" s="1" t="s">
        <v>20</v>
      </c>
      <c r="E2702" t="s">
        <v>247</v>
      </c>
      <c r="F2702" t="s">
        <v>248</v>
      </c>
      <c r="G2702" t="s">
        <v>23</v>
      </c>
      <c r="H2702" t="s">
        <v>46</v>
      </c>
      <c r="I2702" t="s">
        <v>154</v>
      </c>
      <c r="J2702">
        <v>1</v>
      </c>
      <c r="K2702">
        <v>299</v>
      </c>
      <c r="L2702">
        <f>Table1[[#This Row],[Quantity]] * Table1[[#This Row],[UnitPrice]]</f>
        <v>299</v>
      </c>
      <c r="M2702" s="25">
        <v>15</v>
      </c>
      <c r="N2702">
        <f>Table1[[#This Row],[Revenue]]*Table1[[#This Row],[Discount%]]/100</f>
        <v>44.85</v>
      </c>
      <c r="O2702" s="6">
        <f>Table1[[#This Row],[Revenue]]-Table1[[#This Row],[Disc_amount]]</f>
        <v>254.15</v>
      </c>
      <c r="P2702" t="s">
        <v>86</v>
      </c>
      <c r="Q2702" t="s">
        <v>27</v>
      </c>
    </row>
    <row r="2703" spans="1:17">
      <c r="A2703" t="s">
        <v>3556</v>
      </c>
      <c r="B2703" s="1" t="s">
        <v>2555</v>
      </c>
      <c r="C2703" s="1" t="s">
        <v>3431</v>
      </c>
      <c r="D2703" s="1" t="s">
        <v>20</v>
      </c>
      <c r="E2703" t="s">
        <v>194</v>
      </c>
      <c r="F2703" t="s">
        <v>195</v>
      </c>
      <c r="G2703" t="s">
        <v>23</v>
      </c>
      <c r="H2703" t="s">
        <v>65</v>
      </c>
      <c r="I2703" t="s">
        <v>94</v>
      </c>
      <c r="J2703">
        <v>1</v>
      </c>
      <c r="K2703">
        <v>899</v>
      </c>
      <c r="L2703">
        <f>Table1[[#This Row],[Quantity]] * Table1[[#This Row],[UnitPrice]]</f>
        <v>899</v>
      </c>
      <c r="M2703" s="25">
        <v>15</v>
      </c>
      <c r="N2703">
        <f>Table1[[#This Row],[Revenue]]*Table1[[#This Row],[Discount%]]/100</f>
        <v>134.85</v>
      </c>
      <c r="O2703" s="6">
        <f>Table1[[#This Row],[Revenue]]-Table1[[#This Row],[Disc_amount]]</f>
        <v>764.15</v>
      </c>
      <c r="P2703" t="s">
        <v>41</v>
      </c>
      <c r="Q2703" t="s">
        <v>27</v>
      </c>
    </row>
    <row r="2704" spans="1:17">
      <c r="A2704" t="s">
        <v>3557</v>
      </c>
      <c r="B2704" s="1" t="s">
        <v>2555</v>
      </c>
      <c r="C2704" s="1" t="s">
        <v>3431</v>
      </c>
      <c r="D2704" s="1" t="s">
        <v>20</v>
      </c>
      <c r="E2704" t="s">
        <v>175</v>
      </c>
      <c r="F2704" t="s">
        <v>176</v>
      </c>
      <c r="G2704" t="s">
        <v>38</v>
      </c>
      <c r="H2704" t="s">
        <v>24</v>
      </c>
      <c r="I2704" t="s">
        <v>25</v>
      </c>
      <c r="J2704">
        <v>2</v>
      </c>
      <c r="K2704">
        <v>99</v>
      </c>
      <c r="L2704">
        <f>Table1[[#This Row],[Quantity]] * Table1[[#This Row],[UnitPrice]]</f>
        <v>198</v>
      </c>
      <c r="M2704" s="25">
        <v>30</v>
      </c>
      <c r="N2704">
        <f>Table1[[#This Row],[Revenue]]*Table1[[#This Row],[Discount%]]/100</f>
        <v>59.4</v>
      </c>
      <c r="O2704" s="6">
        <f>Table1[[#This Row],[Revenue]]-Table1[[#This Row],[Disc_amount]]</f>
        <v>138.6</v>
      </c>
      <c r="P2704" t="s">
        <v>26</v>
      </c>
      <c r="Q2704" t="s">
        <v>27</v>
      </c>
    </row>
    <row r="2705" spans="1:17">
      <c r="A2705" t="s">
        <v>3558</v>
      </c>
      <c r="B2705" s="1" t="s">
        <v>2555</v>
      </c>
      <c r="C2705" s="1" t="s">
        <v>3431</v>
      </c>
      <c r="D2705" s="1" t="s">
        <v>20</v>
      </c>
      <c r="E2705" t="s">
        <v>583</v>
      </c>
      <c r="F2705" t="s">
        <v>584</v>
      </c>
      <c r="G2705" t="s">
        <v>31</v>
      </c>
      <c r="H2705" t="s">
        <v>24</v>
      </c>
      <c r="I2705" t="s">
        <v>25</v>
      </c>
      <c r="J2705">
        <v>1</v>
      </c>
      <c r="K2705">
        <v>99</v>
      </c>
      <c r="L2705">
        <f>Table1[[#This Row],[Quantity]] * Table1[[#This Row],[UnitPrice]]</f>
        <v>99</v>
      </c>
      <c r="M2705" s="25">
        <v>5</v>
      </c>
      <c r="N2705">
        <f>Table1[[#This Row],[Revenue]]*Table1[[#This Row],[Discount%]]/100</f>
        <v>4.95</v>
      </c>
      <c r="O2705" s="6">
        <f>Table1[[#This Row],[Revenue]]-Table1[[#This Row],[Disc_amount]]</f>
        <v>94.05</v>
      </c>
      <c r="P2705" t="s">
        <v>26</v>
      </c>
      <c r="Q2705" t="s">
        <v>27</v>
      </c>
    </row>
    <row r="2706" spans="1:17">
      <c r="A2706" t="s">
        <v>3559</v>
      </c>
      <c r="B2706" s="1" t="s">
        <v>2555</v>
      </c>
      <c r="C2706" s="1" t="s">
        <v>3431</v>
      </c>
      <c r="D2706" s="1" t="s">
        <v>20</v>
      </c>
      <c r="E2706" t="s">
        <v>2688</v>
      </c>
      <c r="F2706" t="s">
        <v>873</v>
      </c>
      <c r="G2706" t="s">
        <v>45</v>
      </c>
      <c r="H2706" t="s">
        <v>24</v>
      </c>
      <c r="I2706" t="s">
        <v>32</v>
      </c>
      <c r="J2706">
        <v>3</v>
      </c>
      <c r="K2706">
        <v>199</v>
      </c>
      <c r="L2706">
        <f>Table1[[#This Row],[Quantity]] * Table1[[#This Row],[UnitPrice]]</f>
        <v>597</v>
      </c>
      <c r="M2706" s="25">
        <v>20</v>
      </c>
      <c r="N2706">
        <f>Table1[[#This Row],[Revenue]]*Table1[[#This Row],[Discount%]]/100</f>
        <v>119.4</v>
      </c>
      <c r="O2706" s="6">
        <f>Table1[[#This Row],[Revenue]]-Table1[[#This Row],[Disc_amount]]</f>
        <v>477.6</v>
      </c>
      <c r="P2706" t="s">
        <v>33</v>
      </c>
      <c r="Q2706" t="s">
        <v>27</v>
      </c>
    </row>
    <row r="2707" spans="1:17">
      <c r="A2707" t="s">
        <v>3560</v>
      </c>
      <c r="B2707" s="1" t="s">
        <v>2555</v>
      </c>
      <c r="C2707" s="1" t="s">
        <v>3431</v>
      </c>
      <c r="D2707" s="1" t="s">
        <v>20</v>
      </c>
      <c r="E2707" t="s">
        <v>375</v>
      </c>
      <c r="F2707" t="s">
        <v>376</v>
      </c>
      <c r="G2707" t="s">
        <v>56</v>
      </c>
      <c r="H2707" t="s">
        <v>108</v>
      </c>
      <c r="I2707" t="s">
        <v>130</v>
      </c>
      <c r="J2707">
        <v>2</v>
      </c>
      <c r="K2707">
        <v>699</v>
      </c>
      <c r="L2707">
        <f>Table1[[#This Row],[Quantity]] * Table1[[#This Row],[UnitPrice]]</f>
        <v>1398</v>
      </c>
      <c r="M2707" s="25">
        <v>20</v>
      </c>
      <c r="N2707">
        <f>Table1[[#This Row],[Revenue]]*Table1[[#This Row],[Discount%]]/100</f>
        <v>279.60000000000002</v>
      </c>
      <c r="O2707" s="6">
        <f>Table1[[#This Row],[Revenue]]-Table1[[#This Row],[Disc_amount]]</f>
        <v>1118.4000000000001</v>
      </c>
      <c r="P2707" t="s">
        <v>26</v>
      </c>
      <c r="Q2707" t="s">
        <v>27</v>
      </c>
    </row>
    <row r="2708" spans="1:17">
      <c r="A2708" t="s">
        <v>3561</v>
      </c>
      <c r="B2708" s="1" t="s">
        <v>2555</v>
      </c>
      <c r="C2708" s="1" t="s">
        <v>3431</v>
      </c>
      <c r="D2708" s="1" t="s">
        <v>20</v>
      </c>
      <c r="E2708" t="s">
        <v>539</v>
      </c>
      <c r="F2708" t="s">
        <v>298</v>
      </c>
      <c r="G2708" t="s">
        <v>38</v>
      </c>
      <c r="H2708" t="s">
        <v>39</v>
      </c>
      <c r="I2708" t="s">
        <v>51</v>
      </c>
      <c r="J2708">
        <v>1</v>
      </c>
      <c r="K2708">
        <v>2999</v>
      </c>
      <c r="L2708">
        <f>Table1[[#This Row],[Quantity]] * Table1[[#This Row],[UnitPrice]]</f>
        <v>2999</v>
      </c>
      <c r="M2708" s="25">
        <v>10</v>
      </c>
      <c r="N2708">
        <f>Table1[[#This Row],[Revenue]]*Table1[[#This Row],[Discount%]]/100</f>
        <v>299.89999999999998</v>
      </c>
      <c r="O2708" s="6">
        <f>Table1[[#This Row],[Revenue]]-Table1[[#This Row],[Disc_amount]]</f>
        <v>2699.1</v>
      </c>
      <c r="P2708" t="s">
        <v>26</v>
      </c>
      <c r="Q2708" t="s">
        <v>27</v>
      </c>
    </row>
    <row r="2709" spans="1:17">
      <c r="A2709" t="s">
        <v>3562</v>
      </c>
      <c r="B2709" s="1" t="s">
        <v>2562</v>
      </c>
      <c r="C2709" s="1" t="s">
        <v>3431</v>
      </c>
      <c r="D2709" s="1" t="s">
        <v>20</v>
      </c>
      <c r="E2709" t="s">
        <v>122</v>
      </c>
      <c r="F2709" t="s">
        <v>123</v>
      </c>
      <c r="G2709" t="s">
        <v>23</v>
      </c>
      <c r="H2709" t="s">
        <v>65</v>
      </c>
      <c r="I2709" t="s">
        <v>66</v>
      </c>
      <c r="J2709">
        <v>3</v>
      </c>
      <c r="K2709">
        <v>1999</v>
      </c>
      <c r="L2709">
        <f>Table1[[#This Row],[Quantity]] * Table1[[#This Row],[UnitPrice]]</f>
        <v>5997</v>
      </c>
      <c r="M2709" s="25">
        <v>15</v>
      </c>
      <c r="N2709">
        <f>Table1[[#This Row],[Revenue]]*Table1[[#This Row],[Discount%]]/100</f>
        <v>899.55</v>
      </c>
      <c r="O2709" s="6">
        <f>Table1[[#This Row],[Revenue]]-Table1[[#This Row],[Disc_amount]]</f>
        <v>5097.45</v>
      </c>
      <c r="P2709" t="s">
        <v>26</v>
      </c>
      <c r="Q2709" t="s">
        <v>27</v>
      </c>
    </row>
    <row r="2710" spans="1:17">
      <c r="A2710" t="s">
        <v>3563</v>
      </c>
      <c r="B2710" s="1" t="s">
        <v>2562</v>
      </c>
      <c r="C2710" s="1" t="s">
        <v>3431</v>
      </c>
      <c r="D2710" s="1" t="s">
        <v>20</v>
      </c>
      <c r="E2710" t="s">
        <v>282</v>
      </c>
      <c r="F2710" t="s">
        <v>283</v>
      </c>
      <c r="G2710" t="s">
        <v>31</v>
      </c>
      <c r="H2710" t="s">
        <v>24</v>
      </c>
      <c r="I2710" t="s">
        <v>32</v>
      </c>
      <c r="J2710">
        <v>1</v>
      </c>
      <c r="K2710">
        <v>199</v>
      </c>
      <c r="L2710">
        <f>Table1[[#This Row],[Quantity]] * Table1[[#This Row],[UnitPrice]]</f>
        <v>199</v>
      </c>
      <c r="M2710" s="25">
        <v>20</v>
      </c>
      <c r="N2710">
        <f>Table1[[#This Row],[Revenue]]*Table1[[#This Row],[Discount%]]/100</f>
        <v>39.799999999999997</v>
      </c>
      <c r="O2710" s="6">
        <f>Table1[[#This Row],[Revenue]]-Table1[[#This Row],[Disc_amount]]</f>
        <v>159.19999999999999</v>
      </c>
      <c r="P2710" t="s">
        <v>26</v>
      </c>
      <c r="Q2710" t="s">
        <v>27</v>
      </c>
    </row>
    <row r="2711" spans="1:17">
      <c r="A2711" t="s">
        <v>3564</v>
      </c>
      <c r="B2711" s="1" t="s">
        <v>2562</v>
      </c>
      <c r="C2711" s="1" t="s">
        <v>3431</v>
      </c>
      <c r="D2711" s="1" t="s">
        <v>20</v>
      </c>
      <c r="E2711" t="s">
        <v>852</v>
      </c>
      <c r="F2711" t="s">
        <v>853</v>
      </c>
      <c r="G2711" t="s">
        <v>23</v>
      </c>
      <c r="H2711" t="s">
        <v>46</v>
      </c>
      <c r="I2711" t="s">
        <v>154</v>
      </c>
      <c r="J2711">
        <v>3</v>
      </c>
      <c r="K2711">
        <v>299</v>
      </c>
      <c r="L2711">
        <f>Table1[[#This Row],[Quantity]] * Table1[[#This Row],[UnitPrice]]</f>
        <v>897</v>
      </c>
      <c r="M2711" s="25">
        <v>20</v>
      </c>
      <c r="N2711">
        <f>Table1[[#This Row],[Revenue]]*Table1[[#This Row],[Discount%]]/100</f>
        <v>179.4</v>
      </c>
      <c r="O2711" s="6">
        <f>Table1[[#This Row],[Revenue]]-Table1[[#This Row],[Disc_amount]]</f>
        <v>717.6</v>
      </c>
      <c r="P2711" t="s">
        <v>52</v>
      </c>
      <c r="Q2711" t="s">
        <v>34</v>
      </c>
    </row>
    <row r="2712" spans="1:17">
      <c r="A2712" t="s">
        <v>3565</v>
      </c>
      <c r="B2712" s="1" t="s">
        <v>2562</v>
      </c>
      <c r="C2712" s="1" t="s">
        <v>3431</v>
      </c>
      <c r="D2712" s="1" t="s">
        <v>20</v>
      </c>
      <c r="E2712" t="s">
        <v>1747</v>
      </c>
      <c r="F2712" t="s">
        <v>796</v>
      </c>
      <c r="G2712" t="s">
        <v>23</v>
      </c>
      <c r="H2712" t="s">
        <v>39</v>
      </c>
      <c r="I2712" t="s">
        <v>140</v>
      </c>
      <c r="J2712">
        <v>1</v>
      </c>
      <c r="K2712">
        <v>1799</v>
      </c>
      <c r="L2712">
        <f>Table1[[#This Row],[Quantity]] * Table1[[#This Row],[UnitPrice]]</f>
        <v>1799</v>
      </c>
      <c r="M2712" s="25">
        <v>20</v>
      </c>
      <c r="N2712">
        <f>Table1[[#This Row],[Revenue]]*Table1[[#This Row],[Discount%]]/100</f>
        <v>359.8</v>
      </c>
      <c r="O2712" s="6">
        <f>Table1[[#This Row],[Revenue]]-Table1[[#This Row],[Disc_amount]]</f>
        <v>1439.2</v>
      </c>
      <c r="P2712" t="s">
        <v>86</v>
      </c>
      <c r="Q2712" t="s">
        <v>27</v>
      </c>
    </row>
    <row r="2713" spans="1:17">
      <c r="A2713" t="s">
        <v>3566</v>
      </c>
      <c r="B2713" s="1" t="s">
        <v>2562</v>
      </c>
      <c r="C2713" s="1" t="s">
        <v>3431</v>
      </c>
      <c r="D2713" s="1" t="s">
        <v>20</v>
      </c>
      <c r="E2713" t="s">
        <v>539</v>
      </c>
      <c r="F2713" t="s">
        <v>298</v>
      </c>
      <c r="G2713" t="s">
        <v>45</v>
      </c>
      <c r="H2713" t="s">
        <v>39</v>
      </c>
      <c r="I2713" t="s">
        <v>40</v>
      </c>
      <c r="J2713">
        <v>1</v>
      </c>
      <c r="K2713">
        <v>599</v>
      </c>
      <c r="L2713">
        <f>Table1[[#This Row],[Quantity]] * Table1[[#This Row],[UnitPrice]]</f>
        <v>599</v>
      </c>
      <c r="M2713" s="25">
        <v>5</v>
      </c>
      <c r="N2713">
        <f>Table1[[#This Row],[Revenue]]*Table1[[#This Row],[Discount%]]/100</f>
        <v>29.95</v>
      </c>
      <c r="O2713" s="6">
        <f>Table1[[#This Row],[Revenue]]-Table1[[#This Row],[Disc_amount]]</f>
        <v>569.04999999999995</v>
      </c>
      <c r="P2713" t="s">
        <v>33</v>
      </c>
      <c r="Q2713" t="s">
        <v>27</v>
      </c>
    </row>
    <row r="2714" spans="1:17">
      <c r="A2714" t="s">
        <v>3567</v>
      </c>
      <c r="B2714" s="1" t="s">
        <v>2562</v>
      </c>
      <c r="C2714" s="1" t="s">
        <v>3431</v>
      </c>
      <c r="D2714" s="1" t="s">
        <v>20</v>
      </c>
      <c r="E2714" t="s">
        <v>1118</v>
      </c>
      <c r="F2714" t="s">
        <v>784</v>
      </c>
      <c r="G2714" t="s">
        <v>23</v>
      </c>
      <c r="H2714" t="s">
        <v>65</v>
      </c>
      <c r="I2714" t="s">
        <v>66</v>
      </c>
      <c r="J2714">
        <v>1</v>
      </c>
      <c r="K2714">
        <v>1999</v>
      </c>
      <c r="L2714">
        <f>Table1[[#This Row],[Quantity]] * Table1[[#This Row],[UnitPrice]]</f>
        <v>1999</v>
      </c>
      <c r="M2714" s="25">
        <v>20</v>
      </c>
      <c r="N2714">
        <f>Table1[[#This Row],[Revenue]]*Table1[[#This Row],[Discount%]]/100</f>
        <v>399.8</v>
      </c>
      <c r="O2714" s="6">
        <f>Table1[[#This Row],[Revenue]]-Table1[[#This Row],[Disc_amount]]</f>
        <v>1599.2</v>
      </c>
      <c r="P2714" t="s">
        <v>86</v>
      </c>
      <c r="Q2714" t="s">
        <v>34</v>
      </c>
    </row>
    <row r="2715" spans="1:17">
      <c r="A2715" t="s">
        <v>3568</v>
      </c>
      <c r="B2715" s="1" t="s">
        <v>2562</v>
      </c>
      <c r="C2715" s="1" t="s">
        <v>3431</v>
      </c>
      <c r="D2715" s="1" t="s">
        <v>20</v>
      </c>
      <c r="E2715" t="s">
        <v>430</v>
      </c>
      <c r="F2715" t="s">
        <v>101</v>
      </c>
      <c r="G2715" t="s">
        <v>31</v>
      </c>
      <c r="H2715" t="s">
        <v>65</v>
      </c>
      <c r="I2715" t="s">
        <v>94</v>
      </c>
      <c r="J2715">
        <v>3</v>
      </c>
      <c r="K2715">
        <v>899</v>
      </c>
      <c r="L2715">
        <f>Table1[[#This Row],[Quantity]] * Table1[[#This Row],[UnitPrice]]</f>
        <v>2697</v>
      </c>
      <c r="M2715" s="25">
        <v>5</v>
      </c>
      <c r="N2715">
        <f>Table1[[#This Row],[Revenue]]*Table1[[#This Row],[Discount%]]/100</f>
        <v>134.85</v>
      </c>
      <c r="O2715" s="6">
        <f>Table1[[#This Row],[Revenue]]-Table1[[#This Row],[Disc_amount]]</f>
        <v>2562.15</v>
      </c>
      <c r="P2715" t="s">
        <v>33</v>
      </c>
      <c r="Q2715" t="s">
        <v>34</v>
      </c>
    </row>
    <row r="2716" spans="1:17">
      <c r="A2716" t="s">
        <v>3569</v>
      </c>
      <c r="B2716" s="1" t="s">
        <v>2562</v>
      </c>
      <c r="C2716" s="1" t="s">
        <v>3431</v>
      </c>
      <c r="D2716" s="1" t="s">
        <v>20</v>
      </c>
      <c r="E2716" t="s">
        <v>200</v>
      </c>
      <c r="F2716" t="s">
        <v>22</v>
      </c>
      <c r="G2716" t="s">
        <v>38</v>
      </c>
      <c r="H2716" t="s">
        <v>39</v>
      </c>
      <c r="I2716" t="s">
        <v>40</v>
      </c>
      <c r="J2716">
        <v>2</v>
      </c>
      <c r="K2716">
        <v>599</v>
      </c>
      <c r="L2716">
        <f>Table1[[#This Row],[Quantity]] * Table1[[#This Row],[UnitPrice]]</f>
        <v>1198</v>
      </c>
      <c r="M2716" s="25">
        <v>0</v>
      </c>
      <c r="N2716">
        <f>Table1[[#This Row],[Revenue]]*Table1[[#This Row],[Discount%]]/100</f>
        <v>0</v>
      </c>
      <c r="O2716" s="6">
        <f>Table1[[#This Row],[Revenue]]-Table1[[#This Row],[Disc_amount]]</f>
        <v>1198</v>
      </c>
      <c r="P2716" t="s">
        <v>26</v>
      </c>
      <c r="Q2716" t="s">
        <v>27</v>
      </c>
    </row>
    <row r="2717" spans="1:17">
      <c r="A2717" t="s">
        <v>3570</v>
      </c>
      <c r="B2717" s="1" t="s">
        <v>2562</v>
      </c>
      <c r="C2717" s="1" t="s">
        <v>3431</v>
      </c>
      <c r="D2717" s="1" t="s">
        <v>20</v>
      </c>
      <c r="E2717" t="s">
        <v>895</v>
      </c>
      <c r="F2717" t="s">
        <v>759</v>
      </c>
      <c r="G2717" t="s">
        <v>31</v>
      </c>
      <c r="H2717" t="s">
        <v>70</v>
      </c>
      <c r="I2717" t="s">
        <v>71</v>
      </c>
      <c r="J2717">
        <v>1</v>
      </c>
      <c r="K2717">
        <v>349</v>
      </c>
      <c r="L2717">
        <f>Table1[[#This Row],[Quantity]] * Table1[[#This Row],[UnitPrice]]</f>
        <v>349</v>
      </c>
      <c r="M2717" s="25">
        <v>15</v>
      </c>
      <c r="N2717">
        <f>Table1[[#This Row],[Revenue]]*Table1[[#This Row],[Discount%]]/100</f>
        <v>52.35</v>
      </c>
      <c r="O2717" s="6">
        <f>Table1[[#This Row],[Revenue]]-Table1[[#This Row],[Disc_amount]]</f>
        <v>296.64999999999998</v>
      </c>
      <c r="P2717" t="s">
        <v>52</v>
      </c>
      <c r="Q2717" t="s">
        <v>27</v>
      </c>
    </row>
    <row r="2718" spans="1:17">
      <c r="A2718" t="s">
        <v>3571</v>
      </c>
      <c r="B2718" s="1" t="s">
        <v>2562</v>
      </c>
      <c r="C2718" s="1" t="s">
        <v>3431</v>
      </c>
      <c r="D2718" s="1" t="s">
        <v>20</v>
      </c>
      <c r="E2718" t="s">
        <v>755</v>
      </c>
      <c r="F2718" t="s">
        <v>756</v>
      </c>
      <c r="G2718" t="s">
        <v>38</v>
      </c>
      <c r="H2718" t="s">
        <v>24</v>
      </c>
      <c r="I2718" t="s">
        <v>32</v>
      </c>
      <c r="J2718">
        <v>1</v>
      </c>
      <c r="K2718">
        <v>199</v>
      </c>
      <c r="L2718">
        <f>Table1[[#This Row],[Quantity]] * Table1[[#This Row],[UnitPrice]]</f>
        <v>199</v>
      </c>
      <c r="M2718" s="25">
        <v>30</v>
      </c>
      <c r="N2718">
        <f>Table1[[#This Row],[Revenue]]*Table1[[#This Row],[Discount%]]/100</f>
        <v>59.7</v>
      </c>
      <c r="O2718" s="6">
        <f>Table1[[#This Row],[Revenue]]-Table1[[#This Row],[Disc_amount]]</f>
        <v>139.30000000000001</v>
      </c>
      <c r="P2718" t="s">
        <v>26</v>
      </c>
      <c r="Q2718" t="s">
        <v>27</v>
      </c>
    </row>
    <row r="2719" spans="1:17">
      <c r="A2719" t="s">
        <v>3572</v>
      </c>
      <c r="B2719" s="1" t="s">
        <v>2568</v>
      </c>
      <c r="C2719" s="1" t="s">
        <v>3431</v>
      </c>
      <c r="D2719" s="1" t="s">
        <v>20</v>
      </c>
      <c r="E2719" t="s">
        <v>354</v>
      </c>
      <c r="F2719" t="s">
        <v>355</v>
      </c>
      <c r="G2719" t="s">
        <v>31</v>
      </c>
      <c r="H2719" t="s">
        <v>46</v>
      </c>
      <c r="I2719" t="s">
        <v>154</v>
      </c>
      <c r="J2719">
        <v>5</v>
      </c>
      <c r="K2719">
        <v>299</v>
      </c>
      <c r="L2719">
        <f>Table1[[#This Row],[Quantity]] * Table1[[#This Row],[UnitPrice]]</f>
        <v>1495</v>
      </c>
      <c r="M2719" s="25">
        <v>5</v>
      </c>
      <c r="N2719">
        <f>Table1[[#This Row],[Revenue]]*Table1[[#This Row],[Discount%]]/100</f>
        <v>74.75</v>
      </c>
      <c r="O2719" s="6">
        <f>Table1[[#This Row],[Revenue]]-Table1[[#This Row],[Disc_amount]]</f>
        <v>1420.25</v>
      </c>
      <c r="P2719" t="s">
        <v>41</v>
      </c>
      <c r="Q2719" t="s">
        <v>27</v>
      </c>
    </row>
    <row r="2720" spans="1:17">
      <c r="A2720" t="s">
        <v>3573</v>
      </c>
      <c r="B2720" s="1" t="s">
        <v>2568</v>
      </c>
      <c r="C2720" s="1" t="s">
        <v>3431</v>
      </c>
      <c r="D2720" s="1" t="s">
        <v>20</v>
      </c>
      <c r="E2720" t="s">
        <v>447</v>
      </c>
      <c r="F2720" t="s">
        <v>229</v>
      </c>
      <c r="G2720" t="s">
        <v>23</v>
      </c>
      <c r="H2720" t="s">
        <v>24</v>
      </c>
      <c r="I2720" t="s">
        <v>32</v>
      </c>
      <c r="J2720">
        <v>4</v>
      </c>
      <c r="K2720">
        <v>199</v>
      </c>
      <c r="L2720">
        <f>Table1[[#This Row],[Quantity]] * Table1[[#This Row],[UnitPrice]]</f>
        <v>796</v>
      </c>
      <c r="M2720" s="25">
        <v>5</v>
      </c>
      <c r="N2720">
        <f>Table1[[#This Row],[Revenue]]*Table1[[#This Row],[Discount%]]/100</f>
        <v>39.799999999999997</v>
      </c>
      <c r="O2720" s="6">
        <f>Table1[[#This Row],[Revenue]]-Table1[[#This Row],[Disc_amount]]</f>
        <v>756.2</v>
      </c>
      <c r="P2720" t="s">
        <v>33</v>
      </c>
      <c r="Q2720" t="s">
        <v>27</v>
      </c>
    </row>
    <row r="2721" spans="1:17">
      <c r="A2721" t="s">
        <v>3574</v>
      </c>
      <c r="B2721" s="1" t="s">
        <v>2568</v>
      </c>
      <c r="C2721" s="1" t="s">
        <v>3431</v>
      </c>
      <c r="D2721" s="1" t="s">
        <v>20</v>
      </c>
      <c r="E2721" t="s">
        <v>1003</v>
      </c>
      <c r="F2721" t="s">
        <v>1004</v>
      </c>
      <c r="G2721" t="s">
        <v>38</v>
      </c>
      <c r="H2721" t="s">
        <v>65</v>
      </c>
      <c r="I2721" t="s">
        <v>66</v>
      </c>
      <c r="J2721">
        <v>3</v>
      </c>
      <c r="K2721">
        <v>1999</v>
      </c>
      <c r="L2721">
        <f>Table1[[#This Row],[Quantity]] * Table1[[#This Row],[UnitPrice]]</f>
        <v>5997</v>
      </c>
      <c r="M2721" s="25">
        <v>30</v>
      </c>
      <c r="N2721">
        <f>Table1[[#This Row],[Revenue]]*Table1[[#This Row],[Discount%]]/100</f>
        <v>1799.1</v>
      </c>
      <c r="O2721" s="6">
        <f>Table1[[#This Row],[Revenue]]-Table1[[#This Row],[Disc_amount]]</f>
        <v>4197.8999999999996</v>
      </c>
      <c r="P2721" t="s">
        <v>41</v>
      </c>
      <c r="Q2721" t="s">
        <v>27</v>
      </c>
    </row>
    <row r="2722" spans="1:17">
      <c r="A2722" t="s">
        <v>3575</v>
      </c>
      <c r="B2722" s="1" t="s">
        <v>2568</v>
      </c>
      <c r="C2722" s="1" t="s">
        <v>3431</v>
      </c>
      <c r="D2722" s="1" t="s">
        <v>20</v>
      </c>
      <c r="E2722" t="s">
        <v>1129</v>
      </c>
      <c r="F2722" t="s">
        <v>345</v>
      </c>
      <c r="G2722" t="s">
        <v>45</v>
      </c>
      <c r="H2722" t="s">
        <v>57</v>
      </c>
      <c r="I2722" t="s">
        <v>58</v>
      </c>
      <c r="J2722">
        <v>1</v>
      </c>
      <c r="K2722">
        <v>1299</v>
      </c>
      <c r="L2722">
        <f>Table1[[#This Row],[Quantity]] * Table1[[#This Row],[UnitPrice]]</f>
        <v>1299</v>
      </c>
      <c r="M2722" s="25">
        <v>10</v>
      </c>
      <c r="N2722">
        <f>Table1[[#This Row],[Revenue]]*Table1[[#This Row],[Discount%]]/100</f>
        <v>129.9</v>
      </c>
      <c r="O2722" s="6">
        <f>Table1[[#This Row],[Revenue]]-Table1[[#This Row],[Disc_amount]]</f>
        <v>1169.0999999999999</v>
      </c>
      <c r="P2722" t="s">
        <v>33</v>
      </c>
      <c r="Q2722" t="s">
        <v>27</v>
      </c>
    </row>
    <row r="2723" spans="1:17">
      <c r="A2723" t="s">
        <v>3576</v>
      </c>
      <c r="B2723" s="1" t="s">
        <v>2568</v>
      </c>
      <c r="C2723" s="1" t="s">
        <v>3431</v>
      </c>
      <c r="D2723" s="1" t="s">
        <v>20</v>
      </c>
      <c r="E2723" t="s">
        <v>596</v>
      </c>
      <c r="F2723" t="s">
        <v>597</v>
      </c>
      <c r="G2723" t="s">
        <v>45</v>
      </c>
      <c r="H2723" t="s">
        <v>65</v>
      </c>
      <c r="I2723" t="s">
        <v>98</v>
      </c>
      <c r="J2723">
        <v>2</v>
      </c>
      <c r="K2723">
        <v>499</v>
      </c>
      <c r="L2723">
        <f>Table1[[#This Row],[Quantity]] * Table1[[#This Row],[UnitPrice]]</f>
        <v>998</v>
      </c>
      <c r="M2723" s="25">
        <v>25</v>
      </c>
      <c r="N2723">
        <f>Table1[[#This Row],[Revenue]]*Table1[[#This Row],[Discount%]]/100</f>
        <v>249.5</v>
      </c>
      <c r="O2723" s="6">
        <f>Table1[[#This Row],[Revenue]]-Table1[[#This Row],[Disc_amount]]</f>
        <v>748.5</v>
      </c>
      <c r="P2723" t="s">
        <v>52</v>
      </c>
      <c r="Q2723" t="s">
        <v>27</v>
      </c>
    </row>
    <row r="2724" spans="1:17">
      <c r="A2724" t="s">
        <v>3577</v>
      </c>
      <c r="B2724" s="1" t="s">
        <v>2568</v>
      </c>
      <c r="C2724" s="1" t="s">
        <v>3431</v>
      </c>
      <c r="D2724" s="1" t="s">
        <v>20</v>
      </c>
      <c r="E2724" t="s">
        <v>555</v>
      </c>
      <c r="F2724" t="s">
        <v>384</v>
      </c>
      <c r="G2724" t="s">
        <v>31</v>
      </c>
      <c r="H2724" t="s">
        <v>65</v>
      </c>
      <c r="I2724" t="s">
        <v>66</v>
      </c>
      <c r="J2724">
        <v>1</v>
      </c>
      <c r="K2724">
        <v>1999</v>
      </c>
      <c r="L2724">
        <f>Table1[[#This Row],[Quantity]] * Table1[[#This Row],[UnitPrice]]</f>
        <v>1999</v>
      </c>
      <c r="M2724" s="25">
        <v>15</v>
      </c>
      <c r="N2724">
        <f>Table1[[#This Row],[Revenue]]*Table1[[#This Row],[Discount%]]/100</f>
        <v>299.85000000000002</v>
      </c>
      <c r="O2724" s="6">
        <f>Table1[[#This Row],[Revenue]]-Table1[[#This Row],[Disc_amount]]</f>
        <v>1699.15</v>
      </c>
      <c r="P2724" t="s">
        <v>52</v>
      </c>
      <c r="Q2724" t="s">
        <v>27</v>
      </c>
    </row>
    <row r="2725" spans="1:17">
      <c r="A2725" t="s">
        <v>3578</v>
      </c>
      <c r="B2725" s="1" t="s">
        <v>2568</v>
      </c>
      <c r="C2725" s="1" t="s">
        <v>3431</v>
      </c>
      <c r="D2725" s="1" t="s">
        <v>20</v>
      </c>
      <c r="E2725" t="s">
        <v>865</v>
      </c>
      <c r="F2725" t="s">
        <v>355</v>
      </c>
      <c r="G2725" t="s">
        <v>38</v>
      </c>
      <c r="H2725" t="s">
        <v>39</v>
      </c>
      <c r="I2725" t="s">
        <v>51</v>
      </c>
      <c r="J2725">
        <v>2</v>
      </c>
      <c r="K2725">
        <v>2999</v>
      </c>
      <c r="L2725">
        <f>Table1[[#This Row],[Quantity]] * Table1[[#This Row],[UnitPrice]]</f>
        <v>5998</v>
      </c>
      <c r="M2725" s="25">
        <v>10</v>
      </c>
      <c r="N2725">
        <f>Table1[[#This Row],[Revenue]]*Table1[[#This Row],[Discount%]]/100</f>
        <v>599.79999999999995</v>
      </c>
      <c r="O2725" s="6">
        <f>Table1[[#This Row],[Revenue]]-Table1[[#This Row],[Disc_amount]]</f>
        <v>5398.2</v>
      </c>
      <c r="P2725" t="s">
        <v>86</v>
      </c>
      <c r="Q2725" t="s">
        <v>34</v>
      </c>
    </row>
    <row r="2726" spans="1:17">
      <c r="A2726" t="s">
        <v>3579</v>
      </c>
      <c r="B2726" s="1" t="s">
        <v>2568</v>
      </c>
      <c r="C2726" s="1" t="s">
        <v>3431</v>
      </c>
      <c r="D2726" s="1" t="s">
        <v>20</v>
      </c>
      <c r="E2726" t="s">
        <v>490</v>
      </c>
      <c r="F2726" t="s">
        <v>478</v>
      </c>
      <c r="G2726" t="s">
        <v>56</v>
      </c>
      <c r="H2726" t="s">
        <v>39</v>
      </c>
      <c r="I2726" t="s">
        <v>140</v>
      </c>
      <c r="J2726">
        <v>1</v>
      </c>
      <c r="K2726">
        <v>1799</v>
      </c>
      <c r="L2726">
        <f>Table1[[#This Row],[Quantity]] * Table1[[#This Row],[UnitPrice]]</f>
        <v>1799</v>
      </c>
      <c r="M2726" s="25">
        <v>10</v>
      </c>
      <c r="N2726">
        <f>Table1[[#This Row],[Revenue]]*Table1[[#This Row],[Discount%]]/100</f>
        <v>179.9</v>
      </c>
      <c r="O2726" s="6">
        <f>Table1[[#This Row],[Revenue]]-Table1[[#This Row],[Disc_amount]]</f>
        <v>1619.1</v>
      </c>
      <c r="P2726" t="s">
        <v>33</v>
      </c>
      <c r="Q2726" t="s">
        <v>27</v>
      </c>
    </row>
    <row r="2727" spans="1:17">
      <c r="A2727" t="s">
        <v>3580</v>
      </c>
      <c r="B2727" s="1" t="s">
        <v>2568</v>
      </c>
      <c r="C2727" s="1" t="s">
        <v>3431</v>
      </c>
      <c r="D2727" s="1" t="s">
        <v>20</v>
      </c>
      <c r="E2727" t="s">
        <v>662</v>
      </c>
      <c r="F2727" t="s">
        <v>450</v>
      </c>
      <c r="G2727" t="s">
        <v>45</v>
      </c>
      <c r="H2727" t="s">
        <v>70</v>
      </c>
      <c r="I2727" t="s">
        <v>71</v>
      </c>
      <c r="J2727">
        <v>1</v>
      </c>
      <c r="K2727">
        <v>349</v>
      </c>
      <c r="L2727">
        <f>Table1[[#This Row],[Quantity]] * Table1[[#This Row],[UnitPrice]]</f>
        <v>349</v>
      </c>
      <c r="M2727" s="25">
        <v>5</v>
      </c>
      <c r="N2727">
        <f>Table1[[#This Row],[Revenue]]*Table1[[#This Row],[Discount%]]/100</f>
        <v>17.45</v>
      </c>
      <c r="O2727" s="6">
        <f>Table1[[#This Row],[Revenue]]-Table1[[#This Row],[Disc_amount]]</f>
        <v>331.55</v>
      </c>
      <c r="P2727" t="s">
        <v>52</v>
      </c>
      <c r="Q2727" t="s">
        <v>34</v>
      </c>
    </row>
    <row r="2728" spans="1:17">
      <c r="A2728" t="s">
        <v>3581</v>
      </c>
      <c r="B2728" s="1" t="s">
        <v>2568</v>
      </c>
      <c r="C2728" s="1" t="s">
        <v>3431</v>
      </c>
      <c r="D2728" s="1" t="s">
        <v>20</v>
      </c>
      <c r="E2728" t="s">
        <v>76</v>
      </c>
      <c r="F2728" t="s">
        <v>77</v>
      </c>
      <c r="G2728" t="s">
        <v>23</v>
      </c>
      <c r="H2728" t="s">
        <v>108</v>
      </c>
      <c r="I2728" t="s">
        <v>109</v>
      </c>
      <c r="J2728">
        <v>2</v>
      </c>
      <c r="K2728">
        <v>1499</v>
      </c>
      <c r="L2728">
        <f>Table1[[#This Row],[Quantity]] * Table1[[#This Row],[UnitPrice]]</f>
        <v>2998</v>
      </c>
      <c r="M2728" s="25">
        <v>20</v>
      </c>
      <c r="N2728">
        <f>Table1[[#This Row],[Revenue]]*Table1[[#This Row],[Discount%]]/100</f>
        <v>599.6</v>
      </c>
      <c r="O2728" s="6">
        <f>Table1[[#This Row],[Revenue]]-Table1[[#This Row],[Disc_amount]]</f>
        <v>2398.4</v>
      </c>
      <c r="P2728" t="s">
        <v>26</v>
      </c>
      <c r="Q2728" t="s">
        <v>34</v>
      </c>
    </row>
    <row r="2729" spans="1:17">
      <c r="A2729" t="s">
        <v>3582</v>
      </c>
      <c r="B2729" s="1" t="s">
        <v>2568</v>
      </c>
      <c r="C2729" s="1" t="s">
        <v>3431</v>
      </c>
      <c r="D2729" s="1" t="s">
        <v>20</v>
      </c>
      <c r="E2729" t="s">
        <v>766</v>
      </c>
      <c r="F2729" t="s">
        <v>767</v>
      </c>
      <c r="G2729" t="s">
        <v>31</v>
      </c>
      <c r="H2729" t="s">
        <v>46</v>
      </c>
      <c r="I2729" t="s">
        <v>154</v>
      </c>
      <c r="J2729">
        <v>4</v>
      </c>
      <c r="K2729">
        <v>299</v>
      </c>
      <c r="L2729">
        <f>Table1[[#This Row],[Quantity]] * Table1[[#This Row],[UnitPrice]]</f>
        <v>1196</v>
      </c>
      <c r="M2729" s="25">
        <v>15</v>
      </c>
      <c r="N2729">
        <f>Table1[[#This Row],[Revenue]]*Table1[[#This Row],[Discount%]]/100</f>
        <v>179.4</v>
      </c>
      <c r="O2729" s="6">
        <f>Table1[[#This Row],[Revenue]]-Table1[[#This Row],[Disc_amount]]</f>
        <v>1016.6</v>
      </c>
      <c r="P2729" t="s">
        <v>33</v>
      </c>
      <c r="Q2729" t="s">
        <v>34</v>
      </c>
    </row>
    <row r="2730" spans="1:17">
      <c r="A2730" t="s">
        <v>3583</v>
      </c>
      <c r="B2730" s="1" t="s">
        <v>2573</v>
      </c>
      <c r="C2730" s="1" t="s">
        <v>3431</v>
      </c>
      <c r="D2730" s="1" t="s">
        <v>20</v>
      </c>
      <c r="E2730" t="s">
        <v>2641</v>
      </c>
      <c r="F2730" t="s">
        <v>97</v>
      </c>
      <c r="G2730" t="s">
        <v>38</v>
      </c>
      <c r="H2730" t="s">
        <v>108</v>
      </c>
      <c r="I2730" t="s">
        <v>130</v>
      </c>
      <c r="J2730">
        <v>3</v>
      </c>
      <c r="K2730">
        <v>699</v>
      </c>
      <c r="L2730">
        <f>Table1[[#This Row],[Quantity]] * Table1[[#This Row],[UnitPrice]]</f>
        <v>2097</v>
      </c>
      <c r="M2730" s="25">
        <v>30</v>
      </c>
      <c r="N2730">
        <f>Table1[[#This Row],[Revenue]]*Table1[[#This Row],[Discount%]]/100</f>
        <v>629.1</v>
      </c>
      <c r="O2730" s="6">
        <f>Table1[[#This Row],[Revenue]]-Table1[[#This Row],[Disc_amount]]</f>
        <v>1467.9</v>
      </c>
      <c r="P2730" t="s">
        <v>33</v>
      </c>
      <c r="Q2730" t="s">
        <v>27</v>
      </c>
    </row>
    <row r="2731" spans="1:17">
      <c r="A2731" t="s">
        <v>3584</v>
      </c>
      <c r="B2731" s="1" t="s">
        <v>2573</v>
      </c>
      <c r="C2731" s="1" t="s">
        <v>3431</v>
      </c>
      <c r="D2731" s="1" t="s">
        <v>20</v>
      </c>
      <c r="E2731" t="s">
        <v>1178</v>
      </c>
      <c r="F2731" t="s">
        <v>358</v>
      </c>
      <c r="G2731" t="s">
        <v>31</v>
      </c>
      <c r="H2731" t="s">
        <v>24</v>
      </c>
      <c r="I2731" t="s">
        <v>32</v>
      </c>
      <c r="J2731">
        <v>3</v>
      </c>
      <c r="K2731">
        <v>199</v>
      </c>
      <c r="L2731">
        <f>Table1[[#This Row],[Quantity]] * Table1[[#This Row],[UnitPrice]]</f>
        <v>597</v>
      </c>
      <c r="M2731" s="25">
        <v>10</v>
      </c>
      <c r="N2731">
        <f>Table1[[#This Row],[Revenue]]*Table1[[#This Row],[Discount%]]/100</f>
        <v>59.7</v>
      </c>
      <c r="O2731" s="6">
        <f>Table1[[#This Row],[Revenue]]-Table1[[#This Row],[Disc_amount]]</f>
        <v>537.29999999999995</v>
      </c>
      <c r="P2731" t="s">
        <v>26</v>
      </c>
      <c r="Q2731" t="s">
        <v>27</v>
      </c>
    </row>
    <row r="2732" spans="1:17">
      <c r="A2732" t="s">
        <v>3585</v>
      </c>
      <c r="B2732" s="1" t="s">
        <v>2573</v>
      </c>
      <c r="C2732" s="1" t="s">
        <v>3431</v>
      </c>
      <c r="D2732" s="1" t="s">
        <v>20</v>
      </c>
      <c r="E2732" t="s">
        <v>1385</v>
      </c>
      <c r="F2732" t="s">
        <v>153</v>
      </c>
      <c r="G2732" t="s">
        <v>23</v>
      </c>
      <c r="H2732" t="s">
        <v>57</v>
      </c>
      <c r="I2732" t="s">
        <v>58</v>
      </c>
      <c r="J2732">
        <v>1</v>
      </c>
      <c r="K2732">
        <v>1299</v>
      </c>
      <c r="L2732">
        <f>Table1[[#This Row],[Quantity]] * Table1[[#This Row],[UnitPrice]]</f>
        <v>1299</v>
      </c>
      <c r="M2732" s="25">
        <v>0</v>
      </c>
      <c r="N2732">
        <f>Table1[[#This Row],[Revenue]]*Table1[[#This Row],[Discount%]]/100</f>
        <v>0</v>
      </c>
      <c r="O2732" s="6">
        <f>Table1[[#This Row],[Revenue]]-Table1[[#This Row],[Disc_amount]]</f>
        <v>1299</v>
      </c>
      <c r="P2732" t="s">
        <v>26</v>
      </c>
      <c r="Q2732" t="s">
        <v>27</v>
      </c>
    </row>
    <row r="2733" spans="1:17">
      <c r="A2733" t="s">
        <v>3586</v>
      </c>
      <c r="B2733" s="1" t="s">
        <v>2573</v>
      </c>
      <c r="C2733" s="1" t="s">
        <v>3431</v>
      </c>
      <c r="D2733" s="1" t="s">
        <v>20</v>
      </c>
      <c r="E2733" t="s">
        <v>1259</v>
      </c>
      <c r="F2733" t="s">
        <v>1260</v>
      </c>
      <c r="G2733" t="s">
        <v>23</v>
      </c>
      <c r="H2733" t="s">
        <v>24</v>
      </c>
      <c r="I2733" t="s">
        <v>32</v>
      </c>
      <c r="J2733">
        <v>3</v>
      </c>
      <c r="K2733">
        <v>199</v>
      </c>
      <c r="L2733">
        <f>Table1[[#This Row],[Quantity]] * Table1[[#This Row],[UnitPrice]]</f>
        <v>597</v>
      </c>
      <c r="M2733" s="25">
        <v>5</v>
      </c>
      <c r="N2733">
        <f>Table1[[#This Row],[Revenue]]*Table1[[#This Row],[Discount%]]/100</f>
        <v>29.85</v>
      </c>
      <c r="O2733" s="6">
        <f>Table1[[#This Row],[Revenue]]-Table1[[#This Row],[Disc_amount]]</f>
        <v>567.15</v>
      </c>
      <c r="P2733" t="s">
        <v>26</v>
      </c>
      <c r="Q2733" t="s">
        <v>34</v>
      </c>
    </row>
    <row r="2734" spans="1:17">
      <c r="A2734" t="s">
        <v>3587</v>
      </c>
      <c r="B2734" s="1" t="s">
        <v>2573</v>
      </c>
      <c r="C2734" s="1" t="s">
        <v>3431</v>
      </c>
      <c r="D2734" s="1" t="s">
        <v>20</v>
      </c>
      <c r="E2734" t="s">
        <v>2177</v>
      </c>
      <c r="F2734" t="s">
        <v>203</v>
      </c>
      <c r="G2734" t="s">
        <v>38</v>
      </c>
      <c r="H2734" t="s">
        <v>65</v>
      </c>
      <c r="I2734" t="s">
        <v>94</v>
      </c>
      <c r="J2734">
        <v>1</v>
      </c>
      <c r="K2734">
        <v>899</v>
      </c>
      <c r="L2734">
        <f>Table1[[#This Row],[Quantity]] * Table1[[#This Row],[UnitPrice]]</f>
        <v>899</v>
      </c>
      <c r="M2734" s="25">
        <v>0</v>
      </c>
      <c r="N2734">
        <f>Table1[[#This Row],[Revenue]]*Table1[[#This Row],[Discount%]]/100</f>
        <v>0</v>
      </c>
      <c r="O2734" s="6">
        <f>Table1[[#This Row],[Revenue]]-Table1[[#This Row],[Disc_amount]]</f>
        <v>899</v>
      </c>
      <c r="P2734" t="s">
        <v>52</v>
      </c>
      <c r="Q2734" t="s">
        <v>34</v>
      </c>
    </row>
    <row r="2735" spans="1:17">
      <c r="A2735" t="s">
        <v>3588</v>
      </c>
      <c r="B2735" s="1" t="s">
        <v>2573</v>
      </c>
      <c r="C2735" s="1" t="s">
        <v>3431</v>
      </c>
      <c r="D2735" s="1" t="s">
        <v>20</v>
      </c>
      <c r="E2735" t="s">
        <v>282</v>
      </c>
      <c r="F2735" t="s">
        <v>283</v>
      </c>
      <c r="G2735" t="s">
        <v>31</v>
      </c>
      <c r="H2735" t="s">
        <v>57</v>
      </c>
      <c r="I2735" t="s">
        <v>58</v>
      </c>
      <c r="J2735">
        <v>1</v>
      </c>
      <c r="K2735">
        <v>1299</v>
      </c>
      <c r="L2735">
        <f>Table1[[#This Row],[Quantity]] * Table1[[#This Row],[UnitPrice]]</f>
        <v>1299</v>
      </c>
      <c r="M2735" s="25">
        <v>15</v>
      </c>
      <c r="N2735">
        <f>Table1[[#This Row],[Revenue]]*Table1[[#This Row],[Discount%]]/100</f>
        <v>194.85</v>
      </c>
      <c r="O2735" s="6">
        <f>Table1[[#This Row],[Revenue]]-Table1[[#This Row],[Disc_amount]]</f>
        <v>1104.1500000000001</v>
      </c>
      <c r="P2735" t="s">
        <v>33</v>
      </c>
      <c r="Q2735" t="s">
        <v>34</v>
      </c>
    </row>
    <row r="2736" spans="1:17">
      <c r="A2736" t="s">
        <v>3589</v>
      </c>
      <c r="B2736" s="1" t="s">
        <v>2573</v>
      </c>
      <c r="C2736" s="1" t="s">
        <v>3431</v>
      </c>
      <c r="D2736" s="1" t="s">
        <v>20</v>
      </c>
      <c r="E2736" t="s">
        <v>884</v>
      </c>
      <c r="F2736" t="s">
        <v>160</v>
      </c>
      <c r="G2736" t="s">
        <v>56</v>
      </c>
      <c r="H2736" t="s">
        <v>57</v>
      </c>
      <c r="I2736" t="s">
        <v>58</v>
      </c>
      <c r="J2736">
        <v>1</v>
      </c>
      <c r="K2736">
        <v>1299</v>
      </c>
      <c r="L2736">
        <f>Table1[[#This Row],[Quantity]] * Table1[[#This Row],[UnitPrice]]</f>
        <v>1299</v>
      </c>
      <c r="M2736" s="25">
        <v>5</v>
      </c>
      <c r="N2736">
        <f>Table1[[#This Row],[Revenue]]*Table1[[#This Row],[Discount%]]/100</f>
        <v>64.95</v>
      </c>
      <c r="O2736" s="6">
        <f>Table1[[#This Row],[Revenue]]-Table1[[#This Row],[Disc_amount]]</f>
        <v>1234.05</v>
      </c>
      <c r="P2736" t="s">
        <v>52</v>
      </c>
      <c r="Q2736" t="s">
        <v>34</v>
      </c>
    </row>
    <row r="2737" spans="1:17">
      <c r="A2737" t="s">
        <v>3590</v>
      </c>
      <c r="B2737" s="1" t="s">
        <v>2573</v>
      </c>
      <c r="C2737" s="1" t="s">
        <v>3431</v>
      </c>
      <c r="D2737" s="1" t="s">
        <v>20</v>
      </c>
      <c r="E2737" t="s">
        <v>875</v>
      </c>
      <c r="F2737" t="s">
        <v>876</v>
      </c>
      <c r="G2737" t="s">
        <v>23</v>
      </c>
      <c r="H2737" t="s">
        <v>65</v>
      </c>
      <c r="I2737" t="s">
        <v>98</v>
      </c>
      <c r="J2737">
        <v>4</v>
      </c>
      <c r="K2737">
        <v>499</v>
      </c>
      <c r="L2737">
        <f>Table1[[#This Row],[Quantity]] * Table1[[#This Row],[UnitPrice]]</f>
        <v>1996</v>
      </c>
      <c r="M2737" s="25">
        <v>5</v>
      </c>
      <c r="N2737">
        <f>Table1[[#This Row],[Revenue]]*Table1[[#This Row],[Discount%]]/100</f>
        <v>99.8</v>
      </c>
      <c r="O2737" s="6">
        <f>Table1[[#This Row],[Revenue]]-Table1[[#This Row],[Disc_amount]]</f>
        <v>1896.2</v>
      </c>
      <c r="P2737" t="s">
        <v>26</v>
      </c>
      <c r="Q2737" t="s">
        <v>34</v>
      </c>
    </row>
    <row r="2738" spans="1:17">
      <c r="A2738" t="s">
        <v>3591</v>
      </c>
      <c r="B2738" s="1" t="s">
        <v>2573</v>
      </c>
      <c r="C2738" s="1" t="s">
        <v>3431</v>
      </c>
      <c r="D2738" s="1" t="s">
        <v>20</v>
      </c>
      <c r="E2738" t="s">
        <v>906</v>
      </c>
      <c r="F2738" t="s">
        <v>907</v>
      </c>
      <c r="G2738" t="s">
        <v>56</v>
      </c>
      <c r="H2738" t="s">
        <v>108</v>
      </c>
      <c r="I2738" t="s">
        <v>109</v>
      </c>
      <c r="J2738">
        <v>1</v>
      </c>
      <c r="K2738">
        <v>1499</v>
      </c>
      <c r="L2738">
        <f>Table1[[#This Row],[Quantity]] * Table1[[#This Row],[UnitPrice]]</f>
        <v>1499</v>
      </c>
      <c r="M2738" s="25">
        <v>30</v>
      </c>
      <c r="N2738">
        <f>Table1[[#This Row],[Revenue]]*Table1[[#This Row],[Discount%]]/100</f>
        <v>449.7</v>
      </c>
      <c r="O2738" s="6">
        <f>Table1[[#This Row],[Revenue]]-Table1[[#This Row],[Disc_amount]]</f>
        <v>1049.3</v>
      </c>
      <c r="P2738" t="s">
        <v>52</v>
      </c>
      <c r="Q2738" t="s">
        <v>27</v>
      </c>
    </row>
    <row r="2739" spans="1:17">
      <c r="A2739" t="s">
        <v>3592</v>
      </c>
      <c r="B2739" s="1" t="s">
        <v>2573</v>
      </c>
      <c r="C2739" s="1" t="s">
        <v>3431</v>
      </c>
      <c r="D2739" s="1" t="s">
        <v>20</v>
      </c>
      <c r="E2739" t="s">
        <v>394</v>
      </c>
      <c r="F2739" t="s">
        <v>338</v>
      </c>
      <c r="G2739" t="s">
        <v>31</v>
      </c>
      <c r="H2739" t="s">
        <v>57</v>
      </c>
      <c r="I2739" t="s">
        <v>58</v>
      </c>
      <c r="J2739">
        <v>2</v>
      </c>
      <c r="K2739">
        <v>1299</v>
      </c>
      <c r="L2739">
        <f>Table1[[#This Row],[Quantity]] * Table1[[#This Row],[UnitPrice]]</f>
        <v>2598</v>
      </c>
      <c r="M2739" s="25">
        <v>5</v>
      </c>
      <c r="N2739">
        <f>Table1[[#This Row],[Revenue]]*Table1[[#This Row],[Discount%]]/100</f>
        <v>129.9</v>
      </c>
      <c r="O2739" s="6">
        <f>Table1[[#This Row],[Revenue]]-Table1[[#This Row],[Disc_amount]]</f>
        <v>2468.1</v>
      </c>
      <c r="P2739" t="s">
        <v>33</v>
      </c>
      <c r="Q2739" t="s">
        <v>27</v>
      </c>
    </row>
    <row r="2740" spans="1:17">
      <c r="A2740" t="s">
        <v>3593</v>
      </c>
      <c r="B2740" s="1" t="s">
        <v>2573</v>
      </c>
      <c r="C2740" s="1" t="s">
        <v>3431</v>
      </c>
      <c r="D2740" s="1" t="s">
        <v>20</v>
      </c>
      <c r="E2740" t="s">
        <v>1623</v>
      </c>
      <c r="F2740" t="s">
        <v>1624</v>
      </c>
      <c r="G2740" t="s">
        <v>23</v>
      </c>
      <c r="H2740" t="s">
        <v>39</v>
      </c>
      <c r="I2740" t="s">
        <v>51</v>
      </c>
      <c r="J2740">
        <v>3</v>
      </c>
      <c r="K2740">
        <v>2999</v>
      </c>
      <c r="L2740">
        <f>Table1[[#This Row],[Quantity]] * Table1[[#This Row],[UnitPrice]]</f>
        <v>8997</v>
      </c>
      <c r="M2740" s="25">
        <v>20</v>
      </c>
      <c r="N2740">
        <f>Table1[[#This Row],[Revenue]]*Table1[[#This Row],[Discount%]]/100</f>
        <v>1799.4</v>
      </c>
      <c r="O2740" s="6">
        <f>Table1[[#This Row],[Revenue]]-Table1[[#This Row],[Disc_amount]]</f>
        <v>7197.6</v>
      </c>
      <c r="P2740" t="s">
        <v>52</v>
      </c>
      <c r="Q2740" t="s">
        <v>27</v>
      </c>
    </row>
    <row r="2741" spans="1:17">
      <c r="A2741" t="s">
        <v>3594</v>
      </c>
      <c r="B2741" s="1" t="s">
        <v>2573</v>
      </c>
      <c r="C2741" s="1" t="s">
        <v>3431</v>
      </c>
      <c r="D2741" s="1" t="s">
        <v>20</v>
      </c>
      <c r="E2741" t="s">
        <v>769</v>
      </c>
      <c r="F2741" t="s">
        <v>101</v>
      </c>
      <c r="G2741" t="s">
        <v>31</v>
      </c>
      <c r="H2741" t="s">
        <v>39</v>
      </c>
      <c r="I2741" t="s">
        <v>140</v>
      </c>
      <c r="J2741">
        <v>1</v>
      </c>
      <c r="K2741">
        <v>1799</v>
      </c>
      <c r="L2741">
        <f>Table1[[#This Row],[Quantity]] * Table1[[#This Row],[UnitPrice]]</f>
        <v>1799</v>
      </c>
      <c r="M2741" s="25">
        <v>10</v>
      </c>
      <c r="N2741">
        <f>Table1[[#This Row],[Revenue]]*Table1[[#This Row],[Discount%]]/100</f>
        <v>179.9</v>
      </c>
      <c r="O2741" s="6">
        <f>Table1[[#This Row],[Revenue]]-Table1[[#This Row],[Disc_amount]]</f>
        <v>1619.1</v>
      </c>
      <c r="P2741" t="s">
        <v>26</v>
      </c>
      <c r="Q2741" t="s">
        <v>27</v>
      </c>
    </row>
    <row r="2742" spans="1:17">
      <c r="A2742" t="s">
        <v>3595</v>
      </c>
      <c r="B2742" s="1" t="s">
        <v>2573</v>
      </c>
      <c r="C2742" s="1" t="s">
        <v>3431</v>
      </c>
      <c r="D2742" s="1" t="s">
        <v>20</v>
      </c>
      <c r="E2742" t="s">
        <v>995</v>
      </c>
      <c r="F2742" t="s">
        <v>900</v>
      </c>
      <c r="G2742" t="s">
        <v>38</v>
      </c>
      <c r="H2742" t="s">
        <v>57</v>
      </c>
      <c r="I2742" t="s">
        <v>62</v>
      </c>
      <c r="J2742">
        <v>1</v>
      </c>
      <c r="K2742">
        <v>799</v>
      </c>
      <c r="L2742">
        <f>Table1[[#This Row],[Quantity]] * Table1[[#This Row],[UnitPrice]]</f>
        <v>799</v>
      </c>
      <c r="M2742" s="25">
        <v>5</v>
      </c>
      <c r="N2742">
        <f>Table1[[#This Row],[Revenue]]*Table1[[#This Row],[Discount%]]/100</f>
        <v>39.950000000000003</v>
      </c>
      <c r="O2742" s="6">
        <f>Table1[[#This Row],[Revenue]]-Table1[[#This Row],[Disc_amount]]</f>
        <v>759.05</v>
      </c>
      <c r="P2742" t="s">
        <v>26</v>
      </c>
      <c r="Q2742" t="s">
        <v>27</v>
      </c>
    </row>
    <row r="2743" spans="1:17">
      <c r="A2743" t="s">
        <v>3596</v>
      </c>
      <c r="B2743" s="1" t="s">
        <v>2573</v>
      </c>
      <c r="C2743" s="1" t="s">
        <v>3431</v>
      </c>
      <c r="D2743" s="1" t="s">
        <v>20</v>
      </c>
      <c r="E2743" t="s">
        <v>300</v>
      </c>
      <c r="F2743" t="s">
        <v>301</v>
      </c>
      <c r="G2743" t="s">
        <v>38</v>
      </c>
      <c r="H2743" t="s">
        <v>24</v>
      </c>
      <c r="I2743" t="s">
        <v>32</v>
      </c>
      <c r="J2743">
        <v>2</v>
      </c>
      <c r="K2743">
        <v>199</v>
      </c>
      <c r="L2743">
        <f>Table1[[#This Row],[Quantity]] * Table1[[#This Row],[UnitPrice]]</f>
        <v>398</v>
      </c>
      <c r="M2743" s="25">
        <v>30</v>
      </c>
      <c r="N2743">
        <f>Table1[[#This Row],[Revenue]]*Table1[[#This Row],[Discount%]]/100</f>
        <v>119.4</v>
      </c>
      <c r="O2743" s="6">
        <f>Table1[[#This Row],[Revenue]]-Table1[[#This Row],[Disc_amount]]</f>
        <v>278.60000000000002</v>
      </c>
      <c r="P2743" t="s">
        <v>86</v>
      </c>
      <c r="Q2743" t="s">
        <v>34</v>
      </c>
    </row>
    <row r="2744" spans="1:17">
      <c r="A2744" t="s">
        <v>3597</v>
      </c>
      <c r="B2744" s="1" t="s">
        <v>2573</v>
      </c>
      <c r="C2744" s="1" t="s">
        <v>3431</v>
      </c>
      <c r="D2744" s="1" t="s">
        <v>20</v>
      </c>
      <c r="E2744" t="s">
        <v>2688</v>
      </c>
      <c r="F2744" t="s">
        <v>873</v>
      </c>
      <c r="G2744" t="s">
        <v>31</v>
      </c>
      <c r="H2744" t="s">
        <v>39</v>
      </c>
      <c r="I2744" t="s">
        <v>140</v>
      </c>
      <c r="J2744">
        <v>3</v>
      </c>
      <c r="K2744">
        <v>1799</v>
      </c>
      <c r="L2744">
        <f>Table1[[#This Row],[Quantity]] * Table1[[#This Row],[UnitPrice]]</f>
        <v>5397</v>
      </c>
      <c r="M2744" s="25">
        <v>0</v>
      </c>
      <c r="N2744">
        <f>Table1[[#This Row],[Revenue]]*Table1[[#This Row],[Discount%]]/100</f>
        <v>0</v>
      </c>
      <c r="O2744" s="6">
        <f>Table1[[#This Row],[Revenue]]-Table1[[#This Row],[Disc_amount]]</f>
        <v>5397</v>
      </c>
      <c r="P2744" t="s">
        <v>26</v>
      </c>
      <c r="Q2744" t="s">
        <v>27</v>
      </c>
    </row>
    <row r="2745" spans="1:17">
      <c r="A2745" t="s">
        <v>3598</v>
      </c>
      <c r="B2745" s="1" t="s">
        <v>2582</v>
      </c>
      <c r="C2745" s="1" t="s">
        <v>3431</v>
      </c>
      <c r="D2745" s="1" t="s">
        <v>20</v>
      </c>
      <c r="E2745" t="s">
        <v>865</v>
      </c>
      <c r="F2745" t="s">
        <v>355</v>
      </c>
      <c r="G2745" t="s">
        <v>45</v>
      </c>
      <c r="H2745" t="s">
        <v>65</v>
      </c>
      <c r="I2745" t="s">
        <v>98</v>
      </c>
      <c r="J2745">
        <v>2</v>
      </c>
      <c r="K2745">
        <v>499</v>
      </c>
      <c r="L2745">
        <f>Table1[[#This Row],[Quantity]] * Table1[[#This Row],[UnitPrice]]</f>
        <v>998</v>
      </c>
      <c r="M2745" s="25">
        <v>25</v>
      </c>
      <c r="N2745">
        <f>Table1[[#This Row],[Revenue]]*Table1[[#This Row],[Discount%]]/100</f>
        <v>249.5</v>
      </c>
      <c r="O2745" s="6">
        <f>Table1[[#This Row],[Revenue]]-Table1[[#This Row],[Disc_amount]]</f>
        <v>748.5</v>
      </c>
      <c r="P2745" t="s">
        <v>41</v>
      </c>
      <c r="Q2745" t="s">
        <v>27</v>
      </c>
    </row>
    <row r="2746" spans="1:17">
      <c r="A2746" t="s">
        <v>3599</v>
      </c>
      <c r="B2746" s="1" t="s">
        <v>2582</v>
      </c>
      <c r="C2746" s="1" t="s">
        <v>3431</v>
      </c>
      <c r="D2746" s="1" t="s">
        <v>20</v>
      </c>
      <c r="E2746" t="s">
        <v>3455</v>
      </c>
      <c r="F2746" t="s">
        <v>30</v>
      </c>
      <c r="G2746" t="s">
        <v>45</v>
      </c>
      <c r="H2746" t="s">
        <v>57</v>
      </c>
      <c r="I2746" t="s">
        <v>62</v>
      </c>
      <c r="J2746">
        <v>1</v>
      </c>
      <c r="K2746">
        <v>799</v>
      </c>
      <c r="L2746">
        <f>Table1[[#This Row],[Quantity]] * Table1[[#This Row],[UnitPrice]]</f>
        <v>799</v>
      </c>
      <c r="M2746" s="25">
        <v>15</v>
      </c>
      <c r="N2746">
        <f>Table1[[#This Row],[Revenue]]*Table1[[#This Row],[Discount%]]/100</f>
        <v>119.85</v>
      </c>
      <c r="O2746" s="6">
        <f>Table1[[#This Row],[Revenue]]-Table1[[#This Row],[Disc_amount]]</f>
        <v>679.15</v>
      </c>
      <c r="P2746" t="s">
        <v>33</v>
      </c>
      <c r="Q2746" t="s">
        <v>27</v>
      </c>
    </row>
    <row r="2747" spans="1:17">
      <c r="A2747" t="s">
        <v>3600</v>
      </c>
      <c r="B2747" s="1" t="s">
        <v>2582</v>
      </c>
      <c r="C2747" s="1" t="s">
        <v>3431</v>
      </c>
      <c r="D2747" s="1" t="s">
        <v>20</v>
      </c>
      <c r="E2747" t="s">
        <v>437</v>
      </c>
      <c r="F2747" t="s">
        <v>438</v>
      </c>
      <c r="G2747" t="s">
        <v>23</v>
      </c>
      <c r="H2747" t="s">
        <v>57</v>
      </c>
      <c r="I2747" t="s">
        <v>62</v>
      </c>
      <c r="J2747">
        <v>2</v>
      </c>
      <c r="K2747">
        <v>799</v>
      </c>
      <c r="L2747">
        <f>Table1[[#This Row],[Quantity]] * Table1[[#This Row],[UnitPrice]]</f>
        <v>1598</v>
      </c>
      <c r="M2747" s="25">
        <v>0</v>
      </c>
      <c r="N2747">
        <f>Table1[[#This Row],[Revenue]]*Table1[[#This Row],[Discount%]]/100</f>
        <v>0</v>
      </c>
      <c r="O2747" s="6">
        <f>Table1[[#This Row],[Revenue]]-Table1[[#This Row],[Disc_amount]]</f>
        <v>1598</v>
      </c>
      <c r="P2747" t="s">
        <v>26</v>
      </c>
      <c r="Q2747" t="s">
        <v>34</v>
      </c>
    </row>
    <row r="2748" spans="1:17">
      <c r="A2748" t="s">
        <v>3601</v>
      </c>
      <c r="B2748" s="1" t="s">
        <v>2582</v>
      </c>
      <c r="C2748" s="1" t="s">
        <v>3431</v>
      </c>
      <c r="D2748" s="1" t="s">
        <v>20</v>
      </c>
      <c r="E2748" t="s">
        <v>592</v>
      </c>
      <c r="F2748" t="s">
        <v>268</v>
      </c>
      <c r="G2748" t="s">
        <v>31</v>
      </c>
      <c r="H2748" t="s">
        <v>108</v>
      </c>
      <c r="I2748" t="s">
        <v>109</v>
      </c>
      <c r="J2748">
        <v>3</v>
      </c>
      <c r="K2748">
        <v>1499</v>
      </c>
      <c r="L2748">
        <f>Table1[[#This Row],[Quantity]] * Table1[[#This Row],[UnitPrice]]</f>
        <v>4497</v>
      </c>
      <c r="M2748" s="25">
        <v>10</v>
      </c>
      <c r="N2748">
        <f>Table1[[#This Row],[Revenue]]*Table1[[#This Row],[Discount%]]/100</f>
        <v>449.7</v>
      </c>
      <c r="O2748" s="6">
        <f>Table1[[#This Row],[Revenue]]-Table1[[#This Row],[Disc_amount]]</f>
        <v>4047.3</v>
      </c>
      <c r="P2748" t="s">
        <v>33</v>
      </c>
      <c r="Q2748" t="s">
        <v>27</v>
      </c>
    </row>
    <row r="2749" spans="1:17">
      <c r="A2749" t="s">
        <v>3602</v>
      </c>
      <c r="B2749" s="1" t="s">
        <v>2582</v>
      </c>
      <c r="C2749" s="1" t="s">
        <v>3431</v>
      </c>
      <c r="D2749" s="1" t="s">
        <v>20</v>
      </c>
      <c r="E2749" t="s">
        <v>294</v>
      </c>
      <c r="F2749" t="s">
        <v>295</v>
      </c>
      <c r="G2749" t="s">
        <v>23</v>
      </c>
      <c r="H2749" t="s">
        <v>65</v>
      </c>
      <c r="I2749" t="s">
        <v>94</v>
      </c>
      <c r="J2749">
        <v>1</v>
      </c>
      <c r="K2749">
        <v>899</v>
      </c>
      <c r="L2749">
        <f>Table1[[#This Row],[Quantity]] * Table1[[#This Row],[UnitPrice]]</f>
        <v>899</v>
      </c>
      <c r="M2749" s="25">
        <v>5</v>
      </c>
      <c r="N2749">
        <f>Table1[[#This Row],[Revenue]]*Table1[[#This Row],[Discount%]]/100</f>
        <v>44.95</v>
      </c>
      <c r="O2749" s="6">
        <f>Table1[[#This Row],[Revenue]]-Table1[[#This Row],[Disc_amount]]</f>
        <v>854.05</v>
      </c>
      <c r="P2749" t="s">
        <v>86</v>
      </c>
      <c r="Q2749" t="s">
        <v>34</v>
      </c>
    </row>
    <row r="2750" spans="1:17">
      <c r="A2750" t="s">
        <v>3603</v>
      </c>
      <c r="B2750" s="1" t="s">
        <v>2582</v>
      </c>
      <c r="C2750" s="1" t="s">
        <v>3431</v>
      </c>
      <c r="D2750" s="1" t="s">
        <v>20</v>
      </c>
      <c r="E2750" t="s">
        <v>1422</v>
      </c>
      <c r="F2750" t="s">
        <v>236</v>
      </c>
      <c r="G2750" t="s">
        <v>56</v>
      </c>
      <c r="H2750" t="s">
        <v>57</v>
      </c>
      <c r="I2750" t="s">
        <v>58</v>
      </c>
      <c r="J2750">
        <v>1</v>
      </c>
      <c r="K2750">
        <v>1299</v>
      </c>
      <c r="L2750">
        <f>Table1[[#This Row],[Quantity]] * Table1[[#This Row],[UnitPrice]]</f>
        <v>1299</v>
      </c>
      <c r="M2750" s="25">
        <v>15</v>
      </c>
      <c r="N2750">
        <f>Table1[[#This Row],[Revenue]]*Table1[[#This Row],[Discount%]]/100</f>
        <v>194.85</v>
      </c>
      <c r="O2750" s="6">
        <f>Table1[[#This Row],[Revenue]]-Table1[[#This Row],[Disc_amount]]</f>
        <v>1104.1500000000001</v>
      </c>
      <c r="P2750" t="s">
        <v>26</v>
      </c>
      <c r="Q2750" t="s">
        <v>27</v>
      </c>
    </row>
    <row r="2751" spans="1:17">
      <c r="A2751" t="s">
        <v>3604</v>
      </c>
      <c r="B2751" s="1" t="s">
        <v>2582</v>
      </c>
      <c r="C2751" s="1" t="s">
        <v>3431</v>
      </c>
      <c r="D2751" s="1" t="s">
        <v>20</v>
      </c>
      <c r="E2751" t="s">
        <v>921</v>
      </c>
      <c r="F2751" t="s">
        <v>104</v>
      </c>
      <c r="G2751" t="s">
        <v>23</v>
      </c>
      <c r="H2751" t="s">
        <v>39</v>
      </c>
      <c r="I2751" t="s">
        <v>51</v>
      </c>
      <c r="J2751">
        <v>1</v>
      </c>
      <c r="K2751">
        <v>2999</v>
      </c>
      <c r="L2751">
        <f>Table1[[#This Row],[Quantity]] * Table1[[#This Row],[UnitPrice]]</f>
        <v>2999</v>
      </c>
      <c r="M2751" s="25">
        <v>15</v>
      </c>
      <c r="N2751">
        <f>Table1[[#This Row],[Revenue]]*Table1[[#This Row],[Discount%]]/100</f>
        <v>449.85</v>
      </c>
      <c r="O2751" s="6">
        <f>Table1[[#This Row],[Revenue]]-Table1[[#This Row],[Disc_amount]]</f>
        <v>2549.15</v>
      </c>
      <c r="P2751" t="s">
        <v>33</v>
      </c>
      <c r="Q2751" t="s">
        <v>27</v>
      </c>
    </row>
    <row r="2752" spans="1:17">
      <c r="A2752" t="s">
        <v>3605</v>
      </c>
      <c r="B2752" s="1" t="s">
        <v>2582</v>
      </c>
      <c r="C2752" s="1" t="s">
        <v>3431</v>
      </c>
      <c r="D2752" s="1" t="s">
        <v>20</v>
      </c>
      <c r="E2752" t="s">
        <v>1291</v>
      </c>
      <c r="F2752" t="s">
        <v>1292</v>
      </c>
      <c r="G2752" t="s">
        <v>38</v>
      </c>
      <c r="H2752" t="s">
        <v>65</v>
      </c>
      <c r="I2752" t="s">
        <v>98</v>
      </c>
      <c r="J2752">
        <v>3</v>
      </c>
      <c r="K2752">
        <v>499</v>
      </c>
      <c r="L2752">
        <f>Table1[[#This Row],[Quantity]] * Table1[[#This Row],[UnitPrice]]</f>
        <v>1497</v>
      </c>
      <c r="M2752" s="25">
        <v>25</v>
      </c>
      <c r="N2752">
        <f>Table1[[#This Row],[Revenue]]*Table1[[#This Row],[Discount%]]/100</f>
        <v>374.25</v>
      </c>
      <c r="O2752" s="6">
        <f>Table1[[#This Row],[Revenue]]-Table1[[#This Row],[Disc_amount]]</f>
        <v>1122.75</v>
      </c>
      <c r="P2752" t="s">
        <v>86</v>
      </c>
      <c r="Q2752" t="s">
        <v>27</v>
      </c>
    </row>
    <row r="2753" spans="1:17">
      <c r="A2753" t="s">
        <v>3606</v>
      </c>
      <c r="B2753" s="1" t="s">
        <v>2582</v>
      </c>
      <c r="C2753" s="1" t="s">
        <v>3431</v>
      </c>
      <c r="D2753" s="1" t="s">
        <v>20</v>
      </c>
      <c r="E2753" t="s">
        <v>1051</v>
      </c>
      <c r="F2753" t="s">
        <v>462</v>
      </c>
      <c r="G2753" t="s">
        <v>56</v>
      </c>
      <c r="H2753" t="s">
        <v>65</v>
      </c>
      <c r="I2753" t="s">
        <v>66</v>
      </c>
      <c r="J2753">
        <v>1</v>
      </c>
      <c r="K2753">
        <v>1999</v>
      </c>
      <c r="L2753">
        <f>Table1[[#This Row],[Quantity]] * Table1[[#This Row],[UnitPrice]]</f>
        <v>1999</v>
      </c>
      <c r="M2753" s="25">
        <v>30</v>
      </c>
      <c r="N2753">
        <f>Table1[[#This Row],[Revenue]]*Table1[[#This Row],[Discount%]]/100</f>
        <v>599.70000000000005</v>
      </c>
      <c r="O2753" s="6">
        <f>Table1[[#This Row],[Revenue]]-Table1[[#This Row],[Disc_amount]]</f>
        <v>1399.3</v>
      </c>
      <c r="P2753" t="s">
        <v>33</v>
      </c>
      <c r="Q2753" t="s">
        <v>27</v>
      </c>
    </row>
    <row r="2754" spans="1:17">
      <c r="A2754" t="s">
        <v>3607</v>
      </c>
      <c r="B2754" s="1" t="s">
        <v>2582</v>
      </c>
      <c r="C2754" s="1" t="s">
        <v>3431</v>
      </c>
      <c r="D2754" s="1" t="s">
        <v>20</v>
      </c>
      <c r="E2754" t="s">
        <v>888</v>
      </c>
      <c r="F2754" t="s">
        <v>698</v>
      </c>
      <c r="G2754" t="s">
        <v>45</v>
      </c>
      <c r="H2754" t="s">
        <v>70</v>
      </c>
      <c r="I2754" t="s">
        <v>91</v>
      </c>
      <c r="J2754">
        <v>5</v>
      </c>
      <c r="K2754">
        <v>549</v>
      </c>
      <c r="L2754">
        <f>Table1[[#This Row],[Quantity]] * Table1[[#This Row],[UnitPrice]]</f>
        <v>2745</v>
      </c>
      <c r="M2754" s="25">
        <v>15</v>
      </c>
      <c r="N2754">
        <f>Table1[[#This Row],[Revenue]]*Table1[[#This Row],[Discount%]]/100</f>
        <v>411.75</v>
      </c>
      <c r="O2754" s="6">
        <f>Table1[[#This Row],[Revenue]]-Table1[[#This Row],[Disc_amount]]</f>
        <v>2333.25</v>
      </c>
      <c r="P2754" t="s">
        <v>41</v>
      </c>
      <c r="Q2754" t="s">
        <v>27</v>
      </c>
    </row>
    <row r="2755" spans="1:17">
      <c r="A2755" t="s">
        <v>3608</v>
      </c>
      <c r="B2755" s="1" t="s">
        <v>2582</v>
      </c>
      <c r="C2755" s="1" t="s">
        <v>3431</v>
      </c>
      <c r="D2755" s="1" t="s">
        <v>20</v>
      </c>
      <c r="E2755" t="s">
        <v>3455</v>
      </c>
      <c r="F2755" t="s">
        <v>30</v>
      </c>
      <c r="G2755" t="s">
        <v>56</v>
      </c>
      <c r="H2755" t="s">
        <v>39</v>
      </c>
      <c r="I2755" t="s">
        <v>40</v>
      </c>
      <c r="J2755">
        <v>2</v>
      </c>
      <c r="K2755">
        <v>599</v>
      </c>
      <c r="L2755">
        <f>Table1[[#This Row],[Quantity]] * Table1[[#This Row],[UnitPrice]]</f>
        <v>1198</v>
      </c>
      <c r="M2755" s="25">
        <v>15</v>
      </c>
      <c r="N2755">
        <f>Table1[[#This Row],[Revenue]]*Table1[[#This Row],[Discount%]]/100</f>
        <v>179.7</v>
      </c>
      <c r="O2755" s="6">
        <f>Table1[[#This Row],[Revenue]]-Table1[[#This Row],[Disc_amount]]</f>
        <v>1018.3</v>
      </c>
      <c r="P2755" t="s">
        <v>86</v>
      </c>
      <c r="Q2755" t="s">
        <v>34</v>
      </c>
    </row>
    <row r="2756" spans="1:17">
      <c r="A2756" t="s">
        <v>3609</v>
      </c>
      <c r="B2756" s="1" t="s">
        <v>2582</v>
      </c>
      <c r="C2756" s="1" t="s">
        <v>3431</v>
      </c>
      <c r="D2756" s="1" t="s">
        <v>20</v>
      </c>
      <c r="E2756" t="s">
        <v>430</v>
      </c>
      <c r="F2756" t="s">
        <v>101</v>
      </c>
      <c r="G2756" t="s">
        <v>23</v>
      </c>
      <c r="H2756" t="s">
        <v>65</v>
      </c>
      <c r="I2756" t="s">
        <v>94</v>
      </c>
      <c r="J2756">
        <v>1</v>
      </c>
      <c r="K2756">
        <v>899</v>
      </c>
      <c r="L2756">
        <f>Table1[[#This Row],[Quantity]] * Table1[[#This Row],[UnitPrice]]</f>
        <v>899</v>
      </c>
      <c r="M2756" s="25">
        <v>20</v>
      </c>
      <c r="N2756">
        <f>Table1[[#This Row],[Revenue]]*Table1[[#This Row],[Discount%]]/100</f>
        <v>179.8</v>
      </c>
      <c r="O2756" s="6">
        <f>Table1[[#This Row],[Revenue]]-Table1[[#This Row],[Disc_amount]]</f>
        <v>719.2</v>
      </c>
      <c r="P2756" t="s">
        <v>26</v>
      </c>
      <c r="Q2756" t="s">
        <v>27</v>
      </c>
    </row>
    <row r="2757" spans="1:17">
      <c r="A2757" t="s">
        <v>3610</v>
      </c>
      <c r="B2757" s="1" t="s">
        <v>2582</v>
      </c>
      <c r="C2757" s="1" t="s">
        <v>3431</v>
      </c>
      <c r="D2757" s="1" t="s">
        <v>20</v>
      </c>
      <c r="E2757" t="s">
        <v>1946</v>
      </c>
      <c r="F2757" t="s">
        <v>74</v>
      </c>
      <c r="G2757" t="s">
        <v>38</v>
      </c>
      <c r="H2757" t="s">
        <v>39</v>
      </c>
      <c r="I2757" t="s">
        <v>51</v>
      </c>
      <c r="J2757">
        <v>4</v>
      </c>
      <c r="K2757">
        <v>2999</v>
      </c>
      <c r="L2757">
        <f>Table1[[#This Row],[Quantity]] * Table1[[#This Row],[UnitPrice]]</f>
        <v>11996</v>
      </c>
      <c r="M2757" s="25">
        <v>15</v>
      </c>
      <c r="N2757">
        <f>Table1[[#This Row],[Revenue]]*Table1[[#This Row],[Discount%]]/100</f>
        <v>1799.4</v>
      </c>
      <c r="O2757" s="6">
        <f>Table1[[#This Row],[Revenue]]-Table1[[#This Row],[Disc_amount]]</f>
        <v>10196.6</v>
      </c>
      <c r="P2757" t="s">
        <v>33</v>
      </c>
      <c r="Q2757" t="s">
        <v>27</v>
      </c>
    </row>
    <row r="2758" spans="1:17">
      <c r="A2758" t="s">
        <v>3611</v>
      </c>
      <c r="B2758" s="1" t="s">
        <v>2582</v>
      </c>
      <c r="C2758" s="1" t="s">
        <v>3431</v>
      </c>
      <c r="D2758" s="1" t="s">
        <v>20</v>
      </c>
      <c r="E2758" t="s">
        <v>1575</v>
      </c>
      <c r="F2758" t="s">
        <v>311</v>
      </c>
      <c r="G2758" t="s">
        <v>31</v>
      </c>
      <c r="H2758" t="s">
        <v>108</v>
      </c>
      <c r="I2758" t="s">
        <v>109</v>
      </c>
      <c r="J2758">
        <v>3</v>
      </c>
      <c r="K2758">
        <v>1499</v>
      </c>
      <c r="L2758">
        <f>Table1[[#This Row],[Quantity]] * Table1[[#This Row],[UnitPrice]]</f>
        <v>4497</v>
      </c>
      <c r="M2758" s="25">
        <v>10</v>
      </c>
      <c r="N2758">
        <f>Table1[[#This Row],[Revenue]]*Table1[[#This Row],[Discount%]]/100</f>
        <v>449.7</v>
      </c>
      <c r="O2758" s="6">
        <f>Table1[[#This Row],[Revenue]]-Table1[[#This Row],[Disc_amount]]</f>
        <v>4047.3</v>
      </c>
      <c r="P2758" t="s">
        <v>52</v>
      </c>
      <c r="Q2758" t="s">
        <v>34</v>
      </c>
    </row>
    <row r="2759" spans="1:17">
      <c r="A2759" t="s">
        <v>3612</v>
      </c>
      <c r="B2759" s="1" t="s">
        <v>2582</v>
      </c>
      <c r="C2759" s="1" t="s">
        <v>3431</v>
      </c>
      <c r="D2759" s="1" t="s">
        <v>20</v>
      </c>
      <c r="E2759" t="s">
        <v>1465</v>
      </c>
      <c r="F2759" t="s">
        <v>1466</v>
      </c>
      <c r="G2759" t="s">
        <v>23</v>
      </c>
      <c r="H2759" t="s">
        <v>24</v>
      </c>
      <c r="I2759" t="s">
        <v>25</v>
      </c>
      <c r="J2759">
        <v>3</v>
      </c>
      <c r="K2759">
        <v>99</v>
      </c>
      <c r="L2759">
        <f>Table1[[#This Row],[Quantity]] * Table1[[#This Row],[UnitPrice]]</f>
        <v>297</v>
      </c>
      <c r="M2759" s="25">
        <v>0</v>
      </c>
      <c r="N2759">
        <f>Table1[[#This Row],[Revenue]]*Table1[[#This Row],[Discount%]]/100</f>
        <v>0</v>
      </c>
      <c r="O2759" s="6">
        <f>Table1[[#This Row],[Revenue]]-Table1[[#This Row],[Disc_amount]]</f>
        <v>297</v>
      </c>
      <c r="P2759" t="s">
        <v>26</v>
      </c>
      <c r="Q2759" t="s">
        <v>27</v>
      </c>
    </row>
    <row r="2760" spans="1:17">
      <c r="A2760" t="s">
        <v>3613</v>
      </c>
      <c r="B2760" s="1" t="s">
        <v>2590</v>
      </c>
      <c r="C2760" s="1" t="s">
        <v>3431</v>
      </c>
      <c r="D2760" s="1" t="s">
        <v>20</v>
      </c>
      <c r="E2760" t="s">
        <v>375</v>
      </c>
      <c r="F2760" t="s">
        <v>376</v>
      </c>
      <c r="G2760" t="s">
        <v>56</v>
      </c>
      <c r="H2760" t="s">
        <v>57</v>
      </c>
      <c r="I2760" t="s">
        <v>62</v>
      </c>
      <c r="J2760">
        <v>1</v>
      </c>
      <c r="K2760">
        <v>799</v>
      </c>
      <c r="L2760">
        <f>Table1[[#This Row],[Quantity]] * Table1[[#This Row],[UnitPrice]]</f>
        <v>799</v>
      </c>
      <c r="M2760" s="25">
        <v>25</v>
      </c>
      <c r="N2760">
        <f>Table1[[#This Row],[Revenue]]*Table1[[#This Row],[Discount%]]/100</f>
        <v>199.75</v>
      </c>
      <c r="O2760" s="6">
        <f>Table1[[#This Row],[Revenue]]-Table1[[#This Row],[Disc_amount]]</f>
        <v>599.25</v>
      </c>
      <c r="P2760" t="s">
        <v>41</v>
      </c>
      <c r="Q2760" t="s">
        <v>27</v>
      </c>
    </row>
    <row r="2761" spans="1:17">
      <c r="A2761" t="s">
        <v>3614</v>
      </c>
      <c r="B2761" s="1" t="s">
        <v>2590</v>
      </c>
      <c r="C2761" s="1" t="s">
        <v>3431</v>
      </c>
      <c r="D2761" s="1" t="s">
        <v>20</v>
      </c>
      <c r="E2761" t="s">
        <v>740</v>
      </c>
      <c r="F2761" t="s">
        <v>376</v>
      </c>
      <c r="G2761" t="s">
        <v>56</v>
      </c>
      <c r="H2761" t="s">
        <v>108</v>
      </c>
      <c r="I2761" t="s">
        <v>109</v>
      </c>
      <c r="J2761">
        <v>3</v>
      </c>
      <c r="K2761">
        <v>1499</v>
      </c>
      <c r="L2761">
        <f>Table1[[#This Row],[Quantity]] * Table1[[#This Row],[UnitPrice]]</f>
        <v>4497</v>
      </c>
      <c r="M2761" s="25">
        <v>25</v>
      </c>
      <c r="N2761">
        <f>Table1[[#This Row],[Revenue]]*Table1[[#This Row],[Discount%]]/100</f>
        <v>1124.25</v>
      </c>
      <c r="O2761" s="6">
        <f>Table1[[#This Row],[Revenue]]-Table1[[#This Row],[Disc_amount]]</f>
        <v>3372.75</v>
      </c>
      <c r="P2761" t="s">
        <v>33</v>
      </c>
      <c r="Q2761" t="s">
        <v>27</v>
      </c>
    </row>
    <row r="2762" spans="1:17">
      <c r="A2762" t="s">
        <v>3615</v>
      </c>
      <c r="B2762" s="1" t="s">
        <v>2590</v>
      </c>
      <c r="C2762" s="1" t="s">
        <v>3431</v>
      </c>
      <c r="D2762" s="1" t="s">
        <v>20</v>
      </c>
      <c r="E2762" t="s">
        <v>238</v>
      </c>
      <c r="F2762" t="s">
        <v>239</v>
      </c>
      <c r="G2762" t="s">
        <v>23</v>
      </c>
      <c r="H2762" t="s">
        <v>57</v>
      </c>
      <c r="I2762" t="s">
        <v>62</v>
      </c>
      <c r="J2762">
        <v>1</v>
      </c>
      <c r="K2762">
        <v>799</v>
      </c>
      <c r="L2762">
        <f>Table1[[#This Row],[Quantity]] * Table1[[#This Row],[UnitPrice]]</f>
        <v>799</v>
      </c>
      <c r="M2762" s="25">
        <v>15</v>
      </c>
      <c r="N2762">
        <f>Table1[[#This Row],[Revenue]]*Table1[[#This Row],[Discount%]]/100</f>
        <v>119.85</v>
      </c>
      <c r="O2762" s="6">
        <f>Table1[[#This Row],[Revenue]]-Table1[[#This Row],[Disc_amount]]</f>
        <v>679.15</v>
      </c>
      <c r="P2762" t="s">
        <v>33</v>
      </c>
      <c r="Q2762" t="s">
        <v>34</v>
      </c>
    </row>
    <row r="2763" spans="1:17">
      <c r="A2763" t="s">
        <v>3616</v>
      </c>
      <c r="B2763" s="1" t="s">
        <v>2590</v>
      </c>
      <c r="C2763" s="1" t="s">
        <v>3431</v>
      </c>
      <c r="D2763" s="1" t="s">
        <v>20</v>
      </c>
      <c r="E2763" t="s">
        <v>686</v>
      </c>
      <c r="F2763" t="s">
        <v>443</v>
      </c>
      <c r="G2763" t="s">
        <v>38</v>
      </c>
      <c r="H2763" t="s">
        <v>65</v>
      </c>
      <c r="I2763" t="s">
        <v>98</v>
      </c>
      <c r="J2763">
        <v>2</v>
      </c>
      <c r="K2763">
        <v>499</v>
      </c>
      <c r="L2763">
        <f>Table1[[#This Row],[Quantity]] * Table1[[#This Row],[UnitPrice]]</f>
        <v>998</v>
      </c>
      <c r="M2763" s="25">
        <v>30</v>
      </c>
      <c r="N2763">
        <f>Table1[[#This Row],[Revenue]]*Table1[[#This Row],[Discount%]]/100</f>
        <v>299.39999999999998</v>
      </c>
      <c r="O2763" s="6">
        <f>Table1[[#This Row],[Revenue]]-Table1[[#This Row],[Disc_amount]]</f>
        <v>698.6</v>
      </c>
      <c r="P2763" t="s">
        <v>26</v>
      </c>
      <c r="Q2763" t="s">
        <v>34</v>
      </c>
    </row>
    <row r="2764" spans="1:17">
      <c r="A2764" t="s">
        <v>3617</v>
      </c>
      <c r="B2764" s="1" t="s">
        <v>2590</v>
      </c>
      <c r="C2764" s="1" t="s">
        <v>3431</v>
      </c>
      <c r="D2764" s="1" t="s">
        <v>20</v>
      </c>
      <c r="E2764" t="s">
        <v>1085</v>
      </c>
      <c r="F2764" t="s">
        <v>425</v>
      </c>
      <c r="G2764" t="s">
        <v>31</v>
      </c>
      <c r="H2764" t="s">
        <v>57</v>
      </c>
      <c r="I2764" t="s">
        <v>62</v>
      </c>
      <c r="J2764">
        <v>1</v>
      </c>
      <c r="K2764">
        <v>799</v>
      </c>
      <c r="L2764">
        <f>Table1[[#This Row],[Quantity]] * Table1[[#This Row],[UnitPrice]]</f>
        <v>799</v>
      </c>
      <c r="M2764" s="25">
        <v>20</v>
      </c>
      <c r="N2764">
        <f>Table1[[#This Row],[Revenue]]*Table1[[#This Row],[Discount%]]/100</f>
        <v>159.80000000000001</v>
      </c>
      <c r="O2764" s="6">
        <f>Table1[[#This Row],[Revenue]]-Table1[[#This Row],[Disc_amount]]</f>
        <v>639.20000000000005</v>
      </c>
      <c r="P2764" t="s">
        <v>52</v>
      </c>
      <c r="Q2764" t="s">
        <v>34</v>
      </c>
    </row>
    <row r="2765" spans="1:17">
      <c r="A2765" t="s">
        <v>3618</v>
      </c>
      <c r="B2765" s="1" t="s">
        <v>2590</v>
      </c>
      <c r="C2765" s="1" t="s">
        <v>3431</v>
      </c>
      <c r="D2765" s="1" t="s">
        <v>20</v>
      </c>
      <c r="E2765" t="s">
        <v>886</v>
      </c>
      <c r="F2765" t="s">
        <v>74</v>
      </c>
      <c r="G2765" t="s">
        <v>45</v>
      </c>
      <c r="H2765" t="s">
        <v>65</v>
      </c>
      <c r="I2765" t="s">
        <v>98</v>
      </c>
      <c r="J2765">
        <v>5</v>
      </c>
      <c r="K2765">
        <v>499</v>
      </c>
      <c r="L2765">
        <f>Table1[[#This Row],[Quantity]] * Table1[[#This Row],[UnitPrice]]</f>
        <v>2495</v>
      </c>
      <c r="M2765" s="25">
        <v>10</v>
      </c>
      <c r="N2765">
        <f>Table1[[#This Row],[Revenue]]*Table1[[#This Row],[Discount%]]/100</f>
        <v>249.5</v>
      </c>
      <c r="O2765" s="6">
        <f>Table1[[#This Row],[Revenue]]-Table1[[#This Row],[Disc_amount]]</f>
        <v>2245.5</v>
      </c>
      <c r="P2765" t="s">
        <v>33</v>
      </c>
      <c r="Q2765" t="s">
        <v>27</v>
      </c>
    </row>
    <row r="2766" spans="1:17">
      <c r="A2766" t="s">
        <v>3619</v>
      </c>
      <c r="B2766" s="1" t="s">
        <v>2590</v>
      </c>
      <c r="C2766" s="1" t="s">
        <v>3431</v>
      </c>
      <c r="D2766" s="1" t="s">
        <v>20</v>
      </c>
      <c r="E2766" t="s">
        <v>988</v>
      </c>
      <c r="F2766" t="s">
        <v>989</v>
      </c>
      <c r="G2766" t="s">
        <v>23</v>
      </c>
      <c r="H2766" t="s">
        <v>46</v>
      </c>
      <c r="I2766" t="s">
        <v>154</v>
      </c>
      <c r="J2766">
        <v>1</v>
      </c>
      <c r="K2766">
        <v>299</v>
      </c>
      <c r="L2766">
        <f>Table1[[#This Row],[Quantity]] * Table1[[#This Row],[UnitPrice]]</f>
        <v>299</v>
      </c>
      <c r="M2766" s="25">
        <v>5</v>
      </c>
      <c r="N2766">
        <f>Table1[[#This Row],[Revenue]]*Table1[[#This Row],[Discount%]]/100</f>
        <v>14.95</v>
      </c>
      <c r="O2766" s="6">
        <f>Table1[[#This Row],[Revenue]]-Table1[[#This Row],[Disc_amount]]</f>
        <v>284.05</v>
      </c>
      <c r="P2766" t="s">
        <v>26</v>
      </c>
      <c r="Q2766" t="s">
        <v>27</v>
      </c>
    </row>
    <row r="2767" spans="1:17">
      <c r="A2767" t="s">
        <v>3620</v>
      </c>
      <c r="B2767" s="1" t="s">
        <v>2590</v>
      </c>
      <c r="C2767" s="1" t="s">
        <v>3431</v>
      </c>
      <c r="D2767" s="1" t="s">
        <v>20</v>
      </c>
      <c r="E2767" t="s">
        <v>128</v>
      </c>
      <c r="F2767" t="s">
        <v>129</v>
      </c>
      <c r="G2767" t="s">
        <v>23</v>
      </c>
      <c r="H2767" t="s">
        <v>39</v>
      </c>
      <c r="I2767" t="s">
        <v>40</v>
      </c>
      <c r="J2767">
        <v>1</v>
      </c>
      <c r="K2767">
        <v>599</v>
      </c>
      <c r="L2767">
        <f>Table1[[#This Row],[Quantity]] * Table1[[#This Row],[UnitPrice]]</f>
        <v>599</v>
      </c>
      <c r="M2767" s="25">
        <v>5</v>
      </c>
      <c r="N2767">
        <f>Table1[[#This Row],[Revenue]]*Table1[[#This Row],[Discount%]]/100</f>
        <v>29.95</v>
      </c>
      <c r="O2767" s="6">
        <f>Table1[[#This Row],[Revenue]]-Table1[[#This Row],[Disc_amount]]</f>
        <v>569.04999999999995</v>
      </c>
      <c r="P2767" t="s">
        <v>26</v>
      </c>
      <c r="Q2767" t="s">
        <v>27</v>
      </c>
    </row>
    <row r="2768" spans="1:17">
      <c r="A2768" t="s">
        <v>3621</v>
      </c>
      <c r="B2768" s="1" t="s">
        <v>2590</v>
      </c>
      <c r="C2768" s="1" t="s">
        <v>3431</v>
      </c>
      <c r="D2768" s="1" t="s">
        <v>20</v>
      </c>
      <c r="E2768" t="s">
        <v>904</v>
      </c>
      <c r="F2768" t="s">
        <v>191</v>
      </c>
      <c r="G2768" t="s">
        <v>23</v>
      </c>
      <c r="H2768" t="s">
        <v>39</v>
      </c>
      <c r="I2768" t="s">
        <v>51</v>
      </c>
      <c r="J2768">
        <v>3</v>
      </c>
      <c r="K2768">
        <v>2999</v>
      </c>
      <c r="L2768">
        <f>Table1[[#This Row],[Quantity]] * Table1[[#This Row],[UnitPrice]]</f>
        <v>8997</v>
      </c>
      <c r="M2768" s="25">
        <v>10</v>
      </c>
      <c r="N2768">
        <f>Table1[[#This Row],[Revenue]]*Table1[[#This Row],[Discount%]]/100</f>
        <v>899.7</v>
      </c>
      <c r="O2768" s="6">
        <f>Table1[[#This Row],[Revenue]]-Table1[[#This Row],[Disc_amount]]</f>
        <v>8097.3</v>
      </c>
      <c r="P2768" t="s">
        <v>26</v>
      </c>
      <c r="Q2768" t="s">
        <v>27</v>
      </c>
    </row>
    <row r="2769" spans="1:17">
      <c r="A2769" t="s">
        <v>3622</v>
      </c>
      <c r="B2769" s="1" t="s">
        <v>2590</v>
      </c>
      <c r="C2769" s="1" t="s">
        <v>3431</v>
      </c>
      <c r="D2769" s="1" t="s">
        <v>20</v>
      </c>
      <c r="E2769" t="s">
        <v>915</v>
      </c>
      <c r="F2769" t="s">
        <v>345</v>
      </c>
      <c r="G2769" t="s">
        <v>38</v>
      </c>
      <c r="H2769" t="s">
        <v>108</v>
      </c>
      <c r="I2769" t="s">
        <v>109</v>
      </c>
      <c r="J2769">
        <v>3</v>
      </c>
      <c r="K2769">
        <v>1499</v>
      </c>
      <c r="L2769">
        <f>Table1[[#This Row],[Quantity]] * Table1[[#This Row],[UnitPrice]]</f>
        <v>4497</v>
      </c>
      <c r="M2769" s="25">
        <v>5</v>
      </c>
      <c r="N2769">
        <f>Table1[[#This Row],[Revenue]]*Table1[[#This Row],[Discount%]]/100</f>
        <v>224.85</v>
      </c>
      <c r="O2769" s="6">
        <f>Table1[[#This Row],[Revenue]]-Table1[[#This Row],[Disc_amount]]</f>
        <v>4272.1499999999996</v>
      </c>
      <c r="P2769" t="s">
        <v>33</v>
      </c>
      <c r="Q2769" t="s">
        <v>27</v>
      </c>
    </row>
    <row r="2770" spans="1:17">
      <c r="A2770" t="s">
        <v>3623</v>
      </c>
      <c r="B2770" s="1" t="s">
        <v>2590</v>
      </c>
      <c r="C2770" s="1" t="s">
        <v>3431</v>
      </c>
      <c r="D2770" s="1" t="s">
        <v>20</v>
      </c>
      <c r="E2770" t="s">
        <v>1085</v>
      </c>
      <c r="F2770" t="s">
        <v>425</v>
      </c>
      <c r="G2770" t="s">
        <v>31</v>
      </c>
      <c r="H2770" t="s">
        <v>24</v>
      </c>
      <c r="I2770" t="s">
        <v>32</v>
      </c>
      <c r="J2770">
        <v>1</v>
      </c>
      <c r="K2770">
        <v>199</v>
      </c>
      <c r="L2770">
        <f>Table1[[#This Row],[Quantity]] * Table1[[#This Row],[UnitPrice]]</f>
        <v>199</v>
      </c>
      <c r="M2770" s="25">
        <v>15</v>
      </c>
      <c r="N2770">
        <f>Table1[[#This Row],[Revenue]]*Table1[[#This Row],[Discount%]]/100</f>
        <v>29.85</v>
      </c>
      <c r="O2770" s="6">
        <f>Table1[[#This Row],[Revenue]]-Table1[[#This Row],[Disc_amount]]</f>
        <v>169.15</v>
      </c>
      <c r="P2770" t="s">
        <v>33</v>
      </c>
      <c r="Q2770" t="s">
        <v>27</v>
      </c>
    </row>
    <row r="2771" spans="1:17">
      <c r="A2771" t="s">
        <v>3624</v>
      </c>
      <c r="B2771" s="1" t="s">
        <v>2599</v>
      </c>
      <c r="C2771" s="1" t="s">
        <v>3431</v>
      </c>
      <c r="D2771" s="1" t="s">
        <v>20</v>
      </c>
      <c r="E2771" t="s">
        <v>1640</v>
      </c>
      <c r="F2771" t="s">
        <v>37</v>
      </c>
      <c r="G2771" t="s">
        <v>45</v>
      </c>
      <c r="H2771" t="s">
        <v>65</v>
      </c>
      <c r="I2771" t="s">
        <v>98</v>
      </c>
      <c r="J2771">
        <v>3</v>
      </c>
      <c r="K2771">
        <v>499</v>
      </c>
      <c r="L2771">
        <f>Table1[[#This Row],[Quantity]] * Table1[[#This Row],[UnitPrice]]</f>
        <v>1497</v>
      </c>
      <c r="M2771" s="25">
        <v>20</v>
      </c>
      <c r="N2771">
        <f>Table1[[#This Row],[Revenue]]*Table1[[#This Row],[Discount%]]/100</f>
        <v>299.39999999999998</v>
      </c>
      <c r="O2771" s="6">
        <f>Table1[[#This Row],[Revenue]]-Table1[[#This Row],[Disc_amount]]</f>
        <v>1197.5999999999999</v>
      </c>
      <c r="P2771" t="s">
        <v>26</v>
      </c>
      <c r="Q2771" t="s">
        <v>27</v>
      </c>
    </row>
    <row r="2772" spans="1:17">
      <c r="A2772" t="s">
        <v>3625</v>
      </c>
      <c r="B2772" s="1" t="s">
        <v>2599</v>
      </c>
      <c r="C2772" s="1" t="s">
        <v>3431</v>
      </c>
      <c r="D2772" s="1" t="s">
        <v>20</v>
      </c>
      <c r="E2772" t="s">
        <v>117</v>
      </c>
      <c r="F2772" t="s">
        <v>118</v>
      </c>
      <c r="G2772" t="s">
        <v>45</v>
      </c>
      <c r="H2772" t="s">
        <v>70</v>
      </c>
      <c r="I2772" t="s">
        <v>71</v>
      </c>
      <c r="J2772">
        <v>2</v>
      </c>
      <c r="K2772">
        <v>349</v>
      </c>
      <c r="L2772">
        <f>Table1[[#This Row],[Quantity]] * Table1[[#This Row],[UnitPrice]]</f>
        <v>698</v>
      </c>
      <c r="M2772" s="25">
        <v>15</v>
      </c>
      <c r="N2772">
        <f>Table1[[#This Row],[Revenue]]*Table1[[#This Row],[Discount%]]/100</f>
        <v>104.7</v>
      </c>
      <c r="O2772" s="6">
        <f>Table1[[#This Row],[Revenue]]-Table1[[#This Row],[Disc_amount]]</f>
        <v>593.29999999999995</v>
      </c>
      <c r="P2772" t="s">
        <v>26</v>
      </c>
      <c r="Q2772" t="s">
        <v>34</v>
      </c>
    </row>
    <row r="2773" spans="1:17">
      <c r="A2773" t="s">
        <v>3626</v>
      </c>
      <c r="B2773" s="1" t="s">
        <v>2599</v>
      </c>
      <c r="C2773" s="1" t="s">
        <v>3431</v>
      </c>
      <c r="D2773" s="1" t="s">
        <v>20</v>
      </c>
      <c r="E2773" t="s">
        <v>2142</v>
      </c>
      <c r="F2773" t="s">
        <v>473</v>
      </c>
      <c r="G2773" t="s">
        <v>38</v>
      </c>
      <c r="H2773" t="s">
        <v>70</v>
      </c>
      <c r="I2773" t="s">
        <v>71</v>
      </c>
      <c r="J2773">
        <v>1</v>
      </c>
      <c r="K2773">
        <v>349</v>
      </c>
      <c r="L2773">
        <f>Table1[[#This Row],[Quantity]] * Table1[[#This Row],[UnitPrice]]</f>
        <v>349</v>
      </c>
      <c r="M2773" s="25">
        <v>15</v>
      </c>
      <c r="N2773">
        <f>Table1[[#This Row],[Revenue]]*Table1[[#This Row],[Discount%]]/100</f>
        <v>52.35</v>
      </c>
      <c r="O2773" s="6">
        <f>Table1[[#This Row],[Revenue]]-Table1[[#This Row],[Disc_amount]]</f>
        <v>296.64999999999998</v>
      </c>
      <c r="P2773" t="s">
        <v>52</v>
      </c>
      <c r="Q2773" t="s">
        <v>27</v>
      </c>
    </row>
    <row r="2774" spans="1:17">
      <c r="A2774" t="s">
        <v>3627</v>
      </c>
      <c r="B2774" s="1" t="s">
        <v>2599</v>
      </c>
      <c r="C2774" s="1" t="s">
        <v>3431</v>
      </c>
      <c r="D2774" s="1" t="s">
        <v>20</v>
      </c>
      <c r="E2774" t="s">
        <v>407</v>
      </c>
      <c r="F2774" t="s">
        <v>329</v>
      </c>
      <c r="G2774" t="s">
        <v>56</v>
      </c>
      <c r="H2774" t="s">
        <v>70</v>
      </c>
      <c r="I2774" t="s">
        <v>71</v>
      </c>
      <c r="J2774">
        <v>1</v>
      </c>
      <c r="K2774">
        <v>349</v>
      </c>
      <c r="L2774">
        <f>Table1[[#This Row],[Quantity]] * Table1[[#This Row],[UnitPrice]]</f>
        <v>349</v>
      </c>
      <c r="M2774" s="25">
        <v>0</v>
      </c>
      <c r="N2774">
        <f>Table1[[#This Row],[Revenue]]*Table1[[#This Row],[Discount%]]/100</f>
        <v>0</v>
      </c>
      <c r="O2774" s="6">
        <f>Table1[[#This Row],[Revenue]]-Table1[[#This Row],[Disc_amount]]</f>
        <v>349</v>
      </c>
      <c r="P2774" t="s">
        <v>33</v>
      </c>
      <c r="Q2774" t="s">
        <v>27</v>
      </c>
    </row>
    <row r="2775" spans="1:17">
      <c r="A2775" t="s">
        <v>3628</v>
      </c>
      <c r="B2775" s="1" t="s">
        <v>2599</v>
      </c>
      <c r="C2775" s="1" t="s">
        <v>3431</v>
      </c>
      <c r="D2775" s="1" t="s">
        <v>20</v>
      </c>
      <c r="E2775" t="s">
        <v>1194</v>
      </c>
      <c r="F2775" t="s">
        <v>376</v>
      </c>
      <c r="G2775" t="s">
        <v>38</v>
      </c>
      <c r="H2775" t="s">
        <v>39</v>
      </c>
      <c r="I2775" t="s">
        <v>140</v>
      </c>
      <c r="J2775">
        <v>1</v>
      </c>
      <c r="K2775">
        <v>1799</v>
      </c>
      <c r="L2775">
        <f>Table1[[#This Row],[Quantity]] * Table1[[#This Row],[UnitPrice]]</f>
        <v>1799</v>
      </c>
      <c r="M2775" s="25">
        <v>25</v>
      </c>
      <c r="N2775">
        <f>Table1[[#This Row],[Revenue]]*Table1[[#This Row],[Discount%]]/100</f>
        <v>449.75</v>
      </c>
      <c r="O2775" s="6">
        <f>Table1[[#This Row],[Revenue]]-Table1[[#This Row],[Disc_amount]]</f>
        <v>1349.25</v>
      </c>
      <c r="P2775" t="s">
        <v>33</v>
      </c>
      <c r="Q2775" t="s">
        <v>27</v>
      </c>
    </row>
    <row r="2776" spans="1:17">
      <c r="A2776" t="s">
        <v>3629</v>
      </c>
      <c r="B2776" s="1" t="s">
        <v>2599</v>
      </c>
      <c r="C2776" s="1" t="s">
        <v>3431</v>
      </c>
      <c r="D2776" s="1" t="s">
        <v>20</v>
      </c>
      <c r="E2776" t="s">
        <v>1197</v>
      </c>
      <c r="F2776" t="s">
        <v>256</v>
      </c>
      <c r="G2776" t="s">
        <v>45</v>
      </c>
      <c r="H2776" t="s">
        <v>108</v>
      </c>
      <c r="I2776" t="s">
        <v>130</v>
      </c>
      <c r="J2776">
        <v>1</v>
      </c>
      <c r="K2776">
        <v>699</v>
      </c>
      <c r="L2776">
        <f>Table1[[#This Row],[Quantity]] * Table1[[#This Row],[UnitPrice]]</f>
        <v>699</v>
      </c>
      <c r="M2776" s="25">
        <v>15</v>
      </c>
      <c r="N2776">
        <f>Table1[[#This Row],[Revenue]]*Table1[[#This Row],[Discount%]]/100</f>
        <v>104.85</v>
      </c>
      <c r="O2776" s="6">
        <f>Table1[[#This Row],[Revenue]]-Table1[[#This Row],[Disc_amount]]</f>
        <v>594.15</v>
      </c>
      <c r="P2776" t="s">
        <v>33</v>
      </c>
      <c r="Q2776" t="s">
        <v>27</v>
      </c>
    </row>
    <row r="2777" spans="1:17">
      <c r="A2777" t="s">
        <v>3630</v>
      </c>
      <c r="B2777" s="1" t="s">
        <v>2599</v>
      </c>
      <c r="C2777" s="1" t="s">
        <v>3431</v>
      </c>
      <c r="D2777" s="1" t="s">
        <v>20</v>
      </c>
      <c r="E2777" t="s">
        <v>1420</v>
      </c>
      <c r="F2777" t="s">
        <v>1396</v>
      </c>
      <c r="G2777" t="s">
        <v>45</v>
      </c>
      <c r="H2777" t="s">
        <v>108</v>
      </c>
      <c r="I2777" t="s">
        <v>130</v>
      </c>
      <c r="J2777">
        <v>1</v>
      </c>
      <c r="K2777">
        <v>699</v>
      </c>
      <c r="L2777">
        <f>Table1[[#This Row],[Quantity]] * Table1[[#This Row],[UnitPrice]]</f>
        <v>699</v>
      </c>
      <c r="M2777" s="25">
        <v>15</v>
      </c>
      <c r="N2777">
        <f>Table1[[#This Row],[Revenue]]*Table1[[#This Row],[Discount%]]/100</f>
        <v>104.85</v>
      </c>
      <c r="O2777" s="6">
        <f>Table1[[#This Row],[Revenue]]-Table1[[#This Row],[Disc_amount]]</f>
        <v>594.15</v>
      </c>
      <c r="P2777" t="s">
        <v>26</v>
      </c>
      <c r="Q2777" t="s">
        <v>34</v>
      </c>
    </row>
    <row r="2778" spans="1:17">
      <c r="A2778" t="s">
        <v>3631</v>
      </c>
      <c r="B2778" s="1" t="s">
        <v>2599</v>
      </c>
      <c r="C2778" s="1" t="s">
        <v>3431</v>
      </c>
      <c r="D2778" s="1" t="s">
        <v>20</v>
      </c>
      <c r="E2778" t="s">
        <v>981</v>
      </c>
      <c r="F2778" t="s">
        <v>694</v>
      </c>
      <c r="G2778" t="s">
        <v>38</v>
      </c>
      <c r="H2778" t="s">
        <v>39</v>
      </c>
      <c r="I2778" t="s">
        <v>51</v>
      </c>
      <c r="J2778">
        <v>2</v>
      </c>
      <c r="K2778">
        <v>2999</v>
      </c>
      <c r="L2778">
        <f>Table1[[#This Row],[Quantity]] * Table1[[#This Row],[UnitPrice]]</f>
        <v>5998</v>
      </c>
      <c r="M2778" s="25">
        <v>25</v>
      </c>
      <c r="N2778">
        <f>Table1[[#This Row],[Revenue]]*Table1[[#This Row],[Discount%]]/100</f>
        <v>1499.5</v>
      </c>
      <c r="O2778" s="6">
        <f>Table1[[#This Row],[Revenue]]-Table1[[#This Row],[Disc_amount]]</f>
        <v>4498.5</v>
      </c>
      <c r="P2778" t="s">
        <v>26</v>
      </c>
      <c r="Q2778" t="s">
        <v>27</v>
      </c>
    </row>
    <row r="2779" spans="1:17">
      <c r="A2779" t="s">
        <v>3632</v>
      </c>
      <c r="B2779" s="1" t="s">
        <v>2599</v>
      </c>
      <c r="C2779" s="1" t="s">
        <v>3431</v>
      </c>
      <c r="D2779" s="1" t="s">
        <v>20</v>
      </c>
      <c r="E2779" t="s">
        <v>599</v>
      </c>
      <c r="F2779" t="s">
        <v>600</v>
      </c>
      <c r="G2779" t="s">
        <v>38</v>
      </c>
      <c r="H2779" t="s">
        <v>39</v>
      </c>
      <c r="I2779" t="s">
        <v>51</v>
      </c>
      <c r="J2779">
        <v>2</v>
      </c>
      <c r="K2779">
        <v>2999</v>
      </c>
      <c r="L2779">
        <f>Table1[[#This Row],[Quantity]] * Table1[[#This Row],[UnitPrice]]</f>
        <v>5998</v>
      </c>
      <c r="M2779" s="25">
        <v>5</v>
      </c>
      <c r="N2779">
        <f>Table1[[#This Row],[Revenue]]*Table1[[#This Row],[Discount%]]/100</f>
        <v>299.89999999999998</v>
      </c>
      <c r="O2779" s="6">
        <f>Table1[[#This Row],[Revenue]]-Table1[[#This Row],[Disc_amount]]</f>
        <v>5698.1</v>
      </c>
      <c r="P2779" t="s">
        <v>41</v>
      </c>
      <c r="Q2779" t="s">
        <v>27</v>
      </c>
    </row>
    <row r="2780" spans="1:17">
      <c r="A2780" t="s">
        <v>3633</v>
      </c>
      <c r="B2780" s="1" t="s">
        <v>2599</v>
      </c>
      <c r="C2780" s="1" t="s">
        <v>3431</v>
      </c>
      <c r="D2780" s="1" t="s">
        <v>20</v>
      </c>
      <c r="E2780" t="s">
        <v>2860</v>
      </c>
      <c r="F2780" t="s">
        <v>2861</v>
      </c>
      <c r="G2780" t="s">
        <v>56</v>
      </c>
      <c r="H2780" t="s">
        <v>65</v>
      </c>
      <c r="I2780" t="s">
        <v>66</v>
      </c>
      <c r="J2780">
        <v>2</v>
      </c>
      <c r="K2780">
        <v>1999</v>
      </c>
      <c r="L2780">
        <f>Table1[[#This Row],[Quantity]] * Table1[[#This Row],[UnitPrice]]</f>
        <v>3998</v>
      </c>
      <c r="M2780" s="25">
        <v>15</v>
      </c>
      <c r="N2780">
        <f>Table1[[#This Row],[Revenue]]*Table1[[#This Row],[Discount%]]/100</f>
        <v>599.70000000000005</v>
      </c>
      <c r="O2780" s="6">
        <f>Table1[[#This Row],[Revenue]]-Table1[[#This Row],[Disc_amount]]</f>
        <v>3398.3</v>
      </c>
      <c r="P2780" t="s">
        <v>26</v>
      </c>
      <c r="Q2780" t="s">
        <v>27</v>
      </c>
    </row>
    <row r="2781" spans="1:17">
      <c r="A2781" t="s">
        <v>3634</v>
      </c>
      <c r="B2781" s="1" t="s">
        <v>2599</v>
      </c>
      <c r="C2781" s="1" t="s">
        <v>3431</v>
      </c>
      <c r="D2781" s="1" t="s">
        <v>20</v>
      </c>
      <c r="E2781" t="s">
        <v>1118</v>
      </c>
      <c r="F2781" t="s">
        <v>784</v>
      </c>
      <c r="G2781" t="s">
        <v>31</v>
      </c>
      <c r="H2781" t="s">
        <v>57</v>
      </c>
      <c r="I2781" t="s">
        <v>62</v>
      </c>
      <c r="J2781">
        <v>1</v>
      </c>
      <c r="K2781">
        <v>799</v>
      </c>
      <c r="L2781">
        <f>Table1[[#This Row],[Quantity]] * Table1[[#This Row],[UnitPrice]]</f>
        <v>799</v>
      </c>
      <c r="M2781" s="25">
        <v>0</v>
      </c>
      <c r="N2781">
        <f>Table1[[#This Row],[Revenue]]*Table1[[#This Row],[Discount%]]/100</f>
        <v>0</v>
      </c>
      <c r="O2781" s="6">
        <f>Table1[[#This Row],[Revenue]]-Table1[[#This Row],[Disc_amount]]</f>
        <v>799</v>
      </c>
      <c r="P2781" t="s">
        <v>52</v>
      </c>
      <c r="Q2781" t="s">
        <v>27</v>
      </c>
    </row>
    <row r="2782" spans="1:17">
      <c r="A2782" t="s">
        <v>3635</v>
      </c>
      <c r="B2782" s="1" t="s">
        <v>2599</v>
      </c>
      <c r="C2782" s="1" t="s">
        <v>3431</v>
      </c>
      <c r="D2782" s="1" t="s">
        <v>20</v>
      </c>
      <c r="E2782" t="s">
        <v>970</v>
      </c>
      <c r="F2782" t="s">
        <v>971</v>
      </c>
      <c r="G2782" t="s">
        <v>23</v>
      </c>
      <c r="H2782" t="s">
        <v>24</v>
      </c>
      <c r="I2782" t="s">
        <v>32</v>
      </c>
      <c r="J2782">
        <v>2</v>
      </c>
      <c r="K2782">
        <v>199</v>
      </c>
      <c r="L2782">
        <f>Table1[[#This Row],[Quantity]] * Table1[[#This Row],[UnitPrice]]</f>
        <v>398</v>
      </c>
      <c r="M2782" s="25">
        <v>20</v>
      </c>
      <c r="N2782">
        <f>Table1[[#This Row],[Revenue]]*Table1[[#This Row],[Discount%]]/100</f>
        <v>79.599999999999994</v>
      </c>
      <c r="O2782" s="6">
        <f>Table1[[#This Row],[Revenue]]-Table1[[#This Row],[Disc_amount]]</f>
        <v>318.39999999999998</v>
      </c>
      <c r="P2782" t="s">
        <v>52</v>
      </c>
      <c r="Q2782" t="s">
        <v>34</v>
      </c>
    </row>
    <row r="2783" spans="1:17">
      <c r="A2783" t="s">
        <v>3636</v>
      </c>
      <c r="B2783" s="1" t="s">
        <v>2599</v>
      </c>
      <c r="C2783" s="1" t="s">
        <v>3431</v>
      </c>
      <c r="D2783" s="1" t="s">
        <v>20</v>
      </c>
      <c r="E2783" t="s">
        <v>244</v>
      </c>
      <c r="F2783" t="s">
        <v>245</v>
      </c>
      <c r="G2783" t="s">
        <v>31</v>
      </c>
      <c r="H2783" t="s">
        <v>39</v>
      </c>
      <c r="I2783" t="s">
        <v>140</v>
      </c>
      <c r="J2783">
        <v>1</v>
      </c>
      <c r="K2783">
        <v>1799</v>
      </c>
      <c r="L2783">
        <f>Table1[[#This Row],[Quantity]] * Table1[[#This Row],[UnitPrice]]</f>
        <v>1799</v>
      </c>
      <c r="M2783" s="25">
        <v>20</v>
      </c>
      <c r="N2783">
        <f>Table1[[#This Row],[Revenue]]*Table1[[#This Row],[Discount%]]/100</f>
        <v>359.8</v>
      </c>
      <c r="O2783" s="6">
        <f>Table1[[#This Row],[Revenue]]-Table1[[#This Row],[Disc_amount]]</f>
        <v>1439.2</v>
      </c>
      <c r="P2783" t="s">
        <v>52</v>
      </c>
      <c r="Q2783" t="s">
        <v>27</v>
      </c>
    </row>
    <row r="2784" spans="1:17">
      <c r="A2784" t="s">
        <v>3637</v>
      </c>
      <c r="B2784" s="1" t="s">
        <v>2599</v>
      </c>
      <c r="C2784" s="1" t="s">
        <v>3431</v>
      </c>
      <c r="D2784" s="1" t="s">
        <v>20</v>
      </c>
      <c r="E2784" t="s">
        <v>949</v>
      </c>
      <c r="F2784" t="s">
        <v>77</v>
      </c>
      <c r="G2784" t="s">
        <v>38</v>
      </c>
      <c r="H2784" t="s">
        <v>70</v>
      </c>
      <c r="I2784" t="s">
        <v>71</v>
      </c>
      <c r="J2784">
        <v>1</v>
      </c>
      <c r="K2784">
        <v>349</v>
      </c>
      <c r="L2784">
        <f>Table1[[#This Row],[Quantity]] * Table1[[#This Row],[UnitPrice]]</f>
        <v>349</v>
      </c>
      <c r="M2784" s="25">
        <v>20</v>
      </c>
      <c r="N2784">
        <f>Table1[[#This Row],[Revenue]]*Table1[[#This Row],[Discount%]]/100</f>
        <v>69.8</v>
      </c>
      <c r="O2784" s="6">
        <f>Table1[[#This Row],[Revenue]]-Table1[[#This Row],[Disc_amount]]</f>
        <v>279.2</v>
      </c>
      <c r="P2784" t="s">
        <v>41</v>
      </c>
      <c r="Q2784" t="s">
        <v>27</v>
      </c>
    </row>
    <row r="2785" spans="1:17">
      <c r="A2785" t="s">
        <v>3638</v>
      </c>
      <c r="B2785" s="1" t="s">
        <v>2612</v>
      </c>
      <c r="C2785" s="1" t="s">
        <v>3431</v>
      </c>
      <c r="D2785" s="1" t="s">
        <v>20</v>
      </c>
      <c r="E2785" t="s">
        <v>521</v>
      </c>
      <c r="F2785" t="s">
        <v>143</v>
      </c>
      <c r="G2785" t="s">
        <v>45</v>
      </c>
      <c r="H2785" t="s">
        <v>39</v>
      </c>
      <c r="I2785" t="s">
        <v>51</v>
      </c>
      <c r="J2785">
        <v>1</v>
      </c>
      <c r="K2785">
        <v>2999</v>
      </c>
      <c r="L2785">
        <f>Table1[[#This Row],[Quantity]] * Table1[[#This Row],[UnitPrice]]</f>
        <v>2999</v>
      </c>
      <c r="M2785" s="25">
        <v>10</v>
      </c>
      <c r="N2785">
        <f>Table1[[#This Row],[Revenue]]*Table1[[#This Row],[Discount%]]/100</f>
        <v>299.89999999999998</v>
      </c>
      <c r="O2785" s="6">
        <f>Table1[[#This Row],[Revenue]]-Table1[[#This Row],[Disc_amount]]</f>
        <v>2699.1</v>
      </c>
      <c r="P2785" t="s">
        <v>26</v>
      </c>
      <c r="Q2785" t="s">
        <v>27</v>
      </c>
    </row>
    <row r="2786" spans="1:17">
      <c r="A2786" t="s">
        <v>3639</v>
      </c>
      <c r="B2786" s="1" t="s">
        <v>2612</v>
      </c>
      <c r="C2786" s="1" t="s">
        <v>3431</v>
      </c>
      <c r="D2786" s="1" t="s">
        <v>20</v>
      </c>
      <c r="E2786" t="s">
        <v>498</v>
      </c>
      <c r="F2786" t="s">
        <v>358</v>
      </c>
      <c r="G2786" t="s">
        <v>31</v>
      </c>
      <c r="H2786" t="s">
        <v>57</v>
      </c>
      <c r="I2786" t="s">
        <v>58</v>
      </c>
      <c r="J2786">
        <v>1</v>
      </c>
      <c r="K2786">
        <v>1299</v>
      </c>
      <c r="L2786">
        <f>Table1[[#This Row],[Quantity]] * Table1[[#This Row],[UnitPrice]]</f>
        <v>1299</v>
      </c>
      <c r="M2786" s="25">
        <v>20</v>
      </c>
      <c r="N2786">
        <f>Table1[[#This Row],[Revenue]]*Table1[[#This Row],[Discount%]]/100</f>
        <v>259.8</v>
      </c>
      <c r="O2786" s="6">
        <f>Table1[[#This Row],[Revenue]]-Table1[[#This Row],[Disc_amount]]</f>
        <v>1039.2</v>
      </c>
      <c r="P2786" t="s">
        <v>86</v>
      </c>
      <c r="Q2786" t="s">
        <v>34</v>
      </c>
    </row>
    <row r="2787" spans="1:17">
      <c r="A2787" t="s">
        <v>3640</v>
      </c>
      <c r="B2787" s="1" t="s">
        <v>2612</v>
      </c>
      <c r="C2787" s="1" t="s">
        <v>3431</v>
      </c>
      <c r="D2787" s="1" t="s">
        <v>20</v>
      </c>
      <c r="E2787" t="s">
        <v>793</v>
      </c>
      <c r="F2787" t="s">
        <v>129</v>
      </c>
      <c r="G2787" t="s">
        <v>23</v>
      </c>
      <c r="H2787" t="s">
        <v>108</v>
      </c>
      <c r="I2787" t="s">
        <v>109</v>
      </c>
      <c r="J2787">
        <v>1</v>
      </c>
      <c r="K2787">
        <v>1499</v>
      </c>
      <c r="L2787">
        <f>Table1[[#This Row],[Quantity]] * Table1[[#This Row],[UnitPrice]]</f>
        <v>1499</v>
      </c>
      <c r="M2787" s="25">
        <v>30</v>
      </c>
      <c r="N2787">
        <f>Table1[[#This Row],[Revenue]]*Table1[[#This Row],[Discount%]]/100</f>
        <v>449.7</v>
      </c>
      <c r="O2787" s="6">
        <f>Table1[[#This Row],[Revenue]]-Table1[[#This Row],[Disc_amount]]</f>
        <v>1049.3</v>
      </c>
      <c r="P2787" t="s">
        <v>86</v>
      </c>
      <c r="Q2787" t="s">
        <v>27</v>
      </c>
    </row>
    <row r="2788" spans="1:17">
      <c r="A2788" t="s">
        <v>3641</v>
      </c>
      <c r="B2788" s="1" t="s">
        <v>2612</v>
      </c>
      <c r="C2788" s="1" t="s">
        <v>3431</v>
      </c>
      <c r="D2788" s="1" t="s">
        <v>20</v>
      </c>
      <c r="E2788" t="s">
        <v>1521</v>
      </c>
      <c r="F2788" t="s">
        <v>960</v>
      </c>
      <c r="G2788" t="s">
        <v>23</v>
      </c>
      <c r="H2788" t="s">
        <v>57</v>
      </c>
      <c r="I2788" t="s">
        <v>58</v>
      </c>
      <c r="J2788">
        <v>1</v>
      </c>
      <c r="K2788">
        <v>1299</v>
      </c>
      <c r="L2788">
        <f>Table1[[#This Row],[Quantity]] * Table1[[#This Row],[UnitPrice]]</f>
        <v>1299</v>
      </c>
      <c r="M2788" s="25">
        <v>20</v>
      </c>
      <c r="N2788">
        <f>Table1[[#This Row],[Revenue]]*Table1[[#This Row],[Discount%]]/100</f>
        <v>259.8</v>
      </c>
      <c r="O2788" s="6">
        <f>Table1[[#This Row],[Revenue]]-Table1[[#This Row],[Disc_amount]]</f>
        <v>1039.2</v>
      </c>
      <c r="P2788" t="s">
        <v>33</v>
      </c>
      <c r="Q2788" t="s">
        <v>27</v>
      </c>
    </row>
    <row r="2789" spans="1:17">
      <c r="A2789" t="s">
        <v>3642</v>
      </c>
      <c r="B2789" s="1" t="s">
        <v>2612</v>
      </c>
      <c r="C2789" s="1" t="s">
        <v>3431</v>
      </c>
      <c r="D2789" s="1" t="s">
        <v>20</v>
      </c>
      <c r="E2789" t="s">
        <v>262</v>
      </c>
      <c r="F2789" t="s">
        <v>77</v>
      </c>
      <c r="G2789" t="s">
        <v>45</v>
      </c>
      <c r="H2789" t="s">
        <v>39</v>
      </c>
      <c r="I2789" t="s">
        <v>140</v>
      </c>
      <c r="J2789">
        <v>1</v>
      </c>
      <c r="K2789">
        <v>1799</v>
      </c>
      <c r="L2789">
        <f>Table1[[#This Row],[Quantity]] * Table1[[#This Row],[UnitPrice]]</f>
        <v>1799</v>
      </c>
      <c r="M2789" s="25">
        <v>15</v>
      </c>
      <c r="N2789">
        <f>Table1[[#This Row],[Revenue]]*Table1[[#This Row],[Discount%]]/100</f>
        <v>269.85000000000002</v>
      </c>
      <c r="O2789" s="6">
        <f>Table1[[#This Row],[Revenue]]-Table1[[#This Row],[Disc_amount]]</f>
        <v>1529.15</v>
      </c>
      <c r="P2789" t="s">
        <v>33</v>
      </c>
      <c r="Q2789" t="s">
        <v>34</v>
      </c>
    </row>
    <row r="2790" spans="1:17">
      <c r="A2790" t="s">
        <v>3643</v>
      </c>
      <c r="B2790" s="1" t="s">
        <v>2612</v>
      </c>
      <c r="C2790" s="1" t="s">
        <v>3431</v>
      </c>
      <c r="D2790" s="1" t="s">
        <v>20</v>
      </c>
      <c r="E2790" t="s">
        <v>952</v>
      </c>
      <c r="F2790" t="s">
        <v>134</v>
      </c>
      <c r="G2790" t="s">
        <v>23</v>
      </c>
      <c r="H2790" t="s">
        <v>70</v>
      </c>
      <c r="I2790" t="s">
        <v>71</v>
      </c>
      <c r="J2790">
        <v>1</v>
      </c>
      <c r="K2790">
        <v>349</v>
      </c>
      <c r="L2790">
        <f>Table1[[#This Row],[Quantity]] * Table1[[#This Row],[UnitPrice]]</f>
        <v>349</v>
      </c>
      <c r="M2790" s="25">
        <v>15</v>
      </c>
      <c r="N2790">
        <f>Table1[[#This Row],[Revenue]]*Table1[[#This Row],[Discount%]]/100</f>
        <v>52.35</v>
      </c>
      <c r="O2790" s="6">
        <f>Table1[[#This Row],[Revenue]]-Table1[[#This Row],[Disc_amount]]</f>
        <v>296.64999999999998</v>
      </c>
      <c r="P2790" t="s">
        <v>33</v>
      </c>
      <c r="Q2790" t="s">
        <v>27</v>
      </c>
    </row>
    <row r="2791" spans="1:17">
      <c r="A2791" t="s">
        <v>3644</v>
      </c>
      <c r="B2791" s="1" t="s">
        <v>2612</v>
      </c>
      <c r="C2791" s="1" t="s">
        <v>3431</v>
      </c>
      <c r="D2791" s="1" t="s">
        <v>20</v>
      </c>
      <c r="E2791" t="s">
        <v>275</v>
      </c>
      <c r="F2791" t="s">
        <v>276</v>
      </c>
      <c r="G2791" t="s">
        <v>38</v>
      </c>
      <c r="H2791" t="s">
        <v>24</v>
      </c>
      <c r="I2791" t="s">
        <v>32</v>
      </c>
      <c r="J2791">
        <v>2</v>
      </c>
      <c r="K2791">
        <v>199</v>
      </c>
      <c r="L2791">
        <f>Table1[[#This Row],[Quantity]] * Table1[[#This Row],[UnitPrice]]</f>
        <v>398</v>
      </c>
      <c r="M2791" s="25">
        <v>0</v>
      </c>
      <c r="N2791">
        <f>Table1[[#This Row],[Revenue]]*Table1[[#This Row],[Discount%]]/100</f>
        <v>0</v>
      </c>
      <c r="O2791" s="6">
        <f>Table1[[#This Row],[Revenue]]-Table1[[#This Row],[Disc_amount]]</f>
        <v>398</v>
      </c>
      <c r="P2791" t="s">
        <v>26</v>
      </c>
      <c r="Q2791" t="s">
        <v>34</v>
      </c>
    </row>
    <row r="2792" spans="1:17">
      <c r="A2792" t="s">
        <v>3645</v>
      </c>
      <c r="B2792" s="1" t="s">
        <v>2612</v>
      </c>
      <c r="C2792" s="1" t="s">
        <v>3431</v>
      </c>
      <c r="D2792" s="1" t="s">
        <v>20</v>
      </c>
      <c r="E2792" t="s">
        <v>172</v>
      </c>
      <c r="F2792" t="s">
        <v>173</v>
      </c>
      <c r="G2792" t="s">
        <v>45</v>
      </c>
      <c r="H2792" t="s">
        <v>46</v>
      </c>
      <c r="I2792" t="s">
        <v>154</v>
      </c>
      <c r="J2792">
        <v>2</v>
      </c>
      <c r="K2792">
        <v>299</v>
      </c>
      <c r="L2792">
        <f>Table1[[#This Row],[Quantity]] * Table1[[#This Row],[UnitPrice]]</f>
        <v>598</v>
      </c>
      <c r="M2792" s="25">
        <v>30</v>
      </c>
      <c r="N2792">
        <f>Table1[[#This Row],[Revenue]]*Table1[[#This Row],[Discount%]]/100</f>
        <v>179.4</v>
      </c>
      <c r="O2792" s="6">
        <f>Table1[[#This Row],[Revenue]]-Table1[[#This Row],[Disc_amount]]</f>
        <v>418.6</v>
      </c>
      <c r="P2792" t="s">
        <v>33</v>
      </c>
      <c r="Q2792" t="s">
        <v>34</v>
      </c>
    </row>
    <row r="2793" spans="1:17">
      <c r="A2793" t="s">
        <v>3646</v>
      </c>
      <c r="B2793" s="1" t="s">
        <v>2612</v>
      </c>
      <c r="C2793" s="1" t="s">
        <v>3431</v>
      </c>
      <c r="D2793" s="1" t="s">
        <v>20</v>
      </c>
      <c r="E2793" t="s">
        <v>1001</v>
      </c>
      <c r="F2793" t="s">
        <v>90</v>
      </c>
      <c r="G2793" t="s">
        <v>45</v>
      </c>
      <c r="H2793" t="s">
        <v>24</v>
      </c>
      <c r="I2793" t="s">
        <v>32</v>
      </c>
      <c r="J2793">
        <v>2</v>
      </c>
      <c r="K2793">
        <v>199</v>
      </c>
      <c r="L2793">
        <f>Table1[[#This Row],[Quantity]] * Table1[[#This Row],[UnitPrice]]</f>
        <v>398</v>
      </c>
      <c r="M2793" s="25">
        <v>15</v>
      </c>
      <c r="N2793">
        <f>Table1[[#This Row],[Revenue]]*Table1[[#This Row],[Discount%]]/100</f>
        <v>59.7</v>
      </c>
      <c r="O2793" s="6">
        <f>Table1[[#This Row],[Revenue]]-Table1[[#This Row],[Disc_amount]]</f>
        <v>338.3</v>
      </c>
      <c r="P2793" t="s">
        <v>26</v>
      </c>
      <c r="Q2793" t="s">
        <v>27</v>
      </c>
    </row>
    <row r="2794" spans="1:17">
      <c r="A2794" t="s">
        <v>3647</v>
      </c>
      <c r="B2794" s="1" t="s">
        <v>2612</v>
      </c>
      <c r="C2794" s="1" t="s">
        <v>3431</v>
      </c>
      <c r="D2794" s="1" t="s">
        <v>20</v>
      </c>
      <c r="E2794" t="s">
        <v>1395</v>
      </c>
      <c r="F2794" t="s">
        <v>1396</v>
      </c>
      <c r="G2794" t="s">
        <v>38</v>
      </c>
      <c r="H2794" t="s">
        <v>65</v>
      </c>
      <c r="I2794" t="s">
        <v>66</v>
      </c>
      <c r="J2794">
        <v>2</v>
      </c>
      <c r="K2794">
        <v>1999</v>
      </c>
      <c r="L2794">
        <f>Table1[[#This Row],[Quantity]] * Table1[[#This Row],[UnitPrice]]</f>
        <v>3998</v>
      </c>
      <c r="M2794" s="25">
        <v>15</v>
      </c>
      <c r="N2794">
        <f>Table1[[#This Row],[Revenue]]*Table1[[#This Row],[Discount%]]/100</f>
        <v>599.70000000000005</v>
      </c>
      <c r="O2794" s="6">
        <f>Table1[[#This Row],[Revenue]]-Table1[[#This Row],[Disc_amount]]</f>
        <v>3398.3</v>
      </c>
      <c r="P2794" t="s">
        <v>41</v>
      </c>
      <c r="Q2794" t="s">
        <v>34</v>
      </c>
    </row>
    <row r="2795" spans="1:17">
      <c r="A2795" t="s">
        <v>3648</v>
      </c>
      <c r="B2795" s="1" t="s">
        <v>2612</v>
      </c>
      <c r="C2795" s="1" t="s">
        <v>3431</v>
      </c>
      <c r="D2795" s="1" t="s">
        <v>20</v>
      </c>
      <c r="E2795" t="s">
        <v>578</v>
      </c>
      <c r="F2795" t="s">
        <v>579</v>
      </c>
      <c r="G2795" t="s">
        <v>31</v>
      </c>
      <c r="H2795" t="s">
        <v>39</v>
      </c>
      <c r="I2795" t="s">
        <v>40</v>
      </c>
      <c r="J2795">
        <v>1</v>
      </c>
      <c r="K2795">
        <v>599</v>
      </c>
      <c r="L2795">
        <f>Table1[[#This Row],[Quantity]] * Table1[[#This Row],[UnitPrice]]</f>
        <v>599</v>
      </c>
      <c r="M2795" s="25">
        <v>30</v>
      </c>
      <c r="N2795">
        <f>Table1[[#This Row],[Revenue]]*Table1[[#This Row],[Discount%]]/100</f>
        <v>179.7</v>
      </c>
      <c r="O2795" s="6">
        <f>Table1[[#This Row],[Revenue]]-Table1[[#This Row],[Disc_amount]]</f>
        <v>419.3</v>
      </c>
      <c r="P2795" t="s">
        <v>33</v>
      </c>
      <c r="Q2795" t="s">
        <v>27</v>
      </c>
    </row>
    <row r="2796" spans="1:17">
      <c r="A2796" t="s">
        <v>3649</v>
      </c>
      <c r="B2796" s="1" t="s">
        <v>2612</v>
      </c>
      <c r="C2796" s="1" t="s">
        <v>3431</v>
      </c>
      <c r="D2796" s="1" t="s">
        <v>20</v>
      </c>
      <c r="E2796" t="s">
        <v>1499</v>
      </c>
      <c r="F2796" t="s">
        <v>730</v>
      </c>
      <c r="G2796" t="s">
        <v>31</v>
      </c>
      <c r="H2796" t="s">
        <v>70</v>
      </c>
      <c r="I2796" t="s">
        <v>71</v>
      </c>
      <c r="J2796">
        <v>2</v>
      </c>
      <c r="K2796">
        <v>349</v>
      </c>
      <c r="L2796">
        <f>Table1[[#This Row],[Quantity]] * Table1[[#This Row],[UnitPrice]]</f>
        <v>698</v>
      </c>
      <c r="M2796" s="25">
        <v>5</v>
      </c>
      <c r="N2796">
        <f>Table1[[#This Row],[Revenue]]*Table1[[#This Row],[Discount%]]/100</f>
        <v>34.9</v>
      </c>
      <c r="O2796" s="6">
        <f>Table1[[#This Row],[Revenue]]-Table1[[#This Row],[Disc_amount]]</f>
        <v>663.1</v>
      </c>
      <c r="P2796" t="s">
        <v>41</v>
      </c>
      <c r="Q2796" t="s">
        <v>27</v>
      </c>
    </row>
    <row r="2797" spans="1:17">
      <c r="A2797" t="s">
        <v>3650</v>
      </c>
      <c r="B2797" s="1" t="s">
        <v>2612</v>
      </c>
      <c r="C2797" s="1" t="s">
        <v>3431</v>
      </c>
      <c r="D2797" s="1" t="s">
        <v>20</v>
      </c>
      <c r="E2797" t="s">
        <v>297</v>
      </c>
      <c r="F2797" t="s">
        <v>298</v>
      </c>
      <c r="G2797" t="s">
        <v>56</v>
      </c>
      <c r="H2797" t="s">
        <v>65</v>
      </c>
      <c r="I2797" t="s">
        <v>98</v>
      </c>
      <c r="J2797">
        <v>2</v>
      </c>
      <c r="K2797">
        <v>499</v>
      </c>
      <c r="L2797">
        <f>Table1[[#This Row],[Quantity]] * Table1[[#This Row],[UnitPrice]]</f>
        <v>998</v>
      </c>
      <c r="M2797" s="25">
        <v>15</v>
      </c>
      <c r="N2797">
        <f>Table1[[#This Row],[Revenue]]*Table1[[#This Row],[Discount%]]/100</f>
        <v>149.69999999999999</v>
      </c>
      <c r="O2797" s="6">
        <f>Table1[[#This Row],[Revenue]]-Table1[[#This Row],[Disc_amount]]</f>
        <v>848.3</v>
      </c>
      <c r="P2797" t="s">
        <v>41</v>
      </c>
      <c r="Q2797" t="s">
        <v>27</v>
      </c>
    </row>
    <row r="2798" spans="1:17">
      <c r="A2798" t="s">
        <v>3651</v>
      </c>
      <c r="B2798" s="1" t="s">
        <v>2620</v>
      </c>
      <c r="C2798" s="1" t="s">
        <v>3431</v>
      </c>
      <c r="D2798" s="1" t="s">
        <v>20</v>
      </c>
      <c r="E2798" t="s">
        <v>128</v>
      </c>
      <c r="F2798" t="s">
        <v>129</v>
      </c>
      <c r="G2798" t="s">
        <v>56</v>
      </c>
      <c r="H2798" t="s">
        <v>57</v>
      </c>
      <c r="I2798" t="s">
        <v>62</v>
      </c>
      <c r="J2798">
        <v>1</v>
      </c>
      <c r="K2798">
        <v>799</v>
      </c>
      <c r="L2798">
        <f>Table1[[#This Row],[Quantity]] * Table1[[#This Row],[UnitPrice]]</f>
        <v>799</v>
      </c>
      <c r="M2798" s="25">
        <v>0</v>
      </c>
      <c r="N2798">
        <f>Table1[[#This Row],[Revenue]]*Table1[[#This Row],[Discount%]]/100</f>
        <v>0</v>
      </c>
      <c r="O2798" s="6">
        <f>Table1[[#This Row],[Revenue]]-Table1[[#This Row],[Disc_amount]]</f>
        <v>799</v>
      </c>
      <c r="P2798" t="s">
        <v>26</v>
      </c>
      <c r="Q2798" t="s">
        <v>27</v>
      </c>
    </row>
    <row r="2799" spans="1:17">
      <c r="A2799" t="s">
        <v>3652</v>
      </c>
      <c r="B2799" s="1" t="s">
        <v>2620</v>
      </c>
      <c r="C2799" s="1" t="s">
        <v>3431</v>
      </c>
      <c r="D2799" s="1" t="s">
        <v>20</v>
      </c>
      <c r="E2799" t="s">
        <v>541</v>
      </c>
      <c r="F2799" t="s">
        <v>314</v>
      </c>
      <c r="G2799" t="s">
        <v>45</v>
      </c>
      <c r="H2799" t="s">
        <v>24</v>
      </c>
      <c r="I2799" t="s">
        <v>32</v>
      </c>
      <c r="J2799">
        <v>3</v>
      </c>
      <c r="K2799">
        <v>199</v>
      </c>
      <c r="L2799">
        <f>Table1[[#This Row],[Quantity]] * Table1[[#This Row],[UnitPrice]]</f>
        <v>597</v>
      </c>
      <c r="M2799" s="25">
        <v>15</v>
      </c>
      <c r="N2799">
        <f>Table1[[#This Row],[Revenue]]*Table1[[#This Row],[Discount%]]/100</f>
        <v>89.55</v>
      </c>
      <c r="O2799" s="6">
        <f>Table1[[#This Row],[Revenue]]-Table1[[#This Row],[Disc_amount]]</f>
        <v>507.45</v>
      </c>
      <c r="P2799" t="s">
        <v>41</v>
      </c>
      <c r="Q2799" t="s">
        <v>27</v>
      </c>
    </row>
    <row r="2800" spans="1:17">
      <c r="A2800" t="s">
        <v>3653</v>
      </c>
      <c r="B2800" s="1" t="s">
        <v>2620</v>
      </c>
      <c r="C2800" s="1" t="s">
        <v>3431</v>
      </c>
      <c r="D2800" s="1" t="s">
        <v>20</v>
      </c>
      <c r="E2800" t="s">
        <v>111</v>
      </c>
      <c r="F2800" t="s">
        <v>107</v>
      </c>
      <c r="G2800" t="s">
        <v>23</v>
      </c>
      <c r="H2800" t="s">
        <v>70</v>
      </c>
      <c r="I2800" t="s">
        <v>71</v>
      </c>
      <c r="J2800">
        <v>1</v>
      </c>
      <c r="K2800">
        <v>349</v>
      </c>
      <c r="L2800">
        <f>Table1[[#This Row],[Quantity]] * Table1[[#This Row],[UnitPrice]]</f>
        <v>349</v>
      </c>
      <c r="M2800" s="25">
        <v>0</v>
      </c>
      <c r="N2800">
        <f>Table1[[#This Row],[Revenue]]*Table1[[#This Row],[Discount%]]/100</f>
        <v>0</v>
      </c>
      <c r="O2800" s="6">
        <f>Table1[[#This Row],[Revenue]]-Table1[[#This Row],[Disc_amount]]</f>
        <v>349</v>
      </c>
      <c r="P2800" t="s">
        <v>26</v>
      </c>
      <c r="Q2800" t="s">
        <v>27</v>
      </c>
    </row>
    <row r="2801" spans="1:17">
      <c r="A2801" t="s">
        <v>3654</v>
      </c>
      <c r="B2801" s="1" t="s">
        <v>2620</v>
      </c>
      <c r="C2801" s="1" t="s">
        <v>3431</v>
      </c>
      <c r="D2801" s="1" t="s">
        <v>20</v>
      </c>
      <c r="E2801" t="s">
        <v>306</v>
      </c>
      <c r="F2801" t="s">
        <v>307</v>
      </c>
      <c r="G2801" t="s">
        <v>23</v>
      </c>
      <c r="H2801" t="s">
        <v>39</v>
      </c>
      <c r="I2801" t="s">
        <v>40</v>
      </c>
      <c r="J2801">
        <v>1</v>
      </c>
      <c r="K2801">
        <v>599</v>
      </c>
      <c r="L2801">
        <f>Table1[[#This Row],[Quantity]] * Table1[[#This Row],[UnitPrice]]</f>
        <v>599</v>
      </c>
      <c r="M2801" s="25">
        <v>20</v>
      </c>
      <c r="N2801">
        <f>Table1[[#This Row],[Revenue]]*Table1[[#This Row],[Discount%]]/100</f>
        <v>119.8</v>
      </c>
      <c r="O2801" s="6">
        <f>Table1[[#This Row],[Revenue]]-Table1[[#This Row],[Disc_amount]]</f>
        <v>479.2</v>
      </c>
      <c r="P2801" t="s">
        <v>41</v>
      </c>
      <c r="Q2801" t="s">
        <v>27</v>
      </c>
    </row>
    <row r="2802" spans="1:17">
      <c r="A2802" t="s">
        <v>3655</v>
      </c>
      <c r="B2802" s="1" t="s">
        <v>2620</v>
      </c>
      <c r="C2802" s="1" t="s">
        <v>3431</v>
      </c>
      <c r="D2802" s="1" t="s">
        <v>20</v>
      </c>
      <c r="E2802" t="s">
        <v>1585</v>
      </c>
      <c r="F2802" t="s">
        <v>298</v>
      </c>
      <c r="G2802" t="s">
        <v>56</v>
      </c>
      <c r="H2802" t="s">
        <v>65</v>
      </c>
      <c r="I2802" t="s">
        <v>66</v>
      </c>
      <c r="J2802">
        <v>1</v>
      </c>
      <c r="K2802">
        <v>1999</v>
      </c>
      <c r="L2802">
        <f>Table1[[#This Row],[Quantity]] * Table1[[#This Row],[UnitPrice]]</f>
        <v>1999</v>
      </c>
      <c r="M2802" s="25">
        <v>20</v>
      </c>
      <c r="N2802">
        <f>Table1[[#This Row],[Revenue]]*Table1[[#This Row],[Discount%]]/100</f>
        <v>399.8</v>
      </c>
      <c r="O2802" s="6">
        <f>Table1[[#This Row],[Revenue]]-Table1[[#This Row],[Disc_amount]]</f>
        <v>1599.2</v>
      </c>
      <c r="P2802" t="s">
        <v>52</v>
      </c>
      <c r="Q2802" t="s">
        <v>34</v>
      </c>
    </row>
    <row r="2803" spans="1:17">
      <c r="A2803" t="s">
        <v>3656</v>
      </c>
      <c r="B2803" s="1" t="s">
        <v>2620</v>
      </c>
      <c r="C2803" s="1" t="s">
        <v>3431</v>
      </c>
      <c r="D2803" s="1" t="s">
        <v>20</v>
      </c>
      <c r="E2803" t="s">
        <v>1658</v>
      </c>
      <c r="F2803" t="s">
        <v>61</v>
      </c>
      <c r="G2803" t="s">
        <v>45</v>
      </c>
      <c r="H2803" t="s">
        <v>70</v>
      </c>
      <c r="I2803" t="s">
        <v>71</v>
      </c>
      <c r="J2803">
        <v>3</v>
      </c>
      <c r="K2803">
        <v>349</v>
      </c>
      <c r="L2803">
        <f>Table1[[#This Row],[Quantity]] * Table1[[#This Row],[UnitPrice]]</f>
        <v>1047</v>
      </c>
      <c r="M2803" s="25">
        <v>5</v>
      </c>
      <c r="N2803">
        <f>Table1[[#This Row],[Revenue]]*Table1[[#This Row],[Discount%]]/100</f>
        <v>52.35</v>
      </c>
      <c r="O2803" s="6">
        <f>Table1[[#This Row],[Revenue]]-Table1[[#This Row],[Disc_amount]]</f>
        <v>994.65</v>
      </c>
      <c r="P2803" t="s">
        <v>33</v>
      </c>
      <c r="Q2803" t="s">
        <v>27</v>
      </c>
    </row>
    <row r="2804" spans="1:17">
      <c r="A2804" t="s">
        <v>3657</v>
      </c>
      <c r="B2804" s="1" t="s">
        <v>2620</v>
      </c>
      <c r="C2804" s="1" t="s">
        <v>3431</v>
      </c>
      <c r="D2804" s="1" t="s">
        <v>20</v>
      </c>
      <c r="E2804" t="s">
        <v>1312</v>
      </c>
      <c r="F2804" t="s">
        <v>465</v>
      </c>
      <c r="G2804" t="s">
        <v>31</v>
      </c>
      <c r="H2804" t="s">
        <v>39</v>
      </c>
      <c r="I2804" t="s">
        <v>51</v>
      </c>
      <c r="J2804">
        <v>2</v>
      </c>
      <c r="K2804">
        <v>2999</v>
      </c>
      <c r="L2804">
        <f>Table1[[#This Row],[Quantity]] * Table1[[#This Row],[UnitPrice]]</f>
        <v>5998</v>
      </c>
      <c r="M2804" s="25">
        <v>5</v>
      </c>
      <c r="N2804">
        <f>Table1[[#This Row],[Revenue]]*Table1[[#This Row],[Discount%]]/100</f>
        <v>299.89999999999998</v>
      </c>
      <c r="O2804" s="6">
        <f>Table1[[#This Row],[Revenue]]-Table1[[#This Row],[Disc_amount]]</f>
        <v>5698.1</v>
      </c>
      <c r="P2804" t="s">
        <v>52</v>
      </c>
      <c r="Q2804" t="s">
        <v>34</v>
      </c>
    </row>
    <row r="2805" spans="1:17">
      <c r="A2805" t="s">
        <v>3658</v>
      </c>
      <c r="B2805" s="1" t="s">
        <v>2620</v>
      </c>
      <c r="C2805" s="1" t="s">
        <v>3431</v>
      </c>
      <c r="D2805" s="1" t="s">
        <v>20</v>
      </c>
      <c r="E2805" t="s">
        <v>1237</v>
      </c>
      <c r="F2805" t="s">
        <v>173</v>
      </c>
      <c r="G2805" t="s">
        <v>38</v>
      </c>
      <c r="H2805" t="s">
        <v>24</v>
      </c>
      <c r="I2805" t="s">
        <v>32</v>
      </c>
      <c r="J2805">
        <v>1</v>
      </c>
      <c r="K2805">
        <v>199</v>
      </c>
      <c r="L2805">
        <f>Table1[[#This Row],[Quantity]] * Table1[[#This Row],[UnitPrice]]</f>
        <v>199</v>
      </c>
      <c r="M2805" s="25">
        <v>5</v>
      </c>
      <c r="N2805">
        <f>Table1[[#This Row],[Revenue]]*Table1[[#This Row],[Discount%]]/100</f>
        <v>9.9499999999999993</v>
      </c>
      <c r="O2805" s="6">
        <f>Table1[[#This Row],[Revenue]]-Table1[[#This Row],[Disc_amount]]</f>
        <v>189.05</v>
      </c>
      <c r="P2805" t="s">
        <v>52</v>
      </c>
      <c r="Q2805" t="s">
        <v>27</v>
      </c>
    </row>
    <row r="2806" spans="1:17">
      <c r="A2806" t="s">
        <v>3659</v>
      </c>
      <c r="B2806" s="1" t="s">
        <v>2620</v>
      </c>
      <c r="C2806" s="1" t="s">
        <v>3431</v>
      </c>
      <c r="D2806" s="1" t="s">
        <v>20</v>
      </c>
      <c r="E2806" t="s">
        <v>235</v>
      </c>
      <c r="F2806" t="s">
        <v>236</v>
      </c>
      <c r="G2806" t="s">
        <v>23</v>
      </c>
      <c r="H2806" t="s">
        <v>70</v>
      </c>
      <c r="I2806" t="s">
        <v>91</v>
      </c>
      <c r="J2806">
        <v>1</v>
      </c>
      <c r="K2806">
        <v>549</v>
      </c>
      <c r="L2806">
        <f>Table1[[#This Row],[Quantity]] * Table1[[#This Row],[UnitPrice]]</f>
        <v>549</v>
      </c>
      <c r="M2806" s="25">
        <v>20</v>
      </c>
      <c r="N2806">
        <f>Table1[[#This Row],[Revenue]]*Table1[[#This Row],[Discount%]]/100</f>
        <v>109.8</v>
      </c>
      <c r="O2806" s="6">
        <f>Table1[[#This Row],[Revenue]]-Table1[[#This Row],[Disc_amount]]</f>
        <v>439.2</v>
      </c>
      <c r="P2806" t="s">
        <v>41</v>
      </c>
      <c r="Q2806" t="s">
        <v>27</v>
      </c>
    </row>
    <row r="2807" spans="1:17">
      <c r="A2807" t="s">
        <v>3660</v>
      </c>
      <c r="B2807" s="1" t="s">
        <v>2620</v>
      </c>
      <c r="C2807" s="1" t="s">
        <v>3431</v>
      </c>
      <c r="D2807" s="1" t="s">
        <v>20</v>
      </c>
      <c r="E2807" t="s">
        <v>747</v>
      </c>
      <c r="F2807" t="s">
        <v>748</v>
      </c>
      <c r="G2807" t="s">
        <v>56</v>
      </c>
      <c r="H2807" t="s">
        <v>24</v>
      </c>
      <c r="I2807" t="s">
        <v>32</v>
      </c>
      <c r="J2807">
        <v>1</v>
      </c>
      <c r="K2807">
        <v>199</v>
      </c>
      <c r="L2807">
        <f>Table1[[#This Row],[Quantity]] * Table1[[#This Row],[UnitPrice]]</f>
        <v>199</v>
      </c>
      <c r="M2807" s="25">
        <v>10</v>
      </c>
      <c r="N2807">
        <f>Table1[[#This Row],[Revenue]]*Table1[[#This Row],[Discount%]]/100</f>
        <v>19.899999999999999</v>
      </c>
      <c r="O2807" s="6">
        <f>Table1[[#This Row],[Revenue]]-Table1[[#This Row],[Disc_amount]]</f>
        <v>179.1</v>
      </c>
      <c r="P2807" t="s">
        <v>41</v>
      </c>
      <c r="Q2807" t="s">
        <v>27</v>
      </c>
    </row>
    <row r="2808" spans="1:17">
      <c r="A2808" t="s">
        <v>3661</v>
      </c>
      <c r="B2808" s="1" t="s">
        <v>2620</v>
      </c>
      <c r="C2808" s="1" t="s">
        <v>3431</v>
      </c>
      <c r="D2808" s="1" t="s">
        <v>20</v>
      </c>
      <c r="E2808" t="s">
        <v>341</v>
      </c>
      <c r="F2808" t="s">
        <v>342</v>
      </c>
      <c r="G2808" t="s">
        <v>23</v>
      </c>
      <c r="H2808" t="s">
        <v>57</v>
      </c>
      <c r="I2808" t="s">
        <v>62</v>
      </c>
      <c r="J2808">
        <v>3</v>
      </c>
      <c r="K2808">
        <v>799</v>
      </c>
      <c r="L2808">
        <f>Table1[[#This Row],[Quantity]] * Table1[[#This Row],[UnitPrice]]</f>
        <v>2397</v>
      </c>
      <c r="M2808" s="25">
        <v>5</v>
      </c>
      <c r="N2808">
        <f>Table1[[#This Row],[Revenue]]*Table1[[#This Row],[Discount%]]/100</f>
        <v>119.85</v>
      </c>
      <c r="O2808" s="6">
        <f>Table1[[#This Row],[Revenue]]-Table1[[#This Row],[Disc_amount]]</f>
        <v>2277.15</v>
      </c>
      <c r="P2808" t="s">
        <v>41</v>
      </c>
      <c r="Q2808" t="s">
        <v>27</v>
      </c>
    </row>
    <row r="2809" spans="1:17">
      <c r="A2809" t="s">
        <v>3662</v>
      </c>
      <c r="B2809" s="1" t="s">
        <v>2620</v>
      </c>
      <c r="C2809" s="1" t="s">
        <v>3431</v>
      </c>
      <c r="D2809" s="1" t="s">
        <v>20</v>
      </c>
      <c r="E2809" t="s">
        <v>1152</v>
      </c>
      <c r="F2809" t="s">
        <v>209</v>
      </c>
      <c r="G2809" t="s">
        <v>31</v>
      </c>
      <c r="H2809" t="s">
        <v>39</v>
      </c>
      <c r="I2809" t="s">
        <v>140</v>
      </c>
      <c r="J2809">
        <v>1</v>
      </c>
      <c r="K2809">
        <v>1799</v>
      </c>
      <c r="L2809">
        <f>Table1[[#This Row],[Quantity]] * Table1[[#This Row],[UnitPrice]]</f>
        <v>1799</v>
      </c>
      <c r="M2809" s="25">
        <v>15</v>
      </c>
      <c r="N2809">
        <f>Table1[[#This Row],[Revenue]]*Table1[[#This Row],[Discount%]]/100</f>
        <v>269.85000000000002</v>
      </c>
      <c r="O2809" s="6">
        <f>Table1[[#This Row],[Revenue]]-Table1[[#This Row],[Disc_amount]]</f>
        <v>1529.15</v>
      </c>
      <c r="P2809" t="s">
        <v>33</v>
      </c>
      <c r="Q2809" t="s">
        <v>34</v>
      </c>
    </row>
    <row r="2810" spans="1:17">
      <c r="A2810" t="s">
        <v>3663</v>
      </c>
      <c r="B2810" s="1" t="s">
        <v>2620</v>
      </c>
      <c r="C2810" s="1" t="s">
        <v>3431</v>
      </c>
      <c r="D2810" s="1" t="s">
        <v>20</v>
      </c>
      <c r="E2810" t="s">
        <v>1567</v>
      </c>
      <c r="F2810" t="s">
        <v>143</v>
      </c>
      <c r="G2810" t="s">
        <v>31</v>
      </c>
      <c r="H2810" t="s">
        <v>39</v>
      </c>
      <c r="I2810" t="s">
        <v>140</v>
      </c>
      <c r="J2810">
        <v>1</v>
      </c>
      <c r="K2810">
        <v>1799</v>
      </c>
      <c r="L2810">
        <f>Table1[[#This Row],[Quantity]] * Table1[[#This Row],[UnitPrice]]</f>
        <v>1799</v>
      </c>
      <c r="M2810" s="25">
        <v>20</v>
      </c>
      <c r="N2810">
        <f>Table1[[#This Row],[Revenue]]*Table1[[#This Row],[Discount%]]/100</f>
        <v>359.8</v>
      </c>
      <c r="O2810" s="6">
        <f>Table1[[#This Row],[Revenue]]-Table1[[#This Row],[Disc_amount]]</f>
        <v>1439.2</v>
      </c>
      <c r="P2810" t="s">
        <v>33</v>
      </c>
      <c r="Q2810" t="s">
        <v>34</v>
      </c>
    </row>
    <row r="2811" spans="1:17">
      <c r="A2811" t="s">
        <v>3664</v>
      </c>
      <c r="B2811" s="1" t="s">
        <v>2626</v>
      </c>
      <c r="C2811" s="1" t="s">
        <v>3431</v>
      </c>
      <c r="D2811" s="1" t="s">
        <v>20</v>
      </c>
      <c r="E2811" t="s">
        <v>1946</v>
      </c>
      <c r="F2811" t="s">
        <v>74</v>
      </c>
      <c r="G2811" t="s">
        <v>23</v>
      </c>
      <c r="H2811" t="s">
        <v>24</v>
      </c>
      <c r="I2811" t="s">
        <v>32</v>
      </c>
      <c r="J2811">
        <v>4</v>
      </c>
      <c r="K2811">
        <v>199</v>
      </c>
      <c r="L2811">
        <f>Table1[[#This Row],[Quantity]] * Table1[[#This Row],[UnitPrice]]</f>
        <v>796</v>
      </c>
      <c r="M2811" s="25">
        <v>10</v>
      </c>
      <c r="N2811">
        <f>Table1[[#This Row],[Revenue]]*Table1[[#This Row],[Discount%]]/100</f>
        <v>79.599999999999994</v>
      </c>
      <c r="O2811" s="6">
        <f>Table1[[#This Row],[Revenue]]-Table1[[#This Row],[Disc_amount]]</f>
        <v>716.4</v>
      </c>
      <c r="P2811" t="s">
        <v>26</v>
      </c>
      <c r="Q2811" t="s">
        <v>27</v>
      </c>
    </row>
    <row r="2812" spans="1:17">
      <c r="A2812" t="s">
        <v>3665</v>
      </c>
      <c r="B2812" s="1" t="s">
        <v>2626</v>
      </c>
      <c r="C2812" s="1" t="s">
        <v>3431</v>
      </c>
      <c r="D2812" s="1" t="s">
        <v>20</v>
      </c>
      <c r="E2812" t="s">
        <v>332</v>
      </c>
      <c r="F2812" t="s">
        <v>107</v>
      </c>
      <c r="G2812" t="s">
        <v>45</v>
      </c>
      <c r="H2812" t="s">
        <v>70</v>
      </c>
      <c r="I2812" t="s">
        <v>71</v>
      </c>
      <c r="J2812">
        <v>3</v>
      </c>
      <c r="K2812">
        <v>349</v>
      </c>
      <c r="L2812">
        <f>Table1[[#This Row],[Quantity]] * Table1[[#This Row],[UnitPrice]]</f>
        <v>1047</v>
      </c>
      <c r="M2812" s="25">
        <v>25</v>
      </c>
      <c r="N2812">
        <f>Table1[[#This Row],[Revenue]]*Table1[[#This Row],[Discount%]]/100</f>
        <v>261.75</v>
      </c>
      <c r="O2812" s="6">
        <f>Table1[[#This Row],[Revenue]]-Table1[[#This Row],[Disc_amount]]</f>
        <v>785.25</v>
      </c>
      <c r="P2812" t="s">
        <v>41</v>
      </c>
      <c r="Q2812" t="s">
        <v>27</v>
      </c>
    </row>
    <row r="2813" spans="1:17">
      <c r="A2813" t="s">
        <v>3666</v>
      </c>
      <c r="B2813" s="1" t="s">
        <v>2626</v>
      </c>
      <c r="C2813" s="1" t="s">
        <v>3431</v>
      </c>
      <c r="D2813" s="1" t="s">
        <v>20</v>
      </c>
      <c r="E2813" t="s">
        <v>1521</v>
      </c>
      <c r="F2813" t="s">
        <v>960</v>
      </c>
      <c r="G2813" t="s">
        <v>56</v>
      </c>
      <c r="H2813" t="s">
        <v>57</v>
      </c>
      <c r="I2813" t="s">
        <v>58</v>
      </c>
      <c r="J2813">
        <v>1</v>
      </c>
      <c r="K2813">
        <v>1299</v>
      </c>
      <c r="L2813">
        <f>Table1[[#This Row],[Quantity]] * Table1[[#This Row],[UnitPrice]]</f>
        <v>1299</v>
      </c>
      <c r="M2813" s="25">
        <v>0</v>
      </c>
      <c r="N2813">
        <f>Table1[[#This Row],[Revenue]]*Table1[[#This Row],[Discount%]]/100</f>
        <v>0</v>
      </c>
      <c r="O2813" s="6">
        <f>Table1[[#This Row],[Revenue]]-Table1[[#This Row],[Disc_amount]]</f>
        <v>1299</v>
      </c>
      <c r="P2813" t="s">
        <v>41</v>
      </c>
      <c r="Q2813" t="s">
        <v>27</v>
      </c>
    </row>
    <row r="2814" spans="1:17">
      <c r="A2814" t="s">
        <v>3667</v>
      </c>
      <c r="B2814" s="1" t="s">
        <v>2626</v>
      </c>
      <c r="C2814" s="1" t="s">
        <v>3431</v>
      </c>
      <c r="D2814" s="1" t="s">
        <v>20</v>
      </c>
      <c r="E2814" t="s">
        <v>787</v>
      </c>
      <c r="F2814" t="s">
        <v>788</v>
      </c>
      <c r="G2814" t="s">
        <v>23</v>
      </c>
      <c r="H2814" t="s">
        <v>108</v>
      </c>
      <c r="I2814" t="s">
        <v>109</v>
      </c>
      <c r="J2814">
        <v>1</v>
      </c>
      <c r="K2814">
        <v>1499</v>
      </c>
      <c r="L2814">
        <f>Table1[[#This Row],[Quantity]] * Table1[[#This Row],[UnitPrice]]</f>
        <v>1499</v>
      </c>
      <c r="M2814" s="25">
        <v>0</v>
      </c>
      <c r="N2814">
        <f>Table1[[#This Row],[Revenue]]*Table1[[#This Row],[Discount%]]/100</f>
        <v>0</v>
      </c>
      <c r="O2814" s="6">
        <f>Table1[[#This Row],[Revenue]]-Table1[[#This Row],[Disc_amount]]</f>
        <v>1499</v>
      </c>
      <c r="P2814" t="s">
        <v>41</v>
      </c>
      <c r="Q2814" t="s">
        <v>34</v>
      </c>
    </row>
    <row r="2815" spans="1:17">
      <c r="A2815" t="s">
        <v>3668</v>
      </c>
      <c r="B2815" s="1" t="s">
        <v>2626</v>
      </c>
      <c r="C2815" s="1" t="s">
        <v>3431</v>
      </c>
      <c r="D2815" s="1" t="s">
        <v>20</v>
      </c>
      <c r="E2815" t="s">
        <v>1019</v>
      </c>
      <c r="F2815" t="s">
        <v>1020</v>
      </c>
      <c r="G2815" t="s">
        <v>56</v>
      </c>
      <c r="H2815" t="s">
        <v>24</v>
      </c>
      <c r="I2815" t="s">
        <v>25</v>
      </c>
      <c r="J2815">
        <v>1</v>
      </c>
      <c r="K2815">
        <v>99</v>
      </c>
      <c r="L2815">
        <f>Table1[[#This Row],[Quantity]] * Table1[[#This Row],[UnitPrice]]</f>
        <v>99</v>
      </c>
      <c r="M2815" s="25">
        <v>25</v>
      </c>
      <c r="N2815">
        <f>Table1[[#This Row],[Revenue]]*Table1[[#This Row],[Discount%]]/100</f>
        <v>24.75</v>
      </c>
      <c r="O2815" s="6">
        <f>Table1[[#This Row],[Revenue]]-Table1[[#This Row],[Disc_amount]]</f>
        <v>74.25</v>
      </c>
      <c r="P2815" t="s">
        <v>52</v>
      </c>
      <c r="Q2815" t="s">
        <v>34</v>
      </c>
    </row>
    <row r="2816" spans="1:17">
      <c r="A2816" t="s">
        <v>3669</v>
      </c>
      <c r="B2816" s="1" t="s">
        <v>2626</v>
      </c>
      <c r="C2816" s="1" t="s">
        <v>3431</v>
      </c>
      <c r="D2816" s="1" t="s">
        <v>20</v>
      </c>
      <c r="E2816" t="s">
        <v>964</v>
      </c>
      <c r="F2816" t="s">
        <v>265</v>
      </c>
      <c r="G2816" t="s">
        <v>23</v>
      </c>
      <c r="H2816" t="s">
        <v>57</v>
      </c>
      <c r="I2816" t="s">
        <v>62</v>
      </c>
      <c r="J2816">
        <v>1</v>
      </c>
      <c r="K2816">
        <v>799</v>
      </c>
      <c r="L2816">
        <f>Table1[[#This Row],[Quantity]] * Table1[[#This Row],[UnitPrice]]</f>
        <v>799</v>
      </c>
      <c r="M2816" s="25">
        <v>5</v>
      </c>
      <c r="N2816">
        <f>Table1[[#This Row],[Revenue]]*Table1[[#This Row],[Discount%]]/100</f>
        <v>39.950000000000003</v>
      </c>
      <c r="O2816" s="6">
        <f>Table1[[#This Row],[Revenue]]-Table1[[#This Row],[Disc_amount]]</f>
        <v>759.05</v>
      </c>
      <c r="P2816" t="s">
        <v>26</v>
      </c>
      <c r="Q2816" t="s">
        <v>27</v>
      </c>
    </row>
    <row r="2817" spans="1:17">
      <c r="A2817" t="s">
        <v>3670</v>
      </c>
      <c r="B2817" s="1" t="s">
        <v>2626</v>
      </c>
      <c r="C2817" s="1" t="s">
        <v>3431</v>
      </c>
      <c r="D2817" s="1" t="s">
        <v>20</v>
      </c>
      <c r="E2817" t="s">
        <v>152</v>
      </c>
      <c r="F2817" t="s">
        <v>153</v>
      </c>
      <c r="G2817" t="s">
        <v>38</v>
      </c>
      <c r="H2817" t="s">
        <v>39</v>
      </c>
      <c r="I2817" t="s">
        <v>51</v>
      </c>
      <c r="J2817">
        <v>1</v>
      </c>
      <c r="K2817">
        <v>2999</v>
      </c>
      <c r="L2817">
        <f>Table1[[#This Row],[Quantity]] * Table1[[#This Row],[UnitPrice]]</f>
        <v>2999</v>
      </c>
      <c r="M2817" s="25">
        <v>0</v>
      </c>
      <c r="N2817">
        <f>Table1[[#This Row],[Revenue]]*Table1[[#This Row],[Discount%]]/100</f>
        <v>0</v>
      </c>
      <c r="O2817" s="6">
        <f>Table1[[#This Row],[Revenue]]-Table1[[#This Row],[Disc_amount]]</f>
        <v>2999</v>
      </c>
      <c r="P2817" t="s">
        <v>26</v>
      </c>
      <c r="Q2817" t="s">
        <v>27</v>
      </c>
    </row>
    <row r="2818" spans="1:17">
      <c r="A2818" t="s">
        <v>3671</v>
      </c>
      <c r="B2818" s="1" t="s">
        <v>2626</v>
      </c>
      <c r="C2818" s="1" t="s">
        <v>3431</v>
      </c>
      <c r="D2818" s="1" t="s">
        <v>20</v>
      </c>
      <c r="E2818" t="s">
        <v>1318</v>
      </c>
      <c r="F2818" t="s">
        <v>470</v>
      </c>
      <c r="G2818" t="s">
        <v>56</v>
      </c>
      <c r="H2818" t="s">
        <v>70</v>
      </c>
      <c r="I2818" t="s">
        <v>71</v>
      </c>
      <c r="J2818">
        <v>1</v>
      </c>
      <c r="K2818">
        <v>349</v>
      </c>
      <c r="L2818">
        <f>Table1[[#This Row],[Quantity]] * Table1[[#This Row],[UnitPrice]]</f>
        <v>349</v>
      </c>
      <c r="M2818" s="25">
        <v>25</v>
      </c>
      <c r="N2818">
        <f>Table1[[#This Row],[Revenue]]*Table1[[#This Row],[Discount%]]/100</f>
        <v>87.25</v>
      </c>
      <c r="O2818" s="6">
        <f>Table1[[#This Row],[Revenue]]-Table1[[#This Row],[Disc_amount]]</f>
        <v>261.75</v>
      </c>
      <c r="P2818" t="s">
        <v>41</v>
      </c>
      <c r="Q2818" t="s">
        <v>34</v>
      </c>
    </row>
    <row r="2819" spans="1:17">
      <c r="A2819" t="s">
        <v>3672</v>
      </c>
      <c r="B2819" s="1" t="s">
        <v>2626</v>
      </c>
      <c r="C2819" s="1" t="s">
        <v>3431</v>
      </c>
      <c r="D2819" s="1" t="s">
        <v>20</v>
      </c>
      <c r="E2819" t="s">
        <v>1434</v>
      </c>
      <c r="F2819" t="s">
        <v>326</v>
      </c>
      <c r="G2819" t="s">
        <v>38</v>
      </c>
      <c r="H2819" t="s">
        <v>65</v>
      </c>
      <c r="I2819" t="s">
        <v>94</v>
      </c>
      <c r="J2819">
        <v>1</v>
      </c>
      <c r="K2819">
        <v>899</v>
      </c>
      <c r="L2819">
        <f>Table1[[#This Row],[Quantity]] * Table1[[#This Row],[UnitPrice]]</f>
        <v>899</v>
      </c>
      <c r="M2819" s="25">
        <v>30</v>
      </c>
      <c r="N2819">
        <f>Table1[[#This Row],[Revenue]]*Table1[[#This Row],[Discount%]]/100</f>
        <v>269.7</v>
      </c>
      <c r="O2819" s="6">
        <f>Table1[[#This Row],[Revenue]]-Table1[[#This Row],[Disc_amount]]</f>
        <v>629.29999999999995</v>
      </c>
      <c r="P2819" t="s">
        <v>26</v>
      </c>
      <c r="Q2819" t="s">
        <v>27</v>
      </c>
    </row>
    <row r="2820" spans="1:17">
      <c r="A2820" t="s">
        <v>3673</v>
      </c>
      <c r="B2820" s="1" t="s">
        <v>2626</v>
      </c>
      <c r="C2820" s="1" t="s">
        <v>3431</v>
      </c>
      <c r="D2820" s="1" t="s">
        <v>20</v>
      </c>
      <c r="E2820" t="s">
        <v>500</v>
      </c>
      <c r="F2820" t="s">
        <v>501</v>
      </c>
      <c r="G2820" t="s">
        <v>31</v>
      </c>
      <c r="H2820" t="s">
        <v>108</v>
      </c>
      <c r="I2820" t="s">
        <v>130</v>
      </c>
      <c r="J2820">
        <v>1</v>
      </c>
      <c r="K2820">
        <v>699</v>
      </c>
      <c r="L2820">
        <f>Table1[[#This Row],[Quantity]] * Table1[[#This Row],[UnitPrice]]</f>
        <v>699</v>
      </c>
      <c r="M2820" s="25">
        <v>25</v>
      </c>
      <c r="N2820">
        <f>Table1[[#This Row],[Revenue]]*Table1[[#This Row],[Discount%]]/100</f>
        <v>174.75</v>
      </c>
      <c r="O2820" s="6">
        <f>Table1[[#This Row],[Revenue]]-Table1[[#This Row],[Disc_amount]]</f>
        <v>524.25</v>
      </c>
      <c r="P2820" t="s">
        <v>33</v>
      </c>
      <c r="Q2820" t="s">
        <v>27</v>
      </c>
    </row>
    <row r="2821" spans="1:17">
      <c r="A2821" t="s">
        <v>3674</v>
      </c>
      <c r="B2821" s="1" t="s">
        <v>2626</v>
      </c>
      <c r="C2821" s="1" t="s">
        <v>3431</v>
      </c>
      <c r="D2821" s="1" t="s">
        <v>20</v>
      </c>
      <c r="E2821" t="s">
        <v>686</v>
      </c>
      <c r="F2821" t="s">
        <v>443</v>
      </c>
      <c r="G2821" t="s">
        <v>56</v>
      </c>
      <c r="H2821" t="s">
        <v>46</v>
      </c>
      <c r="I2821" t="s">
        <v>47</v>
      </c>
      <c r="J2821">
        <v>1</v>
      </c>
      <c r="K2821">
        <v>249</v>
      </c>
      <c r="L2821">
        <f>Table1[[#This Row],[Quantity]] * Table1[[#This Row],[UnitPrice]]</f>
        <v>249</v>
      </c>
      <c r="M2821" s="25">
        <v>0</v>
      </c>
      <c r="N2821">
        <f>Table1[[#This Row],[Revenue]]*Table1[[#This Row],[Discount%]]/100</f>
        <v>0</v>
      </c>
      <c r="O2821" s="6">
        <f>Table1[[#This Row],[Revenue]]-Table1[[#This Row],[Disc_amount]]</f>
        <v>249</v>
      </c>
      <c r="P2821" t="s">
        <v>26</v>
      </c>
      <c r="Q2821" t="s">
        <v>27</v>
      </c>
    </row>
    <row r="2822" spans="1:17">
      <c r="A2822" t="s">
        <v>3675</v>
      </c>
      <c r="B2822" s="1" t="s">
        <v>2626</v>
      </c>
      <c r="C2822" s="1" t="s">
        <v>3431</v>
      </c>
      <c r="D2822" s="1" t="s">
        <v>20</v>
      </c>
      <c r="E2822" t="s">
        <v>100</v>
      </c>
      <c r="F2822" t="s">
        <v>101</v>
      </c>
      <c r="G2822" t="s">
        <v>56</v>
      </c>
      <c r="H2822" t="s">
        <v>46</v>
      </c>
      <c r="I2822" t="s">
        <v>47</v>
      </c>
      <c r="J2822">
        <v>5</v>
      </c>
      <c r="K2822">
        <v>249</v>
      </c>
      <c r="L2822">
        <f>Table1[[#This Row],[Quantity]] * Table1[[#This Row],[UnitPrice]]</f>
        <v>1245</v>
      </c>
      <c r="M2822" s="25">
        <v>15</v>
      </c>
      <c r="N2822">
        <f>Table1[[#This Row],[Revenue]]*Table1[[#This Row],[Discount%]]/100</f>
        <v>186.75</v>
      </c>
      <c r="O2822" s="6">
        <f>Table1[[#This Row],[Revenue]]-Table1[[#This Row],[Disc_amount]]</f>
        <v>1058.25</v>
      </c>
      <c r="P2822" t="s">
        <v>26</v>
      </c>
      <c r="Q2822" t="s">
        <v>27</v>
      </c>
    </row>
    <row r="2823" spans="1:17">
      <c r="A2823" t="s">
        <v>3676</v>
      </c>
      <c r="B2823" s="1" t="s">
        <v>2626</v>
      </c>
      <c r="C2823" s="1" t="s">
        <v>3431</v>
      </c>
      <c r="D2823" s="1" t="s">
        <v>20</v>
      </c>
      <c r="E2823" t="s">
        <v>745</v>
      </c>
      <c r="F2823" t="s">
        <v>519</v>
      </c>
      <c r="G2823" t="s">
        <v>23</v>
      </c>
      <c r="H2823" t="s">
        <v>24</v>
      </c>
      <c r="I2823" t="s">
        <v>32</v>
      </c>
      <c r="J2823">
        <v>3</v>
      </c>
      <c r="K2823">
        <v>199</v>
      </c>
      <c r="L2823">
        <f>Table1[[#This Row],[Quantity]] * Table1[[#This Row],[UnitPrice]]</f>
        <v>597</v>
      </c>
      <c r="M2823" s="25">
        <v>20</v>
      </c>
      <c r="N2823">
        <f>Table1[[#This Row],[Revenue]]*Table1[[#This Row],[Discount%]]/100</f>
        <v>119.4</v>
      </c>
      <c r="O2823" s="6">
        <f>Table1[[#This Row],[Revenue]]-Table1[[#This Row],[Disc_amount]]</f>
        <v>477.6</v>
      </c>
      <c r="P2823" t="s">
        <v>33</v>
      </c>
      <c r="Q2823" t="s">
        <v>27</v>
      </c>
    </row>
    <row r="2824" spans="1:17">
      <c r="A2824" t="s">
        <v>3677</v>
      </c>
      <c r="B2824" s="1" t="s">
        <v>2626</v>
      </c>
      <c r="C2824" s="1" t="s">
        <v>3431</v>
      </c>
      <c r="D2824" s="1" t="s">
        <v>20</v>
      </c>
      <c r="E2824" t="s">
        <v>1434</v>
      </c>
      <c r="F2824" t="s">
        <v>326</v>
      </c>
      <c r="G2824" t="s">
        <v>38</v>
      </c>
      <c r="H2824" t="s">
        <v>65</v>
      </c>
      <c r="I2824" t="s">
        <v>98</v>
      </c>
      <c r="J2824">
        <v>1</v>
      </c>
      <c r="K2824">
        <v>499</v>
      </c>
      <c r="L2824">
        <f>Table1[[#This Row],[Quantity]] * Table1[[#This Row],[UnitPrice]]</f>
        <v>499</v>
      </c>
      <c r="M2824" s="25">
        <v>20</v>
      </c>
      <c r="N2824">
        <f>Table1[[#This Row],[Revenue]]*Table1[[#This Row],[Discount%]]/100</f>
        <v>99.8</v>
      </c>
      <c r="O2824" s="6">
        <f>Table1[[#This Row],[Revenue]]-Table1[[#This Row],[Disc_amount]]</f>
        <v>399.2</v>
      </c>
      <c r="P2824" t="s">
        <v>41</v>
      </c>
      <c r="Q2824" t="s">
        <v>27</v>
      </c>
    </row>
    <row r="2825" spans="1:17">
      <c r="A2825" t="s">
        <v>3678</v>
      </c>
      <c r="B2825" s="1" t="s">
        <v>2638</v>
      </c>
      <c r="C2825" s="1" t="s">
        <v>3431</v>
      </c>
      <c r="D2825" s="1" t="s">
        <v>20</v>
      </c>
      <c r="E2825" t="s">
        <v>583</v>
      </c>
      <c r="F2825" t="s">
        <v>584</v>
      </c>
      <c r="G2825" t="s">
        <v>23</v>
      </c>
      <c r="H2825" t="s">
        <v>24</v>
      </c>
      <c r="I2825" t="s">
        <v>32</v>
      </c>
      <c r="J2825">
        <v>2</v>
      </c>
      <c r="K2825">
        <v>199</v>
      </c>
      <c r="L2825">
        <f>Table1[[#This Row],[Quantity]] * Table1[[#This Row],[UnitPrice]]</f>
        <v>398</v>
      </c>
      <c r="M2825" s="25">
        <v>10</v>
      </c>
      <c r="N2825">
        <f>Table1[[#This Row],[Revenue]]*Table1[[#This Row],[Discount%]]/100</f>
        <v>39.799999999999997</v>
      </c>
      <c r="O2825" s="6">
        <f>Table1[[#This Row],[Revenue]]-Table1[[#This Row],[Disc_amount]]</f>
        <v>358.2</v>
      </c>
      <c r="P2825" t="s">
        <v>41</v>
      </c>
      <c r="Q2825" t="s">
        <v>27</v>
      </c>
    </row>
    <row r="2826" spans="1:17">
      <c r="A2826" t="s">
        <v>3679</v>
      </c>
      <c r="B2826" s="1" t="s">
        <v>2638</v>
      </c>
      <c r="C2826" s="1" t="s">
        <v>3431</v>
      </c>
      <c r="D2826" s="1" t="s">
        <v>20</v>
      </c>
      <c r="E2826" t="s">
        <v>707</v>
      </c>
      <c r="F2826" t="s">
        <v>242</v>
      </c>
      <c r="G2826" t="s">
        <v>23</v>
      </c>
      <c r="H2826" t="s">
        <v>108</v>
      </c>
      <c r="I2826" t="s">
        <v>109</v>
      </c>
      <c r="J2826">
        <v>3</v>
      </c>
      <c r="K2826">
        <v>1499</v>
      </c>
      <c r="L2826">
        <f>Table1[[#This Row],[Quantity]] * Table1[[#This Row],[UnitPrice]]</f>
        <v>4497</v>
      </c>
      <c r="M2826" s="25">
        <v>20</v>
      </c>
      <c r="N2826">
        <f>Table1[[#This Row],[Revenue]]*Table1[[#This Row],[Discount%]]/100</f>
        <v>899.4</v>
      </c>
      <c r="O2826" s="6">
        <f>Table1[[#This Row],[Revenue]]-Table1[[#This Row],[Disc_amount]]</f>
        <v>3597.6</v>
      </c>
      <c r="P2826" t="s">
        <v>33</v>
      </c>
      <c r="Q2826" t="s">
        <v>34</v>
      </c>
    </row>
    <row r="2827" spans="1:17">
      <c r="A2827" t="s">
        <v>3680</v>
      </c>
      <c r="B2827" s="1" t="s">
        <v>2638</v>
      </c>
      <c r="C2827" s="1" t="s">
        <v>3431</v>
      </c>
      <c r="D2827" s="1" t="s">
        <v>20</v>
      </c>
      <c r="E2827" t="s">
        <v>886</v>
      </c>
      <c r="F2827" t="s">
        <v>74</v>
      </c>
      <c r="G2827" t="s">
        <v>23</v>
      </c>
      <c r="H2827" t="s">
        <v>108</v>
      </c>
      <c r="I2827" t="s">
        <v>109</v>
      </c>
      <c r="J2827">
        <v>1</v>
      </c>
      <c r="K2827">
        <v>1499</v>
      </c>
      <c r="L2827">
        <f>Table1[[#This Row],[Quantity]] * Table1[[#This Row],[UnitPrice]]</f>
        <v>1499</v>
      </c>
      <c r="M2827" s="25">
        <v>10</v>
      </c>
      <c r="N2827">
        <f>Table1[[#This Row],[Revenue]]*Table1[[#This Row],[Discount%]]/100</f>
        <v>149.9</v>
      </c>
      <c r="O2827" s="6">
        <f>Table1[[#This Row],[Revenue]]-Table1[[#This Row],[Disc_amount]]</f>
        <v>1349.1</v>
      </c>
      <c r="P2827" t="s">
        <v>33</v>
      </c>
      <c r="Q2827" t="s">
        <v>27</v>
      </c>
    </row>
    <row r="2828" spans="1:17">
      <c r="A2828" t="s">
        <v>3681</v>
      </c>
      <c r="B2828" s="1" t="s">
        <v>2638</v>
      </c>
      <c r="C2828" s="1" t="s">
        <v>3431</v>
      </c>
      <c r="D2828" s="1" t="s">
        <v>20</v>
      </c>
      <c r="E2828" t="s">
        <v>247</v>
      </c>
      <c r="F2828" t="s">
        <v>248</v>
      </c>
      <c r="G2828" t="s">
        <v>38</v>
      </c>
      <c r="H2828" t="s">
        <v>65</v>
      </c>
      <c r="I2828" t="s">
        <v>66</v>
      </c>
      <c r="J2828">
        <v>2</v>
      </c>
      <c r="K2828">
        <v>1999</v>
      </c>
      <c r="L2828">
        <f>Table1[[#This Row],[Quantity]] * Table1[[#This Row],[UnitPrice]]</f>
        <v>3998</v>
      </c>
      <c r="M2828" s="25">
        <v>0</v>
      </c>
      <c r="N2828">
        <f>Table1[[#This Row],[Revenue]]*Table1[[#This Row],[Discount%]]/100</f>
        <v>0</v>
      </c>
      <c r="O2828" s="6">
        <f>Table1[[#This Row],[Revenue]]-Table1[[#This Row],[Disc_amount]]</f>
        <v>3998</v>
      </c>
      <c r="P2828" t="s">
        <v>33</v>
      </c>
      <c r="Q2828" t="s">
        <v>27</v>
      </c>
    </row>
    <row r="2829" spans="1:17">
      <c r="A2829" t="s">
        <v>3682</v>
      </c>
      <c r="B2829" s="1" t="s">
        <v>2638</v>
      </c>
      <c r="C2829" s="1" t="s">
        <v>3431</v>
      </c>
      <c r="D2829" s="1" t="s">
        <v>20</v>
      </c>
      <c r="E2829" t="s">
        <v>278</v>
      </c>
      <c r="F2829" t="s">
        <v>279</v>
      </c>
      <c r="G2829" t="s">
        <v>56</v>
      </c>
      <c r="H2829" t="s">
        <v>24</v>
      </c>
      <c r="I2829" t="s">
        <v>25</v>
      </c>
      <c r="J2829">
        <v>3</v>
      </c>
      <c r="K2829">
        <v>99</v>
      </c>
      <c r="L2829">
        <f>Table1[[#This Row],[Quantity]] * Table1[[#This Row],[UnitPrice]]</f>
        <v>297</v>
      </c>
      <c r="M2829" s="25">
        <v>10</v>
      </c>
      <c r="N2829">
        <f>Table1[[#This Row],[Revenue]]*Table1[[#This Row],[Discount%]]/100</f>
        <v>29.7</v>
      </c>
      <c r="O2829" s="6">
        <f>Table1[[#This Row],[Revenue]]-Table1[[#This Row],[Disc_amount]]</f>
        <v>267.3</v>
      </c>
      <c r="P2829" t="s">
        <v>26</v>
      </c>
      <c r="Q2829" t="s">
        <v>27</v>
      </c>
    </row>
    <row r="2830" spans="1:17">
      <c r="A2830" t="s">
        <v>3683</v>
      </c>
      <c r="B2830" s="1" t="s">
        <v>2638</v>
      </c>
      <c r="C2830" s="1" t="s">
        <v>3431</v>
      </c>
      <c r="D2830" s="1" t="s">
        <v>20</v>
      </c>
      <c r="E2830" t="s">
        <v>433</v>
      </c>
      <c r="F2830" t="s">
        <v>434</v>
      </c>
      <c r="G2830" t="s">
        <v>38</v>
      </c>
      <c r="H2830" t="s">
        <v>24</v>
      </c>
      <c r="I2830" t="s">
        <v>25</v>
      </c>
      <c r="J2830">
        <v>1</v>
      </c>
      <c r="K2830">
        <v>99</v>
      </c>
      <c r="L2830">
        <f>Table1[[#This Row],[Quantity]] * Table1[[#This Row],[UnitPrice]]</f>
        <v>99</v>
      </c>
      <c r="M2830" s="25">
        <v>15</v>
      </c>
      <c r="N2830">
        <f>Table1[[#This Row],[Revenue]]*Table1[[#This Row],[Discount%]]/100</f>
        <v>14.85</v>
      </c>
      <c r="O2830" s="6">
        <f>Table1[[#This Row],[Revenue]]-Table1[[#This Row],[Disc_amount]]</f>
        <v>84.15</v>
      </c>
      <c r="P2830" t="s">
        <v>33</v>
      </c>
      <c r="Q2830" t="s">
        <v>27</v>
      </c>
    </row>
    <row r="2831" spans="1:17">
      <c r="A2831" t="s">
        <v>3684</v>
      </c>
      <c r="B2831" s="1" t="s">
        <v>2638</v>
      </c>
      <c r="C2831" s="1" t="s">
        <v>3431</v>
      </c>
      <c r="D2831" s="1" t="s">
        <v>20</v>
      </c>
      <c r="E2831" t="s">
        <v>657</v>
      </c>
      <c r="F2831" t="s">
        <v>147</v>
      </c>
      <c r="G2831" t="s">
        <v>23</v>
      </c>
      <c r="H2831" t="s">
        <v>70</v>
      </c>
      <c r="I2831" t="s">
        <v>71</v>
      </c>
      <c r="J2831">
        <v>1</v>
      </c>
      <c r="K2831">
        <v>349</v>
      </c>
      <c r="L2831">
        <f>Table1[[#This Row],[Quantity]] * Table1[[#This Row],[UnitPrice]]</f>
        <v>349</v>
      </c>
      <c r="M2831" s="25">
        <v>0</v>
      </c>
      <c r="N2831">
        <f>Table1[[#This Row],[Revenue]]*Table1[[#This Row],[Discount%]]/100</f>
        <v>0</v>
      </c>
      <c r="O2831" s="6">
        <f>Table1[[#This Row],[Revenue]]-Table1[[#This Row],[Disc_amount]]</f>
        <v>349</v>
      </c>
      <c r="P2831" t="s">
        <v>26</v>
      </c>
      <c r="Q2831" t="s">
        <v>27</v>
      </c>
    </row>
    <row r="2832" spans="1:17">
      <c r="A2832" t="s">
        <v>3685</v>
      </c>
      <c r="B2832" s="1" t="s">
        <v>2638</v>
      </c>
      <c r="C2832" s="1" t="s">
        <v>3431</v>
      </c>
      <c r="D2832" s="1" t="s">
        <v>20</v>
      </c>
      <c r="E2832" t="s">
        <v>136</v>
      </c>
      <c r="F2832" t="s">
        <v>115</v>
      </c>
      <c r="G2832" t="s">
        <v>56</v>
      </c>
      <c r="H2832" t="s">
        <v>24</v>
      </c>
      <c r="I2832" t="s">
        <v>32</v>
      </c>
      <c r="J2832">
        <v>2</v>
      </c>
      <c r="K2832">
        <v>199</v>
      </c>
      <c r="L2832">
        <f>Table1[[#This Row],[Quantity]] * Table1[[#This Row],[UnitPrice]]</f>
        <v>398</v>
      </c>
      <c r="M2832" s="25">
        <v>5</v>
      </c>
      <c r="N2832">
        <f>Table1[[#This Row],[Revenue]]*Table1[[#This Row],[Discount%]]/100</f>
        <v>19.899999999999999</v>
      </c>
      <c r="O2832" s="6">
        <f>Table1[[#This Row],[Revenue]]-Table1[[#This Row],[Disc_amount]]</f>
        <v>378.1</v>
      </c>
      <c r="P2832" t="s">
        <v>41</v>
      </c>
      <c r="Q2832" t="s">
        <v>27</v>
      </c>
    </row>
    <row r="2833" spans="1:17">
      <c r="A2833" t="s">
        <v>3686</v>
      </c>
      <c r="B2833" s="1" t="s">
        <v>2638</v>
      </c>
      <c r="C2833" s="1" t="s">
        <v>3431</v>
      </c>
      <c r="D2833" s="1" t="s">
        <v>20</v>
      </c>
      <c r="E2833" t="s">
        <v>707</v>
      </c>
      <c r="F2833" t="s">
        <v>242</v>
      </c>
      <c r="G2833" t="s">
        <v>31</v>
      </c>
      <c r="H2833" t="s">
        <v>108</v>
      </c>
      <c r="I2833" t="s">
        <v>130</v>
      </c>
      <c r="J2833">
        <v>1</v>
      </c>
      <c r="K2833">
        <v>699</v>
      </c>
      <c r="L2833">
        <f>Table1[[#This Row],[Quantity]] * Table1[[#This Row],[UnitPrice]]</f>
        <v>699</v>
      </c>
      <c r="M2833" s="25">
        <v>15</v>
      </c>
      <c r="N2833">
        <f>Table1[[#This Row],[Revenue]]*Table1[[#This Row],[Discount%]]/100</f>
        <v>104.85</v>
      </c>
      <c r="O2833" s="6">
        <f>Table1[[#This Row],[Revenue]]-Table1[[#This Row],[Disc_amount]]</f>
        <v>594.15</v>
      </c>
      <c r="P2833" t="s">
        <v>33</v>
      </c>
      <c r="Q2833" t="s">
        <v>27</v>
      </c>
    </row>
    <row r="2834" spans="1:17">
      <c r="A2834" t="s">
        <v>3687</v>
      </c>
      <c r="B2834" s="1" t="s">
        <v>2638</v>
      </c>
      <c r="C2834" s="1" t="s">
        <v>3431</v>
      </c>
      <c r="D2834" s="1" t="s">
        <v>20</v>
      </c>
      <c r="E2834" t="s">
        <v>182</v>
      </c>
      <c r="F2834" t="s">
        <v>183</v>
      </c>
      <c r="G2834" t="s">
        <v>31</v>
      </c>
      <c r="H2834" t="s">
        <v>24</v>
      </c>
      <c r="I2834" t="s">
        <v>32</v>
      </c>
      <c r="J2834">
        <v>2</v>
      </c>
      <c r="K2834">
        <v>199</v>
      </c>
      <c r="L2834">
        <f>Table1[[#This Row],[Quantity]] * Table1[[#This Row],[UnitPrice]]</f>
        <v>398</v>
      </c>
      <c r="M2834" s="25">
        <v>0</v>
      </c>
      <c r="N2834">
        <f>Table1[[#This Row],[Revenue]]*Table1[[#This Row],[Discount%]]/100</f>
        <v>0</v>
      </c>
      <c r="O2834" s="6">
        <f>Table1[[#This Row],[Revenue]]-Table1[[#This Row],[Disc_amount]]</f>
        <v>398</v>
      </c>
      <c r="P2834" t="s">
        <v>33</v>
      </c>
      <c r="Q2834" t="s">
        <v>27</v>
      </c>
    </row>
    <row r="2835" spans="1:17">
      <c r="A2835" t="s">
        <v>3688</v>
      </c>
      <c r="B2835" s="1" t="s">
        <v>2638</v>
      </c>
      <c r="C2835" s="1" t="s">
        <v>3431</v>
      </c>
      <c r="D2835" s="1" t="s">
        <v>20</v>
      </c>
      <c r="E2835" t="s">
        <v>500</v>
      </c>
      <c r="F2835" t="s">
        <v>501</v>
      </c>
      <c r="G2835" t="s">
        <v>23</v>
      </c>
      <c r="H2835" t="s">
        <v>70</v>
      </c>
      <c r="I2835" t="s">
        <v>71</v>
      </c>
      <c r="J2835">
        <v>2</v>
      </c>
      <c r="K2835">
        <v>349</v>
      </c>
      <c r="L2835">
        <f>Table1[[#This Row],[Quantity]] * Table1[[#This Row],[UnitPrice]]</f>
        <v>698</v>
      </c>
      <c r="M2835" s="25">
        <v>5</v>
      </c>
      <c r="N2835">
        <f>Table1[[#This Row],[Revenue]]*Table1[[#This Row],[Discount%]]/100</f>
        <v>34.9</v>
      </c>
      <c r="O2835" s="6">
        <f>Table1[[#This Row],[Revenue]]-Table1[[#This Row],[Disc_amount]]</f>
        <v>663.1</v>
      </c>
      <c r="P2835" t="s">
        <v>52</v>
      </c>
      <c r="Q2835" t="s">
        <v>27</v>
      </c>
    </row>
    <row r="2836" spans="1:17">
      <c r="A2836" t="s">
        <v>3689</v>
      </c>
      <c r="B2836" s="1" t="s">
        <v>2638</v>
      </c>
      <c r="C2836" s="1" t="s">
        <v>3431</v>
      </c>
      <c r="D2836" s="1" t="s">
        <v>20</v>
      </c>
      <c r="E2836" t="s">
        <v>606</v>
      </c>
      <c r="F2836" t="s">
        <v>607</v>
      </c>
      <c r="G2836" t="s">
        <v>38</v>
      </c>
      <c r="H2836" t="s">
        <v>24</v>
      </c>
      <c r="I2836" t="s">
        <v>32</v>
      </c>
      <c r="J2836">
        <v>2</v>
      </c>
      <c r="K2836">
        <v>199</v>
      </c>
      <c r="L2836">
        <f>Table1[[#This Row],[Quantity]] * Table1[[#This Row],[UnitPrice]]</f>
        <v>398</v>
      </c>
      <c r="M2836" s="25">
        <v>10</v>
      </c>
      <c r="N2836">
        <f>Table1[[#This Row],[Revenue]]*Table1[[#This Row],[Discount%]]/100</f>
        <v>39.799999999999997</v>
      </c>
      <c r="O2836" s="6">
        <f>Table1[[#This Row],[Revenue]]-Table1[[#This Row],[Disc_amount]]</f>
        <v>358.2</v>
      </c>
      <c r="P2836" t="s">
        <v>26</v>
      </c>
      <c r="Q2836" t="s">
        <v>27</v>
      </c>
    </row>
    <row r="2837" spans="1:17">
      <c r="A2837" t="s">
        <v>3690</v>
      </c>
      <c r="B2837" s="1" t="s">
        <v>2638</v>
      </c>
      <c r="C2837" s="1" t="s">
        <v>3431</v>
      </c>
      <c r="D2837" s="1" t="s">
        <v>20</v>
      </c>
      <c r="E2837" t="s">
        <v>925</v>
      </c>
      <c r="F2837" t="s">
        <v>248</v>
      </c>
      <c r="G2837" t="s">
        <v>38</v>
      </c>
      <c r="H2837" t="s">
        <v>70</v>
      </c>
      <c r="I2837" t="s">
        <v>91</v>
      </c>
      <c r="J2837">
        <v>3</v>
      </c>
      <c r="K2837">
        <v>549</v>
      </c>
      <c r="L2837">
        <f>Table1[[#This Row],[Quantity]] * Table1[[#This Row],[UnitPrice]]</f>
        <v>1647</v>
      </c>
      <c r="M2837" s="25">
        <v>25</v>
      </c>
      <c r="N2837">
        <f>Table1[[#This Row],[Revenue]]*Table1[[#This Row],[Discount%]]/100</f>
        <v>411.75</v>
      </c>
      <c r="O2837" s="6">
        <f>Table1[[#This Row],[Revenue]]-Table1[[#This Row],[Disc_amount]]</f>
        <v>1235.25</v>
      </c>
      <c r="P2837" t="s">
        <v>41</v>
      </c>
      <c r="Q2837" t="s">
        <v>27</v>
      </c>
    </row>
    <row r="2838" spans="1:17">
      <c r="A2838" t="s">
        <v>3691</v>
      </c>
      <c r="B2838" s="1" t="s">
        <v>2638</v>
      </c>
      <c r="C2838" s="1" t="s">
        <v>3431</v>
      </c>
      <c r="D2838" s="1" t="s">
        <v>20</v>
      </c>
      <c r="E2838" t="s">
        <v>142</v>
      </c>
      <c r="F2838" t="s">
        <v>143</v>
      </c>
      <c r="G2838" t="s">
        <v>38</v>
      </c>
      <c r="H2838" t="s">
        <v>57</v>
      </c>
      <c r="I2838" t="s">
        <v>58</v>
      </c>
      <c r="J2838">
        <v>1</v>
      </c>
      <c r="K2838">
        <v>1299</v>
      </c>
      <c r="L2838">
        <f>Table1[[#This Row],[Quantity]] * Table1[[#This Row],[UnitPrice]]</f>
        <v>1299</v>
      </c>
      <c r="M2838" s="25">
        <v>30</v>
      </c>
      <c r="N2838">
        <f>Table1[[#This Row],[Revenue]]*Table1[[#This Row],[Discount%]]/100</f>
        <v>389.7</v>
      </c>
      <c r="O2838" s="6">
        <f>Table1[[#This Row],[Revenue]]-Table1[[#This Row],[Disc_amount]]</f>
        <v>909.3</v>
      </c>
      <c r="P2838" t="s">
        <v>33</v>
      </c>
      <c r="Q2838" t="s">
        <v>27</v>
      </c>
    </row>
    <row r="2839" spans="1:17">
      <c r="A2839" t="s">
        <v>3692</v>
      </c>
      <c r="B2839" s="1" t="s">
        <v>2638</v>
      </c>
      <c r="C2839" s="1" t="s">
        <v>3431</v>
      </c>
      <c r="D2839" s="1" t="s">
        <v>20</v>
      </c>
      <c r="E2839" t="s">
        <v>337</v>
      </c>
      <c r="F2839" t="s">
        <v>338</v>
      </c>
      <c r="G2839" t="s">
        <v>31</v>
      </c>
      <c r="H2839" t="s">
        <v>46</v>
      </c>
      <c r="I2839" t="s">
        <v>154</v>
      </c>
      <c r="J2839">
        <v>2</v>
      </c>
      <c r="K2839">
        <v>299</v>
      </c>
      <c r="L2839">
        <f>Table1[[#This Row],[Quantity]] * Table1[[#This Row],[UnitPrice]]</f>
        <v>598</v>
      </c>
      <c r="M2839" s="25">
        <v>0</v>
      </c>
      <c r="N2839">
        <f>Table1[[#This Row],[Revenue]]*Table1[[#This Row],[Discount%]]/100</f>
        <v>0</v>
      </c>
      <c r="O2839" s="6">
        <f>Table1[[#This Row],[Revenue]]-Table1[[#This Row],[Disc_amount]]</f>
        <v>598</v>
      </c>
      <c r="P2839" t="s">
        <v>52</v>
      </c>
      <c r="Q2839" t="s">
        <v>34</v>
      </c>
    </row>
    <row r="2840" spans="1:17">
      <c r="A2840" t="s">
        <v>3693</v>
      </c>
      <c r="B2840" s="1" t="s">
        <v>2638</v>
      </c>
      <c r="C2840" s="1" t="s">
        <v>3431</v>
      </c>
      <c r="D2840" s="1" t="s">
        <v>20</v>
      </c>
      <c r="E2840" t="s">
        <v>778</v>
      </c>
      <c r="F2840" t="s">
        <v>287</v>
      </c>
      <c r="G2840" t="s">
        <v>31</v>
      </c>
      <c r="H2840" t="s">
        <v>24</v>
      </c>
      <c r="I2840" t="s">
        <v>32</v>
      </c>
      <c r="J2840">
        <v>1</v>
      </c>
      <c r="K2840">
        <v>199</v>
      </c>
      <c r="L2840">
        <f>Table1[[#This Row],[Quantity]] * Table1[[#This Row],[UnitPrice]]</f>
        <v>199</v>
      </c>
      <c r="M2840" s="25">
        <v>30</v>
      </c>
      <c r="N2840">
        <f>Table1[[#This Row],[Revenue]]*Table1[[#This Row],[Discount%]]/100</f>
        <v>59.7</v>
      </c>
      <c r="O2840" s="6">
        <f>Table1[[#This Row],[Revenue]]-Table1[[#This Row],[Disc_amount]]</f>
        <v>139.30000000000001</v>
      </c>
      <c r="P2840" t="s">
        <v>52</v>
      </c>
      <c r="Q2840" t="s">
        <v>27</v>
      </c>
    </row>
    <row r="2841" spans="1:17">
      <c r="A2841" t="s">
        <v>3694</v>
      </c>
      <c r="B2841" s="1" t="s">
        <v>2638</v>
      </c>
      <c r="C2841" s="1" t="s">
        <v>3431</v>
      </c>
      <c r="D2841" s="1" t="s">
        <v>20</v>
      </c>
      <c r="E2841" t="s">
        <v>806</v>
      </c>
      <c r="F2841" t="s">
        <v>139</v>
      </c>
      <c r="G2841" t="s">
        <v>38</v>
      </c>
      <c r="H2841" t="s">
        <v>39</v>
      </c>
      <c r="I2841" t="s">
        <v>140</v>
      </c>
      <c r="J2841">
        <v>1</v>
      </c>
      <c r="K2841">
        <v>1799</v>
      </c>
      <c r="L2841">
        <f>Table1[[#This Row],[Quantity]] * Table1[[#This Row],[UnitPrice]]</f>
        <v>1799</v>
      </c>
      <c r="M2841" s="25">
        <v>25</v>
      </c>
      <c r="N2841">
        <f>Table1[[#This Row],[Revenue]]*Table1[[#This Row],[Discount%]]/100</f>
        <v>449.75</v>
      </c>
      <c r="O2841" s="6">
        <f>Table1[[#This Row],[Revenue]]-Table1[[#This Row],[Disc_amount]]</f>
        <v>1349.25</v>
      </c>
      <c r="P2841" t="s">
        <v>33</v>
      </c>
      <c r="Q2841" t="s">
        <v>34</v>
      </c>
    </row>
    <row r="2842" spans="1:17">
      <c r="A2842" t="s">
        <v>3695</v>
      </c>
      <c r="B2842" s="1" t="s">
        <v>2638</v>
      </c>
      <c r="C2842" s="1" t="s">
        <v>3431</v>
      </c>
      <c r="D2842" s="1" t="s">
        <v>20</v>
      </c>
      <c r="E2842" t="s">
        <v>2061</v>
      </c>
      <c r="F2842" t="s">
        <v>2062</v>
      </c>
      <c r="G2842" t="s">
        <v>56</v>
      </c>
      <c r="H2842" t="s">
        <v>46</v>
      </c>
      <c r="I2842" t="s">
        <v>47</v>
      </c>
      <c r="J2842">
        <v>3</v>
      </c>
      <c r="K2842">
        <v>249</v>
      </c>
      <c r="L2842">
        <f>Table1[[#This Row],[Quantity]] * Table1[[#This Row],[UnitPrice]]</f>
        <v>747</v>
      </c>
      <c r="M2842" s="25">
        <v>10</v>
      </c>
      <c r="N2842">
        <f>Table1[[#This Row],[Revenue]]*Table1[[#This Row],[Discount%]]/100</f>
        <v>74.7</v>
      </c>
      <c r="O2842" s="6">
        <f>Table1[[#This Row],[Revenue]]-Table1[[#This Row],[Disc_amount]]</f>
        <v>672.3</v>
      </c>
      <c r="P2842" t="s">
        <v>41</v>
      </c>
      <c r="Q2842" t="s">
        <v>27</v>
      </c>
    </row>
    <row r="2843" spans="1:17">
      <c r="A2843" t="s">
        <v>3696</v>
      </c>
      <c r="B2843" s="1" t="s">
        <v>2653</v>
      </c>
      <c r="C2843" s="1" t="s">
        <v>3431</v>
      </c>
      <c r="D2843" s="1" t="s">
        <v>20</v>
      </c>
      <c r="E2843" t="s">
        <v>477</v>
      </c>
      <c r="F2843" t="s">
        <v>478</v>
      </c>
      <c r="G2843" t="s">
        <v>56</v>
      </c>
      <c r="H2843" t="s">
        <v>39</v>
      </c>
      <c r="I2843" t="s">
        <v>40</v>
      </c>
      <c r="J2843">
        <v>1</v>
      </c>
      <c r="K2843">
        <v>599</v>
      </c>
      <c r="L2843">
        <f>Table1[[#This Row],[Quantity]] * Table1[[#This Row],[UnitPrice]]</f>
        <v>599</v>
      </c>
      <c r="M2843" s="25">
        <v>30</v>
      </c>
      <c r="N2843">
        <f>Table1[[#This Row],[Revenue]]*Table1[[#This Row],[Discount%]]/100</f>
        <v>179.7</v>
      </c>
      <c r="O2843" s="6">
        <f>Table1[[#This Row],[Revenue]]-Table1[[#This Row],[Disc_amount]]</f>
        <v>419.3</v>
      </c>
      <c r="P2843" t="s">
        <v>26</v>
      </c>
      <c r="Q2843" t="s">
        <v>27</v>
      </c>
    </row>
    <row r="2844" spans="1:17">
      <c r="A2844" t="s">
        <v>3697</v>
      </c>
      <c r="B2844" s="1" t="s">
        <v>2653</v>
      </c>
      <c r="C2844" s="1" t="s">
        <v>3431</v>
      </c>
      <c r="D2844" s="1" t="s">
        <v>20</v>
      </c>
      <c r="E2844" t="s">
        <v>847</v>
      </c>
      <c r="F2844" t="s">
        <v>675</v>
      </c>
      <c r="G2844" t="s">
        <v>56</v>
      </c>
      <c r="H2844" t="s">
        <v>70</v>
      </c>
      <c r="I2844" t="s">
        <v>91</v>
      </c>
      <c r="J2844">
        <v>1</v>
      </c>
      <c r="K2844">
        <v>549</v>
      </c>
      <c r="L2844">
        <f>Table1[[#This Row],[Quantity]] * Table1[[#This Row],[UnitPrice]]</f>
        <v>549</v>
      </c>
      <c r="M2844" s="25">
        <v>15</v>
      </c>
      <c r="N2844">
        <f>Table1[[#This Row],[Revenue]]*Table1[[#This Row],[Discount%]]/100</f>
        <v>82.35</v>
      </c>
      <c r="O2844" s="6">
        <f>Table1[[#This Row],[Revenue]]-Table1[[#This Row],[Disc_amount]]</f>
        <v>466.65</v>
      </c>
      <c r="P2844" t="s">
        <v>26</v>
      </c>
      <c r="Q2844" t="s">
        <v>27</v>
      </c>
    </row>
    <row r="2845" spans="1:17">
      <c r="A2845" t="s">
        <v>3698</v>
      </c>
      <c r="B2845" s="1" t="s">
        <v>2653</v>
      </c>
      <c r="C2845" s="1" t="s">
        <v>3431</v>
      </c>
      <c r="D2845" s="1" t="s">
        <v>20</v>
      </c>
      <c r="E2845" t="s">
        <v>1176</v>
      </c>
      <c r="F2845" t="s">
        <v>173</v>
      </c>
      <c r="G2845" t="s">
        <v>56</v>
      </c>
      <c r="H2845" t="s">
        <v>65</v>
      </c>
      <c r="I2845" t="s">
        <v>94</v>
      </c>
      <c r="J2845">
        <v>1</v>
      </c>
      <c r="K2845">
        <v>899</v>
      </c>
      <c r="L2845">
        <f>Table1[[#This Row],[Quantity]] * Table1[[#This Row],[UnitPrice]]</f>
        <v>899</v>
      </c>
      <c r="M2845" s="25">
        <v>25</v>
      </c>
      <c r="N2845">
        <f>Table1[[#This Row],[Revenue]]*Table1[[#This Row],[Discount%]]/100</f>
        <v>224.75</v>
      </c>
      <c r="O2845" s="6">
        <f>Table1[[#This Row],[Revenue]]-Table1[[#This Row],[Disc_amount]]</f>
        <v>674.25</v>
      </c>
      <c r="P2845" t="s">
        <v>33</v>
      </c>
      <c r="Q2845" t="s">
        <v>34</v>
      </c>
    </row>
    <row r="2846" spans="1:17">
      <c r="A2846" t="s">
        <v>3699</v>
      </c>
      <c r="B2846" s="1" t="s">
        <v>2653</v>
      </c>
      <c r="C2846" s="1" t="s">
        <v>3431</v>
      </c>
      <c r="D2846" s="1" t="s">
        <v>20</v>
      </c>
      <c r="E2846" t="s">
        <v>255</v>
      </c>
      <c r="F2846" t="s">
        <v>256</v>
      </c>
      <c r="G2846" t="s">
        <v>56</v>
      </c>
      <c r="H2846" t="s">
        <v>57</v>
      </c>
      <c r="I2846" t="s">
        <v>62</v>
      </c>
      <c r="J2846">
        <v>1</v>
      </c>
      <c r="K2846">
        <v>799</v>
      </c>
      <c r="L2846">
        <f>Table1[[#This Row],[Quantity]] * Table1[[#This Row],[UnitPrice]]</f>
        <v>799</v>
      </c>
      <c r="M2846" s="25">
        <v>5</v>
      </c>
      <c r="N2846">
        <f>Table1[[#This Row],[Revenue]]*Table1[[#This Row],[Discount%]]/100</f>
        <v>39.950000000000003</v>
      </c>
      <c r="O2846" s="6">
        <f>Table1[[#This Row],[Revenue]]-Table1[[#This Row],[Disc_amount]]</f>
        <v>759.05</v>
      </c>
      <c r="P2846" t="s">
        <v>26</v>
      </c>
      <c r="Q2846" t="s">
        <v>27</v>
      </c>
    </row>
    <row r="2847" spans="1:17">
      <c r="A2847" t="s">
        <v>3700</v>
      </c>
      <c r="B2847" s="1" t="s">
        <v>2653</v>
      </c>
      <c r="C2847" s="1" t="s">
        <v>3431</v>
      </c>
      <c r="D2847" s="1" t="s">
        <v>20</v>
      </c>
      <c r="E2847" t="s">
        <v>2326</v>
      </c>
      <c r="F2847" t="s">
        <v>129</v>
      </c>
      <c r="G2847" t="s">
        <v>38</v>
      </c>
      <c r="H2847" t="s">
        <v>57</v>
      </c>
      <c r="I2847" t="s">
        <v>62</v>
      </c>
      <c r="J2847">
        <v>1</v>
      </c>
      <c r="K2847">
        <v>799</v>
      </c>
      <c r="L2847">
        <f>Table1[[#This Row],[Quantity]] * Table1[[#This Row],[UnitPrice]]</f>
        <v>799</v>
      </c>
      <c r="M2847" s="25">
        <v>0</v>
      </c>
      <c r="N2847">
        <f>Table1[[#This Row],[Revenue]]*Table1[[#This Row],[Discount%]]/100</f>
        <v>0</v>
      </c>
      <c r="O2847" s="6">
        <f>Table1[[#This Row],[Revenue]]-Table1[[#This Row],[Disc_amount]]</f>
        <v>799</v>
      </c>
      <c r="P2847" t="s">
        <v>52</v>
      </c>
      <c r="Q2847" t="s">
        <v>27</v>
      </c>
    </row>
    <row r="2848" spans="1:17">
      <c r="A2848" t="s">
        <v>3701</v>
      </c>
      <c r="B2848" s="1" t="s">
        <v>2653</v>
      </c>
      <c r="C2848" s="1" t="s">
        <v>3431</v>
      </c>
      <c r="D2848" s="1" t="s">
        <v>20</v>
      </c>
      <c r="E2848" t="s">
        <v>493</v>
      </c>
      <c r="F2848" t="s">
        <v>348</v>
      </c>
      <c r="G2848" t="s">
        <v>23</v>
      </c>
      <c r="H2848" t="s">
        <v>24</v>
      </c>
      <c r="I2848" t="s">
        <v>25</v>
      </c>
      <c r="J2848">
        <v>1</v>
      </c>
      <c r="K2848">
        <v>99</v>
      </c>
      <c r="L2848">
        <f>Table1[[#This Row],[Quantity]] * Table1[[#This Row],[UnitPrice]]</f>
        <v>99</v>
      </c>
      <c r="M2848" s="25">
        <v>10</v>
      </c>
      <c r="N2848">
        <f>Table1[[#This Row],[Revenue]]*Table1[[#This Row],[Discount%]]/100</f>
        <v>9.9</v>
      </c>
      <c r="O2848" s="6">
        <f>Table1[[#This Row],[Revenue]]-Table1[[#This Row],[Disc_amount]]</f>
        <v>89.1</v>
      </c>
      <c r="P2848" t="s">
        <v>41</v>
      </c>
      <c r="Q2848" t="s">
        <v>27</v>
      </c>
    </row>
    <row r="2849" spans="1:17">
      <c r="A2849" t="s">
        <v>3702</v>
      </c>
      <c r="B2849" s="1" t="s">
        <v>2653</v>
      </c>
      <c r="C2849" s="1" t="s">
        <v>3431</v>
      </c>
      <c r="D2849" s="1" t="s">
        <v>20</v>
      </c>
      <c r="E2849" t="s">
        <v>906</v>
      </c>
      <c r="F2849" t="s">
        <v>907</v>
      </c>
      <c r="G2849" t="s">
        <v>56</v>
      </c>
      <c r="H2849" t="s">
        <v>46</v>
      </c>
      <c r="I2849" t="s">
        <v>47</v>
      </c>
      <c r="J2849">
        <v>2</v>
      </c>
      <c r="K2849">
        <v>249</v>
      </c>
      <c r="L2849">
        <f>Table1[[#This Row],[Quantity]] * Table1[[#This Row],[UnitPrice]]</f>
        <v>498</v>
      </c>
      <c r="M2849" s="25">
        <v>20</v>
      </c>
      <c r="N2849">
        <f>Table1[[#This Row],[Revenue]]*Table1[[#This Row],[Discount%]]/100</f>
        <v>99.6</v>
      </c>
      <c r="O2849" s="6">
        <f>Table1[[#This Row],[Revenue]]-Table1[[#This Row],[Disc_amount]]</f>
        <v>398.4</v>
      </c>
      <c r="P2849" t="s">
        <v>26</v>
      </c>
      <c r="Q2849" t="s">
        <v>27</v>
      </c>
    </row>
    <row r="2850" spans="1:17">
      <c r="A2850" t="s">
        <v>3703</v>
      </c>
      <c r="B2850" s="1" t="s">
        <v>2653</v>
      </c>
      <c r="C2850" s="1" t="s">
        <v>3431</v>
      </c>
      <c r="D2850" s="1" t="s">
        <v>20</v>
      </c>
      <c r="E2850" t="s">
        <v>636</v>
      </c>
      <c r="F2850" t="s">
        <v>61</v>
      </c>
      <c r="G2850" t="s">
        <v>56</v>
      </c>
      <c r="H2850" t="s">
        <v>39</v>
      </c>
      <c r="I2850" t="s">
        <v>140</v>
      </c>
      <c r="J2850">
        <v>2</v>
      </c>
      <c r="K2850">
        <v>1799</v>
      </c>
      <c r="L2850">
        <f>Table1[[#This Row],[Quantity]] * Table1[[#This Row],[UnitPrice]]</f>
        <v>3598</v>
      </c>
      <c r="M2850" s="25">
        <v>15</v>
      </c>
      <c r="N2850">
        <f>Table1[[#This Row],[Revenue]]*Table1[[#This Row],[Discount%]]/100</f>
        <v>539.70000000000005</v>
      </c>
      <c r="O2850" s="6">
        <f>Table1[[#This Row],[Revenue]]-Table1[[#This Row],[Disc_amount]]</f>
        <v>3058.3</v>
      </c>
      <c r="P2850" t="s">
        <v>52</v>
      </c>
      <c r="Q2850" t="s">
        <v>27</v>
      </c>
    </row>
    <row r="2851" spans="1:17">
      <c r="A2851" t="s">
        <v>3704</v>
      </c>
      <c r="B2851" s="1" t="s">
        <v>2653</v>
      </c>
      <c r="C2851" s="1" t="s">
        <v>3431</v>
      </c>
      <c r="D2851" s="1" t="s">
        <v>20</v>
      </c>
      <c r="E2851" t="s">
        <v>545</v>
      </c>
      <c r="F2851" t="s">
        <v>546</v>
      </c>
      <c r="G2851" t="s">
        <v>45</v>
      </c>
      <c r="H2851" t="s">
        <v>39</v>
      </c>
      <c r="I2851" t="s">
        <v>140</v>
      </c>
      <c r="J2851">
        <v>1</v>
      </c>
      <c r="K2851">
        <v>1799</v>
      </c>
      <c r="L2851">
        <f>Table1[[#This Row],[Quantity]] * Table1[[#This Row],[UnitPrice]]</f>
        <v>1799</v>
      </c>
      <c r="M2851" s="25">
        <v>0</v>
      </c>
      <c r="N2851">
        <f>Table1[[#This Row],[Revenue]]*Table1[[#This Row],[Discount%]]/100</f>
        <v>0</v>
      </c>
      <c r="O2851" s="6">
        <f>Table1[[#This Row],[Revenue]]-Table1[[#This Row],[Disc_amount]]</f>
        <v>1799</v>
      </c>
      <c r="P2851" t="s">
        <v>26</v>
      </c>
      <c r="Q2851" t="s">
        <v>27</v>
      </c>
    </row>
    <row r="2852" spans="1:17">
      <c r="A2852" t="s">
        <v>3705</v>
      </c>
      <c r="B2852" s="1" t="s">
        <v>2653</v>
      </c>
      <c r="C2852" s="1" t="s">
        <v>3431</v>
      </c>
      <c r="D2852" s="1" t="s">
        <v>20</v>
      </c>
      <c r="E2852" t="s">
        <v>2326</v>
      </c>
      <c r="F2852" t="s">
        <v>129</v>
      </c>
      <c r="G2852" t="s">
        <v>23</v>
      </c>
      <c r="H2852" t="s">
        <v>46</v>
      </c>
      <c r="I2852" t="s">
        <v>154</v>
      </c>
      <c r="J2852">
        <v>2</v>
      </c>
      <c r="K2852">
        <v>299</v>
      </c>
      <c r="L2852">
        <f>Table1[[#This Row],[Quantity]] * Table1[[#This Row],[UnitPrice]]</f>
        <v>598</v>
      </c>
      <c r="M2852" s="25">
        <v>10</v>
      </c>
      <c r="N2852">
        <f>Table1[[#This Row],[Revenue]]*Table1[[#This Row],[Discount%]]/100</f>
        <v>59.8</v>
      </c>
      <c r="O2852" s="6">
        <f>Table1[[#This Row],[Revenue]]-Table1[[#This Row],[Disc_amount]]</f>
        <v>538.20000000000005</v>
      </c>
      <c r="P2852" t="s">
        <v>41</v>
      </c>
      <c r="Q2852" t="s">
        <v>27</v>
      </c>
    </row>
    <row r="2853" spans="1:17">
      <c r="A2853" t="s">
        <v>3706</v>
      </c>
      <c r="B2853" s="1" t="s">
        <v>2653</v>
      </c>
      <c r="C2853" s="1" t="s">
        <v>3431</v>
      </c>
      <c r="D2853" s="1" t="s">
        <v>20</v>
      </c>
      <c r="E2853" t="s">
        <v>255</v>
      </c>
      <c r="F2853" t="s">
        <v>256</v>
      </c>
      <c r="G2853" t="s">
        <v>56</v>
      </c>
      <c r="H2853" t="s">
        <v>57</v>
      </c>
      <c r="I2853" t="s">
        <v>62</v>
      </c>
      <c r="J2853">
        <v>1</v>
      </c>
      <c r="K2853">
        <v>799</v>
      </c>
      <c r="L2853">
        <f>Table1[[#This Row],[Quantity]] * Table1[[#This Row],[UnitPrice]]</f>
        <v>799</v>
      </c>
      <c r="M2853" s="25">
        <v>20</v>
      </c>
      <c r="N2853">
        <f>Table1[[#This Row],[Revenue]]*Table1[[#This Row],[Discount%]]/100</f>
        <v>159.80000000000001</v>
      </c>
      <c r="O2853" s="6">
        <f>Table1[[#This Row],[Revenue]]-Table1[[#This Row],[Disc_amount]]</f>
        <v>639.20000000000005</v>
      </c>
      <c r="P2853" t="s">
        <v>33</v>
      </c>
      <c r="Q2853" t="s">
        <v>27</v>
      </c>
    </row>
    <row r="2854" spans="1:17">
      <c r="A2854" t="s">
        <v>3707</v>
      </c>
      <c r="B2854" s="1" t="s">
        <v>2653</v>
      </c>
      <c r="C2854" s="1" t="s">
        <v>3431</v>
      </c>
      <c r="D2854" s="1" t="s">
        <v>20</v>
      </c>
      <c r="E2854" t="s">
        <v>725</v>
      </c>
      <c r="F2854" t="s">
        <v>726</v>
      </c>
      <c r="G2854" t="s">
        <v>38</v>
      </c>
      <c r="H2854" t="s">
        <v>39</v>
      </c>
      <c r="I2854" t="s">
        <v>140</v>
      </c>
      <c r="J2854">
        <v>1</v>
      </c>
      <c r="K2854">
        <v>1799</v>
      </c>
      <c r="L2854">
        <f>Table1[[#This Row],[Quantity]] * Table1[[#This Row],[UnitPrice]]</f>
        <v>1799</v>
      </c>
      <c r="M2854" s="25">
        <v>15</v>
      </c>
      <c r="N2854">
        <f>Table1[[#This Row],[Revenue]]*Table1[[#This Row],[Discount%]]/100</f>
        <v>269.85000000000002</v>
      </c>
      <c r="O2854" s="6">
        <f>Table1[[#This Row],[Revenue]]-Table1[[#This Row],[Disc_amount]]</f>
        <v>1529.15</v>
      </c>
      <c r="P2854" t="s">
        <v>26</v>
      </c>
      <c r="Q2854" t="s">
        <v>27</v>
      </c>
    </row>
    <row r="2855" spans="1:17">
      <c r="A2855" t="s">
        <v>3708</v>
      </c>
      <c r="B2855" s="1" t="s">
        <v>2653</v>
      </c>
      <c r="C2855" s="1" t="s">
        <v>3431</v>
      </c>
      <c r="D2855" s="1" t="s">
        <v>20</v>
      </c>
      <c r="E2855" t="s">
        <v>1913</v>
      </c>
      <c r="F2855" t="s">
        <v>462</v>
      </c>
      <c r="G2855" t="s">
        <v>38</v>
      </c>
      <c r="H2855" t="s">
        <v>46</v>
      </c>
      <c r="I2855" t="s">
        <v>47</v>
      </c>
      <c r="J2855">
        <v>2</v>
      </c>
      <c r="K2855">
        <v>249</v>
      </c>
      <c r="L2855">
        <f>Table1[[#This Row],[Quantity]] * Table1[[#This Row],[UnitPrice]]</f>
        <v>498</v>
      </c>
      <c r="M2855" s="25">
        <v>30</v>
      </c>
      <c r="N2855">
        <f>Table1[[#This Row],[Revenue]]*Table1[[#This Row],[Discount%]]/100</f>
        <v>149.4</v>
      </c>
      <c r="O2855" s="6">
        <f>Table1[[#This Row],[Revenue]]-Table1[[#This Row],[Disc_amount]]</f>
        <v>348.6</v>
      </c>
      <c r="P2855" t="s">
        <v>41</v>
      </c>
      <c r="Q2855" t="s">
        <v>34</v>
      </c>
    </row>
    <row r="2856" spans="1:17">
      <c r="A2856" t="s">
        <v>3709</v>
      </c>
      <c r="B2856" s="1" t="s">
        <v>2653</v>
      </c>
      <c r="C2856" s="1" t="s">
        <v>3431</v>
      </c>
      <c r="D2856" s="1" t="s">
        <v>20</v>
      </c>
      <c r="E2856" t="s">
        <v>518</v>
      </c>
      <c r="F2856" t="s">
        <v>519</v>
      </c>
      <c r="G2856" t="s">
        <v>31</v>
      </c>
      <c r="H2856" t="s">
        <v>46</v>
      </c>
      <c r="I2856" t="s">
        <v>154</v>
      </c>
      <c r="J2856">
        <v>2</v>
      </c>
      <c r="K2856">
        <v>299</v>
      </c>
      <c r="L2856">
        <f>Table1[[#This Row],[Quantity]] * Table1[[#This Row],[UnitPrice]]</f>
        <v>598</v>
      </c>
      <c r="M2856" s="25">
        <v>30</v>
      </c>
      <c r="N2856">
        <f>Table1[[#This Row],[Revenue]]*Table1[[#This Row],[Discount%]]/100</f>
        <v>179.4</v>
      </c>
      <c r="O2856" s="6">
        <f>Table1[[#This Row],[Revenue]]-Table1[[#This Row],[Disc_amount]]</f>
        <v>418.6</v>
      </c>
      <c r="P2856" t="s">
        <v>33</v>
      </c>
      <c r="Q2856" t="s">
        <v>34</v>
      </c>
    </row>
    <row r="2857" spans="1:17">
      <c r="A2857" t="s">
        <v>3710</v>
      </c>
      <c r="B2857" s="1" t="s">
        <v>2653</v>
      </c>
      <c r="C2857" s="1" t="s">
        <v>3431</v>
      </c>
      <c r="D2857" s="1" t="s">
        <v>20</v>
      </c>
      <c r="E2857" t="s">
        <v>662</v>
      </c>
      <c r="F2857" t="s">
        <v>450</v>
      </c>
      <c r="G2857" t="s">
        <v>56</v>
      </c>
      <c r="H2857" t="s">
        <v>39</v>
      </c>
      <c r="I2857" t="s">
        <v>51</v>
      </c>
      <c r="J2857">
        <v>4</v>
      </c>
      <c r="K2857">
        <v>2999</v>
      </c>
      <c r="L2857">
        <f>Table1[[#This Row],[Quantity]] * Table1[[#This Row],[UnitPrice]]</f>
        <v>11996</v>
      </c>
      <c r="M2857" s="25">
        <v>10</v>
      </c>
      <c r="N2857">
        <f>Table1[[#This Row],[Revenue]]*Table1[[#This Row],[Discount%]]/100</f>
        <v>1199.5999999999999</v>
      </c>
      <c r="O2857" s="6">
        <f>Table1[[#This Row],[Revenue]]-Table1[[#This Row],[Disc_amount]]</f>
        <v>10796.4</v>
      </c>
      <c r="P2857" t="s">
        <v>52</v>
      </c>
      <c r="Q2857" t="s">
        <v>27</v>
      </c>
    </row>
    <row r="2858" spans="1:17">
      <c r="A2858" t="s">
        <v>3711</v>
      </c>
      <c r="B2858" s="1" t="s">
        <v>2653</v>
      </c>
      <c r="C2858" s="1" t="s">
        <v>3431</v>
      </c>
      <c r="D2858" s="1" t="s">
        <v>20</v>
      </c>
      <c r="E2858" t="s">
        <v>128</v>
      </c>
      <c r="F2858" t="s">
        <v>129</v>
      </c>
      <c r="G2858" t="s">
        <v>38</v>
      </c>
      <c r="H2858" t="s">
        <v>57</v>
      </c>
      <c r="I2858" t="s">
        <v>58</v>
      </c>
      <c r="J2858">
        <v>2</v>
      </c>
      <c r="K2858">
        <v>1299</v>
      </c>
      <c r="L2858">
        <f>Table1[[#This Row],[Quantity]] * Table1[[#This Row],[UnitPrice]]</f>
        <v>2598</v>
      </c>
      <c r="M2858" s="25">
        <v>20</v>
      </c>
      <c r="N2858">
        <f>Table1[[#This Row],[Revenue]]*Table1[[#This Row],[Discount%]]/100</f>
        <v>519.6</v>
      </c>
      <c r="O2858" s="6">
        <f>Table1[[#This Row],[Revenue]]-Table1[[#This Row],[Disc_amount]]</f>
        <v>2078.4</v>
      </c>
      <c r="P2858" t="s">
        <v>33</v>
      </c>
      <c r="Q2858" t="s">
        <v>27</v>
      </c>
    </row>
    <row r="2859" spans="1:17">
      <c r="A2859" t="s">
        <v>3712</v>
      </c>
      <c r="B2859" s="1" t="s">
        <v>2653</v>
      </c>
      <c r="C2859" s="1" t="s">
        <v>3431</v>
      </c>
      <c r="D2859" s="1" t="s">
        <v>20</v>
      </c>
      <c r="E2859" t="s">
        <v>875</v>
      </c>
      <c r="F2859" t="s">
        <v>876</v>
      </c>
      <c r="G2859" t="s">
        <v>38</v>
      </c>
      <c r="H2859" t="s">
        <v>70</v>
      </c>
      <c r="I2859" t="s">
        <v>71</v>
      </c>
      <c r="J2859">
        <v>1</v>
      </c>
      <c r="K2859">
        <v>349</v>
      </c>
      <c r="L2859">
        <f>Table1[[#This Row],[Quantity]] * Table1[[#This Row],[UnitPrice]]</f>
        <v>349</v>
      </c>
      <c r="M2859" s="25">
        <v>5</v>
      </c>
      <c r="N2859">
        <f>Table1[[#This Row],[Revenue]]*Table1[[#This Row],[Discount%]]/100</f>
        <v>17.45</v>
      </c>
      <c r="O2859" s="6">
        <f>Table1[[#This Row],[Revenue]]-Table1[[#This Row],[Disc_amount]]</f>
        <v>331.55</v>
      </c>
      <c r="P2859" t="s">
        <v>86</v>
      </c>
      <c r="Q2859" t="s">
        <v>27</v>
      </c>
    </row>
    <row r="2860" spans="1:17">
      <c r="A2860" t="s">
        <v>3713</v>
      </c>
      <c r="B2860" s="1" t="s">
        <v>2653</v>
      </c>
      <c r="C2860" s="1" t="s">
        <v>3431</v>
      </c>
      <c r="D2860" s="1" t="s">
        <v>20</v>
      </c>
      <c r="E2860" t="s">
        <v>1709</v>
      </c>
      <c r="F2860" t="s">
        <v>989</v>
      </c>
      <c r="G2860" t="s">
        <v>31</v>
      </c>
      <c r="H2860" t="s">
        <v>39</v>
      </c>
      <c r="I2860" t="s">
        <v>140</v>
      </c>
      <c r="J2860">
        <v>1</v>
      </c>
      <c r="K2860">
        <v>1799</v>
      </c>
      <c r="L2860">
        <f>Table1[[#This Row],[Quantity]] * Table1[[#This Row],[UnitPrice]]</f>
        <v>1799</v>
      </c>
      <c r="M2860" s="25">
        <v>5</v>
      </c>
      <c r="N2860">
        <f>Table1[[#This Row],[Revenue]]*Table1[[#This Row],[Discount%]]/100</f>
        <v>89.95</v>
      </c>
      <c r="O2860" s="6">
        <f>Table1[[#This Row],[Revenue]]-Table1[[#This Row],[Disc_amount]]</f>
        <v>1709.05</v>
      </c>
      <c r="P2860" t="s">
        <v>86</v>
      </c>
      <c r="Q2860" t="s">
        <v>27</v>
      </c>
    </row>
    <row r="2861" spans="1:17">
      <c r="A2861" t="s">
        <v>3714</v>
      </c>
      <c r="B2861" s="1" t="s">
        <v>2653</v>
      </c>
      <c r="C2861" s="1" t="s">
        <v>3431</v>
      </c>
      <c r="D2861" s="1" t="s">
        <v>20</v>
      </c>
      <c r="E2861" t="s">
        <v>278</v>
      </c>
      <c r="F2861" t="s">
        <v>279</v>
      </c>
      <c r="G2861" t="s">
        <v>56</v>
      </c>
      <c r="H2861" t="s">
        <v>39</v>
      </c>
      <c r="I2861" t="s">
        <v>40</v>
      </c>
      <c r="J2861">
        <v>2</v>
      </c>
      <c r="K2861">
        <v>599</v>
      </c>
      <c r="L2861">
        <f>Table1[[#This Row],[Quantity]] * Table1[[#This Row],[UnitPrice]]</f>
        <v>1198</v>
      </c>
      <c r="M2861" s="25">
        <v>15</v>
      </c>
      <c r="N2861">
        <f>Table1[[#This Row],[Revenue]]*Table1[[#This Row],[Discount%]]/100</f>
        <v>179.7</v>
      </c>
      <c r="O2861" s="6">
        <f>Table1[[#This Row],[Revenue]]-Table1[[#This Row],[Disc_amount]]</f>
        <v>1018.3</v>
      </c>
      <c r="P2861" t="s">
        <v>41</v>
      </c>
      <c r="Q2861" t="s">
        <v>27</v>
      </c>
    </row>
    <row r="2862" spans="1:17">
      <c r="A2862" t="s">
        <v>3715</v>
      </c>
      <c r="B2862" s="1" t="s">
        <v>2667</v>
      </c>
      <c r="C2862" s="1" t="s">
        <v>3431</v>
      </c>
      <c r="D2862" s="1" t="s">
        <v>20</v>
      </c>
      <c r="E2862" t="s">
        <v>1734</v>
      </c>
      <c r="F2862" t="s">
        <v>1735</v>
      </c>
      <c r="G2862" t="s">
        <v>45</v>
      </c>
      <c r="H2862" t="s">
        <v>65</v>
      </c>
      <c r="I2862" t="s">
        <v>66</v>
      </c>
      <c r="J2862">
        <v>1</v>
      </c>
      <c r="K2862">
        <v>1999</v>
      </c>
      <c r="L2862">
        <f>Table1[[#This Row],[Quantity]] * Table1[[#This Row],[UnitPrice]]</f>
        <v>1999</v>
      </c>
      <c r="M2862" s="25">
        <v>30</v>
      </c>
      <c r="N2862">
        <f>Table1[[#This Row],[Revenue]]*Table1[[#This Row],[Discount%]]/100</f>
        <v>599.70000000000005</v>
      </c>
      <c r="O2862" s="6">
        <f>Table1[[#This Row],[Revenue]]-Table1[[#This Row],[Disc_amount]]</f>
        <v>1399.3</v>
      </c>
      <c r="P2862" t="s">
        <v>26</v>
      </c>
      <c r="Q2862" t="s">
        <v>27</v>
      </c>
    </row>
    <row r="2863" spans="1:17">
      <c r="A2863" t="s">
        <v>3716</v>
      </c>
      <c r="B2863" s="1" t="s">
        <v>2667</v>
      </c>
      <c r="C2863" s="1" t="s">
        <v>3431</v>
      </c>
      <c r="D2863" s="1" t="s">
        <v>20</v>
      </c>
      <c r="E2863" t="s">
        <v>793</v>
      </c>
      <c r="F2863" t="s">
        <v>129</v>
      </c>
      <c r="G2863" t="s">
        <v>38</v>
      </c>
      <c r="H2863" t="s">
        <v>65</v>
      </c>
      <c r="I2863" t="s">
        <v>98</v>
      </c>
      <c r="J2863">
        <v>2</v>
      </c>
      <c r="K2863">
        <v>499</v>
      </c>
      <c r="L2863">
        <f>Table1[[#This Row],[Quantity]] * Table1[[#This Row],[UnitPrice]]</f>
        <v>998</v>
      </c>
      <c r="M2863" s="25">
        <v>20</v>
      </c>
      <c r="N2863">
        <f>Table1[[#This Row],[Revenue]]*Table1[[#This Row],[Discount%]]/100</f>
        <v>199.6</v>
      </c>
      <c r="O2863" s="6">
        <f>Table1[[#This Row],[Revenue]]-Table1[[#This Row],[Disc_amount]]</f>
        <v>798.4</v>
      </c>
      <c r="P2863" t="s">
        <v>33</v>
      </c>
      <c r="Q2863" t="s">
        <v>27</v>
      </c>
    </row>
    <row r="2864" spans="1:17">
      <c r="A2864" t="s">
        <v>3717</v>
      </c>
      <c r="B2864" s="1" t="s">
        <v>2667</v>
      </c>
      <c r="C2864" s="1" t="s">
        <v>3431</v>
      </c>
      <c r="D2864" s="1" t="s">
        <v>20</v>
      </c>
      <c r="E2864" t="s">
        <v>1592</v>
      </c>
      <c r="F2864" t="s">
        <v>876</v>
      </c>
      <c r="G2864" t="s">
        <v>45</v>
      </c>
      <c r="H2864" t="s">
        <v>46</v>
      </c>
      <c r="I2864" t="s">
        <v>47</v>
      </c>
      <c r="J2864">
        <v>2</v>
      </c>
      <c r="K2864">
        <v>249</v>
      </c>
      <c r="L2864">
        <f>Table1[[#This Row],[Quantity]] * Table1[[#This Row],[UnitPrice]]</f>
        <v>498</v>
      </c>
      <c r="M2864" s="25">
        <v>25</v>
      </c>
      <c r="N2864">
        <f>Table1[[#This Row],[Revenue]]*Table1[[#This Row],[Discount%]]/100</f>
        <v>124.5</v>
      </c>
      <c r="O2864" s="6">
        <f>Table1[[#This Row],[Revenue]]-Table1[[#This Row],[Disc_amount]]</f>
        <v>373.5</v>
      </c>
      <c r="P2864" t="s">
        <v>26</v>
      </c>
      <c r="Q2864" t="s">
        <v>27</v>
      </c>
    </row>
    <row r="2865" spans="1:17">
      <c r="A2865" t="s">
        <v>3718</v>
      </c>
      <c r="B2865" s="1" t="s">
        <v>2667</v>
      </c>
      <c r="C2865" s="1" t="s">
        <v>3431</v>
      </c>
      <c r="D2865" s="1" t="s">
        <v>20</v>
      </c>
      <c r="E2865" t="s">
        <v>1116</v>
      </c>
      <c r="F2865" t="s">
        <v>694</v>
      </c>
      <c r="G2865" t="s">
        <v>23</v>
      </c>
      <c r="H2865" t="s">
        <v>70</v>
      </c>
      <c r="I2865" t="s">
        <v>91</v>
      </c>
      <c r="J2865">
        <v>3</v>
      </c>
      <c r="K2865">
        <v>549</v>
      </c>
      <c r="L2865">
        <f>Table1[[#This Row],[Quantity]] * Table1[[#This Row],[UnitPrice]]</f>
        <v>1647</v>
      </c>
      <c r="M2865" s="25">
        <v>20</v>
      </c>
      <c r="N2865">
        <f>Table1[[#This Row],[Revenue]]*Table1[[#This Row],[Discount%]]/100</f>
        <v>329.4</v>
      </c>
      <c r="O2865" s="6">
        <f>Table1[[#This Row],[Revenue]]-Table1[[#This Row],[Disc_amount]]</f>
        <v>1317.6</v>
      </c>
      <c r="P2865" t="s">
        <v>26</v>
      </c>
      <c r="Q2865" t="s">
        <v>27</v>
      </c>
    </row>
    <row r="2866" spans="1:17">
      <c r="A2866" t="s">
        <v>3719</v>
      </c>
      <c r="B2866" s="1" t="s">
        <v>2667</v>
      </c>
      <c r="C2866" s="1" t="s">
        <v>3431</v>
      </c>
      <c r="D2866" s="1" t="s">
        <v>20</v>
      </c>
      <c r="E2866" t="s">
        <v>100</v>
      </c>
      <c r="F2866" t="s">
        <v>101</v>
      </c>
      <c r="G2866" t="s">
        <v>23</v>
      </c>
      <c r="H2866" t="s">
        <v>65</v>
      </c>
      <c r="I2866" t="s">
        <v>94</v>
      </c>
      <c r="J2866">
        <v>1</v>
      </c>
      <c r="K2866">
        <v>899</v>
      </c>
      <c r="L2866">
        <f>Table1[[#This Row],[Quantity]] * Table1[[#This Row],[UnitPrice]]</f>
        <v>899</v>
      </c>
      <c r="M2866" s="25">
        <v>15</v>
      </c>
      <c r="N2866">
        <f>Table1[[#This Row],[Revenue]]*Table1[[#This Row],[Discount%]]/100</f>
        <v>134.85</v>
      </c>
      <c r="O2866" s="6">
        <f>Table1[[#This Row],[Revenue]]-Table1[[#This Row],[Disc_amount]]</f>
        <v>764.15</v>
      </c>
      <c r="P2866" t="s">
        <v>26</v>
      </c>
      <c r="Q2866" t="s">
        <v>27</v>
      </c>
    </row>
    <row r="2867" spans="1:17">
      <c r="A2867" t="s">
        <v>3720</v>
      </c>
      <c r="B2867" s="1" t="s">
        <v>2667</v>
      </c>
      <c r="C2867" s="1" t="s">
        <v>3431</v>
      </c>
      <c r="D2867" s="1" t="s">
        <v>20</v>
      </c>
      <c r="E2867" t="s">
        <v>392</v>
      </c>
      <c r="F2867" t="s">
        <v>236</v>
      </c>
      <c r="G2867" t="s">
        <v>56</v>
      </c>
      <c r="H2867" t="s">
        <v>39</v>
      </c>
      <c r="I2867" t="s">
        <v>40</v>
      </c>
      <c r="J2867">
        <v>1</v>
      </c>
      <c r="K2867">
        <v>599</v>
      </c>
      <c r="L2867">
        <f>Table1[[#This Row],[Quantity]] * Table1[[#This Row],[UnitPrice]]</f>
        <v>599</v>
      </c>
      <c r="M2867" s="25">
        <v>0</v>
      </c>
      <c r="N2867">
        <f>Table1[[#This Row],[Revenue]]*Table1[[#This Row],[Discount%]]/100</f>
        <v>0</v>
      </c>
      <c r="O2867" s="6">
        <f>Table1[[#This Row],[Revenue]]-Table1[[#This Row],[Disc_amount]]</f>
        <v>599</v>
      </c>
      <c r="P2867" t="s">
        <v>41</v>
      </c>
      <c r="Q2867" t="s">
        <v>27</v>
      </c>
    </row>
    <row r="2868" spans="1:17">
      <c r="A2868" t="s">
        <v>3721</v>
      </c>
      <c r="B2868" s="1" t="s">
        <v>2667</v>
      </c>
      <c r="C2868" s="1" t="s">
        <v>3431</v>
      </c>
      <c r="D2868" s="1" t="s">
        <v>20</v>
      </c>
      <c r="E2868" t="s">
        <v>674</v>
      </c>
      <c r="F2868" t="s">
        <v>675</v>
      </c>
      <c r="G2868" t="s">
        <v>45</v>
      </c>
      <c r="H2868" t="s">
        <v>57</v>
      </c>
      <c r="I2868" t="s">
        <v>62</v>
      </c>
      <c r="J2868">
        <v>1</v>
      </c>
      <c r="K2868">
        <v>799</v>
      </c>
      <c r="L2868">
        <f>Table1[[#This Row],[Quantity]] * Table1[[#This Row],[UnitPrice]]</f>
        <v>799</v>
      </c>
      <c r="M2868" s="25">
        <v>30</v>
      </c>
      <c r="N2868">
        <f>Table1[[#This Row],[Revenue]]*Table1[[#This Row],[Discount%]]/100</f>
        <v>239.7</v>
      </c>
      <c r="O2868" s="6">
        <f>Table1[[#This Row],[Revenue]]-Table1[[#This Row],[Disc_amount]]</f>
        <v>559.29999999999995</v>
      </c>
      <c r="P2868" t="s">
        <v>41</v>
      </c>
      <c r="Q2868" t="s">
        <v>27</v>
      </c>
    </row>
    <row r="2869" spans="1:17">
      <c r="A2869" t="s">
        <v>3722</v>
      </c>
      <c r="B2869" s="1" t="s">
        <v>2667</v>
      </c>
      <c r="C2869" s="1" t="s">
        <v>3431</v>
      </c>
      <c r="D2869" s="1" t="s">
        <v>20</v>
      </c>
      <c r="E2869" t="s">
        <v>1428</v>
      </c>
      <c r="F2869" t="s">
        <v>607</v>
      </c>
      <c r="G2869" t="s">
        <v>31</v>
      </c>
      <c r="H2869" t="s">
        <v>65</v>
      </c>
      <c r="I2869" t="s">
        <v>98</v>
      </c>
      <c r="J2869">
        <v>1</v>
      </c>
      <c r="K2869">
        <v>499</v>
      </c>
      <c r="L2869">
        <f>Table1[[#This Row],[Quantity]] * Table1[[#This Row],[UnitPrice]]</f>
        <v>499</v>
      </c>
      <c r="M2869" s="25">
        <v>0</v>
      </c>
      <c r="N2869">
        <f>Table1[[#This Row],[Revenue]]*Table1[[#This Row],[Discount%]]/100</f>
        <v>0</v>
      </c>
      <c r="O2869" s="6">
        <f>Table1[[#This Row],[Revenue]]-Table1[[#This Row],[Disc_amount]]</f>
        <v>499</v>
      </c>
      <c r="P2869" t="s">
        <v>33</v>
      </c>
      <c r="Q2869" t="s">
        <v>34</v>
      </c>
    </row>
    <row r="2870" spans="1:17">
      <c r="A2870" t="s">
        <v>3723</v>
      </c>
      <c r="B2870" s="1" t="s">
        <v>2667</v>
      </c>
      <c r="C2870" s="1" t="s">
        <v>3431</v>
      </c>
      <c r="D2870" s="1" t="s">
        <v>20</v>
      </c>
      <c r="E2870" t="s">
        <v>371</v>
      </c>
      <c r="F2870" t="s">
        <v>118</v>
      </c>
      <c r="G2870" t="s">
        <v>31</v>
      </c>
      <c r="H2870" t="s">
        <v>108</v>
      </c>
      <c r="I2870" t="s">
        <v>109</v>
      </c>
      <c r="J2870">
        <v>1</v>
      </c>
      <c r="K2870">
        <v>1499</v>
      </c>
      <c r="L2870">
        <f>Table1[[#This Row],[Quantity]] * Table1[[#This Row],[UnitPrice]]</f>
        <v>1499</v>
      </c>
      <c r="M2870" s="25">
        <v>0</v>
      </c>
      <c r="N2870">
        <f>Table1[[#This Row],[Revenue]]*Table1[[#This Row],[Discount%]]/100</f>
        <v>0</v>
      </c>
      <c r="O2870" s="6">
        <f>Table1[[#This Row],[Revenue]]-Table1[[#This Row],[Disc_amount]]</f>
        <v>1499</v>
      </c>
      <c r="P2870" t="s">
        <v>33</v>
      </c>
      <c r="Q2870" t="s">
        <v>27</v>
      </c>
    </row>
    <row r="2871" spans="1:17">
      <c r="A2871" t="s">
        <v>3724</v>
      </c>
      <c r="B2871" s="1" t="s">
        <v>2667</v>
      </c>
      <c r="C2871" s="1" t="s">
        <v>3431</v>
      </c>
      <c r="D2871" s="1" t="s">
        <v>20</v>
      </c>
      <c r="E2871" t="s">
        <v>555</v>
      </c>
      <c r="F2871" t="s">
        <v>384</v>
      </c>
      <c r="G2871" t="s">
        <v>23</v>
      </c>
      <c r="H2871" t="s">
        <v>39</v>
      </c>
      <c r="I2871" t="s">
        <v>51</v>
      </c>
      <c r="J2871">
        <v>1</v>
      </c>
      <c r="K2871">
        <v>2999</v>
      </c>
      <c r="L2871">
        <f>Table1[[#This Row],[Quantity]] * Table1[[#This Row],[UnitPrice]]</f>
        <v>2999</v>
      </c>
      <c r="M2871" s="25">
        <v>10</v>
      </c>
      <c r="N2871">
        <f>Table1[[#This Row],[Revenue]]*Table1[[#This Row],[Discount%]]/100</f>
        <v>299.89999999999998</v>
      </c>
      <c r="O2871" s="6">
        <f>Table1[[#This Row],[Revenue]]-Table1[[#This Row],[Disc_amount]]</f>
        <v>2699.1</v>
      </c>
      <c r="P2871" t="s">
        <v>52</v>
      </c>
      <c r="Q2871" t="s">
        <v>27</v>
      </c>
    </row>
    <row r="2872" spans="1:17">
      <c r="A2872" t="s">
        <v>3725</v>
      </c>
      <c r="B2872" s="1" t="s">
        <v>2667</v>
      </c>
      <c r="C2872" s="1" t="s">
        <v>3431</v>
      </c>
      <c r="D2872" s="1" t="s">
        <v>20</v>
      </c>
      <c r="E2872" t="s">
        <v>943</v>
      </c>
      <c r="F2872" t="s">
        <v>944</v>
      </c>
      <c r="G2872" t="s">
        <v>45</v>
      </c>
      <c r="H2872" t="s">
        <v>57</v>
      </c>
      <c r="I2872" t="s">
        <v>62</v>
      </c>
      <c r="J2872">
        <v>1</v>
      </c>
      <c r="K2872">
        <v>799</v>
      </c>
      <c r="L2872">
        <f>Table1[[#This Row],[Quantity]] * Table1[[#This Row],[UnitPrice]]</f>
        <v>799</v>
      </c>
      <c r="M2872" s="25">
        <v>30</v>
      </c>
      <c r="N2872">
        <f>Table1[[#This Row],[Revenue]]*Table1[[#This Row],[Discount%]]/100</f>
        <v>239.7</v>
      </c>
      <c r="O2872" s="6">
        <f>Table1[[#This Row],[Revenue]]-Table1[[#This Row],[Disc_amount]]</f>
        <v>559.29999999999995</v>
      </c>
      <c r="P2872" t="s">
        <v>33</v>
      </c>
      <c r="Q2872" t="s">
        <v>27</v>
      </c>
    </row>
    <row r="2873" spans="1:17">
      <c r="A2873" t="s">
        <v>3726</v>
      </c>
      <c r="B2873" s="1" t="s">
        <v>2667</v>
      </c>
      <c r="C2873" s="1" t="s">
        <v>3431</v>
      </c>
      <c r="D2873" s="1" t="s">
        <v>20</v>
      </c>
      <c r="E2873" t="s">
        <v>344</v>
      </c>
      <c r="F2873" t="s">
        <v>345</v>
      </c>
      <c r="G2873" t="s">
        <v>56</v>
      </c>
      <c r="H2873" t="s">
        <v>57</v>
      </c>
      <c r="I2873" t="s">
        <v>58</v>
      </c>
      <c r="J2873">
        <v>1</v>
      </c>
      <c r="K2873">
        <v>1299</v>
      </c>
      <c r="L2873">
        <f>Table1[[#This Row],[Quantity]] * Table1[[#This Row],[UnitPrice]]</f>
        <v>1299</v>
      </c>
      <c r="M2873" s="25">
        <v>0</v>
      </c>
      <c r="N2873">
        <f>Table1[[#This Row],[Revenue]]*Table1[[#This Row],[Discount%]]/100</f>
        <v>0</v>
      </c>
      <c r="O2873" s="6">
        <f>Table1[[#This Row],[Revenue]]-Table1[[#This Row],[Disc_amount]]</f>
        <v>1299</v>
      </c>
      <c r="P2873" t="s">
        <v>33</v>
      </c>
      <c r="Q2873" t="s">
        <v>27</v>
      </c>
    </row>
    <row r="2874" spans="1:17">
      <c r="A2874" t="s">
        <v>3727</v>
      </c>
      <c r="B2874" s="1" t="s">
        <v>2667</v>
      </c>
      <c r="C2874" s="1" t="s">
        <v>3431</v>
      </c>
      <c r="D2874" s="1" t="s">
        <v>20</v>
      </c>
      <c r="E2874" t="s">
        <v>82</v>
      </c>
      <c r="F2874" t="s">
        <v>83</v>
      </c>
      <c r="G2874" t="s">
        <v>45</v>
      </c>
      <c r="H2874" t="s">
        <v>57</v>
      </c>
      <c r="I2874" t="s">
        <v>62</v>
      </c>
      <c r="J2874">
        <v>2</v>
      </c>
      <c r="K2874">
        <v>799</v>
      </c>
      <c r="L2874">
        <f>Table1[[#This Row],[Quantity]] * Table1[[#This Row],[UnitPrice]]</f>
        <v>1598</v>
      </c>
      <c r="M2874" s="25">
        <v>25</v>
      </c>
      <c r="N2874">
        <f>Table1[[#This Row],[Revenue]]*Table1[[#This Row],[Discount%]]/100</f>
        <v>399.5</v>
      </c>
      <c r="O2874" s="6">
        <f>Table1[[#This Row],[Revenue]]-Table1[[#This Row],[Disc_amount]]</f>
        <v>1198.5</v>
      </c>
      <c r="P2874" t="s">
        <v>86</v>
      </c>
      <c r="Q2874" t="s">
        <v>34</v>
      </c>
    </row>
    <row r="2875" spans="1:17">
      <c r="A2875" t="s">
        <v>3728</v>
      </c>
      <c r="B2875" s="1" t="s">
        <v>2667</v>
      </c>
      <c r="C2875" s="1" t="s">
        <v>3431</v>
      </c>
      <c r="D2875" s="1" t="s">
        <v>20</v>
      </c>
      <c r="E2875" t="s">
        <v>531</v>
      </c>
      <c r="F2875" t="s">
        <v>295</v>
      </c>
      <c r="G2875" t="s">
        <v>38</v>
      </c>
      <c r="H2875" t="s">
        <v>24</v>
      </c>
      <c r="I2875" t="s">
        <v>25</v>
      </c>
      <c r="J2875">
        <v>1</v>
      </c>
      <c r="K2875">
        <v>99</v>
      </c>
      <c r="L2875">
        <f>Table1[[#This Row],[Quantity]] * Table1[[#This Row],[UnitPrice]]</f>
        <v>99</v>
      </c>
      <c r="M2875" s="25">
        <v>5</v>
      </c>
      <c r="N2875">
        <f>Table1[[#This Row],[Revenue]]*Table1[[#This Row],[Discount%]]/100</f>
        <v>4.95</v>
      </c>
      <c r="O2875" s="6">
        <f>Table1[[#This Row],[Revenue]]-Table1[[#This Row],[Disc_amount]]</f>
        <v>94.05</v>
      </c>
      <c r="P2875" t="s">
        <v>26</v>
      </c>
      <c r="Q2875" t="s">
        <v>34</v>
      </c>
    </row>
    <row r="2876" spans="1:17">
      <c r="A2876" t="s">
        <v>3729</v>
      </c>
      <c r="B2876" s="1" t="s">
        <v>2674</v>
      </c>
      <c r="C2876" s="1" t="s">
        <v>3431</v>
      </c>
      <c r="D2876" s="1" t="s">
        <v>20</v>
      </c>
      <c r="E2876" t="s">
        <v>76</v>
      </c>
      <c r="F2876" t="s">
        <v>77</v>
      </c>
      <c r="G2876" t="s">
        <v>56</v>
      </c>
      <c r="H2876" t="s">
        <v>39</v>
      </c>
      <c r="I2876" t="s">
        <v>40</v>
      </c>
      <c r="J2876">
        <v>2</v>
      </c>
      <c r="K2876">
        <v>599</v>
      </c>
      <c r="L2876">
        <f>Table1[[#This Row],[Quantity]] * Table1[[#This Row],[UnitPrice]]</f>
        <v>1198</v>
      </c>
      <c r="M2876" s="25">
        <v>15</v>
      </c>
      <c r="N2876">
        <f>Table1[[#This Row],[Revenue]]*Table1[[#This Row],[Discount%]]/100</f>
        <v>179.7</v>
      </c>
      <c r="O2876" s="6">
        <f>Table1[[#This Row],[Revenue]]-Table1[[#This Row],[Disc_amount]]</f>
        <v>1018.3</v>
      </c>
      <c r="P2876" t="s">
        <v>33</v>
      </c>
      <c r="Q2876" t="s">
        <v>27</v>
      </c>
    </row>
    <row r="2877" spans="1:17">
      <c r="A2877" t="s">
        <v>3730</v>
      </c>
      <c r="B2877" s="1" t="s">
        <v>2674</v>
      </c>
      <c r="C2877" s="1" t="s">
        <v>3431</v>
      </c>
      <c r="D2877" s="1" t="s">
        <v>20</v>
      </c>
      <c r="E2877" t="s">
        <v>1240</v>
      </c>
      <c r="F2877" t="s">
        <v>115</v>
      </c>
      <c r="G2877" t="s">
        <v>38</v>
      </c>
      <c r="H2877" t="s">
        <v>70</v>
      </c>
      <c r="I2877" t="s">
        <v>71</v>
      </c>
      <c r="J2877">
        <v>1</v>
      </c>
      <c r="K2877">
        <v>349</v>
      </c>
      <c r="L2877">
        <f>Table1[[#This Row],[Quantity]] * Table1[[#This Row],[UnitPrice]]</f>
        <v>349</v>
      </c>
      <c r="M2877" s="25">
        <v>5</v>
      </c>
      <c r="N2877">
        <f>Table1[[#This Row],[Revenue]]*Table1[[#This Row],[Discount%]]/100</f>
        <v>17.45</v>
      </c>
      <c r="O2877" s="6">
        <f>Table1[[#This Row],[Revenue]]-Table1[[#This Row],[Disc_amount]]</f>
        <v>331.55</v>
      </c>
      <c r="P2877" t="s">
        <v>33</v>
      </c>
      <c r="Q2877" t="s">
        <v>27</v>
      </c>
    </row>
    <row r="2878" spans="1:17">
      <c r="A2878" t="s">
        <v>3731</v>
      </c>
      <c r="B2878" s="1" t="s">
        <v>2674</v>
      </c>
      <c r="C2878" s="1" t="s">
        <v>3431</v>
      </c>
      <c r="D2878" s="1" t="s">
        <v>20</v>
      </c>
      <c r="E2878" t="s">
        <v>409</v>
      </c>
      <c r="F2878" t="s">
        <v>410</v>
      </c>
      <c r="G2878" t="s">
        <v>23</v>
      </c>
      <c r="H2878" t="s">
        <v>65</v>
      </c>
      <c r="I2878" t="s">
        <v>94</v>
      </c>
      <c r="J2878">
        <v>1</v>
      </c>
      <c r="K2878">
        <v>899</v>
      </c>
      <c r="L2878">
        <f>Table1[[#This Row],[Quantity]] * Table1[[#This Row],[UnitPrice]]</f>
        <v>899</v>
      </c>
      <c r="M2878" s="25">
        <v>15</v>
      </c>
      <c r="N2878">
        <f>Table1[[#This Row],[Revenue]]*Table1[[#This Row],[Discount%]]/100</f>
        <v>134.85</v>
      </c>
      <c r="O2878" s="6">
        <f>Table1[[#This Row],[Revenue]]-Table1[[#This Row],[Disc_amount]]</f>
        <v>764.15</v>
      </c>
      <c r="P2878" t="s">
        <v>41</v>
      </c>
      <c r="Q2878" t="s">
        <v>27</v>
      </c>
    </row>
    <row r="2879" spans="1:17">
      <c r="A2879" t="s">
        <v>3732</v>
      </c>
      <c r="B2879" s="1" t="s">
        <v>2674</v>
      </c>
      <c r="C2879" s="1" t="s">
        <v>3431</v>
      </c>
      <c r="D2879" s="1" t="s">
        <v>20</v>
      </c>
      <c r="E2879" t="s">
        <v>490</v>
      </c>
      <c r="F2879" t="s">
        <v>478</v>
      </c>
      <c r="G2879" t="s">
        <v>23</v>
      </c>
      <c r="H2879" t="s">
        <v>108</v>
      </c>
      <c r="I2879" t="s">
        <v>109</v>
      </c>
      <c r="J2879">
        <v>1</v>
      </c>
      <c r="K2879">
        <v>1499</v>
      </c>
      <c r="L2879">
        <f>Table1[[#This Row],[Quantity]] * Table1[[#This Row],[UnitPrice]]</f>
        <v>1499</v>
      </c>
      <c r="M2879" s="25">
        <v>0</v>
      </c>
      <c r="N2879">
        <f>Table1[[#This Row],[Revenue]]*Table1[[#This Row],[Discount%]]/100</f>
        <v>0</v>
      </c>
      <c r="O2879" s="6">
        <f>Table1[[#This Row],[Revenue]]-Table1[[#This Row],[Disc_amount]]</f>
        <v>1499</v>
      </c>
      <c r="P2879" t="s">
        <v>41</v>
      </c>
      <c r="Q2879" t="s">
        <v>34</v>
      </c>
    </row>
    <row r="2880" spans="1:17">
      <c r="A2880" t="s">
        <v>3733</v>
      </c>
      <c r="B2880" s="1" t="s">
        <v>2674</v>
      </c>
      <c r="C2880" s="1" t="s">
        <v>3431</v>
      </c>
      <c r="D2880" s="1" t="s">
        <v>20</v>
      </c>
      <c r="E2880" t="s">
        <v>247</v>
      </c>
      <c r="F2880" t="s">
        <v>248</v>
      </c>
      <c r="G2880" t="s">
        <v>56</v>
      </c>
      <c r="H2880" t="s">
        <v>24</v>
      </c>
      <c r="I2880" t="s">
        <v>25</v>
      </c>
      <c r="J2880">
        <v>3</v>
      </c>
      <c r="K2880">
        <v>99</v>
      </c>
      <c r="L2880">
        <f>Table1[[#This Row],[Quantity]] * Table1[[#This Row],[UnitPrice]]</f>
        <v>297</v>
      </c>
      <c r="M2880" s="25">
        <v>5</v>
      </c>
      <c r="N2880">
        <f>Table1[[#This Row],[Revenue]]*Table1[[#This Row],[Discount%]]/100</f>
        <v>14.85</v>
      </c>
      <c r="O2880" s="6">
        <f>Table1[[#This Row],[Revenue]]-Table1[[#This Row],[Disc_amount]]</f>
        <v>282.14999999999998</v>
      </c>
      <c r="P2880" t="s">
        <v>33</v>
      </c>
      <c r="Q2880" t="s">
        <v>27</v>
      </c>
    </row>
    <row r="2881" spans="1:17">
      <c r="A2881" t="s">
        <v>3734</v>
      </c>
      <c r="B2881" s="1" t="s">
        <v>2674</v>
      </c>
      <c r="C2881" s="1" t="s">
        <v>3431</v>
      </c>
      <c r="D2881" s="1" t="s">
        <v>20</v>
      </c>
      <c r="E2881" t="s">
        <v>1178</v>
      </c>
      <c r="F2881" t="s">
        <v>358</v>
      </c>
      <c r="G2881" t="s">
        <v>56</v>
      </c>
      <c r="H2881" t="s">
        <v>65</v>
      </c>
      <c r="I2881" t="s">
        <v>66</v>
      </c>
      <c r="J2881">
        <v>1</v>
      </c>
      <c r="K2881">
        <v>1999</v>
      </c>
      <c r="L2881">
        <f>Table1[[#This Row],[Quantity]] * Table1[[#This Row],[UnitPrice]]</f>
        <v>1999</v>
      </c>
      <c r="M2881" s="25">
        <v>20</v>
      </c>
      <c r="N2881">
        <f>Table1[[#This Row],[Revenue]]*Table1[[#This Row],[Discount%]]/100</f>
        <v>399.8</v>
      </c>
      <c r="O2881" s="6">
        <f>Table1[[#This Row],[Revenue]]-Table1[[#This Row],[Disc_amount]]</f>
        <v>1599.2</v>
      </c>
      <c r="P2881" t="s">
        <v>52</v>
      </c>
      <c r="Q2881" t="s">
        <v>34</v>
      </c>
    </row>
    <row r="2882" spans="1:17">
      <c r="A2882" t="s">
        <v>3735</v>
      </c>
      <c r="B2882" s="1" t="s">
        <v>2674</v>
      </c>
      <c r="C2882" s="1" t="s">
        <v>3431</v>
      </c>
      <c r="D2882" s="1" t="s">
        <v>20</v>
      </c>
      <c r="E2882" t="s">
        <v>616</v>
      </c>
      <c r="F2882" t="s">
        <v>617</v>
      </c>
      <c r="G2882" t="s">
        <v>45</v>
      </c>
      <c r="H2882" t="s">
        <v>39</v>
      </c>
      <c r="I2882" t="s">
        <v>51</v>
      </c>
      <c r="J2882">
        <v>1</v>
      </c>
      <c r="K2882">
        <v>2999</v>
      </c>
      <c r="L2882">
        <f>Table1[[#This Row],[Quantity]] * Table1[[#This Row],[UnitPrice]]</f>
        <v>2999</v>
      </c>
      <c r="M2882" s="25">
        <v>25</v>
      </c>
      <c r="N2882">
        <f>Table1[[#This Row],[Revenue]]*Table1[[#This Row],[Discount%]]/100</f>
        <v>749.75</v>
      </c>
      <c r="O2882" s="6">
        <f>Table1[[#This Row],[Revenue]]-Table1[[#This Row],[Disc_amount]]</f>
        <v>2249.25</v>
      </c>
      <c r="P2882" t="s">
        <v>41</v>
      </c>
      <c r="Q2882" t="s">
        <v>34</v>
      </c>
    </row>
    <row r="2883" spans="1:17">
      <c r="A2883" t="s">
        <v>3736</v>
      </c>
      <c r="B2883" s="1" t="s">
        <v>2674</v>
      </c>
      <c r="C2883" s="1" t="s">
        <v>3431</v>
      </c>
      <c r="D2883" s="1" t="s">
        <v>20</v>
      </c>
      <c r="E2883" t="s">
        <v>1655</v>
      </c>
      <c r="F2883" t="s">
        <v>384</v>
      </c>
      <c r="G2883" t="s">
        <v>38</v>
      </c>
      <c r="H2883" t="s">
        <v>24</v>
      </c>
      <c r="I2883" t="s">
        <v>25</v>
      </c>
      <c r="J2883">
        <v>2</v>
      </c>
      <c r="K2883">
        <v>99</v>
      </c>
      <c r="L2883">
        <f>Table1[[#This Row],[Quantity]] * Table1[[#This Row],[UnitPrice]]</f>
        <v>198</v>
      </c>
      <c r="M2883" s="25">
        <v>5</v>
      </c>
      <c r="N2883">
        <f>Table1[[#This Row],[Revenue]]*Table1[[#This Row],[Discount%]]/100</f>
        <v>9.9</v>
      </c>
      <c r="O2883" s="6">
        <f>Table1[[#This Row],[Revenue]]-Table1[[#This Row],[Disc_amount]]</f>
        <v>188.1</v>
      </c>
      <c r="P2883" t="s">
        <v>26</v>
      </c>
      <c r="Q2883" t="s">
        <v>27</v>
      </c>
    </row>
    <row r="2884" spans="1:17">
      <c r="A2884" t="s">
        <v>3737</v>
      </c>
      <c r="B2884" s="1" t="s">
        <v>2674</v>
      </c>
      <c r="C2884" s="1" t="s">
        <v>3431</v>
      </c>
      <c r="D2884" s="1" t="s">
        <v>20</v>
      </c>
      <c r="E2884" t="s">
        <v>691</v>
      </c>
      <c r="F2884" t="s">
        <v>338</v>
      </c>
      <c r="G2884" t="s">
        <v>31</v>
      </c>
      <c r="H2884" t="s">
        <v>24</v>
      </c>
      <c r="I2884" t="s">
        <v>32</v>
      </c>
      <c r="J2884">
        <v>1</v>
      </c>
      <c r="K2884">
        <v>199</v>
      </c>
      <c r="L2884">
        <f>Table1[[#This Row],[Quantity]] * Table1[[#This Row],[UnitPrice]]</f>
        <v>199</v>
      </c>
      <c r="M2884" s="25">
        <v>20</v>
      </c>
      <c r="N2884">
        <f>Table1[[#This Row],[Revenue]]*Table1[[#This Row],[Discount%]]/100</f>
        <v>39.799999999999997</v>
      </c>
      <c r="O2884" s="6">
        <f>Table1[[#This Row],[Revenue]]-Table1[[#This Row],[Disc_amount]]</f>
        <v>159.19999999999999</v>
      </c>
      <c r="P2884" t="s">
        <v>52</v>
      </c>
      <c r="Q2884" t="s">
        <v>34</v>
      </c>
    </row>
    <row r="2885" spans="1:17">
      <c r="A2885" t="s">
        <v>3738</v>
      </c>
      <c r="B2885" s="1" t="s">
        <v>2682</v>
      </c>
      <c r="C2885" s="1" t="s">
        <v>3431</v>
      </c>
      <c r="D2885" s="1" t="s">
        <v>20</v>
      </c>
      <c r="E2885" t="s">
        <v>344</v>
      </c>
      <c r="F2885" t="s">
        <v>345</v>
      </c>
      <c r="G2885" t="s">
        <v>31</v>
      </c>
      <c r="H2885" t="s">
        <v>70</v>
      </c>
      <c r="I2885" t="s">
        <v>71</v>
      </c>
      <c r="J2885">
        <v>2</v>
      </c>
      <c r="K2885">
        <v>349</v>
      </c>
      <c r="L2885">
        <f>Table1[[#This Row],[Quantity]] * Table1[[#This Row],[UnitPrice]]</f>
        <v>698</v>
      </c>
      <c r="M2885" s="25">
        <v>5</v>
      </c>
      <c r="N2885">
        <f>Table1[[#This Row],[Revenue]]*Table1[[#This Row],[Discount%]]/100</f>
        <v>34.9</v>
      </c>
      <c r="O2885" s="6">
        <f>Table1[[#This Row],[Revenue]]-Table1[[#This Row],[Disc_amount]]</f>
        <v>663.1</v>
      </c>
      <c r="P2885" t="s">
        <v>86</v>
      </c>
      <c r="Q2885" t="s">
        <v>34</v>
      </c>
    </row>
    <row r="2886" spans="1:17">
      <c r="A2886" t="s">
        <v>3739</v>
      </c>
      <c r="B2886" s="1" t="s">
        <v>2682</v>
      </c>
      <c r="C2886" s="1" t="s">
        <v>3431</v>
      </c>
      <c r="D2886" s="1" t="s">
        <v>20</v>
      </c>
      <c r="E2886" t="s">
        <v>680</v>
      </c>
      <c r="F2886" t="s">
        <v>22</v>
      </c>
      <c r="G2886" t="s">
        <v>31</v>
      </c>
      <c r="H2886" t="s">
        <v>65</v>
      </c>
      <c r="I2886" t="s">
        <v>94</v>
      </c>
      <c r="J2886">
        <v>1</v>
      </c>
      <c r="K2886">
        <v>899</v>
      </c>
      <c r="L2886">
        <f>Table1[[#This Row],[Quantity]] * Table1[[#This Row],[UnitPrice]]</f>
        <v>899</v>
      </c>
      <c r="M2886" s="25">
        <v>0</v>
      </c>
      <c r="N2886">
        <f>Table1[[#This Row],[Revenue]]*Table1[[#This Row],[Discount%]]/100</f>
        <v>0</v>
      </c>
      <c r="O2886" s="6">
        <f>Table1[[#This Row],[Revenue]]-Table1[[#This Row],[Disc_amount]]</f>
        <v>899</v>
      </c>
      <c r="P2886" t="s">
        <v>26</v>
      </c>
      <c r="Q2886" t="s">
        <v>27</v>
      </c>
    </row>
    <row r="2887" spans="1:17">
      <c r="A2887" t="s">
        <v>3740</v>
      </c>
      <c r="B2887" s="1" t="s">
        <v>2682</v>
      </c>
      <c r="C2887" s="1" t="s">
        <v>3431</v>
      </c>
      <c r="D2887" s="1" t="s">
        <v>20</v>
      </c>
      <c r="E2887" t="s">
        <v>469</v>
      </c>
      <c r="F2887" t="s">
        <v>470</v>
      </c>
      <c r="G2887" t="s">
        <v>38</v>
      </c>
      <c r="H2887" t="s">
        <v>57</v>
      </c>
      <c r="I2887" t="s">
        <v>58</v>
      </c>
      <c r="J2887">
        <v>1</v>
      </c>
      <c r="K2887">
        <v>1299</v>
      </c>
      <c r="L2887">
        <f>Table1[[#This Row],[Quantity]] * Table1[[#This Row],[UnitPrice]]</f>
        <v>1299</v>
      </c>
      <c r="M2887" s="25">
        <v>15</v>
      </c>
      <c r="N2887">
        <f>Table1[[#This Row],[Revenue]]*Table1[[#This Row],[Discount%]]/100</f>
        <v>194.85</v>
      </c>
      <c r="O2887" s="6">
        <f>Table1[[#This Row],[Revenue]]-Table1[[#This Row],[Disc_amount]]</f>
        <v>1104.1500000000001</v>
      </c>
      <c r="P2887" t="s">
        <v>26</v>
      </c>
      <c r="Q2887" t="s">
        <v>27</v>
      </c>
    </row>
    <row r="2888" spans="1:17">
      <c r="A2888" t="s">
        <v>3741</v>
      </c>
      <c r="B2888" s="1" t="s">
        <v>2682</v>
      </c>
      <c r="C2888" s="1" t="s">
        <v>3431</v>
      </c>
      <c r="D2888" s="1" t="s">
        <v>20</v>
      </c>
      <c r="E2888" t="s">
        <v>255</v>
      </c>
      <c r="F2888" t="s">
        <v>256</v>
      </c>
      <c r="G2888" t="s">
        <v>31</v>
      </c>
      <c r="H2888" t="s">
        <v>24</v>
      </c>
      <c r="I2888" t="s">
        <v>25</v>
      </c>
      <c r="J2888">
        <v>1</v>
      </c>
      <c r="K2888">
        <v>99</v>
      </c>
      <c r="L2888">
        <f>Table1[[#This Row],[Quantity]] * Table1[[#This Row],[UnitPrice]]</f>
        <v>99</v>
      </c>
      <c r="M2888" s="25">
        <v>25</v>
      </c>
      <c r="N2888">
        <f>Table1[[#This Row],[Revenue]]*Table1[[#This Row],[Discount%]]/100</f>
        <v>24.75</v>
      </c>
      <c r="O2888" s="6">
        <f>Table1[[#This Row],[Revenue]]-Table1[[#This Row],[Disc_amount]]</f>
        <v>74.25</v>
      </c>
      <c r="P2888" t="s">
        <v>33</v>
      </c>
      <c r="Q2888" t="s">
        <v>27</v>
      </c>
    </row>
    <row r="2889" spans="1:17">
      <c r="A2889" t="s">
        <v>3742</v>
      </c>
      <c r="B2889" s="1" t="s">
        <v>2682</v>
      </c>
      <c r="C2889" s="1" t="s">
        <v>3431</v>
      </c>
      <c r="D2889" s="1" t="s">
        <v>20</v>
      </c>
      <c r="E2889" t="s">
        <v>921</v>
      </c>
      <c r="F2889" t="s">
        <v>104</v>
      </c>
      <c r="G2889" t="s">
        <v>45</v>
      </c>
      <c r="H2889" t="s">
        <v>46</v>
      </c>
      <c r="I2889" t="s">
        <v>154</v>
      </c>
      <c r="J2889">
        <v>1</v>
      </c>
      <c r="K2889">
        <v>299</v>
      </c>
      <c r="L2889">
        <f>Table1[[#This Row],[Quantity]] * Table1[[#This Row],[UnitPrice]]</f>
        <v>299</v>
      </c>
      <c r="M2889" s="25">
        <v>5</v>
      </c>
      <c r="N2889">
        <f>Table1[[#This Row],[Revenue]]*Table1[[#This Row],[Discount%]]/100</f>
        <v>14.95</v>
      </c>
      <c r="O2889" s="6">
        <f>Table1[[#This Row],[Revenue]]-Table1[[#This Row],[Disc_amount]]</f>
        <v>284.05</v>
      </c>
      <c r="P2889" t="s">
        <v>41</v>
      </c>
      <c r="Q2889" t="s">
        <v>27</v>
      </c>
    </row>
    <row r="2890" spans="1:17">
      <c r="A2890" t="s">
        <v>3743</v>
      </c>
      <c r="B2890" s="1" t="s">
        <v>2682</v>
      </c>
      <c r="C2890" s="1" t="s">
        <v>3431</v>
      </c>
      <c r="D2890" s="1" t="s">
        <v>20</v>
      </c>
      <c r="E2890" t="s">
        <v>766</v>
      </c>
      <c r="F2890" t="s">
        <v>767</v>
      </c>
      <c r="G2890" t="s">
        <v>45</v>
      </c>
      <c r="H2890" t="s">
        <v>39</v>
      </c>
      <c r="I2890" t="s">
        <v>51</v>
      </c>
      <c r="J2890">
        <v>3</v>
      </c>
      <c r="K2890">
        <v>2999</v>
      </c>
      <c r="L2890">
        <f>Table1[[#This Row],[Quantity]] * Table1[[#This Row],[UnitPrice]]</f>
        <v>8997</v>
      </c>
      <c r="M2890" s="25">
        <v>5</v>
      </c>
      <c r="N2890">
        <f>Table1[[#This Row],[Revenue]]*Table1[[#This Row],[Discount%]]/100</f>
        <v>449.85</v>
      </c>
      <c r="O2890" s="6">
        <f>Table1[[#This Row],[Revenue]]-Table1[[#This Row],[Disc_amount]]</f>
        <v>8547.15</v>
      </c>
      <c r="P2890" t="s">
        <v>86</v>
      </c>
      <c r="Q2890" t="s">
        <v>34</v>
      </c>
    </row>
    <row r="2891" spans="1:17">
      <c r="A2891" t="s">
        <v>3744</v>
      </c>
      <c r="B2891" s="1" t="s">
        <v>2682</v>
      </c>
      <c r="C2891" s="1" t="s">
        <v>3431</v>
      </c>
      <c r="D2891" s="1" t="s">
        <v>20</v>
      </c>
      <c r="E2891" t="s">
        <v>414</v>
      </c>
      <c r="F2891" t="s">
        <v>415</v>
      </c>
      <c r="G2891" t="s">
        <v>31</v>
      </c>
      <c r="H2891" t="s">
        <v>57</v>
      </c>
      <c r="I2891" t="s">
        <v>62</v>
      </c>
      <c r="J2891">
        <v>5</v>
      </c>
      <c r="K2891">
        <v>799</v>
      </c>
      <c r="L2891">
        <f>Table1[[#This Row],[Quantity]] * Table1[[#This Row],[UnitPrice]]</f>
        <v>3995</v>
      </c>
      <c r="M2891" s="25">
        <v>20</v>
      </c>
      <c r="N2891">
        <f>Table1[[#This Row],[Revenue]]*Table1[[#This Row],[Discount%]]/100</f>
        <v>799</v>
      </c>
      <c r="O2891" s="6">
        <f>Table1[[#This Row],[Revenue]]-Table1[[#This Row],[Disc_amount]]</f>
        <v>3196</v>
      </c>
      <c r="P2891" t="s">
        <v>52</v>
      </c>
      <c r="Q2891" t="s">
        <v>27</v>
      </c>
    </row>
    <row r="2892" spans="1:17">
      <c r="A2892" t="s">
        <v>3745</v>
      </c>
      <c r="B2892" s="1" t="s">
        <v>2682</v>
      </c>
      <c r="C2892" s="1" t="s">
        <v>3431</v>
      </c>
      <c r="D2892" s="1" t="s">
        <v>20</v>
      </c>
      <c r="E2892" t="s">
        <v>847</v>
      </c>
      <c r="F2892" t="s">
        <v>675</v>
      </c>
      <c r="G2892" t="s">
        <v>31</v>
      </c>
      <c r="H2892" t="s">
        <v>57</v>
      </c>
      <c r="I2892" t="s">
        <v>62</v>
      </c>
      <c r="J2892">
        <v>3</v>
      </c>
      <c r="K2892">
        <v>799</v>
      </c>
      <c r="L2892">
        <f>Table1[[#This Row],[Quantity]] * Table1[[#This Row],[UnitPrice]]</f>
        <v>2397</v>
      </c>
      <c r="M2892" s="25">
        <v>15</v>
      </c>
      <c r="N2892">
        <f>Table1[[#This Row],[Revenue]]*Table1[[#This Row],[Discount%]]/100</f>
        <v>359.55</v>
      </c>
      <c r="O2892" s="6">
        <f>Table1[[#This Row],[Revenue]]-Table1[[#This Row],[Disc_amount]]</f>
        <v>2037.45</v>
      </c>
      <c r="P2892" t="s">
        <v>52</v>
      </c>
      <c r="Q2892" t="s">
        <v>27</v>
      </c>
    </row>
    <row r="2893" spans="1:17">
      <c r="A2893" t="s">
        <v>3746</v>
      </c>
      <c r="B2893" s="1" t="s">
        <v>2682</v>
      </c>
      <c r="C2893" s="1" t="s">
        <v>3431</v>
      </c>
      <c r="D2893" s="1" t="s">
        <v>20</v>
      </c>
      <c r="E2893" t="s">
        <v>159</v>
      </c>
      <c r="F2893" t="s">
        <v>160</v>
      </c>
      <c r="G2893" t="s">
        <v>45</v>
      </c>
      <c r="H2893" t="s">
        <v>108</v>
      </c>
      <c r="I2893" t="s">
        <v>130</v>
      </c>
      <c r="J2893">
        <v>4</v>
      </c>
      <c r="K2893">
        <v>699</v>
      </c>
      <c r="L2893">
        <f>Table1[[#This Row],[Quantity]] * Table1[[#This Row],[UnitPrice]]</f>
        <v>2796</v>
      </c>
      <c r="M2893" s="25">
        <v>0</v>
      </c>
      <c r="N2893">
        <f>Table1[[#This Row],[Revenue]]*Table1[[#This Row],[Discount%]]/100</f>
        <v>0</v>
      </c>
      <c r="O2893" s="6">
        <f>Table1[[#This Row],[Revenue]]-Table1[[#This Row],[Disc_amount]]</f>
        <v>2796</v>
      </c>
      <c r="P2893" t="s">
        <v>33</v>
      </c>
      <c r="Q2893" t="s">
        <v>27</v>
      </c>
    </row>
    <row r="2894" spans="1:17">
      <c r="A2894" t="s">
        <v>3747</v>
      </c>
      <c r="B2894" s="1" t="s">
        <v>2682</v>
      </c>
      <c r="C2894" s="1" t="s">
        <v>3431</v>
      </c>
      <c r="D2894" s="1" t="s">
        <v>20</v>
      </c>
      <c r="E2894" t="s">
        <v>133</v>
      </c>
      <c r="F2894" t="s">
        <v>134</v>
      </c>
      <c r="G2894" t="s">
        <v>31</v>
      </c>
      <c r="H2894" t="s">
        <v>70</v>
      </c>
      <c r="I2894" t="s">
        <v>71</v>
      </c>
      <c r="J2894">
        <v>1</v>
      </c>
      <c r="K2894">
        <v>349</v>
      </c>
      <c r="L2894">
        <f>Table1[[#This Row],[Quantity]] * Table1[[#This Row],[UnitPrice]]</f>
        <v>349</v>
      </c>
      <c r="M2894" s="25">
        <v>10</v>
      </c>
      <c r="N2894">
        <f>Table1[[#This Row],[Revenue]]*Table1[[#This Row],[Discount%]]/100</f>
        <v>34.9</v>
      </c>
      <c r="O2894" s="6">
        <f>Table1[[#This Row],[Revenue]]-Table1[[#This Row],[Disc_amount]]</f>
        <v>314.10000000000002</v>
      </c>
      <c r="P2894" t="s">
        <v>33</v>
      </c>
      <c r="Q2894" t="s">
        <v>27</v>
      </c>
    </row>
    <row r="2895" spans="1:17">
      <c r="A2895" t="s">
        <v>3748</v>
      </c>
      <c r="B2895" s="1" t="s">
        <v>2682</v>
      </c>
      <c r="C2895" s="1" t="s">
        <v>3431</v>
      </c>
      <c r="D2895" s="1" t="s">
        <v>20</v>
      </c>
      <c r="E2895" t="s">
        <v>292</v>
      </c>
      <c r="F2895" t="s">
        <v>129</v>
      </c>
      <c r="G2895" t="s">
        <v>31</v>
      </c>
      <c r="H2895" t="s">
        <v>46</v>
      </c>
      <c r="I2895" t="s">
        <v>154</v>
      </c>
      <c r="J2895">
        <v>2</v>
      </c>
      <c r="K2895">
        <v>299</v>
      </c>
      <c r="L2895">
        <f>Table1[[#This Row],[Quantity]] * Table1[[#This Row],[UnitPrice]]</f>
        <v>598</v>
      </c>
      <c r="M2895" s="25">
        <v>30</v>
      </c>
      <c r="N2895">
        <f>Table1[[#This Row],[Revenue]]*Table1[[#This Row],[Discount%]]/100</f>
        <v>179.4</v>
      </c>
      <c r="O2895" s="6">
        <f>Table1[[#This Row],[Revenue]]-Table1[[#This Row],[Disc_amount]]</f>
        <v>418.6</v>
      </c>
      <c r="P2895" t="s">
        <v>26</v>
      </c>
      <c r="Q2895" t="s">
        <v>27</v>
      </c>
    </row>
    <row r="2896" spans="1:17">
      <c r="A2896" t="s">
        <v>3749</v>
      </c>
      <c r="B2896" s="1" t="s">
        <v>2682</v>
      </c>
      <c r="C2896" s="1" t="s">
        <v>3431</v>
      </c>
      <c r="D2896" s="1" t="s">
        <v>20</v>
      </c>
      <c r="E2896" t="s">
        <v>475</v>
      </c>
      <c r="F2896" t="s">
        <v>80</v>
      </c>
      <c r="G2896" t="s">
        <v>31</v>
      </c>
      <c r="H2896" t="s">
        <v>70</v>
      </c>
      <c r="I2896" t="s">
        <v>71</v>
      </c>
      <c r="J2896">
        <v>2</v>
      </c>
      <c r="K2896">
        <v>349</v>
      </c>
      <c r="L2896">
        <f>Table1[[#This Row],[Quantity]] * Table1[[#This Row],[UnitPrice]]</f>
        <v>698</v>
      </c>
      <c r="M2896" s="25">
        <v>30</v>
      </c>
      <c r="N2896">
        <f>Table1[[#This Row],[Revenue]]*Table1[[#This Row],[Discount%]]/100</f>
        <v>209.4</v>
      </c>
      <c r="O2896" s="6">
        <f>Table1[[#This Row],[Revenue]]-Table1[[#This Row],[Disc_amount]]</f>
        <v>488.6</v>
      </c>
      <c r="P2896" t="s">
        <v>41</v>
      </c>
      <c r="Q2896" t="s">
        <v>27</v>
      </c>
    </row>
    <row r="2897" spans="1:17">
      <c r="A2897" t="s">
        <v>3750</v>
      </c>
      <c r="B2897" s="1" t="s">
        <v>2682</v>
      </c>
      <c r="C2897" s="1" t="s">
        <v>3431</v>
      </c>
      <c r="D2897" s="1" t="s">
        <v>20</v>
      </c>
      <c r="E2897" t="s">
        <v>855</v>
      </c>
      <c r="F2897" t="s">
        <v>856</v>
      </c>
      <c r="G2897" t="s">
        <v>31</v>
      </c>
      <c r="H2897" t="s">
        <v>39</v>
      </c>
      <c r="I2897" t="s">
        <v>40</v>
      </c>
      <c r="J2897">
        <v>2</v>
      </c>
      <c r="K2897">
        <v>599</v>
      </c>
      <c r="L2897">
        <f>Table1[[#This Row],[Quantity]] * Table1[[#This Row],[UnitPrice]]</f>
        <v>1198</v>
      </c>
      <c r="M2897" s="25">
        <v>0</v>
      </c>
      <c r="N2897">
        <f>Table1[[#This Row],[Revenue]]*Table1[[#This Row],[Discount%]]/100</f>
        <v>0</v>
      </c>
      <c r="O2897" s="6">
        <f>Table1[[#This Row],[Revenue]]-Table1[[#This Row],[Disc_amount]]</f>
        <v>1198</v>
      </c>
      <c r="P2897" t="s">
        <v>41</v>
      </c>
      <c r="Q2897" t="s">
        <v>34</v>
      </c>
    </row>
    <row r="2898" spans="1:17">
      <c r="A2898" t="s">
        <v>3751</v>
      </c>
      <c r="B2898" s="1" t="s">
        <v>2691</v>
      </c>
      <c r="C2898" s="1" t="s">
        <v>3431</v>
      </c>
      <c r="D2898" s="1" t="s">
        <v>20</v>
      </c>
      <c r="E2898" t="s">
        <v>247</v>
      </c>
      <c r="F2898" t="s">
        <v>248</v>
      </c>
      <c r="G2898" t="s">
        <v>23</v>
      </c>
      <c r="H2898" t="s">
        <v>24</v>
      </c>
      <c r="I2898" t="s">
        <v>25</v>
      </c>
      <c r="J2898">
        <v>4</v>
      </c>
      <c r="K2898">
        <v>99</v>
      </c>
      <c r="L2898">
        <f>Table1[[#This Row],[Quantity]] * Table1[[#This Row],[UnitPrice]]</f>
        <v>396</v>
      </c>
      <c r="M2898" s="25">
        <v>30</v>
      </c>
      <c r="N2898">
        <f>Table1[[#This Row],[Revenue]]*Table1[[#This Row],[Discount%]]/100</f>
        <v>118.8</v>
      </c>
      <c r="O2898" s="6">
        <f>Table1[[#This Row],[Revenue]]-Table1[[#This Row],[Disc_amount]]</f>
        <v>277.2</v>
      </c>
      <c r="P2898" t="s">
        <v>41</v>
      </c>
      <c r="Q2898" t="s">
        <v>27</v>
      </c>
    </row>
    <row r="2899" spans="1:17">
      <c r="A2899" t="s">
        <v>3752</v>
      </c>
      <c r="B2899" s="1" t="s">
        <v>2691</v>
      </c>
      <c r="C2899" s="1" t="s">
        <v>3431</v>
      </c>
      <c r="D2899" s="1" t="s">
        <v>20</v>
      </c>
      <c r="E2899" t="s">
        <v>186</v>
      </c>
      <c r="F2899" t="s">
        <v>187</v>
      </c>
      <c r="G2899" t="s">
        <v>38</v>
      </c>
      <c r="H2899" t="s">
        <v>108</v>
      </c>
      <c r="I2899" t="s">
        <v>109</v>
      </c>
      <c r="J2899">
        <v>1</v>
      </c>
      <c r="K2899">
        <v>1499</v>
      </c>
      <c r="L2899">
        <f>Table1[[#This Row],[Quantity]] * Table1[[#This Row],[UnitPrice]]</f>
        <v>1499</v>
      </c>
      <c r="M2899" s="25">
        <v>5</v>
      </c>
      <c r="N2899">
        <f>Table1[[#This Row],[Revenue]]*Table1[[#This Row],[Discount%]]/100</f>
        <v>74.95</v>
      </c>
      <c r="O2899" s="6">
        <f>Table1[[#This Row],[Revenue]]-Table1[[#This Row],[Disc_amount]]</f>
        <v>1424.05</v>
      </c>
      <c r="P2899" t="s">
        <v>26</v>
      </c>
      <c r="Q2899" t="s">
        <v>27</v>
      </c>
    </row>
    <row r="2900" spans="1:17">
      <c r="A2900" t="s">
        <v>3753</v>
      </c>
      <c r="B2900" s="1" t="s">
        <v>2691</v>
      </c>
      <c r="C2900" s="1" t="s">
        <v>3431</v>
      </c>
      <c r="D2900" s="1" t="s">
        <v>20</v>
      </c>
      <c r="E2900" t="s">
        <v>636</v>
      </c>
      <c r="F2900" t="s">
        <v>61</v>
      </c>
      <c r="G2900" t="s">
        <v>38</v>
      </c>
      <c r="H2900" t="s">
        <v>108</v>
      </c>
      <c r="I2900" t="s">
        <v>109</v>
      </c>
      <c r="J2900">
        <v>4</v>
      </c>
      <c r="K2900">
        <v>1499</v>
      </c>
      <c r="L2900">
        <f>Table1[[#This Row],[Quantity]] * Table1[[#This Row],[UnitPrice]]</f>
        <v>5996</v>
      </c>
      <c r="M2900" s="25">
        <v>0</v>
      </c>
      <c r="N2900">
        <f>Table1[[#This Row],[Revenue]]*Table1[[#This Row],[Discount%]]/100</f>
        <v>0</v>
      </c>
      <c r="O2900" s="6">
        <f>Table1[[#This Row],[Revenue]]-Table1[[#This Row],[Disc_amount]]</f>
        <v>5996</v>
      </c>
      <c r="P2900" t="s">
        <v>52</v>
      </c>
      <c r="Q2900" t="s">
        <v>34</v>
      </c>
    </row>
    <row r="2901" spans="1:17">
      <c r="A2901" t="s">
        <v>3754</v>
      </c>
      <c r="B2901" s="1" t="s">
        <v>2691</v>
      </c>
      <c r="C2901" s="1" t="s">
        <v>3431</v>
      </c>
      <c r="D2901" s="1" t="s">
        <v>20</v>
      </c>
      <c r="E2901" t="s">
        <v>733</v>
      </c>
      <c r="F2901" t="s">
        <v>734</v>
      </c>
      <c r="G2901" t="s">
        <v>56</v>
      </c>
      <c r="H2901" t="s">
        <v>24</v>
      </c>
      <c r="I2901" t="s">
        <v>25</v>
      </c>
      <c r="J2901">
        <v>3</v>
      </c>
      <c r="K2901">
        <v>99</v>
      </c>
      <c r="L2901">
        <f>Table1[[#This Row],[Quantity]] * Table1[[#This Row],[UnitPrice]]</f>
        <v>297</v>
      </c>
      <c r="M2901" s="25">
        <v>0</v>
      </c>
      <c r="N2901">
        <f>Table1[[#This Row],[Revenue]]*Table1[[#This Row],[Discount%]]/100</f>
        <v>0</v>
      </c>
      <c r="O2901" s="6">
        <f>Table1[[#This Row],[Revenue]]-Table1[[#This Row],[Disc_amount]]</f>
        <v>297</v>
      </c>
      <c r="P2901" t="s">
        <v>33</v>
      </c>
      <c r="Q2901" t="s">
        <v>34</v>
      </c>
    </row>
    <row r="2902" spans="1:17">
      <c r="A2902" t="s">
        <v>3755</v>
      </c>
      <c r="B2902" s="1" t="s">
        <v>2691</v>
      </c>
      <c r="C2902" s="1" t="s">
        <v>3431</v>
      </c>
      <c r="D2902" s="1" t="s">
        <v>20</v>
      </c>
      <c r="E2902" t="s">
        <v>899</v>
      </c>
      <c r="F2902" t="s">
        <v>900</v>
      </c>
      <c r="G2902" t="s">
        <v>23</v>
      </c>
      <c r="H2902" t="s">
        <v>39</v>
      </c>
      <c r="I2902" t="s">
        <v>51</v>
      </c>
      <c r="J2902">
        <v>3</v>
      </c>
      <c r="K2902">
        <v>2999</v>
      </c>
      <c r="L2902">
        <f>Table1[[#This Row],[Quantity]] * Table1[[#This Row],[UnitPrice]]</f>
        <v>8997</v>
      </c>
      <c r="M2902" s="25">
        <v>15</v>
      </c>
      <c r="N2902">
        <f>Table1[[#This Row],[Revenue]]*Table1[[#This Row],[Discount%]]/100</f>
        <v>1349.55</v>
      </c>
      <c r="O2902" s="6">
        <f>Table1[[#This Row],[Revenue]]-Table1[[#This Row],[Disc_amount]]</f>
        <v>7647.45</v>
      </c>
      <c r="P2902" t="s">
        <v>41</v>
      </c>
      <c r="Q2902" t="s">
        <v>27</v>
      </c>
    </row>
    <row r="2903" spans="1:17">
      <c r="A2903" t="s">
        <v>3756</v>
      </c>
      <c r="B2903" s="1" t="s">
        <v>2691</v>
      </c>
      <c r="C2903" s="1" t="s">
        <v>3431</v>
      </c>
      <c r="D2903" s="1" t="s">
        <v>20</v>
      </c>
      <c r="E2903" t="s">
        <v>1270</v>
      </c>
      <c r="F2903" t="s">
        <v>90</v>
      </c>
      <c r="G2903" t="s">
        <v>56</v>
      </c>
      <c r="H2903" t="s">
        <v>65</v>
      </c>
      <c r="I2903" t="s">
        <v>66</v>
      </c>
      <c r="J2903">
        <v>2</v>
      </c>
      <c r="K2903">
        <v>1999</v>
      </c>
      <c r="L2903">
        <f>Table1[[#This Row],[Quantity]] * Table1[[#This Row],[UnitPrice]]</f>
        <v>3998</v>
      </c>
      <c r="M2903" s="25">
        <v>20</v>
      </c>
      <c r="N2903">
        <f>Table1[[#This Row],[Revenue]]*Table1[[#This Row],[Discount%]]/100</f>
        <v>799.6</v>
      </c>
      <c r="O2903" s="6">
        <f>Table1[[#This Row],[Revenue]]-Table1[[#This Row],[Disc_amount]]</f>
        <v>3198.4</v>
      </c>
      <c r="P2903" t="s">
        <v>41</v>
      </c>
      <c r="Q2903" t="s">
        <v>27</v>
      </c>
    </row>
    <row r="2904" spans="1:17">
      <c r="A2904" t="s">
        <v>3757</v>
      </c>
      <c r="B2904" s="1" t="s">
        <v>2691</v>
      </c>
      <c r="C2904" s="1" t="s">
        <v>3431</v>
      </c>
      <c r="D2904" s="1" t="s">
        <v>20</v>
      </c>
      <c r="E2904" t="s">
        <v>341</v>
      </c>
      <c r="F2904" t="s">
        <v>342</v>
      </c>
      <c r="G2904" t="s">
        <v>38</v>
      </c>
      <c r="H2904" t="s">
        <v>65</v>
      </c>
      <c r="I2904" t="s">
        <v>94</v>
      </c>
      <c r="J2904">
        <v>3</v>
      </c>
      <c r="K2904">
        <v>899</v>
      </c>
      <c r="L2904">
        <f>Table1[[#This Row],[Quantity]] * Table1[[#This Row],[UnitPrice]]</f>
        <v>2697</v>
      </c>
      <c r="M2904" s="25">
        <v>5</v>
      </c>
      <c r="N2904">
        <f>Table1[[#This Row],[Revenue]]*Table1[[#This Row],[Discount%]]/100</f>
        <v>134.85</v>
      </c>
      <c r="O2904" s="6">
        <f>Table1[[#This Row],[Revenue]]-Table1[[#This Row],[Disc_amount]]</f>
        <v>2562.15</v>
      </c>
      <c r="P2904" t="s">
        <v>41</v>
      </c>
      <c r="Q2904" t="s">
        <v>27</v>
      </c>
    </row>
    <row r="2905" spans="1:17">
      <c r="A2905" t="s">
        <v>3758</v>
      </c>
      <c r="B2905" s="1" t="s">
        <v>2691</v>
      </c>
      <c r="C2905" s="1" t="s">
        <v>3431</v>
      </c>
      <c r="D2905" s="1" t="s">
        <v>20</v>
      </c>
      <c r="E2905" t="s">
        <v>418</v>
      </c>
      <c r="F2905" t="s">
        <v>147</v>
      </c>
      <c r="G2905" t="s">
        <v>31</v>
      </c>
      <c r="H2905" t="s">
        <v>24</v>
      </c>
      <c r="I2905" t="s">
        <v>32</v>
      </c>
      <c r="J2905">
        <v>4</v>
      </c>
      <c r="K2905">
        <v>199</v>
      </c>
      <c r="L2905">
        <f>Table1[[#This Row],[Quantity]] * Table1[[#This Row],[UnitPrice]]</f>
        <v>796</v>
      </c>
      <c r="M2905" s="25">
        <v>15</v>
      </c>
      <c r="N2905">
        <f>Table1[[#This Row],[Revenue]]*Table1[[#This Row],[Discount%]]/100</f>
        <v>119.4</v>
      </c>
      <c r="O2905" s="6">
        <f>Table1[[#This Row],[Revenue]]-Table1[[#This Row],[Disc_amount]]</f>
        <v>676.6</v>
      </c>
      <c r="P2905" t="s">
        <v>52</v>
      </c>
      <c r="Q2905" t="s">
        <v>34</v>
      </c>
    </row>
    <row r="2906" spans="1:17">
      <c r="A2906" t="s">
        <v>3759</v>
      </c>
      <c r="B2906" s="1" t="s">
        <v>2691</v>
      </c>
      <c r="C2906" s="1" t="s">
        <v>3431</v>
      </c>
      <c r="D2906" s="1" t="s">
        <v>20</v>
      </c>
      <c r="E2906" t="s">
        <v>1554</v>
      </c>
      <c r="F2906" t="s">
        <v>268</v>
      </c>
      <c r="G2906" t="s">
        <v>38</v>
      </c>
      <c r="H2906" t="s">
        <v>65</v>
      </c>
      <c r="I2906" t="s">
        <v>94</v>
      </c>
      <c r="J2906">
        <v>1</v>
      </c>
      <c r="K2906">
        <v>899</v>
      </c>
      <c r="L2906">
        <f>Table1[[#This Row],[Quantity]] * Table1[[#This Row],[UnitPrice]]</f>
        <v>899</v>
      </c>
      <c r="M2906" s="25">
        <v>20</v>
      </c>
      <c r="N2906">
        <f>Table1[[#This Row],[Revenue]]*Table1[[#This Row],[Discount%]]/100</f>
        <v>179.8</v>
      </c>
      <c r="O2906" s="6">
        <f>Table1[[#This Row],[Revenue]]-Table1[[#This Row],[Disc_amount]]</f>
        <v>719.2</v>
      </c>
      <c r="P2906" t="s">
        <v>41</v>
      </c>
      <c r="Q2906" t="s">
        <v>27</v>
      </c>
    </row>
    <row r="2907" spans="1:17">
      <c r="A2907" t="s">
        <v>3760</v>
      </c>
      <c r="B2907" s="1" t="s">
        <v>2691</v>
      </c>
      <c r="C2907" s="1" t="s">
        <v>3431</v>
      </c>
      <c r="D2907" s="1" t="s">
        <v>20</v>
      </c>
      <c r="E2907" t="s">
        <v>655</v>
      </c>
      <c r="F2907" t="s">
        <v>195</v>
      </c>
      <c r="G2907" t="s">
        <v>56</v>
      </c>
      <c r="H2907" t="s">
        <v>65</v>
      </c>
      <c r="I2907" t="s">
        <v>94</v>
      </c>
      <c r="J2907">
        <v>1</v>
      </c>
      <c r="K2907">
        <v>899</v>
      </c>
      <c r="L2907">
        <f>Table1[[#This Row],[Quantity]] * Table1[[#This Row],[UnitPrice]]</f>
        <v>899</v>
      </c>
      <c r="M2907" s="25">
        <v>30</v>
      </c>
      <c r="N2907">
        <f>Table1[[#This Row],[Revenue]]*Table1[[#This Row],[Discount%]]/100</f>
        <v>269.7</v>
      </c>
      <c r="O2907" s="6">
        <f>Table1[[#This Row],[Revenue]]-Table1[[#This Row],[Disc_amount]]</f>
        <v>629.29999999999995</v>
      </c>
      <c r="P2907" t="s">
        <v>86</v>
      </c>
      <c r="Q2907" t="s">
        <v>34</v>
      </c>
    </row>
    <row r="2908" spans="1:17">
      <c r="A2908" t="s">
        <v>3761</v>
      </c>
      <c r="B2908" s="1" t="s">
        <v>2691</v>
      </c>
      <c r="C2908" s="1" t="s">
        <v>3431</v>
      </c>
      <c r="D2908" s="1" t="s">
        <v>20</v>
      </c>
      <c r="E2908" t="s">
        <v>2518</v>
      </c>
      <c r="F2908" t="s">
        <v>767</v>
      </c>
      <c r="G2908" t="s">
        <v>38</v>
      </c>
      <c r="H2908" t="s">
        <v>57</v>
      </c>
      <c r="I2908" t="s">
        <v>58</v>
      </c>
      <c r="J2908">
        <v>1</v>
      </c>
      <c r="K2908">
        <v>1299</v>
      </c>
      <c r="L2908">
        <f>Table1[[#This Row],[Quantity]] * Table1[[#This Row],[UnitPrice]]</f>
        <v>1299</v>
      </c>
      <c r="M2908" s="25">
        <v>30</v>
      </c>
      <c r="N2908">
        <f>Table1[[#This Row],[Revenue]]*Table1[[#This Row],[Discount%]]/100</f>
        <v>389.7</v>
      </c>
      <c r="O2908" s="6">
        <f>Table1[[#This Row],[Revenue]]-Table1[[#This Row],[Disc_amount]]</f>
        <v>909.3</v>
      </c>
      <c r="P2908" t="s">
        <v>33</v>
      </c>
      <c r="Q2908" t="s">
        <v>27</v>
      </c>
    </row>
    <row r="2909" spans="1:17">
      <c r="A2909" t="s">
        <v>3762</v>
      </c>
      <c r="B2909" s="1" t="s">
        <v>2691</v>
      </c>
      <c r="C2909" s="1" t="s">
        <v>3431</v>
      </c>
      <c r="D2909" s="1" t="s">
        <v>20</v>
      </c>
      <c r="E2909" t="s">
        <v>750</v>
      </c>
      <c r="F2909" t="s">
        <v>83</v>
      </c>
      <c r="G2909" t="s">
        <v>45</v>
      </c>
      <c r="H2909" t="s">
        <v>70</v>
      </c>
      <c r="I2909" t="s">
        <v>91</v>
      </c>
      <c r="J2909">
        <v>2</v>
      </c>
      <c r="K2909">
        <v>549</v>
      </c>
      <c r="L2909">
        <f>Table1[[#This Row],[Quantity]] * Table1[[#This Row],[UnitPrice]]</f>
        <v>1098</v>
      </c>
      <c r="M2909" s="25">
        <v>10</v>
      </c>
      <c r="N2909">
        <f>Table1[[#This Row],[Revenue]]*Table1[[#This Row],[Discount%]]/100</f>
        <v>109.8</v>
      </c>
      <c r="O2909" s="6">
        <f>Table1[[#This Row],[Revenue]]-Table1[[#This Row],[Disc_amount]]</f>
        <v>988.2</v>
      </c>
      <c r="P2909" t="s">
        <v>26</v>
      </c>
      <c r="Q2909" t="s">
        <v>27</v>
      </c>
    </row>
    <row r="2910" spans="1:17">
      <c r="A2910" t="s">
        <v>3763</v>
      </c>
      <c r="B2910" s="1" t="s">
        <v>2691</v>
      </c>
      <c r="C2910" s="1" t="s">
        <v>3431</v>
      </c>
      <c r="D2910" s="1" t="s">
        <v>20</v>
      </c>
      <c r="E2910" t="s">
        <v>952</v>
      </c>
      <c r="F2910" t="s">
        <v>134</v>
      </c>
      <c r="G2910" t="s">
        <v>31</v>
      </c>
      <c r="H2910" t="s">
        <v>108</v>
      </c>
      <c r="I2910" t="s">
        <v>109</v>
      </c>
      <c r="J2910">
        <v>3</v>
      </c>
      <c r="K2910">
        <v>1499</v>
      </c>
      <c r="L2910">
        <f>Table1[[#This Row],[Quantity]] * Table1[[#This Row],[UnitPrice]]</f>
        <v>4497</v>
      </c>
      <c r="M2910" s="25">
        <v>0</v>
      </c>
      <c r="N2910">
        <f>Table1[[#This Row],[Revenue]]*Table1[[#This Row],[Discount%]]/100</f>
        <v>0</v>
      </c>
      <c r="O2910" s="6">
        <f>Table1[[#This Row],[Revenue]]-Table1[[#This Row],[Disc_amount]]</f>
        <v>4497</v>
      </c>
      <c r="P2910" t="s">
        <v>33</v>
      </c>
      <c r="Q2910" t="s">
        <v>27</v>
      </c>
    </row>
    <row r="2911" spans="1:17">
      <c r="A2911" t="s">
        <v>3764</v>
      </c>
      <c r="B2911" s="1" t="s">
        <v>2700</v>
      </c>
      <c r="C2911" s="1" t="s">
        <v>3431</v>
      </c>
      <c r="D2911" s="1" t="s">
        <v>20</v>
      </c>
      <c r="E2911" t="s">
        <v>1434</v>
      </c>
      <c r="F2911" t="s">
        <v>326</v>
      </c>
      <c r="G2911" t="s">
        <v>23</v>
      </c>
      <c r="H2911" t="s">
        <v>24</v>
      </c>
      <c r="I2911" t="s">
        <v>32</v>
      </c>
      <c r="J2911">
        <v>2</v>
      </c>
      <c r="K2911">
        <v>199</v>
      </c>
      <c r="L2911">
        <f>Table1[[#This Row],[Quantity]] * Table1[[#This Row],[UnitPrice]]</f>
        <v>398</v>
      </c>
      <c r="M2911" s="25">
        <v>15</v>
      </c>
      <c r="N2911">
        <f>Table1[[#This Row],[Revenue]]*Table1[[#This Row],[Discount%]]/100</f>
        <v>59.7</v>
      </c>
      <c r="O2911" s="6">
        <f>Table1[[#This Row],[Revenue]]-Table1[[#This Row],[Disc_amount]]</f>
        <v>338.3</v>
      </c>
      <c r="P2911" t="s">
        <v>33</v>
      </c>
      <c r="Q2911" t="s">
        <v>27</v>
      </c>
    </row>
    <row r="2912" spans="1:17">
      <c r="A2912" t="s">
        <v>3765</v>
      </c>
      <c r="B2912" s="1" t="s">
        <v>2700</v>
      </c>
      <c r="C2912" s="1" t="s">
        <v>3431</v>
      </c>
      <c r="D2912" s="1" t="s">
        <v>20</v>
      </c>
      <c r="E2912" t="s">
        <v>271</v>
      </c>
      <c r="F2912" t="s">
        <v>272</v>
      </c>
      <c r="G2912" t="s">
        <v>23</v>
      </c>
      <c r="H2912" t="s">
        <v>57</v>
      </c>
      <c r="I2912" t="s">
        <v>58</v>
      </c>
      <c r="J2912">
        <v>1</v>
      </c>
      <c r="K2912">
        <v>1299</v>
      </c>
      <c r="L2912">
        <f>Table1[[#This Row],[Quantity]] * Table1[[#This Row],[UnitPrice]]</f>
        <v>1299</v>
      </c>
      <c r="M2912" s="25">
        <v>15</v>
      </c>
      <c r="N2912">
        <f>Table1[[#This Row],[Revenue]]*Table1[[#This Row],[Discount%]]/100</f>
        <v>194.85</v>
      </c>
      <c r="O2912" s="6">
        <f>Table1[[#This Row],[Revenue]]-Table1[[#This Row],[Disc_amount]]</f>
        <v>1104.1500000000001</v>
      </c>
      <c r="P2912" t="s">
        <v>33</v>
      </c>
      <c r="Q2912" t="s">
        <v>27</v>
      </c>
    </row>
    <row r="2913" spans="1:17">
      <c r="A2913" t="s">
        <v>3766</v>
      </c>
      <c r="B2913" s="1" t="s">
        <v>2700</v>
      </c>
      <c r="C2913" s="1" t="s">
        <v>3431</v>
      </c>
      <c r="D2913" s="1" t="s">
        <v>20</v>
      </c>
      <c r="E2913" t="s">
        <v>371</v>
      </c>
      <c r="F2913" t="s">
        <v>118</v>
      </c>
      <c r="G2913" t="s">
        <v>56</v>
      </c>
      <c r="H2913" t="s">
        <v>24</v>
      </c>
      <c r="I2913" t="s">
        <v>32</v>
      </c>
      <c r="J2913">
        <v>2</v>
      </c>
      <c r="K2913">
        <v>199</v>
      </c>
      <c r="L2913">
        <f>Table1[[#This Row],[Quantity]] * Table1[[#This Row],[UnitPrice]]</f>
        <v>398</v>
      </c>
      <c r="M2913" s="25">
        <v>30</v>
      </c>
      <c r="N2913">
        <f>Table1[[#This Row],[Revenue]]*Table1[[#This Row],[Discount%]]/100</f>
        <v>119.4</v>
      </c>
      <c r="O2913" s="6">
        <f>Table1[[#This Row],[Revenue]]-Table1[[#This Row],[Disc_amount]]</f>
        <v>278.60000000000002</v>
      </c>
      <c r="P2913" t="s">
        <v>26</v>
      </c>
      <c r="Q2913" t="s">
        <v>27</v>
      </c>
    </row>
    <row r="2914" spans="1:17">
      <c r="A2914" t="s">
        <v>3767</v>
      </c>
      <c r="B2914" s="1" t="s">
        <v>2700</v>
      </c>
      <c r="C2914" s="1" t="s">
        <v>3431</v>
      </c>
      <c r="D2914" s="1" t="s">
        <v>20</v>
      </c>
      <c r="E2914" t="s">
        <v>638</v>
      </c>
      <c r="F2914" t="s">
        <v>335</v>
      </c>
      <c r="G2914" t="s">
        <v>23</v>
      </c>
      <c r="H2914" t="s">
        <v>70</v>
      </c>
      <c r="I2914" t="s">
        <v>71</v>
      </c>
      <c r="J2914">
        <v>3</v>
      </c>
      <c r="K2914">
        <v>349</v>
      </c>
      <c r="L2914">
        <f>Table1[[#This Row],[Quantity]] * Table1[[#This Row],[UnitPrice]]</f>
        <v>1047</v>
      </c>
      <c r="M2914" s="25">
        <v>20</v>
      </c>
      <c r="N2914">
        <f>Table1[[#This Row],[Revenue]]*Table1[[#This Row],[Discount%]]/100</f>
        <v>209.4</v>
      </c>
      <c r="O2914" s="6">
        <f>Table1[[#This Row],[Revenue]]-Table1[[#This Row],[Disc_amount]]</f>
        <v>837.6</v>
      </c>
      <c r="P2914" t="s">
        <v>33</v>
      </c>
      <c r="Q2914" t="s">
        <v>27</v>
      </c>
    </row>
    <row r="2915" spans="1:17">
      <c r="A2915" t="s">
        <v>3768</v>
      </c>
      <c r="B2915" s="1" t="s">
        <v>2700</v>
      </c>
      <c r="C2915" s="1" t="s">
        <v>3431</v>
      </c>
      <c r="D2915" s="1" t="s">
        <v>20</v>
      </c>
      <c r="E2915" t="s">
        <v>271</v>
      </c>
      <c r="F2915" t="s">
        <v>272</v>
      </c>
      <c r="G2915" t="s">
        <v>23</v>
      </c>
      <c r="H2915" t="s">
        <v>24</v>
      </c>
      <c r="I2915" t="s">
        <v>32</v>
      </c>
      <c r="J2915">
        <v>1</v>
      </c>
      <c r="K2915">
        <v>199</v>
      </c>
      <c r="L2915">
        <f>Table1[[#This Row],[Quantity]] * Table1[[#This Row],[UnitPrice]]</f>
        <v>199</v>
      </c>
      <c r="M2915" s="25">
        <v>20</v>
      </c>
      <c r="N2915">
        <f>Table1[[#This Row],[Revenue]]*Table1[[#This Row],[Discount%]]/100</f>
        <v>39.799999999999997</v>
      </c>
      <c r="O2915" s="6">
        <f>Table1[[#This Row],[Revenue]]-Table1[[#This Row],[Disc_amount]]</f>
        <v>159.19999999999999</v>
      </c>
      <c r="P2915" t="s">
        <v>52</v>
      </c>
      <c r="Q2915" t="s">
        <v>27</v>
      </c>
    </row>
    <row r="2916" spans="1:17">
      <c r="A2916" t="s">
        <v>3769</v>
      </c>
      <c r="B2916" s="1" t="s">
        <v>2700</v>
      </c>
      <c r="C2916" s="1" t="s">
        <v>3431</v>
      </c>
      <c r="D2916" s="1" t="s">
        <v>20</v>
      </c>
      <c r="E2916" t="s">
        <v>755</v>
      </c>
      <c r="F2916" t="s">
        <v>756</v>
      </c>
      <c r="G2916" t="s">
        <v>56</v>
      </c>
      <c r="H2916" t="s">
        <v>57</v>
      </c>
      <c r="I2916" t="s">
        <v>62</v>
      </c>
      <c r="J2916">
        <v>2</v>
      </c>
      <c r="K2916">
        <v>799</v>
      </c>
      <c r="L2916">
        <f>Table1[[#This Row],[Quantity]] * Table1[[#This Row],[UnitPrice]]</f>
        <v>1598</v>
      </c>
      <c r="M2916" s="25">
        <v>10</v>
      </c>
      <c r="N2916">
        <f>Table1[[#This Row],[Revenue]]*Table1[[#This Row],[Discount%]]/100</f>
        <v>159.80000000000001</v>
      </c>
      <c r="O2916" s="6">
        <f>Table1[[#This Row],[Revenue]]-Table1[[#This Row],[Disc_amount]]</f>
        <v>1438.2</v>
      </c>
      <c r="P2916" t="s">
        <v>52</v>
      </c>
      <c r="Q2916" t="s">
        <v>34</v>
      </c>
    </row>
    <row r="2917" spans="1:17">
      <c r="A2917" t="s">
        <v>3770</v>
      </c>
      <c r="B2917" s="1" t="s">
        <v>2700</v>
      </c>
      <c r="C2917" s="1" t="s">
        <v>3431</v>
      </c>
      <c r="D2917" s="1" t="s">
        <v>20</v>
      </c>
      <c r="E2917" t="s">
        <v>2688</v>
      </c>
      <c r="F2917" t="s">
        <v>873</v>
      </c>
      <c r="G2917" t="s">
        <v>56</v>
      </c>
      <c r="H2917" t="s">
        <v>46</v>
      </c>
      <c r="I2917" t="s">
        <v>47</v>
      </c>
      <c r="J2917">
        <v>1</v>
      </c>
      <c r="K2917">
        <v>249</v>
      </c>
      <c r="L2917">
        <f>Table1[[#This Row],[Quantity]] * Table1[[#This Row],[UnitPrice]]</f>
        <v>249</v>
      </c>
      <c r="M2917" s="25">
        <v>10</v>
      </c>
      <c r="N2917">
        <f>Table1[[#This Row],[Revenue]]*Table1[[#This Row],[Discount%]]/100</f>
        <v>24.9</v>
      </c>
      <c r="O2917" s="6">
        <f>Table1[[#This Row],[Revenue]]-Table1[[#This Row],[Disc_amount]]</f>
        <v>224.1</v>
      </c>
      <c r="P2917" t="s">
        <v>86</v>
      </c>
      <c r="Q2917" t="s">
        <v>27</v>
      </c>
    </row>
    <row r="2918" spans="1:17">
      <c r="A2918" t="s">
        <v>3771</v>
      </c>
      <c r="B2918" s="1" t="s">
        <v>2700</v>
      </c>
      <c r="C2918" s="1" t="s">
        <v>3431</v>
      </c>
      <c r="D2918" s="1" t="s">
        <v>20</v>
      </c>
      <c r="E2918" t="s">
        <v>966</v>
      </c>
      <c r="F2918" t="s">
        <v>345</v>
      </c>
      <c r="G2918" t="s">
        <v>31</v>
      </c>
      <c r="H2918" t="s">
        <v>65</v>
      </c>
      <c r="I2918" t="s">
        <v>66</v>
      </c>
      <c r="J2918">
        <v>1</v>
      </c>
      <c r="K2918">
        <v>1999</v>
      </c>
      <c r="L2918">
        <f>Table1[[#This Row],[Quantity]] * Table1[[#This Row],[UnitPrice]]</f>
        <v>1999</v>
      </c>
      <c r="M2918" s="25">
        <v>30</v>
      </c>
      <c r="N2918">
        <f>Table1[[#This Row],[Revenue]]*Table1[[#This Row],[Discount%]]/100</f>
        <v>599.70000000000005</v>
      </c>
      <c r="O2918" s="6">
        <f>Table1[[#This Row],[Revenue]]-Table1[[#This Row],[Disc_amount]]</f>
        <v>1399.3</v>
      </c>
      <c r="P2918" t="s">
        <v>33</v>
      </c>
      <c r="Q2918" t="s">
        <v>27</v>
      </c>
    </row>
    <row r="2919" spans="1:17">
      <c r="A2919" t="s">
        <v>3772</v>
      </c>
      <c r="B2919" s="1" t="s">
        <v>2700</v>
      </c>
      <c r="C2919" s="1" t="s">
        <v>3431</v>
      </c>
      <c r="D2919" s="1" t="s">
        <v>20</v>
      </c>
      <c r="E2919" t="s">
        <v>1129</v>
      </c>
      <c r="F2919" t="s">
        <v>345</v>
      </c>
      <c r="G2919" t="s">
        <v>45</v>
      </c>
      <c r="H2919" t="s">
        <v>46</v>
      </c>
      <c r="I2919" t="s">
        <v>154</v>
      </c>
      <c r="J2919">
        <v>3</v>
      </c>
      <c r="K2919">
        <v>299</v>
      </c>
      <c r="L2919">
        <f>Table1[[#This Row],[Quantity]] * Table1[[#This Row],[UnitPrice]]</f>
        <v>897</v>
      </c>
      <c r="M2919" s="25">
        <v>25</v>
      </c>
      <c r="N2919">
        <f>Table1[[#This Row],[Revenue]]*Table1[[#This Row],[Discount%]]/100</f>
        <v>224.25</v>
      </c>
      <c r="O2919" s="6">
        <f>Table1[[#This Row],[Revenue]]-Table1[[#This Row],[Disc_amount]]</f>
        <v>672.75</v>
      </c>
      <c r="P2919" t="s">
        <v>41</v>
      </c>
      <c r="Q2919" t="s">
        <v>27</v>
      </c>
    </row>
    <row r="2920" spans="1:17">
      <c r="A2920" t="s">
        <v>3773</v>
      </c>
      <c r="B2920" s="1" t="s">
        <v>2700</v>
      </c>
      <c r="C2920" s="1" t="s">
        <v>3431</v>
      </c>
      <c r="D2920" s="1" t="s">
        <v>20</v>
      </c>
      <c r="E2920" t="s">
        <v>190</v>
      </c>
      <c r="F2920" t="s">
        <v>191</v>
      </c>
      <c r="G2920" t="s">
        <v>38</v>
      </c>
      <c r="H2920" t="s">
        <v>108</v>
      </c>
      <c r="I2920" t="s">
        <v>109</v>
      </c>
      <c r="J2920">
        <v>1</v>
      </c>
      <c r="K2920">
        <v>1499</v>
      </c>
      <c r="L2920">
        <f>Table1[[#This Row],[Quantity]] * Table1[[#This Row],[UnitPrice]]</f>
        <v>1499</v>
      </c>
      <c r="M2920" s="25">
        <v>10</v>
      </c>
      <c r="N2920">
        <f>Table1[[#This Row],[Revenue]]*Table1[[#This Row],[Discount%]]/100</f>
        <v>149.9</v>
      </c>
      <c r="O2920" s="6">
        <f>Table1[[#This Row],[Revenue]]-Table1[[#This Row],[Disc_amount]]</f>
        <v>1349.1</v>
      </c>
      <c r="P2920" t="s">
        <v>33</v>
      </c>
      <c r="Q2920" t="s">
        <v>27</v>
      </c>
    </row>
    <row r="2921" spans="1:17">
      <c r="A2921" t="s">
        <v>3774</v>
      </c>
      <c r="B2921" s="1" t="s">
        <v>2700</v>
      </c>
      <c r="C2921" s="1" t="s">
        <v>3431</v>
      </c>
      <c r="D2921" s="1" t="s">
        <v>20</v>
      </c>
      <c r="E2921" t="s">
        <v>464</v>
      </c>
      <c r="F2921" t="s">
        <v>465</v>
      </c>
      <c r="G2921" t="s">
        <v>38</v>
      </c>
      <c r="H2921" t="s">
        <v>70</v>
      </c>
      <c r="I2921" t="s">
        <v>91</v>
      </c>
      <c r="J2921">
        <v>1</v>
      </c>
      <c r="K2921">
        <v>549</v>
      </c>
      <c r="L2921">
        <f>Table1[[#This Row],[Quantity]] * Table1[[#This Row],[UnitPrice]]</f>
        <v>549</v>
      </c>
      <c r="M2921" s="25">
        <v>10</v>
      </c>
      <c r="N2921">
        <f>Table1[[#This Row],[Revenue]]*Table1[[#This Row],[Discount%]]/100</f>
        <v>54.9</v>
      </c>
      <c r="O2921" s="6">
        <f>Table1[[#This Row],[Revenue]]-Table1[[#This Row],[Disc_amount]]</f>
        <v>494.1</v>
      </c>
      <c r="P2921" t="s">
        <v>41</v>
      </c>
      <c r="Q2921" t="s">
        <v>34</v>
      </c>
    </row>
    <row r="2922" spans="1:17">
      <c r="A2922" t="s">
        <v>3775</v>
      </c>
      <c r="B2922" s="1" t="s">
        <v>2700</v>
      </c>
      <c r="C2922" s="1" t="s">
        <v>3431</v>
      </c>
      <c r="D2922" s="1" t="s">
        <v>20</v>
      </c>
      <c r="E2922" t="s">
        <v>68</v>
      </c>
      <c r="F2922" t="s">
        <v>69</v>
      </c>
      <c r="G2922" t="s">
        <v>31</v>
      </c>
      <c r="H2922" t="s">
        <v>39</v>
      </c>
      <c r="I2922" t="s">
        <v>140</v>
      </c>
      <c r="J2922">
        <v>2</v>
      </c>
      <c r="K2922">
        <v>1799</v>
      </c>
      <c r="L2922">
        <f>Table1[[#This Row],[Quantity]] * Table1[[#This Row],[UnitPrice]]</f>
        <v>3598</v>
      </c>
      <c r="M2922" s="25">
        <v>20</v>
      </c>
      <c r="N2922">
        <f>Table1[[#This Row],[Revenue]]*Table1[[#This Row],[Discount%]]/100</f>
        <v>719.6</v>
      </c>
      <c r="O2922" s="6">
        <f>Table1[[#This Row],[Revenue]]-Table1[[#This Row],[Disc_amount]]</f>
        <v>2878.4</v>
      </c>
      <c r="P2922" t="s">
        <v>33</v>
      </c>
      <c r="Q2922" t="s">
        <v>34</v>
      </c>
    </row>
    <row r="2923" spans="1:17">
      <c r="A2923" t="s">
        <v>3776</v>
      </c>
      <c r="B2923" s="1" t="s">
        <v>2700</v>
      </c>
      <c r="C2923" s="1" t="s">
        <v>3431</v>
      </c>
      <c r="D2923" s="1" t="s">
        <v>20</v>
      </c>
      <c r="E2923" t="s">
        <v>341</v>
      </c>
      <c r="F2923" t="s">
        <v>342</v>
      </c>
      <c r="G2923" t="s">
        <v>38</v>
      </c>
      <c r="H2923" t="s">
        <v>39</v>
      </c>
      <c r="I2923" t="s">
        <v>40</v>
      </c>
      <c r="J2923">
        <v>4</v>
      </c>
      <c r="K2923">
        <v>599</v>
      </c>
      <c r="L2923">
        <f>Table1[[#This Row],[Quantity]] * Table1[[#This Row],[UnitPrice]]</f>
        <v>2396</v>
      </c>
      <c r="M2923" s="25">
        <v>20</v>
      </c>
      <c r="N2923">
        <f>Table1[[#This Row],[Revenue]]*Table1[[#This Row],[Discount%]]/100</f>
        <v>479.2</v>
      </c>
      <c r="O2923" s="6">
        <f>Table1[[#This Row],[Revenue]]-Table1[[#This Row],[Disc_amount]]</f>
        <v>1916.8</v>
      </c>
      <c r="P2923" t="s">
        <v>52</v>
      </c>
      <c r="Q2923" t="s">
        <v>27</v>
      </c>
    </row>
    <row r="2924" spans="1:17">
      <c r="A2924" t="s">
        <v>3777</v>
      </c>
      <c r="B2924" s="1" t="s">
        <v>2700</v>
      </c>
      <c r="C2924" s="1" t="s">
        <v>3431</v>
      </c>
      <c r="D2924" s="1" t="s">
        <v>20</v>
      </c>
      <c r="E2924" t="s">
        <v>1407</v>
      </c>
      <c r="F2924" t="s">
        <v>907</v>
      </c>
      <c r="G2924" t="s">
        <v>45</v>
      </c>
      <c r="H2924" t="s">
        <v>46</v>
      </c>
      <c r="I2924" t="s">
        <v>47</v>
      </c>
      <c r="J2924">
        <v>1</v>
      </c>
      <c r="K2924">
        <v>249</v>
      </c>
      <c r="L2924">
        <f>Table1[[#This Row],[Quantity]] * Table1[[#This Row],[UnitPrice]]</f>
        <v>249</v>
      </c>
      <c r="M2924" s="25">
        <v>15</v>
      </c>
      <c r="N2924">
        <f>Table1[[#This Row],[Revenue]]*Table1[[#This Row],[Discount%]]/100</f>
        <v>37.35</v>
      </c>
      <c r="O2924" s="6">
        <f>Table1[[#This Row],[Revenue]]-Table1[[#This Row],[Disc_amount]]</f>
        <v>211.65</v>
      </c>
      <c r="P2924" t="s">
        <v>26</v>
      </c>
      <c r="Q2924" t="s">
        <v>27</v>
      </c>
    </row>
    <row r="2925" spans="1:17">
      <c r="A2925" t="s">
        <v>3778</v>
      </c>
      <c r="B2925" s="1" t="s">
        <v>2713</v>
      </c>
      <c r="C2925" s="1" t="s">
        <v>3431</v>
      </c>
      <c r="D2925" s="1" t="s">
        <v>20</v>
      </c>
      <c r="E2925" t="s">
        <v>2177</v>
      </c>
      <c r="F2925" t="s">
        <v>203</v>
      </c>
      <c r="G2925" t="s">
        <v>31</v>
      </c>
      <c r="H2925" t="s">
        <v>39</v>
      </c>
      <c r="I2925" t="s">
        <v>40</v>
      </c>
      <c r="J2925">
        <v>2</v>
      </c>
      <c r="K2925">
        <v>599</v>
      </c>
      <c r="L2925">
        <f>Table1[[#This Row],[Quantity]] * Table1[[#This Row],[UnitPrice]]</f>
        <v>1198</v>
      </c>
      <c r="M2925" s="25">
        <v>15</v>
      </c>
      <c r="N2925">
        <f>Table1[[#This Row],[Revenue]]*Table1[[#This Row],[Discount%]]/100</f>
        <v>179.7</v>
      </c>
      <c r="O2925" s="6">
        <f>Table1[[#This Row],[Revenue]]-Table1[[#This Row],[Disc_amount]]</f>
        <v>1018.3</v>
      </c>
      <c r="P2925" t="s">
        <v>41</v>
      </c>
      <c r="Q2925" t="s">
        <v>27</v>
      </c>
    </row>
    <row r="2926" spans="1:17">
      <c r="A2926" t="s">
        <v>3779</v>
      </c>
      <c r="B2926" s="1" t="s">
        <v>2713</v>
      </c>
      <c r="C2926" s="1" t="s">
        <v>3431</v>
      </c>
      <c r="D2926" s="1" t="s">
        <v>20</v>
      </c>
      <c r="E2926" t="s">
        <v>235</v>
      </c>
      <c r="F2926" t="s">
        <v>236</v>
      </c>
      <c r="G2926" t="s">
        <v>56</v>
      </c>
      <c r="H2926" t="s">
        <v>39</v>
      </c>
      <c r="I2926" t="s">
        <v>51</v>
      </c>
      <c r="J2926">
        <v>1</v>
      </c>
      <c r="K2926">
        <v>2999</v>
      </c>
      <c r="L2926">
        <f>Table1[[#This Row],[Quantity]] * Table1[[#This Row],[UnitPrice]]</f>
        <v>2999</v>
      </c>
      <c r="M2926" s="25">
        <v>20</v>
      </c>
      <c r="N2926">
        <f>Table1[[#This Row],[Revenue]]*Table1[[#This Row],[Discount%]]/100</f>
        <v>599.79999999999995</v>
      </c>
      <c r="O2926" s="6">
        <f>Table1[[#This Row],[Revenue]]-Table1[[#This Row],[Disc_amount]]</f>
        <v>2399.1999999999998</v>
      </c>
      <c r="P2926" t="s">
        <v>41</v>
      </c>
      <c r="Q2926" t="s">
        <v>27</v>
      </c>
    </row>
    <row r="2927" spans="1:17">
      <c r="A2927" t="s">
        <v>3780</v>
      </c>
      <c r="B2927" s="1" t="s">
        <v>2713</v>
      </c>
      <c r="C2927" s="1" t="s">
        <v>3431</v>
      </c>
      <c r="D2927" s="1" t="s">
        <v>20</v>
      </c>
      <c r="E2927" t="s">
        <v>255</v>
      </c>
      <c r="F2927" t="s">
        <v>256</v>
      </c>
      <c r="G2927" t="s">
        <v>45</v>
      </c>
      <c r="H2927" t="s">
        <v>57</v>
      </c>
      <c r="I2927" t="s">
        <v>62</v>
      </c>
      <c r="J2927">
        <v>1</v>
      </c>
      <c r="K2927">
        <v>799</v>
      </c>
      <c r="L2927">
        <f>Table1[[#This Row],[Quantity]] * Table1[[#This Row],[UnitPrice]]</f>
        <v>799</v>
      </c>
      <c r="M2927" s="25">
        <v>5</v>
      </c>
      <c r="N2927">
        <f>Table1[[#This Row],[Revenue]]*Table1[[#This Row],[Discount%]]/100</f>
        <v>39.950000000000003</v>
      </c>
      <c r="O2927" s="6">
        <f>Table1[[#This Row],[Revenue]]-Table1[[#This Row],[Disc_amount]]</f>
        <v>759.05</v>
      </c>
      <c r="P2927" t="s">
        <v>33</v>
      </c>
      <c r="Q2927" t="s">
        <v>27</v>
      </c>
    </row>
    <row r="2928" spans="1:17">
      <c r="A2928" t="s">
        <v>3781</v>
      </c>
      <c r="B2928" s="1" t="s">
        <v>2713</v>
      </c>
      <c r="C2928" s="1" t="s">
        <v>3431</v>
      </c>
      <c r="D2928" s="1" t="s">
        <v>20</v>
      </c>
      <c r="E2928" t="s">
        <v>498</v>
      </c>
      <c r="F2928" t="s">
        <v>358</v>
      </c>
      <c r="G2928" t="s">
        <v>38</v>
      </c>
      <c r="H2928" t="s">
        <v>39</v>
      </c>
      <c r="I2928" t="s">
        <v>140</v>
      </c>
      <c r="J2928">
        <v>1</v>
      </c>
      <c r="K2928">
        <v>1799</v>
      </c>
      <c r="L2928">
        <f>Table1[[#This Row],[Quantity]] * Table1[[#This Row],[UnitPrice]]</f>
        <v>1799</v>
      </c>
      <c r="M2928" s="25">
        <v>30</v>
      </c>
      <c r="N2928">
        <f>Table1[[#This Row],[Revenue]]*Table1[[#This Row],[Discount%]]/100</f>
        <v>539.70000000000005</v>
      </c>
      <c r="O2928" s="6">
        <f>Table1[[#This Row],[Revenue]]-Table1[[#This Row],[Disc_amount]]</f>
        <v>1259.3</v>
      </c>
      <c r="P2928" t="s">
        <v>52</v>
      </c>
      <c r="Q2928" t="s">
        <v>27</v>
      </c>
    </row>
    <row r="2929" spans="1:17">
      <c r="A2929" t="s">
        <v>3782</v>
      </c>
      <c r="B2929" s="1" t="s">
        <v>2713</v>
      </c>
      <c r="C2929" s="1" t="s">
        <v>3431</v>
      </c>
      <c r="D2929" s="1" t="s">
        <v>20</v>
      </c>
      <c r="E2929" t="s">
        <v>1741</v>
      </c>
      <c r="F2929" t="s">
        <v>239</v>
      </c>
      <c r="G2929" t="s">
        <v>45</v>
      </c>
      <c r="H2929" t="s">
        <v>24</v>
      </c>
      <c r="I2929" t="s">
        <v>32</v>
      </c>
      <c r="J2929">
        <v>4</v>
      </c>
      <c r="K2929">
        <v>199</v>
      </c>
      <c r="L2929">
        <f>Table1[[#This Row],[Quantity]] * Table1[[#This Row],[UnitPrice]]</f>
        <v>796</v>
      </c>
      <c r="M2929" s="25">
        <v>25</v>
      </c>
      <c r="N2929">
        <f>Table1[[#This Row],[Revenue]]*Table1[[#This Row],[Discount%]]/100</f>
        <v>199</v>
      </c>
      <c r="O2929" s="6">
        <f>Table1[[#This Row],[Revenue]]-Table1[[#This Row],[Disc_amount]]</f>
        <v>597</v>
      </c>
      <c r="P2929" t="s">
        <v>52</v>
      </c>
      <c r="Q2929" t="s">
        <v>34</v>
      </c>
    </row>
    <row r="2930" spans="1:17">
      <c r="A2930" t="s">
        <v>3783</v>
      </c>
      <c r="B2930" s="1" t="s">
        <v>2713</v>
      </c>
      <c r="C2930" s="1" t="s">
        <v>3431</v>
      </c>
      <c r="D2930" s="1" t="s">
        <v>20</v>
      </c>
      <c r="E2930" t="s">
        <v>701</v>
      </c>
      <c r="F2930" t="s">
        <v>379</v>
      </c>
      <c r="G2930" t="s">
        <v>23</v>
      </c>
      <c r="H2930" t="s">
        <v>46</v>
      </c>
      <c r="I2930" t="s">
        <v>47</v>
      </c>
      <c r="J2930">
        <v>3</v>
      </c>
      <c r="K2930">
        <v>249</v>
      </c>
      <c r="L2930">
        <f>Table1[[#This Row],[Quantity]] * Table1[[#This Row],[UnitPrice]]</f>
        <v>747</v>
      </c>
      <c r="M2930" s="25">
        <v>25</v>
      </c>
      <c r="N2930">
        <f>Table1[[#This Row],[Revenue]]*Table1[[#This Row],[Discount%]]/100</f>
        <v>186.75</v>
      </c>
      <c r="O2930" s="6">
        <f>Table1[[#This Row],[Revenue]]-Table1[[#This Row],[Disc_amount]]</f>
        <v>560.25</v>
      </c>
      <c r="P2930" t="s">
        <v>33</v>
      </c>
      <c r="Q2930" t="s">
        <v>27</v>
      </c>
    </row>
    <row r="2931" spans="1:17">
      <c r="A2931" t="s">
        <v>3784</v>
      </c>
      <c r="B2931" s="1" t="s">
        <v>2713</v>
      </c>
      <c r="C2931" s="1" t="s">
        <v>3431</v>
      </c>
      <c r="D2931" s="1" t="s">
        <v>20</v>
      </c>
      <c r="E2931" t="s">
        <v>407</v>
      </c>
      <c r="F2931" t="s">
        <v>329</v>
      </c>
      <c r="G2931" t="s">
        <v>31</v>
      </c>
      <c r="H2931" t="s">
        <v>39</v>
      </c>
      <c r="I2931" t="s">
        <v>140</v>
      </c>
      <c r="J2931">
        <v>3</v>
      </c>
      <c r="K2931">
        <v>1799</v>
      </c>
      <c r="L2931">
        <f>Table1[[#This Row],[Quantity]] * Table1[[#This Row],[UnitPrice]]</f>
        <v>5397</v>
      </c>
      <c r="M2931" s="25">
        <v>15</v>
      </c>
      <c r="N2931">
        <f>Table1[[#This Row],[Revenue]]*Table1[[#This Row],[Discount%]]/100</f>
        <v>809.55</v>
      </c>
      <c r="O2931" s="6">
        <f>Table1[[#This Row],[Revenue]]-Table1[[#This Row],[Disc_amount]]</f>
        <v>4587.45</v>
      </c>
      <c r="P2931" t="s">
        <v>41</v>
      </c>
      <c r="Q2931" t="s">
        <v>27</v>
      </c>
    </row>
    <row r="2932" spans="1:17">
      <c r="A2932" t="s">
        <v>3785</v>
      </c>
      <c r="B2932" s="1" t="s">
        <v>2713</v>
      </c>
      <c r="C2932" s="1" t="s">
        <v>3431</v>
      </c>
      <c r="D2932" s="1" t="s">
        <v>20</v>
      </c>
      <c r="E2932" t="s">
        <v>89</v>
      </c>
      <c r="F2932" t="s">
        <v>90</v>
      </c>
      <c r="G2932" t="s">
        <v>31</v>
      </c>
      <c r="H2932" t="s">
        <v>70</v>
      </c>
      <c r="I2932" t="s">
        <v>91</v>
      </c>
      <c r="J2932">
        <v>1</v>
      </c>
      <c r="K2932">
        <v>549</v>
      </c>
      <c r="L2932">
        <f>Table1[[#This Row],[Quantity]] * Table1[[#This Row],[UnitPrice]]</f>
        <v>549</v>
      </c>
      <c r="M2932" s="25">
        <v>20</v>
      </c>
      <c r="N2932">
        <f>Table1[[#This Row],[Revenue]]*Table1[[#This Row],[Discount%]]/100</f>
        <v>109.8</v>
      </c>
      <c r="O2932" s="6">
        <f>Table1[[#This Row],[Revenue]]-Table1[[#This Row],[Disc_amount]]</f>
        <v>439.2</v>
      </c>
      <c r="P2932" t="s">
        <v>33</v>
      </c>
      <c r="Q2932" t="s">
        <v>34</v>
      </c>
    </row>
    <row r="2933" spans="1:17">
      <c r="A2933" t="s">
        <v>3786</v>
      </c>
      <c r="B2933" s="1" t="s">
        <v>2713</v>
      </c>
      <c r="C2933" s="1" t="s">
        <v>3431</v>
      </c>
      <c r="D2933" s="1" t="s">
        <v>20</v>
      </c>
      <c r="E2933" t="s">
        <v>498</v>
      </c>
      <c r="F2933" t="s">
        <v>358</v>
      </c>
      <c r="G2933" t="s">
        <v>23</v>
      </c>
      <c r="H2933" t="s">
        <v>108</v>
      </c>
      <c r="I2933" t="s">
        <v>109</v>
      </c>
      <c r="J2933">
        <v>3</v>
      </c>
      <c r="K2933">
        <v>1499</v>
      </c>
      <c r="L2933">
        <f>Table1[[#This Row],[Quantity]] * Table1[[#This Row],[UnitPrice]]</f>
        <v>4497</v>
      </c>
      <c r="M2933" s="25">
        <v>0</v>
      </c>
      <c r="N2933">
        <f>Table1[[#This Row],[Revenue]]*Table1[[#This Row],[Discount%]]/100</f>
        <v>0</v>
      </c>
      <c r="O2933" s="6">
        <f>Table1[[#This Row],[Revenue]]-Table1[[#This Row],[Disc_amount]]</f>
        <v>4497</v>
      </c>
      <c r="P2933" t="s">
        <v>33</v>
      </c>
      <c r="Q2933" t="s">
        <v>34</v>
      </c>
    </row>
    <row r="2934" spans="1:17">
      <c r="A2934" t="s">
        <v>3787</v>
      </c>
      <c r="B2934" s="1" t="s">
        <v>2713</v>
      </c>
      <c r="C2934" s="1" t="s">
        <v>3431</v>
      </c>
      <c r="D2934" s="1" t="s">
        <v>20</v>
      </c>
      <c r="E2934" t="s">
        <v>776</v>
      </c>
      <c r="F2934" t="s">
        <v>153</v>
      </c>
      <c r="G2934" t="s">
        <v>31</v>
      </c>
      <c r="H2934" t="s">
        <v>24</v>
      </c>
      <c r="I2934" t="s">
        <v>25</v>
      </c>
      <c r="J2934">
        <v>2</v>
      </c>
      <c r="K2934">
        <v>99</v>
      </c>
      <c r="L2934">
        <f>Table1[[#This Row],[Quantity]] * Table1[[#This Row],[UnitPrice]]</f>
        <v>198</v>
      </c>
      <c r="M2934" s="25">
        <v>5</v>
      </c>
      <c r="N2934">
        <f>Table1[[#This Row],[Revenue]]*Table1[[#This Row],[Discount%]]/100</f>
        <v>9.9</v>
      </c>
      <c r="O2934" s="6">
        <f>Table1[[#This Row],[Revenue]]-Table1[[#This Row],[Disc_amount]]</f>
        <v>188.1</v>
      </c>
      <c r="P2934" t="s">
        <v>26</v>
      </c>
      <c r="Q2934" t="s">
        <v>34</v>
      </c>
    </row>
    <row r="2935" spans="1:17">
      <c r="A2935" t="s">
        <v>3788</v>
      </c>
      <c r="B2935" s="1" t="s">
        <v>2713</v>
      </c>
      <c r="C2935" s="1" t="s">
        <v>3431</v>
      </c>
      <c r="D2935" s="1" t="s">
        <v>20</v>
      </c>
      <c r="E2935" t="s">
        <v>701</v>
      </c>
      <c r="F2935" t="s">
        <v>379</v>
      </c>
      <c r="G2935" t="s">
        <v>45</v>
      </c>
      <c r="H2935" t="s">
        <v>39</v>
      </c>
      <c r="I2935" t="s">
        <v>51</v>
      </c>
      <c r="J2935">
        <v>2</v>
      </c>
      <c r="K2935">
        <v>2999</v>
      </c>
      <c r="L2935">
        <f>Table1[[#This Row],[Quantity]] * Table1[[#This Row],[UnitPrice]]</f>
        <v>5998</v>
      </c>
      <c r="M2935" s="25">
        <v>5</v>
      </c>
      <c r="N2935">
        <f>Table1[[#This Row],[Revenue]]*Table1[[#This Row],[Discount%]]/100</f>
        <v>299.89999999999998</v>
      </c>
      <c r="O2935" s="6">
        <f>Table1[[#This Row],[Revenue]]-Table1[[#This Row],[Disc_amount]]</f>
        <v>5698.1</v>
      </c>
      <c r="P2935" t="s">
        <v>41</v>
      </c>
      <c r="Q2935" t="s">
        <v>27</v>
      </c>
    </row>
    <row r="2936" spans="1:17">
      <c r="A2936" t="s">
        <v>3789</v>
      </c>
      <c r="B2936" s="1" t="s">
        <v>2713</v>
      </c>
      <c r="C2936" s="1" t="s">
        <v>3431</v>
      </c>
      <c r="D2936" s="1" t="s">
        <v>20</v>
      </c>
      <c r="E2936" t="s">
        <v>776</v>
      </c>
      <c r="F2936" t="s">
        <v>153</v>
      </c>
      <c r="G2936" t="s">
        <v>31</v>
      </c>
      <c r="H2936" t="s">
        <v>70</v>
      </c>
      <c r="I2936" t="s">
        <v>71</v>
      </c>
      <c r="J2936">
        <v>1</v>
      </c>
      <c r="K2936">
        <v>349</v>
      </c>
      <c r="L2936">
        <f>Table1[[#This Row],[Quantity]] * Table1[[#This Row],[UnitPrice]]</f>
        <v>349</v>
      </c>
      <c r="M2936" s="25">
        <v>20</v>
      </c>
      <c r="N2936">
        <f>Table1[[#This Row],[Revenue]]*Table1[[#This Row],[Discount%]]/100</f>
        <v>69.8</v>
      </c>
      <c r="O2936" s="6">
        <f>Table1[[#This Row],[Revenue]]-Table1[[#This Row],[Disc_amount]]</f>
        <v>279.2</v>
      </c>
      <c r="P2936" t="s">
        <v>33</v>
      </c>
      <c r="Q2936" t="s">
        <v>27</v>
      </c>
    </row>
    <row r="2937" spans="1:17">
      <c r="A2937" t="s">
        <v>3790</v>
      </c>
      <c r="B2937" s="1" t="s">
        <v>2713</v>
      </c>
      <c r="C2937" s="1" t="s">
        <v>3431</v>
      </c>
      <c r="D2937" s="1" t="s">
        <v>20</v>
      </c>
      <c r="E2937" t="s">
        <v>1291</v>
      </c>
      <c r="F2937" t="s">
        <v>1292</v>
      </c>
      <c r="G2937" t="s">
        <v>23</v>
      </c>
      <c r="H2937" t="s">
        <v>39</v>
      </c>
      <c r="I2937" t="s">
        <v>51</v>
      </c>
      <c r="J2937">
        <v>2</v>
      </c>
      <c r="K2937">
        <v>2999</v>
      </c>
      <c r="L2937">
        <f>Table1[[#This Row],[Quantity]] * Table1[[#This Row],[UnitPrice]]</f>
        <v>5998</v>
      </c>
      <c r="M2937" s="25">
        <v>0</v>
      </c>
      <c r="N2937">
        <f>Table1[[#This Row],[Revenue]]*Table1[[#This Row],[Discount%]]/100</f>
        <v>0</v>
      </c>
      <c r="O2937" s="6">
        <f>Table1[[#This Row],[Revenue]]-Table1[[#This Row],[Disc_amount]]</f>
        <v>5998</v>
      </c>
      <c r="P2937" t="s">
        <v>86</v>
      </c>
      <c r="Q2937" t="s">
        <v>27</v>
      </c>
    </row>
    <row r="2938" spans="1:17">
      <c r="A2938" t="s">
        <v>3791</v>
      </c>
      <c r="B2938" s="1" t="s">
        <v>2713</v>
      </c>
      <c r="C2938" s="1" t="s">
        <v>3431</v>
      </c>
      <c r="D2938" s="1" t="s">
        <v>20</v>
      </c>
      <c r="E2938" t="s">
        <v>1741</v>
      </c>
      <c r="F2938" t="s">
        <v>239</v>
      </c>
      <c r="G2938" t="s">
        <v>38</v>
      </c>
      <c r="H2938" t="s">
        <v>57</v>
      </c>
      <c r="I2938" t="s">
        <v>58</v>
      </c>
      <c r="J2938">
        <v>1</v>
      </c>
      <c r="K2938">
        <v>1299</v>
      </c>
      <c r="L2938">
        <f>Table1[[#This Row],[Quantity]] * Table1[[#This Row],[UnitPrice]]</f>
        <v>1299</v>
      </c>
      <c r="M2938" s="25">
        <v>10</v>
      </c>
      <c r="N2938">
        <f>Table1[[#This Row],[Revenue]]*Table1[[#This Row],[Discount%]]/100</f>
        <v>129.9</v>
      </c>
      <c r="O2938" s="6">
        <f>Table1[[#This Row],[Revenue]]-Table1[[#This Row],[Disc_amount]]</f>
        <v>1169.0999999999999</v>
      </c>
      <c r="P2938" t="s">
        <v>86</v>
      </c>
      <c r="Q2938" t="s">
        <v>27</v>
      </c>
    </row>
    <row r="2939" spans="1:17">
      <c r="A2939" t="s">
        <v>3792</v>
      </c>
      <c r="B2939" s="1" t="s">
        <v>2724</v>
      </c>
      <c r="C2939" s="1" t="s">
        <v>3431</v>
      </c>
      <c r="D2939" s="1" t="s">
        <v>20</v>
      </c>
      <c r="E2939" t="s">
        <v>1270</v>
      </c>
      <c r="F2939" t="s">
        <v>90</v>
      </c>
      <c r="G2939" t="s">
        <v>31</v>
      </c>
      <c r="H2939" t="s">
        <v>108</v>
      </c>
      <c r="I2939" t="s">
        <v>109</v>
      </c>
      <c r="J2939">
        <v>1</v>
      </c>
      <c r="K2939">
        <v>1499</v>
      </c>
      <c r="L2939">
        <f>Table1[[#This Row],[Quantity]] * Table1[[#This Row],[UnitPrice]]</f>
        <v>1499</v>
      </c>
      <c r="M2939" s="25">
        <v>30</v>
      </c>
      <c r="N2939">
        <f>Table1[[#This Row],[Revenue]]*Table1[[#This Row],[Discount%]]/100</f>
        <v>449.7</v>
      </c>
      <c r="O2939" s="6">
        <f>Table1[[#This Row],[Revenue]]-Table1[[#This Row],[Disc_amount]]</f>
        <v>1049.3</v>
      </c>
      <c r="P2939" t="s">
        <v>41</v>
      </c>
      <c r="Q2939" t="s">
        <v>27</v>
      </c>
    </row>
    <row r="2940" spans="1:17">
      <c r="A2940" t="s">
        <v>3793</v>
      </c>
      <c r="B2940" s="1" t="s">
        <v>2724</v>
      </c>
      <c r="C2940" s="1" t="s">
        <v>3431</v>
      </c>
      <c r="D2940" s="1" t="s">
        <v>20</v>
      </c>
      <c r="E2940" t="s">
        <v>128</v>
      </c>
      <c r="F2940" t="s">
        <v>129</v>
      </c>
      <c r="G2940" t="s">
        <v>23</v>
      </c>
      <c r="H2940" t="s">
        <v>70</v>
      </c>
      <c r="I2940" t="s">
        <v>91</v>
      </c>
      <c r="J2940">
        <v>2</v>
      </c>
      <c r="K2940">
        <v>549</v>
      </c>
      <c r="L2940">
        <f>Table1[[#This Row],[Quantity]] * Table1[[#This Row],[UnitPrice]]</f>
        <v>1098</v>
      </c>
      <c r="M2940" s="25">
        <v>20</v>
      </c>
      <c r="N2940">
        <f>Table1[[#This Row],[Revenue]]*Table1[[#This Row],[Discount%]]/100</f>
        <v>219.6</v>
      </c>
      <c r="O2940" s="6">
        <f>Table1[[#This Row],[Revenue]]-Table1[[#This Row],[Disc_amount]]</f>
        <v>878.4</v>
      </c>
      <c r="P2940" t="s">
        <v>33</v>
      </c>
      <c r="Q2940" t="s">
        <v>27</v>
      </c>
    </row>
    <row r="2941" spans="1:17">
      <c r="A2941" t="s">
        <v>3794</v>
      </c>
      <c r="B2941" s="1" t="s">
        <v>2724</v>
      </c>
      <c r="C2941" s="1" t="s">
        <v>3431</v>
      </c>
      <c r="D2941" s="1" t="s">
        <v>20</v>
      </c>
      <c r="E2941" t="s">
        <v>931</v>
      </c>
      <c r="F2941" t="s">
        <v>115</v>
      </c>
      <c r="G2941" t="s">
        <v>38</v>
      </c>
      <c r="H2941" t="s">
        <v>65</v>
      </c>
      <c r="I2941" t="s">
        <v>94</v>
      </c>
      <c r="J2941">
        <v>5</v>
      </c>
      <c r="K2941">
        <v>899</v>
      </c>
      <c r="L2941">
        <f>Table1[[#This Row],[Quantity]] * Table1[[#This Row],[UnitPrice]]</f>
        <v>4495</v>
      </c>
      <c r="M2941" s="25">
        <v>5</v>
      </c>
      <c r="N2941">
        <f>Table1[[#This Row],[Revenue]]*Table1[[#This Row],[Discount%]]/100</f>
        <v>224.75</v>
      </c>
      <c r="O2941" s="6">
        <f>Table1[[#This Row],[Revenue]]-Table1[[#This Row],[Disc_amount]]</f>
        <v>4270.25</v>
      </c>
      <c r="P2941" t="s">
        <v>86</v>
      </c>
      <c r="Q2941" t="s">
        <v>27</v>
      </c>
    </row>
    <row r="2942" spans="1:17">
      <c r="A2942" t="s">
        <v>3795</v>
      </c>
      <c r="B2942" s="1" t="s">
        <v>2724</v>
      </c>
      <c r="C2942" s="1" t="s">
        <v>3431</v>
      </c>
      <c r="D2942" s="1" t="s">
        <v>20</v>
      </c>
      <c r="E2942" t="s">
        <v>1747</v>
      </c>
      <c r="F2942" t="s">
        <v>796</v>
      </c>
      <c r="G2942" t="s">
        <v>45</v>
      </c>
      <c r="H2942" t="s">
        <v>24</v>
      </c>
      <c r="I2942" t="s">
        <v>25</v>
      </c>
      <c r="J2942">
        <v>3</v>
      </c>
      <c r="K2942">
        <v>99</v>
      </c>
      <c r="L2942">
        <f>Table1[[#This Row],[Quantity]] * Table1[[#This Row],[UnitPrice]]</f>
        <v>297</v>
      </c>
      <c r="M2942" s="25">
        <v>25</v>
      </c>
      <c r="N2942">
        <f>Table1[[#This Row],[Revenue]]*Table1[[#This Row],[Discount%]]/100</f>
        <v>74.25</v>
      </c>
      <c r="O2942" s="6">
        <f>Table1[[#This Row],[Revenue]]-Table1[[#This Row],[Disc_amount]]</f>
        <v>222.75</v>
      </c>
      <c r="P2942" t="s">
        <v>26</v>
      </c>
      <c r="Q2942" t="s">
        <v>27</v>
      </c>
    </row>
    <row r="2943" spans="1:17">
      <c r="A2943" t="s">
        <v>3796</v>
      </c>
      <c r="B2943" s="1" t="s">
        <v>2724</v>
      </c>
      <c r="C2943" s="1" t="s">
        <v>3431</v>
      </c>
      <c r="D2943" s="1" t="s">
        <v>20</v>
      </c>
      <c r="E2943" t="s">
        <v>970</v>
      </c>
      <c r="F2943" t="s">
        <v>971</v>
      </c>
      <c r="G2943" t="s">
        <v>23</v>
      </c>
      <c r="H2943" t="s">
        <v>39</v>
      </c>
      <c r="I2943" t="s">
        <v>140</v>
      </c>
      <c r="J2943">
        <v>3</v>
      </c>
      <c r="K2943">
        <v>1799</v>
      </c>
      <c r="L2943">
        <f>Table1[[#This Row],[Quantity]] * Table1[[#This Row],[UnitPrice]]</f>
        <v>5397</v>
      </c>
      <c r="M2943" s="25">
        <v>20</v>
      </c>
      <c r="N2943">
        <f>Table1[[#This Row],[Revenue]]*Table1[[#This Row],[Discount%]]/100</f>
        <v>1079.4000000000001</v>
      </c>
      <c r="O2943" s="6">
        <f>Table1[[#This Row],[Revenue]]-Table1[[#This Row],[Disc_amount]]</f>
        <v>4317.6000000000004</v>
      </c>
      <c r="P2943" t="s">
        <v>33</v>
      </c>
      <c r="Q2943" t="s">
        <v>27</v>
      </c>
    </row>
    <row r="2944" spans="1:17">
      <c r="A2944" t="s">
        <v>3797</v>
      </c>
      <c r="B2944" s="1" t="s">
        <v>2724</v>
      </c>
      <c r="C2944" s="1" t="s">
        <v>3431</v>
      </c>
      <c r="D2944" s="1" t="s">
        <v>20</v>
      </c>
      <c r="E2944" t="s">
        <v>850</v>
      </c>
      <c r="F2944" t="s">
        <v>759</v>
      </c>
      <c r="G2944" t="s">
        <v>45</v>
      </c>
      <c r="H2944" t="s">
        <v>24</v>
      </c>
      <c r="I2944" t="s">
        <v>25</v>
      </c>
      <c r="J2944">
        <v>1</v>
      </c>
      <c r="K2944">
        <v>99</v>
      </c>
      <c r="L2944">
        <f>Table1[[#This Row],[Quantity]] * Table1[[#This Row],[UnitPrice]]</f>
        <v>99</v>
      </c>
      <c r="M2944" s="25">
        <v>25</v>
      </c>
      <c r="N2944">
        <f>Table1[[#This Row],[Revenue]]*Table1[[#This Row],[Discount%]]/100</f>
        <v>24.75</v>
      </c>
      <c r="O2944" s="6">
        <f>Table1[[#This Row],[Revenue]]-Table1[[#This Row],[Disc_amount]]</f>
        <v>74.25</v>
      </c>
      <c r="P2944" t="s">
        <v>41</v>
      </c>
      <c r="Q2944" t="s">
        <v>34</v>
      </c>
    </row>
    <row r="2945" spans="1:17">
      <c r="A2945" t="s">
        <v>3798</v>
      </c>
      <c r="B2945" s="1" t="s">
        <v>2724</v>
      </c>
      <c r="C2945" s="1" t="s">
        <v>3431</v>
      </c>
      <c r="D2945" s="1" t="s">
        <v>20</v>
      </c>
      <c r="E2945" t="s">
        <v>1019</v>
      </c>
      <c r="F2945" t="s">
        <v>1020</v>
      </c>
      <c r="G2945" t="s">
        <v>56</v>
      </c>
      <c r="H2945" t="s">
        <v>39</v>
      </c>
      <c r="I2945" t="s">
        <v>140</v>
      </c>
      <c r="J2945">
        <v>2</v>
      </c>
      <c r="K2945">
        <v>1799</v>
      </c>
      <c r="L2945">
        <f>Table1[[#This Row],[Quantity]] * Table1[[#This Row],[UnitPrice]]</f>
        <v>3598</v>
      </c>
      <c r="M2945" s="25">
        <v>25</v>
      </c>
      <c r="N2945">
        <f>Table1[[#This Row],[Revenue]]*Table1[[#This Row],[Discount%]]/100</f>
        <v>899.5</v>
      </c>
      <c r="O2945" s="6">
        <f>Table1[[#This Row],[Revenue]]-Table1[[#This Row],[Disc_amount]]</f>
        <v>2698.5</v>
      </c>
      <c r="P2945" t="s">
        <v>41</v>
      </c>
      <c r="Q2945" t="s">
        <v>34</v>
      </c>
    </row>
    <row r="2946" spans="1:17">
      <c r="A2946" t="s">
        <v>3799</v>
      </c>
      <c r="B2946" s="1" t="s">
        <v>2724</v>
      </c>
      <c r="C2946" s="1" t="s">
        <v>3431</v>
      </c>
      <c r="D2946" s="1" t="s">
        <v>20</v>
      </c>
      <c r="E2946" t="s">
        <v>357</v>
      </c>
      <c r="F2946" t="s">
        <v>358</v>
      </c>
      <c r="G2946" t="s">
        <v>31</v>
      </c>
      <c r="H2946" t="s">
        <v>46</v>
      </c>
      <c r="I2946" t="s">
        <v>47</v>
      </c>
      <c r="J2946">
        <v>2</v>
      </c>
      <c r="K2946">
        <v>249</v>
      </c>
      <c r="L2946">
        <f>Table1[[#This Row],[Quantity]] * Table1[[#This Row],[UnitPrice]]</f>
        <v>498</v>
      </c>
      <c r="M2946" s="25">
        <v>25</v>
      </c>
      <c r="N2946">
        <f>Table1[[#This Row],[Revenue]]*Table1[[#This Row],[Discount%]]/100</f>
        <v>124.5</v>
      </c>
      <c r="O2946" s="6">
        <f>Table1[[#This Row],[Revenue]]-Table1[[#This Row],[Disc_amount]]</f>
        <v>373.5</v>
      </c>
      <c r="P2946" t="s">
        <v>52</v>
      </c>
      <c r="Q2946" t="s">
        <v>27</v>
      </c>
    </row>
    <row r="2947" spans="1:17">
      <c r="A2947" t="s">
        <v>3800</v>
      </c>
      <c r="B2947" s="1" t="s">
        <v>2724</v>
      </c>
      <c r="C2947" s="1" t="s">
        <v>3431</v>
      </c>
      <c r="D2947" s="1" t="s">
        <v>20</v>
      </c>
      <c r="E2947" t="s">
        <v>200</v>
      </c>
      <c r="F2947" t="s">
        <v>22</v>
      </c>
      <c r="G2947" t="s">
        <v>31</v>
      </c>
      <c r="H2947" t="s">
        <v>39</v>
      </c>
      <c r="I2947" t="s">
        <v>51</v>
      </c>
      <c r="J2947">
        <v>2</v>
      </c>
      <c r="K2947">
        <v>2999</v>
      </c>
      <c r="L2947">
        <f>Table1[[#This Row],[Quantity]] * Table1[[#This Row],[UnitPrice]]</f>
        <v>5998</v>
      </c>
      <c r="M2947" s="25">
        <v>20</v>
      </c>
      <c r="N2947">
        <f>Table1[[#This Row],[Revenue]]*Table1[[#This Row],[Discount%]]/100</f>
        <v>1199.5999999999999</v>
      </c>
      <c r="O2947" s="6">
        <f>Table1[[#This Row],[Revenue]]-Table1[[#This Row],[Disc_amount]]</f>
        <v>4798.3999999999996</v>
      </c>
      <c r="P2947" t="s">
        <v>52</v>
      </c>
      <c r="Q2947" t="s">
        <v>34</v>
      </c>
    </row>
    <row r="2948" spans="1:17">
      <c r="A2948" t="s">
        <v>3801</v>
      </c>
      <c r="B2948" s="1" t="s">
        <v>2724</v>
      </c>
      <c r="C2948" s="1" t="s">
        <v>3431</v>
      </c>
      <c r="D2948" s="1" t="s">
        <v>20</v>
      </c>
      <c r="E2948" t="s">
        <v>1003</v>
      </c>
      <c r="F2948" t="s">
        <v>1004</v>
      </c>
      <c r="G2948" t="s">
        <v>45</v>
      </c>
      <c r="H2948" t="s">
        <v>24</v>
      </c>
      <c r="I2948" t="s">
        <v>32</v>
      </c>
      <c r="J2948">
        <v>1</v>
      </c>
      <c r="K2948">
        <v>199</v>
      </c>
      <c r="L2948">
        <f>Table1[[#This Row],[Quantity]] * Table1[[#This Row],[UnitPrice]]</f>
        <v>199</v>
      </c>
      <c r="M2948" s="25">
        <v>0</v>
      </c>
      <c r="N2948">
        <f>Table1[[#This Row],[Revenue]]*Table1[[#This Row],[Discount%]]/100</f>
        <v>0</v>
      </c>
      <c r="O2948" s="6">
        <f>Table1[[#This Row],[Revenue]]-Table1[[#This Row],[Disc_amount]]</f>
        <v>199</v>
      </c>
      <c r="P2948" t="s">
        <v>26</v>
      </c>
      <c r="Q2948" t="s">
        <v>27</v>
      </c>
    </row>
    <row r="2949" spans="1:17">
      <c r="A2949" t="s">
        <v>3802</v>
      </c>
      <c r="B2949" s="1" t="s">
        <v>2724</v>
      </c>
      <c r="C2949" s="1" t="s">
        <v>3431</v>
      </c>
      <c r="D2949" s="1" t="s">
        <v>20</v>
      </c>
      <c r="E2949" t="s">
        <v>2865</v>
      </c>
      <c r="F2949" t="s">
        <v>209</v>
      </c>
      <c r="G2949" t="s">
        <v>31</v>
      </c>
      <c r="H2949" t="s">
        <v>65</v>
      </c>
      <c r="I2949" t="s">
        <v>94</v>
      </c>
      <c r="J2949">
        <v>1</v>
      </c>
      <c r="K2949">
        <v>899</v>
      </c>
      <c r="L2949">
        <f>Table1[[#This Row],[Quantity]] * Table1[[#This Row],[UnitPrice]]</f>
        <v>899</v>
      </c>
      <c r="M2949" s="25">
        <v>10</v>
      </c>
      <c r="N2949">
        <f>Table1[[#This Row],[Revenue]]*Table1[[#This Row],[Discount%]]/100</f>
        <v>89.9</v>
      </c>
      <c r="O2949" s="6">
        <f>Table1[[#This Row],[Revenue]]-Table1[[#This Row],[Disc_amount]]</f>
        <v>809.1</v>
      </c>
      <c r="P2949" t="s">
        <v>26</v>
      </c>
      <c r="Q2949" t="s">
        <v>27</v>
      </c>
    </row>
    <row r="2950" spans="1:17">
      <c r="A2950" t="s">
        <v>3803</v>
      </c>
      <c r="B2950" s="1" t="s">
        <v>2724</v>
      </c>
      <c r="C2950" s="1" t="s">
        <v>3431</v>
      </c>
      <c r="D2950" s="1" t="s">
        <v>20</v>
      </c>
      <c r="E2950" t="s">
        <v>1044</v>
      </c>
      <c r="F2950" t="s">
        <v>587</v>
      </c>
      <c r="G2950" t="s">
        <v>45</v>
      </c>
      <c r="H2950" t="s">
        <v>70</v>
      </c>
      <c r="I2950" t="s">
        <v>71</v>
      </c>
      <c r="J2950">
        <v>1</v>
      </c>
      <c r="K2950">
        <v>349</v>
      </c>
      <c r="L2950">
        <f>Table1[[#This Row],[Quantity]] * Table1[[#This Row],[UnitPrice]]</f>
        <v>349</v>
      </c>
      <c r="M2950" s="25">
        <v>20</v>
      </c>
      <c r="N2950">
        <f>Table1[[#This Row],[Revenue]]*Table1[[#This Row],[Discount%]]/100</f>
        <v>69.8</v>
      </c>
      <c r="O2950" s="6">
        <f>Table1[[#This Row],[Revenue]]-Table1[[#This Row],[Disc_amount]]</f>
        <v>279.2</v>
      </c>
      <c r="P2950" t="s">
        <v>33</v>
      </c>
      <c r="Q2950" t="s">
        <v>27</v>
      </c>
    </row>
    <row r="2951" spans="1:17">
      <c r="A2951" t="s">
        <v>3804</v>
      </c>
      <c r="B2951" s="1" t="s">
        <v>2724</v>
      </c>
      <c r="C2951" s="1" t="s">
        <v>3431</v>
      </c>
      <c r="D2951" s="1" t="s">
        <v>20</v>
      </c>
      <c r="E2951" t="s">
        <v>49</v>
      </c>
      <c r="F2951" t="s">
        <v>50</v>
      </c>
      <c r="G2951" t="s">
        <v>45</v>
      </c>
      <c r="H2951" t="s">
        <v>39</v>
      </c>
      <c r="I2951" t="s">
        <v>51</v>
      </c>
      <c r="J2951">
        <v>1</v>
      </c>
      <c r="K2951">
        <v>2999</v>
      </c>
      <c r="L2951">
        <f>Table1[[#This Row],[Quantity]] * Table1[[#This Row],[UnitPrice]]</f>
        <v>2999</v>
      </c>
      <c r="M2951" s="25">
        <v>30</v>
      </c>
      <c r="N2951">
        <f>Table1[[#This Row],[Revenue]]*Table1[[#This Row],[Discount%]]/100</f>
        <v>899.7</v>
      </c>
      <c r="O2951" s="6">
        <f>Table1[[#This Row],[Revenue]]-Table1[[#This Row],[Disc_amount]]</f>
        <v>2099.3000000000002</v>
      </c>
      <c r="P2951" t="s">
        <v>33</v>
      </c>
      <c r="Q2951" t="s">
        <v>34</v>
      </c>
    </row>
    <row r="2952" spans="1:17">
      <c r="A2952" t="s">
        <v>3805</v>
      </c>
      <c r="B2952" s="1" t="s">
        <v>2724</v>
      </c>
      <c r="C2952" s="1" t="s">
        <v>3431</v>
      </c>
      <c r="D2952" s="1" t="s">
        <v>20</v>
      </c>
      <c r="E2952" t="s">
        <v>472</v>
      </c>
      <c r="F2952" t="s">
        <v>473</v>
      </c>
      <c r="G2952" t="s">
        <v>31</v>
      </c>
      <c r="H2952" t="s">
        <v>108</v>
      </c>
      <c r="I2952" t="s">
        <v>109</v>
      </c>
      <c r="J2952">
        <v>1</v>
      </c>
      <c r="K2952">
        <v>1499</v>
      </c>
      <c r="L2952">
        <f>Table1[[#This Row],[Quantity]] * Table1[[#This Row],[UnitPrice]]</f>
        <v>1499</v>
      </c>
      <c r="M2952" s="25">
        <v>25</v>
      </c>
      <c r="N2952">
        <f>Table1[[#This Row],[Revenue]]*Table1[[#This Row],[Discount%]]/100</f>
        <v>374.75</v>
      </c>
      <c r="O2952" s="6">
        <f>Table1[[#This Row],[Revenue]]-Table1[[#This Row],[Disc_amount]]</f>
        <v>1124.25</v>
      </c>
      <c r="P2952" t="s">
        <v>26</v>
      </c>
      <c r="Q2952" t="s">
        <v>27</v>
      </c>
    </row>
    <row r="2953" spans="1:17">
      <c r="A2953" t="s">
        <v>3806</v>
      </c>
      <c r="B2953" s="1" t="s">
        <v>2724</v>
      </c>
      <c r="C2953" s="1" t="s">
        <v>3431</v>
      </c>
      <c r="D2953" s="1" t="s">
        <v>20</v>
      </c>
      <c r="E2953" t="s">
        <v>205</v>
      </c>
      <c r="F2953" t="s">
        <v>206</v>
      </c>
      <c r="G2953" t="s">
        <v>45</v>
      </c>
      <c r="H2953" t="s">
        <v>46</v>
      </c>
      <c r="I2953" t="s">
        <v>47</v>
      </c>
      <c r="J2953">
        <v>1</v>
      </c>
      <c r="K2953">
        <v>249</v>
      </c>
      <c r="L2953">
        <f>Table1[[#This Row],[Quantity]] * Table1[[#This Row],[UnitPrice]]</f>
        <v>249</v>
      </c>
      <c r="M2953" s="25">
        <v>15</v>
      </c>
      <c r="N2953">
        <f>Table1[[#This Row],[Revenue]]*Table1[[#This Row],[Discount%]]/100</f>
        <v>37.35</v>
      </c>
      <c r="O2953" s="6">
        <f>Table1[[#This Row],[Revenue]]-Table1[[#This Row],[Disc_amount]]</f>
        <v>211.65</v>
      </c>
      <c r="P2953" t="s">
        <v>52</v>
      </c>
      <c r="Q2953" t="s">
        <v>34</v>
      </c>
    </row>
    <row r="2954" spans="1:17">
      <c r="A2954" t="s">
        <v>3807</v>
      </c>
      <c r="B2954" s="1" t="s">
        <v>2737</v>
      </c>
      <c r="C2954" s="1" t="s">
        <v>3431</v>
      </c>
      <c r="D2954" s="1" t="s">
        <v>20</v>
      </c>
      <c r="E2954" t="s">
        <v>1040</v>
      </c>
      <c r="F2954" t="s">
        <v>307</v>
      </c>
      <c r="G2954" t="s">
        <v>38</v>
      </c>
      <c r="H2954" t="s">
        <v>39</v>
      </c>
      <c r="I2954" t="s">
        <v>51</v>
      </c>
      <c r="J2954">
        <v>4</v>
      </c>
      <c r="K2954">
        <v>2999</v>
      </c>
      <c r="L2954">
        <f>Table1[[#This Row],[Quantity]] * Table1[[#This Row],[UnitPrice]]</f>
        <v>11996</v>
      </c>
      <c r="M2954" s="25">
        <v>0</v>
      </c>
      <c r="N2954">
        <f>Table1[[#This Row],[Revenue]]*Table1[[#This Row],[Discount%]]/100</f>
        <v>0</v>
      </c>
      <c r="O2954" s="6">
        <f>Table1[[#This Row],[Revenue]]-Table1[[#This Row],[Disc_amount]]</f>
        <v>11996</v>
      </c>
      <c r="P2954" t="s">
        <v>41</v>
      </c>
      <c r="Q2954" t="s">
        <v>27</v>
      </c>
    </row>
    <row r="2955" spans="1:17">
      <c r="A2955" t="s">
        <v>3808</v>
      </c>
      <c r="B2955" s="1" t="s">
        <v>2737</v>
      </c>
      <c r="C2955" s="1" t="s">
        <v>3431</v>
      </c>
      <c r="D2955" s="1" t="s">
        <v>20</v>
      </c>
      <c r="E2955" t="s">
        <v>202</v>
      </c>
      <c r="F2955" t="s">
        <v>203</v>
      </c>
      <c r="G2955" t="s">
        <v>23</v>
      </c>
      <c r="H2955" t="s">
        <v>46</v>
      </c>
      <c r="I2955" t="s">
        <v>154</v>
      </c>
      <c r="J2955">
        <v>1</v>
      </c>
      <c r="K2955">
        <v>299</v>
      </c>
      <c r="L2955">
        <f>Table1[[#This Row],[Quantity]] * Table1[[#This Row],[UnitPrice]]</f>
        <v>299</v>
      </c>
      <c r="M2955" s="25">
        <v>0</v>
      </c>
      <c r="N2955">
        <f>Table1[[#This Row],[Revenue]]*Table1[[#This Row],[Discount%]]/100</f>
        <v>0</v>
      </c>
      <c r="O2955" s="6">
        <f>Table1[[#This Row],[Revenue]]-Table1[[#This Row],[Disc_amount]]</f>
        <v>299</v>
      </c>
      <c r="P2955" t="s">
        <v>33</v>
      </c>
      <c r="Q2955" t="s">
        <v>34</v>
      </c>
    </row>
    <row r="2956" spans="1:17">
      <c r="A2956" t="s">
        <v>3809</v>
      </c>
      <c r="B2956" s="1" t="s">
        <v>2737</v>
      </c>
      <c r="C2956" s="1" t="s">
        <v>3431</v>
      </c>
      <c r="D2956" s="1" t="s">
        <v>20</v>
      </c>
      <c r="E2956" t="s">
        <v>472</v>
      </c>
      <c r="F2956" t="s">
        <v>473</v>
      </c>
      <c r="G2956" t="s">
        <v>45</v>
      </c>
      <c r="H2956" t="s">
        <v>70</v>
      </c>
      <c r="I2956" t="s">
        <v>71</v>
      </c>
      <c r="J2956">
        <v>1</v>
      </c>
      <c r="K2956">
        <v>349</v>
      </c>
      <c r="L2956">
        <f>Table1[[#This Row],[Quantity]] * Table1[[#This Row],[UnitPrice]]</f>
        <v>349</v>
      </c>
      <c r="M2956" s="25">
        <v>15</v>
      </c>
      <c r="N2956">
        <f>Table1[[#This Row],[Revenue]]*Table1[[#This Row],[Discount%]]/100</f>
        <v>52.35</v>
      </c>
      <c r="O2956" s="6">
        <f>Table1[[#This Row],[Revenue]]-Table1[[#This Row],[Disc_amount]]</f>
        <v>296.64999999999998</v>
      </c>
      <c r="P2956" t="s">
        <v>26</v>
      </c>
      <c r="Q2956" t="s">
        <v>34</v>
      </c>
    </row>
    <row r="2957" spans="1:17">
      <c r="A2957" t="s">
        <v>3810</v>
      </c>
      <c r="B2957" s="1" t="s">
        <v>2737</v>
      </c>
      <c r="C2957" s="1" t="s">
        <v>3431</v>
      </c>
      <c r="D2957" s="1" t="s">
        <v>20</v>
      </c>
      <c r="E2957" t="s">
        <v>217</v>
      </c>
      <c r="F2957" t="s">
        <v>218</v>
      </c>
      <c r="G2957" t="s">
        <v>31</v>
      </c>
      <c r="H2957" t="s">
        <v>108</v>
      </c>
      <c r="I2957" t="s">
        <v>130</v>
      </c>
      <c r="J2957">
        <v>1</v>
      </c>
      <c r="K2957">
        <v>699</v>
      </c>
      <c r="L2957">
        <f>Table1[[#This Row],[Quantity]] * Table1[[#This Row],[UnitPrice]]</f>
        <v>699</v>
      </c>
      <c r="M2957" s="25">
        <v>5</v>
      </c>
      <c r="N2957">
        <f>Table1[[#This Row],[Revenue]]*Table1[[#This Row],[Discount%]]/100</f>
        <v>34.950000000000003</v>
      </c>
      <c r="O2957" s="6">
        <f>Table1[[#This Row],[Revenue]]-Table1[[#This Row],[Disc_amount]]</f>
        <v>664.05</v>
      </c>
      <c r="P2957" t="s">
        <v>26</v>
      </c>
      <c r="Q2957" t="s">
        <v>34</v>
      </c>
    </row>
    <row r="2958" spans="1:17">
      <c r="A2958" t="s">
        <v>3811</v>
      </c>
      <c r="B2958" s="1" t="s">
        <v>2737</v>
      </c>
      <c r="C2958" s="1" t="s">
        <v>3431</v>
      </c>
      <c r="D2958" s="1" t="s">
        <v>20</v>
      </c>
      <c r="E2958" t="s">
        <v>1747</v>
      </c>
      <c r="F2958" t="s">
        <v>796</v>
      </c>
      <c r="G2958" t="s">
        <v>31</v>
      </c>
      <c r="H2958" t="s">
        <v>39</v>
      </c>
      <c r="I2958" t="s">
        <v>140</v>
      </c>
      <c r="J2958">
        <v>5</v>
      </c>
      <c r="K2958">
        <v>1799</v>
      </c>
      <c r="L2958">
        <f>Table1[[#This Row],[Quantity]] * Table1[[#This Row],[UnitPrice]]</f>
        <v>8995</v>
      </c>
      <c r="M2958" s="25">
        <v>20</v>
      </c>
      <c r="N2958">
        <f>Table1[[#This Row],[Revenue]]*Table1[[#This Row],[Discount%]]/100</f>
        <v>1799</v>
      </c>
      <c r="O2958" s="6">
        <f>Table1[[#This Row],[Revenue]]-Table1[[#This Row],[Disc_amount]]</f>
        <v>7196</v>
      </c>
      <c r="P2958" t="s">
        <v>33</v>
      </c>
      <c r="Q2958" t="s">
        <v>34</v>
      </c>
    </row>
    <row r="2959" spans="1:17">
      <c r="A2959" t="s">
        <v>3812</v>
      </c>
      <c r="B2959" s="1" t="s">
        <v>2737</v>
      </c>
      <c r="C2959" s="1" t="s">
        <v>3431</v>
      </c>
      <c r="D2959" s="1" t="s">
        <v>20</v>
      </c>
      <c r="E2959" t="s">
        <v>988</v>
      </c>
      <c r="F2959" t="s">
        <v>989</v>
      </c>
      <c r="G2959" t="s">
        <v>38</v>
      </c>
      <c r="H2959" t="s">
        <v>108</v>
      </c>
      <c r="I2959" t="s">
        <v>130</v>
      </c>
      <c r="J2959">
        <v>1</v>
      </c>
      <c r="K2959">
        <v>699</v>
      </c>
      <c r="L2959">
        <f>Table1[[#This Row],[Quantity]] * Table1[[#This Row],[UnitPrice]]</f>
        <v>699</v>
      </c>
      <c r="M2959" s="25">
        <v>10</v>
      </c>
      <c r="N2959">
        <f>Table1[[#This Row],[Revenue]]*Table1[[#This Row],[Discount%]]/100</f>
        <v>69.900000000000006</v>
      </c>
      <c r="O2959" s="6">
        <f>Table1[[#This Row],[Revenue]]-Table1[[#This Row],[Disc_amount]]</f>
        <v>629.1</v>
      </c>
      <c r="P2959" t="s">
        <v>33</v>
      </c>
      <c r="Q2959" t="s">
        <v>27</v>
      </c>
    </row>
    <row r="2960" spans="1:17">
      <c r="A2960" t="s">
        <v>3813</v>
      </c>
      <c r="B2960" s="1" t="s">
        <v>2737</v>
      </c>
      <c r="C2960" s="1" t="s">
        <v>3431</v>
      </c>
      <c r="D2960" s="1" t="s">
        <v>20</v>
      </c>
      <c r="E2960" t="s">
        <v>117</v>
      </c>
      <c r="F2960" t="s">
        <v>118</v>
      </c>
      <c r="G2960" t="s">
        <v>31</v>
      </c>
      <c r="H2960" t="s">
        <v>65</v>
      </c>
      <c r="I2960" t="s">
        <v>98</v>
      </c>
      <c r="J2960">
        <v>3</v>
      </c>
      <c r="K2960">
        <v>499</v>
      </c>
      <c r="L2960">
        <f>Table1[[#This Row],[Quantity]] * Table1[[#This Row],[UnitPrice]]</f>
        <v>1497</v>
      </c>
      <c r="M2960" s="25">
        <v>20</v>
      </c>
      <c r="N2960">
        <f>Table1[[#This Row],[Revenue]]*Table1[[#This Row],[Discount%]]/100</f>
        <v>299.39999999999998</v>
      </c>
      <c r="O2960" s="6">
        <f>Table1[[#This Row],[Revenue]]-Table1[[#This Row],[Disc_amount]]</f>
        <v>1197.5999999999999</v>
      </c>
      <c r="P2960" t="s">
        <v>52</v>
      </c>
      <c r="Q2960" t="s">
        <v>34</v>
      </c>
    </row>
    <row r="2961" spans="1:17">
      <c r="A2961" t="s">
        <v>3814</v>
      </c>
      <c r="B2961" s="1" t="s">
        <v>2737</v>
      </c>
      <c r="C2961" s="1" t="s">
        <v>3431</v>
      </c>
      <c r="D2961" s="1" t="s">
        <v>20</v>
      </c>
      <c r="E2961" t="s">
        <v>628</v>
      </c>
      <c r="F2961" t="s">
        <v>245</v>
      </c>
      <c r="G2961" t="s">
        <v>38</v>
      </c>
      <c r="H2961" t="s">
        <v>70</v>
      </c>
      <c r="I2961" t="s">
        <v>91</v>
      </c>
      <c r="J2961">
        <v>3</v>
      </c>
      <c r="K2961">
        <v>549</v>
      </c>
      <c r="L2961">
        <f>Table1[[#This Row],[Quantity]] * Table1[[#This Row],[UnitPrice]]</f>
        <v>1647</v>
      </c>
      <c r="M2961" s="25">
        <v>25</v>
      </c>
      <c r="N2961">
        <f>Table1[[#This Row],[Revenue]]*Table1[[#This Row],[Discount%]]/100</f>
        <v>411.75</v>
      </c>
      <c r="O2961" s="6">
        <f>Table1[[#This Row],[Revenue]]-Table1[[#This Row],[Disc_amount]]</f>
        <v>1235.25</v>
      </c>
      <c r="P2961" t="s">
        <v>52</v>
      </c>
      <c r="Q2961" t="s">
        <v>34</v>
      </c>
    </row>
    <row r="2962" spans="1:17">
      <c r="A2962" t="s">
        <v>3815</v>
      </c>
      <c r="B2962" s="1" t="s">
        <v>2737</v>
      </c>
      <c r="C2962" s="1" t="s">
        <v>3431</v>
      </c>
      <c r="D2962" s="1" t="s">
        <v>20</v>
      </c>
      <c r="E2962" t="s">
        <v>1071</v>
      </c>
      <c r="F2962" t="s">
        <v>118</v>
      </c>
      <c r="G2962" t="s">
        <v>38</v>
      </c>
      <c r="H2962" t="s">
        <v>39</v>
      </c>
      <c r="I2962" t="s">
        <v>140</v>
      </c>
      <c r="J2962">
        <v>2</v>
      </c>
      <c r="K2962">
        <v>1799</v>
      </c>
      <c r="L2962">
        <f>Table1[[#This Row],[Quantity]] * Table1[[#This Row],[UnitPrice]]</f>
        <v>3598</v>
      </c>
      <c r="M2962" s="25">
        <v>5</v>
      </c>
      <c r="N2962">
        <f>Table1[[#This Row],[Revenue]]*Table1[[#This Row],[Discount%]]/100</f>
        <v>179.9</v>
      </c>
      <c r="O2962" s="6">
        <f>Table1[[#This Row],[Revenue]]-Table1[[#This Row],[Disc_amount]]</f>
        <v>3418.1</v>
      </c>
      <c r="P2962" t="s">
        <v>41</v>
      </c>
      <c r="Q2962" t="s">
        <v>34</v>
      </c>
    </row>
    <row r="2963" spans="1:17">
      <c r="A2963" t="s">
        <v>3816</v>
      </c>
      <c r="B2963" s="1" t="s">
        <v>2737</v>
      </c>
      <c r="C2963" s="1" t="s">
        <v>3431</v>
      </c>
      <c r="D2963" s="1" t="s">
        <v>20</v>
      </c>
      <c r="E2963" t="s">
        <v>362</v>
      </c>
      <c r="F2963" t="s">
        <v>101</v>
      </c>
      <c r="G2963" t="s">
        <v>31</v>
      </c>
      <c r="H2963" t="s">
        <v>57</v>
      </c>
      <c r="I2963" t="s">
        <v>62</v>
      </c>
      <c r="J2963">
        <v>2</v>
      </c>
      <c r="K2963">
        <v>799</v>
      </c>
      <c r="L2963">
        <f>Table1[[#This Row],[Quantity]] * Table1[[#This Row],[UnitPrice]]</f>
        <v>1598</v>
      </c>
      <c r="M2963" s="25">
        <v>5</v>
      </c>
      <c r="N2963">
        <f>Table1[[#This Row],[Revenue]]*Table1[[#This Row],[Discount%]]/100</f>
        <v>79.900000000000006</v>
      </c>
      <c r="O2963" s="6">
        <f>Table1[[#This Row],[Revenue]]-Table1[[#This Row],[Disc_amount]]</f>
        <v>1518.1</v>
      </c>
      <c r="P2963" t="s">
        <v>33</v>
      </c>
      <c r="Q2963" t="s">
        <v>34</v>
      </c>
    </row>
    <row r="2964" spans="1:17">
      <c r="A2964" t="s">
        <v>3817</v>
      </c>
      <c r="B2964" s="1" t="s">
        <v>2737</v>
      </c>
      <c r="C2964" s="1" t="s">
        <v>3431</v>
      </c>
      <c r="D2964" s="1" t="s">
        <v>20</v>
      </c>
      <c r="E2964" t="s">
        <v>197</v>
      </c>
      <c r="F2964" t="s">
        <v>198</v>
      </c>
      <c r="G2964" t="s">
        <v>56</v>
      </c>
      <c r="H2964" t="s">
        <v>65</v>
      </c>
      <c r="I2964" t="s">
        <v>66</v>
      </c>
      <c r="J2964">
        <v>4</v>
      </c>
      <c r="K2964">
        <v>1999</v>
      </c>
      <c r="L2964">
        <f>Table1[[#This Row],[Quantity]] * Table1[[#This Row],[UnitPrice]]</f>
        <v>7996</v>
      </c>
      <c r="M2964" s="25">
        <v>5</v>
      </c>
      <c r="N2964">
        <f>Table1[[#This Row],[Revenue]]*Table1[[#This Row],[Discount%]]/100</f>
        <v>399.8</v>
      </c>
      <c r="O2964" s="6">
        <f>Table1[[#This Row],[Revenue]]-Table1[[#This Row],[Disc_amount]]</f>
        <v>7596.2</v>
      </c>
      <c r="P2964" t="s">
        <v>41</v>
      </c>
      <c r="Q2964" t="s">
        <v>27</v>
      </c>
    </row>
    <row r="2965" spans="1:17">
      <c r="A2965" t="s">
        <v>3818</v>
      </c>
      <c r="B2965" s="1" t="s">
        <v>2737</v>
      </c>
      <c r="C2965" s="1" t="s">
        <v>3431</v>
      </c>
      <c r="D2965" s="1" t="s">
        <v>20</v>
      </c>
      <c r="E2965" t="s">
        <v>1913</v>
      </c>
      <c r="F2965" t="s">
        <v>462</v>
      </c>
      <c r="G2965" t="s">
        <v>38</v>
      </c>
      <c r="H2965" t="s">
        <v>70</v>
      </c>
      <c r="I2965" t="s">
        <v>71</v>
      </c>
      <c r="J2965">
        <v>1</v>
      </c>
      <c r="K2965">
        <v>349</v>
      </c>
      <c r="L2965">
        <f>Table1[[#This Row],[Quantity]] * Table1[[#This Row],[UnitPrice]]</f>
        <v>349</v>
      </c>
      <c r="M2965" s="25">
        <v>30</v>
      </c>
      <c r="N2965">
        <f>Table1[[#This Row],[Revenue]]*Table1[[#This Row],[Discount%]]/100</f>
        <v>104.7</v>
      </c>
      <c r="O2965" s="6">
        <f>Table1[[#This Row],[Revenue]]-Table1[[#This Row],[Disc_amount]]</f>
        <v>244.3</v>
      </c>
      <c r="P2965" t="s">
        <v>52</v>
      </c>
      <c r="Q2965" t="s">
        <v>27</v>
      </c>
    </row>
    <row r="2966" spans="1:17">
      <c r="A2966" t="s">
        <v>3819</v>
      </c>
      <c r="B2966" s="1" t="s">
        <v>2745</v>
      </c>
      <c r="C2966" s="1" t="s">
        <v>3431</v>
      </c>
      <c r="D2966" s="1" t="s">
        <v>20</v>
      </c>
      <c r="E2966" t="s">
        <v>931</v>
      </c>
      <c r="F2966" t="s">
        <v>115</v>
      </c>
      <c r="G2966" t="s">
        <v>56</v>
      </c>
      <c r="H2966" t="s">
        <v>39</v>
      </c>
      <c r="I2966" t="s">
        <v>40</v>
      </c>
      <c r="J2966">
        <v>1</v>
      </c>
      <c r="K2966">
        <v>599</v>
      </c>
      <c r="L2966">
        <f>Table1[[#This Row],[Quantity]] * Table1[[#This Row],[UnitPrice]]</f>
        <v>599</v>
      </c>
      <c r="M2966" s="25">
        <v>0</v>
      </c>
      <c r="N2966">
        <f>Table1[[#This Row],[Revenue]]*Table1[[#This Row],[Discount%]]/100</f>
        <v>0</v>
      </c>
      <c r="O2966" s="6">
        <f>Table1[[#This Row],[Revenue]]-Table1[[#This Row],[Disc_amount]]</f>
        <v>599</v>
      </c>
      <c r="P2966" t="s">
        <v>33</v>
      </c>
      <c r="Q2966" t="s">
        <v>27</v>
      </c>
    </row>
    <row r="2967" spans="1:17">
      <c r="A2967" t="s">
        <v>3820</v>
      </c>
      <c r="B2967" s="1" t="s">
        <v>2745</v>
      </c>
      <c r="C2967" s="1" t="s">
        <v>3431</v>
      </c>
      <c r="D2967" s="1" t="s">
        <v>20</v>
      </c>
      <c r="E2967" t="s">
        <v>766</v>
      </c>
      <c r="F2967" t="s">
        <v>767</v>
      </c>
      <c r="G2967" t="s">
        <v>38</v>
      </c>
      <c r="H2967" t="s">
        <v>57</v>
      </c>
      <c r="I2967" t="s">
        <v>62</v>
      </c>
      <c r="J2967">
        <v>1</v>
      </c>
      <c r="K2967">
        <v>799</v>
      </c>
      <c r="L2967">
        <f>Table1[[#This Row],[Quantity]] * Table1[[#This Row],[UnitPrice]]</f>
        <v>799</v>
      </c>
      <c r="M2967" s="25">
        <v>10</v>
      </c>
      <c r="N2967">
        <f>Table1[[#This Row],[Revenue]]*Table1[[#This Row],[Discount%]]/100</f>
        <v>79.900000000000006</v>
      </c>
      <c r="O2967" s="6">
        <f>Table1[[#This Row],[Revenue]]-Table1[[#This Row],[Disc_amount]]</f>
        <v>719.1</v>
      </c>
      <c r="P2967" t="s">
        <v>33</v>
      </c>
      <c r="Q2967" t="s">
        <v>27</v>
      </c>
    </row>
    <row r="2968" spans="1:17">
      <c r="A2968" t="s">
        <v>3821</v>
      </c>
      <c r="B2968" s="1" t="s">
        <v>2745</v>
      </c>
      <c r="C2968" s="1" t="s">
        <v>3431</v>
      </c>
      <c r="D2968" s="1" t="s">
        <v>20</v>
      </c>
      <c r="E2968" t="s">
        <v>1147</v>
      </c>
      <c r="F2968" t="s">
        <v>788</v>
      </c>
      <c r="G2968" t="s">
        <v>45</v>
      </c>
      <c r="H2968" t="s">
        <v>65</v>
      </c>
      <c r="I2968" t="s">
        <v>98</v>
      </c>
      <c r="J2968">
        <v>4</v>
      </c>
      <c r="K2968">
        <v>499</v>
      </c>
      <c r="L2968">
        <f>Table1[[#This Row],[Quantity]] * Table1[[#This Row],[UnitPrice]]</f>
        <v>1996</v>
      </c>
      <c r="M2968" s="25">
        <v>25</v>
      </c>
      <c r="N2968">
        <f>Table1[[#This Row],[Revenue]]*Table1[[#This Row],[Discount%]]/100</f>
        <v>499</v>
      </c>
      <c r="O2968" s="6">
        <f>Table1[[#This Row],[Revenue]]-Table1[[#This Row],[Disc_amount]]</f>
        <v>1497</v>
      </c>
      <c r="P2968" t="s">
        <v>86</v>
      </c>
      <c r="Q2968" t="s">
        <v>27</v>
      </c>
    </row>
    <row r="2969" spans="1:17">
      <c r="A2969" t="s">
        <v>3822</v>
      </c>
      <c r="B2969" s="1" t="s">
        <v>2745</v>
      </c>
      <c r="C2969" s="1" t="s">
        <v>3431</v>
      </c>
      <c r="D2969" s="1" t="s">
        <v>20</v>
      </c>
      <c r="E2969" t="s">
        <v>292</v>
      </c>
      <c r="F2969" t="s">
        <v>129</v>
      </c>
      <c r="G2969" t="s">
        <v>56</v>
      </c>
      <c r="H2969" t="s">
        <v>24</v>
      </c>
      <c r="I2969" t="s">
        <v>32</v>
      </c>
      <c r="J2969">
        <v>1</v>
      </c>
      <c r="K2969">
        <v>199</v>
      </c>
      <c r="L2969">
        <f>Table1[[#This Row],[Quantity]] * Table1[[#This Row],[UnitPrice]]</f>
        <v>199</v>
      </c>
      <c r="M2969" s="25">
        <v>10</v>
      </c>
      <c r="N2969">
        <f>Table1[[#This Row],[Revenue]]*Table1[[#This Row],[Discount%]]/100</f>
        <v>19.899999999999999</v>
      </c>
      <c r="O2969" s="6">
        <f>Table1[[#This Row],[Revenue]]-Table1[[#This Row],[Disc_amount]]</f>
        <v>179.1</v>
      </c>
      <c r="P2969" t="s">
        <v>52</v>
      </c>
      <c r="Q2969" t="s">
        <v>27</v>
      </c>
    </row>
    <row r="2970" spans="1:17">
      <c r="A2970" t="s">
        <v>3823</v>
      </c>
      <c r="B2970" s="1" t="s">
        <v>2745</v>
      </c>
      <c r="C2970" s="1" t="s">
        <v>3431</v>
      </c>
      <c r="D2970" s="1" t="s">
        <v>20</v>
      </c>
      <c r="E2970" t="s">
        <v>677</v>
      </c>
      <c r="F2970" t="s">
        <v>597</v>
      </c>
      <c r="G2970" t="s">
        <v>23</v>
      </c>
      <c r="H2970" t="s">
        <v>57</v>
      </c>
      <c r="I2970" t="s">
        <v>62</v>
      </c>
      <c r="J2970">
        <v>4</v>
      </c>
      <c r="K2970">
        <v>799</v>
      </c>
      <c r="L2970">
        <f>Table1[[#This Row],[Quantity]] * Table1[[#This Row],[UnitPrice]]</f>
        <v>3196</v>
      </c>
      <c r="M2970" s="25">
        <v>10</v>
      </c>
      <c r="N2970">
        <f>Table1[[#This Row],[Revenue]]*Table1[[#This Row],[Discount%]]/100</f>
        <v>319.60000000000002</v>
      </c>
      <c r="O2970" s="6">
        <f>Table1[[#This Row],[Revenue]]-Table1[[#This Row],[Disc_amount]]</f>
        <v>2876.4</v>
      </c>
      <c r="P2970" t="s">
        <v>52</v>
      </c>
      <c r="Q2970" t="s">
        <v>34</v>
      </c>
    </row>
    <row r="2971" spans="1:17">
      <c r="A2971" t="s">
        <v>3824</v>
      </c>
      <c r="B2971" s="1" t="s">
        <v>2745</v>
      </c>
      <c r="C2971" s="1" t="s">
        <v>3431</v>
      </c>
      <c r="D2971" s="1" t="s">
        <v>20</v>
      </c>
      <c r="E2971" t="s">
        <v>979</v>
      </c>
      <c r="F2971" t="s">
        <v>604</v>
      </c>
      <c r="G2971" t="s">
        <v>31</v>
      </c>
      <c r="H2971" t="s">
        <v>46</v>
      </c>
      <c r="I2971" t="s">
        <v>154</v>
      </c>
      <c r="J2971">
        <v>3</v>
      </c>
      <c r="K2971">
        <v>299</v>
      </c>
      <c r="L2971">
        <f>Table1[[#This Row],[Quantity]] * Table1[[#This Row],[UnitPrice]]</f>
        <v>897</v>
      </c>
      <c r="M2971" s="25">
        <v>5</v>
      </c>
      <c r="N2971">
        <f>Table1[[#This Row],[Revenue]]*Table1[[#This Row],[Discount%]]/100</f>
        <v>44.85</v>
      </c>
      <c r="O2971" s="6">
        <f>Table1[[#This Row],[Revenue]]-Table1[[#This Row],[Disc_amount]]</f>
        <v>852.15</v>
      </c>
      <c r="P2971" t="s">
        <v>41</v>
      </c>
      <c r="Q2971" t="s">
        <v>34</v>
      </c>
    </row>
    <row r="2972" spans="1:17">
      <c r="A2972" t="s">
        <v>3825</v>
      </c>
      <c r="B2972" s="1" t="s">
        <v>2745</v>
      </c>
      <c r="C2972" s="1" t="s">
        <v>3431</v>
      </c>
      <c r="D2972" s="1" t="s">
        <v>20</v>
      </c>
      <c r="E2972" t="s">
        <v>959</v>
      </c>
      <c r="F2972" t="s">
        <v>960</v>
      </c>
      <c r="G2972" t="s">
        <v>56</v>
      </c>
      <c r="H2972" t="s">
        <v>46</v>
      </c>
      <c r="I2972" t="s">
        <v>47</v>
      </c>
      <c r="J2972">
        <v>2</v>
      </c>
      <c r="K2972">
        <v>249</v>
      </c>
      <c r="L2972">
        <f>Table1[[#This Row],[Quantity]] * Table1[[#This Row],[UnitPrice]]</f>
        <v>498</v>
      </c>
      <c r="M2972" s="25">
        <v>30</v>
      </c>
      <c r="N2972">
        <f>Table1[[#This Row],[Revenue]]*Table1[[#This Row],[Discount%]]/100</f>
        <v>149.4</v>
      </c>
      <c r="O2972" s="6">
        <f>Table1[[#This Row],[Revenue]]-Table1[[#This Row],[Disc_amount]]</f>
        <v>348.6</v>
      </c>
      <c r="P2972" t="s">
        <v>86</v>
      </c>
      <c r="Q2972" t="s">
        <v>34</v>
      </c>
    </row>
    <row r="2973" spans="1:17">
      <c r="A2973" t="s">
        <v>3826</v>
      </c>
      <c r="B2973" s="1" t="s">
        <v>2745</v>
      </c>
      <c r="C2973" s="1" t="s">
        <v>3431</v>
      </c>
      <c r="D2973" s="1" t="s">
        <v>20</v>
      </c>
      <c r="E2973" t="s">
        <v>1038</v>
      </c>
      <c r="F2973" t="s">
        <v>245</v>
      </c>
      <c r="G2973" t="s">
        <v>31</v>
      </c>
      <c r="H2973" t="s">
        <v>39</v>
      </c>
      <c r="I2973" t="s">
        <v>140</v>
      </c>
      <c r="J2973">
        <v>1</v>
      </c>
      <c r="K2973">
        <v>1799</v>
      </c>
      <c r="L2973">
        <f>Table1[[#This Row],[Quantity]] * Table1[[#This Row],[UnitPrice]]</f>
        <v>1799</v>
      </c>
      <c r="M2973" s="25">
        <v>20</v>
      </c>
      <c r="N2973">
        <f>Table1[[#This Row],[Revenue]]*Table1[[#This Row],[Discount%]]/100</f>
        <v>359.8</v>
      </c>
      <c r="O2973" s="6">
        <f>Table1[[#This Row],[Revenue]]-Table1[[#This Row],[Disc_amount]]</f>
        <v>1439.2</v>
      </c>
      <c r="P2973" t="s">
        <v>33</v>
      </c>
      <c r="Q2973" t="s">
        <v>27</v>
      </c>
    </row>
    <row r="2974" spans="1:17">
      <c r="A2974" t="s">
        <v>3827</v>
      </c>
      <c r="B2974" s="1" t="s">
        <v>2745</v>
      </c>
      <c r="C2974" s="1" t="s">
        <v>3431</v>
      </c>
      <c r="D2974" s="1" t="s">
        <v>20</v>
      </c>
      <c r="E2974" t="s">
        <v>205</v>
      </c>
      <c r="F2974" t="s">
        <v>206</v>
      </c>
      <c r="G2974" t="s">
        <v>45</v>
      </c>
      <c r="H2974" t="s">
        <v>57</v>
      </c>
      <c r="I2974" t="s">
        <v>62</v>
      </c>
      <c r="J2974">
        <v>2</v>
      </c>
      <c r="K2974">
        <v>799</v>
      </c>
      <c r="L2974">
        <f>Table1[[#This Row],[Quantity]] * Table1[[#This Row],[UnitPrice]]</f>
        <v>1598</v>
      </c>
      <c r="M2974" s="25">
        <v>25</v>
      </c>
      <c r="N2974">
        <f>Table1[[#This Row],[Revenue]]*Table1[[#This Row],[Discount%]]/100</f>
        <v>399.5</v>
      </c>
      <c r="O2974" s="6">
        <f>Table1[[#This Row],[Revenue]]-Table1[[#This Row],[Disc_amount]]</f>
        <v>1198.5</v>
      </c>
      <c r="P2974" t="s">
        <v>26</v>
      </c>
      <c r="Q2974" t="s">
        <v>27</v>
      </c>
    </row>
    <row r="2975" spans="1:17">
      <c r="A2975" t="s">
        <v>3828</v>
      </c>
      <c r="B2975" s="1" t="s">
        <v>2745</v>
      </c>
      <c r="C2975" s="1" t="s">
        <v>3431</v>
      </c>
      <c r="D2975" s="1" t="s">
        <v>20</v>
      </c>
      <c r="E2975" t="s">
        <v>936</v>
      </c>
      <c r="F2975" t="s">
        <v>229</v>
      </c>
      <c r="G2975" t="s">
        <v>56</v>
      </c>
      <c r="H2975" t="s">
        <v>24</v>
      </c>
      <c r="I2975" t="s">
        <v>32</v>
      </c>
      <c r="J2975">
        <v>1</v>
      </c>
      <c r="K2975">
        <v>199</v>
      </c>
      <c r="L2975">
        <f>Table1[[#This Row],[Quantity]] * Table1[[#This Row],[UnitPrice]]</f>
        <v>199</v>
      </c>
      <c r="M2975" s="25">
        <v>30</v>
      </c>
      <c r="N2975">
        <f>Table1[[#This Row],[Revenue]]*Table1[[#This Row],[Discount%]]/100</f>
        <v>59.7</v>
      </c>
      <c r="O2975" s="6">
        <f>Table1[[#This Row],[Revenue]]-Table1[[#This Row],[Disc_amount]]</f>
        <v>139.30000000000001</v>
      </c>
      <c r="P2975" t="s">
        <v>41</v>
      </c>
      <c r="Q2975" t="s">
        <v>34</v>
      </c>
    </row>
    <row r="2976" spans="1:17">
      <c r="A2976" t="s">
        <v>3829</v>
      </c>
      <c r="B2976" s="1" t="s">
        <v>2745</v>
      </c>
      <c r="C2976" s="1" t="s">
        <v>3431</v>
      </c>
      <c r="D2976" s="1" t="s">
        <v>20</v>
      </c>
      <c r="E2976" t="s">
        <v>156</v>
      </c>
      <c r="F2976" t="s">
        <v>157</v>
      </c>
      <c r="G2976" t="s">
        <v>31</v>
      </c>
      <c r="H2976" t="s">
        <v>70</v>
      </c>
      <c r="I2976" t="s">
        <v>91</v>
      </c>
      <c r="J2976">
        <v>2</v>
      </c>
      <c r="K2976">
        <v>549</v>
      </c>
      <c r="L2976">
        <f>Table1[[#This Row],[Quantity]] * Table1[[#This Row],[UnitPrice]]</f>
        <v>1098</v>
      </c>
      <c r="M2976" s="25">
        <v>25</v>
      </c>
      <c r="N2976">
        <f>Table1[[#This Row],[Revenue]]*Table1[[#This Row],[Discount%]]/100</f>
        <v>274.5</v>
      </c>
      <c r="O2976" s="6">
        <f>Table1[[#This Row],[Revenue]]-Table1[[#This Row],[Disc_amount]]</f>
        <v>823.5</v>
      </c>
      <c r="P2976" t="s">
        <v>41</v>
      </c>
      <c r="Q2976" t="s">
        <v>27</v>
      </c>
    </row>
    <row r="2977" spans="1:17">
      <c r="A2977" t="s">
        <v>3830</v>
      </c>
      <c r="B2977" s="1" t="s">
        <v>2745</v>
      </c>
      <c r="C2977" s="1" t="s">
        <v>3431</v>
      </c>
      <c r="D2977" s="1" t="s">
        <v>20</v>
      </c>
      <c r="E2977" t="s">
        <v>1422</v>
      </c>
      <c r="F2977" t="s">
        <v>236</v>
      </c>
      <c r="G2977" t="s">
        <v>23</v>
      </c>
      <c r="H2977" t="s">
        <v>57</v>
      </c>
      <c r="I2977" t="s">
        <v>62</v>
      </c>
      <c r="J2977">
        <v>1</v>
      </c>
      <c r="K2977">
        <v>799</v>
      </c>
      <c r="L2977">
        <f>Table1[[#This Row],[Quantity]] * Table1[[#This Row],[UnitPrice]]</f>
        <v>799</v>
      </c>
      <c r="M2977" s="25">
        <v>5</v>
      </c>
      <c r="N2977">
        <f>Table1[[#This Row],[Revenue]]*Table1[[#This Row],[Discount%]]/100</f>
        <v>39.950000000000003</v>
      </c>
      <c r="O2977" s="6">
        <f>Table1[[#This Row],[Revenue]]-Table1[[#This Row],[Disc_amount]]</f>
        <v>759.05</v>
      </c>
      <c r="P2977" t="s">
        <v>52</v>
      </c>
      <c r="Q2977" t="s">
        <v>27</v>
      </c>
    </row>
    <row r="2978" spans="1:17">
      <c r="A2978" t="s">
        <v>3831</v>
      </c>
      <c r="B2978" s="1" t="s">
        <v>2745</v>
      </c>
      <c r="C2978" s="1" t="s">
        <v>3431</v>
      </c>
      <c r="D2978" s="1" t="s">
        <v>20</v>
      </c>
      <c r="E2978" t="s">
        <v>334</v>
      </c>
      <c r="F2978" t="s">
        <v>335</v>
      </c>
      <c r="G2978" t="s">
        <v>38</v>
      </c>
      <c r="H2978" t="s">
        <v>70</v>
      </c>
      <c r="I2978" t="s">
        <v>71</v>
      </c>
      <c r="J2978">
        <v>1</v>
      </c>
      <c r="K2978">
        <v>349</v>
      </c>
      <c r="L2978">
        <f>Table1[[#This Row],[Quantity]] * Table1[[#This Row],[UnitPrice]]</f>
        <v>349</v>
      </c>
      <c r="M2978" s="25">
        <v>15</v>
      </c>
      <c r="N2978">
        <f>Table1[[#This Row],[Revenue]]*Table1[[#This Row],[Discount%]]/100</f>
        <v>52.35</v>
      </c>
      <c r="O2978" s="6">
        <f>Table1[[#This Row],[Revenue]]-Table1[[#This Row],[Disc_amount]]</f>
        <v>296.64999999999998</v>
      </c>
      <c r="P2978" t="s">
        <v>33</v>
      </c>
      <c r="Q2978" t="s">
        <v>34</v>
      </c>
    </row>
    <row r="2979" spans="1:17">
      <c r="A2979" t="s">
        <v>3832</v>
      </c>
      <c r="B2979" s="1" t="s">
        <v>3833</v>
      </c>
      <c r="C2979" s="1" t="s">
        <v>3431</v>
      </c>
      <c r="D2979" s="1" t="s">
        <v>20</v>
      </c>
      <c r="E2979" t="s">
        <v>1709</v>
      </c>
      <c r="F2979" t="s">
        <v>989</v>
      </c>
      <c r="G2979" t="s">
        <v>56</v>
      </c>
      <c r="H2979" t="s">
        <v>108</v>
      </c>
      <c r="I2979" t="s">
        <v>109</v>
      </c>
      <c r="J2979">
        <v>1</v>
      </c>
      <c r="K2979">
        <v>1499</v>
      </c>
      <c r="L2979">
        <f>Table1[[#This Row],[Quantity]] * Table1[[#This Row],[UnitPrice]]</f>
        <v>1499</v>
      </c>
      <c r="M2979" s="25">
        <v>0</v>
      </c>
      <c r="N2979">
        <f>Table1[[#This Row],[Revenue]]*Table1[[#This Row],[Discount%]]/100</f>
        <v>0</v>
      </c>
      <c r="O2979" s="6">
        <f>Table1[[#This Row],[Revenue]]-Table1[[#This Row],[Disc_amount]]</f>
        <v>1499</v>
      </c>
      <c r="P2979" t="s">
        <v>41</v>
      </c>
      <c r="Q2979" t="s">
        <v>27</v>
      </c>
    </row>
    <row r="2980" spans="1:17">
      <c r="A2980" t="s">
        <v>3834</v>
      </c>
      <c r="B2980" s="1" t="s">
        <v>3833</v>
      </c>
      <c r="C2980" s="1" t="s">
        <v>3431</v>
      </c>
      <c r="D2980" s="1" t="s">
        <v>20</v>
      </c>
      <c r="E2980" t="s">
        <v>801</v>
      </c>
      <c r="F2980" t="s">
        <v>802</v>
      </c>
      <c r="G2980" t="s">
        <v>45</v>
      </c>
      <c r="H2980" t="s">
        <v>57</v>
      </c>
      <c r="I2980" t="s">
        <v>62</v>
      </c>
      <c r="J2980">
        <v>3</v>
      </c>
      <c r="K2980">
        <v>799</v>
      </c>
      <c r="L2980">
        <f>Table1[[#This Row],[Quantity]] * Table1[[#This Row],[UnitPrice]]</f>
        <v>2397</v>
      </c>
      <c r="M2980" s="25">
        <v>25</v>
      </c>
      <c r="N2980">
        <f>Table1[[#This Row],[Revenue]]*Table1[[#This Row],[Discount%]]/100</f>
        <v>599.25</v>
      </c>
      <c r="O2980" s="6">
        <f>Table1[[#This Row],[Revenue]]-Table1[[#This Row],[Disc_amount]]</f>
        <v>1797.75</v>
      </c>
      <c r="P2980" t="s">
        <v>33</v>
      </c>
      <c r="Q2980" t="s">
        <v>27</v>
      </c>
    </row>
    <row r="2981" spans="1:17">
      <c r="A2981" t="s">
        <v>3835</v>
      </c>
      <c r="B2981" s="1" t="s">
        <v>3833</v>
      </c>
      <c r="C2981" s="1" t="s">
        <v>3431</v>
      </c>
      <c r="D2981" s="1" t="s">
        <v>20</v>
      </c>
      <c r="E2981" t="s">
        <v>128</v>
      </c>
      <c r="F2981" t="s">
        <v>129</v>
      </c>
      <c r="G2981" t="s">
        <v>38</v>
      </c>
      <c r="H2981" t="s">
        <v>24</v>
      </c>
      <c r="I2981" t="s">
        <v>32</v>
      </c>
      <c r="J2981">
        <v>3</v>
      </c>
      <c r="K2981">
        <v>199</v>
      </c>
      <c r="L2981">
        <f>Table1[[#This Row],[Quantity]] * Table1[[#This Row],[UnitPrice]]</f>
        <v>597</v>
      </c>
      <c r="M2981" s="25">
        <v>30</v>
      </c>
      <c r="N2981">
        <f>Table1[[#This Row],[Revenue]]*Table1[[#This Row],[Discount%]]/100</f>
        <v>179.1</v>
      </c>
      <c r="O2981" s="6">
        <f>Table1[[#This Row],[Revenue]]-Table1[[#This Row],[Disc_amount]]</f>
        <v>417.9</v>
      </c>
      <c r="P2981" t="s">
        <v>33</v>
      </c>
      <c r="Q2981" t="s">
        <v>34</v>
      </c>
    </row>
    <row r="2982" spans="1:17">
      <c r="A2982" t="s">
        <v>3836</v>
      </c>
      <c r="B2982" s="1" t="s">
        <v>3833</v>
      </c>
      <c r="C2982" s="1" t="s">
        <v>3431</v>
      </c>
      <c r="D2982" s="1" t="s">
        <v>20</v>
      </c>
      <c r="E2982" t="s">
        <v>713</v>
      </c>
      <c r="F2982" t="s">
        <v>714</v>
      </c>
      <c r="G2982" t="s">
        <v>38</v>
      </c>
      <c r="H2982" t="s">
        <v>57</v>
      </c>
      <c r="I2982" t="s">
        <v>62</v>
      </c>
      <c r="J2982">
        <v>4</v>
      </c>
      <c r="K2982">
        <v>799</v>
      </c>
      <c r="L2982">
        <f>Table1[[#This Row],[Quantity]] * Table1[[#This Row],[UnitPrice]]</f>
        <v>3196</v>
      </c>
      <c r="M2982" s="25">
        <v>15</v>
      </c>
      <c r="N2982">
        <f>Table1[[#This Row],[Revenue]]*Table1[[#This Row],[Discount%]]/100</f>
        <v>479.4</v>
      </c>
      <c r="O2982" s="6">
        <f>Table1[[#This Row],[Revenue]]-Table1[[#This Row],[Disc_amount]]</f>
        <v>2716.6</v>
      </c>
      <c r="P2982" t="s">
        <v>33</v>
      </c>
      <c r="Q2982" t="s">
        <v>27</v>
      </c>
    </row>
    <row r="2983" spans="1:17">
      <c r="A2983" t="s">
        <v>3837</v>
      </c>
      <c r="B2983" s="1" t="s">
        <v>3833</v>
      </c>
      <c r="C2983" s="1" t="s">
        <v>3431</v>
      </c>
      <c r="D2983" s="1" t="s">
        <v>20</v>
      </c>
      <c r="E2983" t="s">
        <v>344</v>
      </c>
      <c r="F2983" t="s">
        <v>345</v>
      </c>
      <c r="G2983" t="s">
        <v>31</v>
      </c>
      <c r="H2983" t="s">
        <v>46</v>
      </c>
      <c r="I2983" t="s">
        <v>47</v>
      </c>
      <c r="J2983">
        <v>3</v>
      </c>
      <c r="K2983">
        <v>249</v>
      </c>
      <c r="L2983">
        <f>Table1[[#This Row],[Quantity]] * Table1[[#This Row],[UnitPrice]]</f>
        <v>747</v>
      </c>
      <c r="M2983" s="25">
        <v>15</v>
      </c>
      <c r="N2983">
        <f>Table1[[#This Row],[Revenue]]*Table1[[#This Row],[Discount%]]/100</f>
        <v>112.05</v>
      </c>
      <c r="O2983" s="6">
        <f>Table1[[#This Row],[Revenue]]-Table1[[#This Row],[Disc_amount]]</f>
        <v>634.95000000000005</v>
      </c>
      <c r="P2983" t="s">
        <v>33</v>
      </c>
      <c r="Q2983" t="s">
        <v>27</v>
      </c>
    </row>
    <row r="2984" spans="1:17">
      <c r="A2984" t="s">
        <v>3838</v>
      </c>
      <c r="B2984" s="1" t="s">
        <v>3833</v>
      </c>
      <c r="C2984" s="1" t="s">
        <v>3431</v>
      </c>
      <c r="D2984" s="1" t="s">
        <v>20</v>
      </c>
      <c r="E2984" t="s">
        <v>409</v>
      </c>
      <c r="F2984" t="s">
        <v>410</v>
      </c>
      <c r="G2984" t="s">
        <v>56</v>
      </c>
      <c r="H2984" t="s">
        <v>57</v>
      </c>
      <c r="I2984" t="s">
        <v>62</v>
      </c>
      <c r="J2984">
        <v>1</v>
      </c>
      <c r="K2984">
        <v>799</v>
      </c>
      <c r="L2984">
        <f>Table1[[#This Row],[Quantity]] * Table1[[#This Row],[UnitPrice]]</f>
        <v>799</v>
      </c>
      <c r="M2984" s="25">
        <v>5</v>
      </c>
      <c r="N2984">
        <f>Table1[[#This Row],[Revenue]]*Table1[[#This Row],[Discount%]]/100</f>
        <v>39.950000000000003</v>
      </c>
      <c r="O2984" s="6">
        <f>Table1[[#This Row],[Revenue]]-Table1[[#This Row],[Disc_amount]]</f>
        <v>759.05</v>
      </c>
      <c r="P2984" t="s">
        <v>41</v>
      </c>
      <c r="Q2984" t="s">
        <v>27</v>
      </c>
    </row>
    <row r="2985" spans="1:17">
      <c r="A2985" t="s">
        <v>3839</v>
      </c>
      <c r="B2985" s="1" t="s">
        <v>3833</v>
      </c>
      <c r="C2985" s="1" t="s">
        <v>3431</v>
      </c>
      <c r="D2985" s="1" t="s">
        <v>20</v>
      </c>
      <c r="E2985" t="s">
        <v>1093</v>
      </c>
      <c r="F2985" t="s">
        <v>1094</v>
      </c>
      <c r="G2985" t="s">
        <v>45</v>
      </c>
      <c r="H2985" t="s">
        <v>57</v>
      </c>
      <c r="I2985" t="s">
        <v>62</v>
      </c>
      <c r="J2985">
        <v>3</v>
      </c>
      <c r="K2985">
        <v>799</v>
      </c>
      <c r="L2985">
        <f>Table1[[#This Row],[Quantity]] * Table1[[#This Row],[UnitPrice]]</f>
        <v>2397</v>
      </c>
      <c r="M2985" s="25">
        <v>5</v>
      </c>
      <c r="N2985">
        <f>Table1[[#This Row],[Revenue]]*Table1[[#This Row],[Discount%]]/100</f>
        <v>119.85</v>
      </c>
      <c r="O2985" s="6">
        <f>Table1[[#This Row],[Revenue]]-Table1[[#This Row],[Disc_amount]]</f>
        <v>2277.15</v>
      </c>
      <c r="P2985" t="s">
        <v>41</v>
      </c>
      <c r="Q2985" t="s">
        <v>34</v>
      </c>
    </row>
    <row r="2986" spans="1:17">
      <c r="A2986" t="s">
        <v>3840</v>
      </c>
      <c r="B2986" s="1" t="s">
        <v>3833</v>
      </c>
      <c r="C2986" s="1" t="s">
        <v>3431</v>
      </c>
      <c r="D2986" s="1" t="s">
        <v>20</v>
      </c>
      <c r="E2986" t="s">
        <v>870</v>
      </c>
      <c r="F2986" t="s">
        <v>669</v>
      </c>
      <c r="G2986" t="s">
        <v>31</v>
      </c>
      <c r="H2986" t="s">
        <v>46</v>
      </c>
      <c r="I2986" t="s">
        <v>154</v>
      </c>
      <c r="J2986">
        <v>2</v>
      </c>
      <c r="K2986">
        <v>299</v>
      </c>
      <c r="L2986">
        <f>Table1[[#This Row],[Quantity]] * Table1[[#This Row],[UnitPrice]]</f>
        <v>598</v>
      </c>
      <c r="M2986" s="25">
        <v>10</v>
      </c>
      <c r="N2986">
        <f>Table1[[#This Row],[Revenue]]*Table1[[#This Row],[Discount%]]/100</f>
        <v>59.8</v>
      </c>
      <c r="O2986" s="6">
        <f>Table1[[#This Row],[Revenue]]-Table1[[#This Row],[Disc_amount]]</f>
        <v>538.20000000000005</v>
      </c>
      <c r="P2986" t="s">
        <v>26</v>
      </c>
      <c r="Q2986" t="s">
        <v>34</v>
      </c>
    </row>
    <row r="2987" spans="1:17">
      <c r="A2987" t="s">
        <v>3841</v>
      </c>
      <c r="B2987" s="1" t="s">
        <v>3833</v>
      </c>
      <c r="C2987" s="1" t="s">
        <v>3431</v>
      </c>
      <c r="D2987" s="1" t="s">
        <v>20</v>
      </c>
      <c r="E2987" t="s">
        <v>386</v>
      </c>
      <c r="F2987" t="s">
        <v>183</v>
      </c>
      <c r="G2987" t="s">
        <v>23</v>
      </c>
      <c r="H2987" t="s">
        <v>108</v>
      </c>
      <c r="I2987" t="s">
        <v>109</v>
      </c>
      <c r="J2987">
        <v>1</v>
      </c>
      <c r="K2987">
        <v>1499</v>
      </c>
      <c r="L2987">
        <f>Table1[[#This Row],[Quantity]] * Table1[[#This Row],[UnitPrice]]</f>
        <v>1499</v>
      </c>
      <c r="M2987" s="25">
        <v>15</v>
      </c>
      <c r="N2987">
        <f>Table1[[#This Row],[Revenue]]*Table1[[#This Row],[Discount%]]/100</f>
        <v>224.85</v>
      </c>
      <c r="O2987" s="6">
        <f>Table1[[#This Row],[Revenue]]-Table1[[#This Row],[Disc_amount]]</f>
        <v>1274.1500000000001</v>
      </c>
      <c r="P2987" t="s">
        <v>52</v>
      </c>
      <c r="Q2987" t="s">
        <v>27</v>
      </c>
    </row>
    <row r="2988" spans="1:17">
      <c r="A2988" t="s">
        <v>3842</v>
      </c>
      <c r="B2988" s="1" t="s">
        <v>3833</v>
      </c>
      <c r="C2988" s="1" t="s">
        <v>3431</v>
      </c>
      <c r="D2988" s="1" t="s">
        <v>20</v>
      </c>
      <c r="E2988" t="s">
        <v>677</v>
      </c>
      <c r="F2988" t="s">
        <v>597</v>
      </c>
      <c r="G2988" t="s">
        <v>45</v>
      </c>
      <c r="H2988" t="s">
        <v>70</v>
      </c>
      <c r="I2988" t="s">
        <v>91</v>
      </c>
      <c r="J2988">
        <v>2</v>
      </c>
      <c r="K2988">
        <v>549</v>
      </c>
      <c r="L2988">
        <f>Table1[[#This Row],[Quantity]] * Table1[[#This Row],[UnitPrice]]</f>
        <v>1098</v>
      </c>
      <c r="M2988" s="25">
        <v>0</v>
      </c>
      <c r="N2988">
        <f>Table1[[#This Row],[Revenue]]*Table1[[#This Row],[Discount%]]/100</f>
        <v>0</v>
      </c>
      <c r="O2988" s="6">
        <f>Table1[[#This Row],[Revenue]]-Table1[[#This Row],[Disc_amount]]</f>
        <v>1098</v>
      </c>
      <c r="P2988" t="s">
        <v>26</v>
      </c>
      <c r="Q2988" t="s">
        <v>27</v>
      </c>
    </row>
    <row r="2989" spans="1:17">
      <c r="A2989" t="s">
        <v>3843</v>
      </c>
      <c r="B2989" s="1" t="s">
        <v>3833</v>
      </c>
      <c r="C2989" s="1" t="s">
        <v>3431</v>
      </c>
      <c r="D2989" s="1" t="s">
        <v>20</v>
      </c>
      <c r="E2989" t="s">
        <v>303</v>
      </c>
      <c r="F2989" t="s">
        <v>304</v>
      </c>
      <c r="G2989" t="s">
        <v>31</v>
      </c>
      <c r="H2989" t="s">
        <v>46</v>
      </c>
      <c r="I2989" t="s">
        <v>47</v>
      </c>
      <c r="J2989">
        <v>1</v>
      </c>
      <c r="K2989">
        <v>249</v>
      </c>
      <c r="L2989">
        <f>Table1[[#This Row],[Quantity]] * Table1[[#This Row],[UnitPrice]]</f>
        <v>249</v>
      </c>
      <c r="M2989" s="25">
        <v>5</v>
      </c>
      <c r="N2989">
        <f>Table1[[#This Row],[Revenue]]*Table1[[#This Row],[Discount%]]/100</f>
        <v>12.45</v>
      </c>
      <c r="O2989" s="6">
        <f>Table1[[#This Row],[Revenue]]-Table1[[#This Row],[Disc_amount]]</f>
        <v>236.55</v>
      </c>
      <c r="P2989" t="s">
        <v>41</v>
      </c>
      <c r="Q2989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C40B-A194-45B2-89F3-95C2DB384747}">
  <dimension ref="A1:B47"/>
  <sheetViews>
    <sheetView workbookViewId="0">
      <selection activeCell="L11" sqref="L11"/>
    </sheetView>
  </sheetViews>
  <sheetFormatPr defaultRowHeight="15"/>
  <cols>
    <col min="1" max="1" width="29" customWidth="1"/>
    <col min="2" max="2" width="15.140625" bestFit="1" customWidth="1"/>
  </cols>
  <sheetData>
    <row r="1" spans="1:2" ht="23.25" customHeight="1">
      <c r="A1" s="22" t="s">
        <v>3844</v>
      </c>
      <c r="B1" s="23" t="s">
        <v>3845</v>
      </c>
    </row>
    <row r="2" spans="1:2" ht="23.25" customHeight="1">
      <c r="A2" s="9" t="s">
        <v>3846</v>
      </c>
      <c r="B2" s="17">
        <f>SUM(Table1[TotalAmount])</f>
        <v>4583605.0999999866</v>
      </c>
    </row>
    <row r="3" spans="1:2" ht="23.25" customHeight="1">
      <c r="A3" s="12" t="s">
        <v>3847</v>
      </c>
      <c r="B3" s="18">
        <f>COUNTA(Main!A:A)-1</f>
        <v>2988</v>
      </c>
    </row>
    <row r="4" spans="1:2" ht="23.25" customHeight="1">
      <c r="A4" s="9" t="s">
        <v>3848</v>
      </c>
      <c r="B4" s="18">
        <f>COUNTA(_xlfn.UNIQUE(Main!F:F))</f>
        <v>177</v>
      </c>
    </row>
    <row r="5" spans="1:2" ht="23.25" customHeight="1">
      <c r="A5" s="9" t="s">
        <v>3849</v>
      </c>
      <c r="B5" s="17">
        <f>B2/B4</f>
        <v>25896.074011299359</v>
      </c>
    </row>
    <row r="6" spans="1:2" ht="23.25" customHeight="1">
      <c r="A6" s="9" t="s">
        <v>3850</v>
      </c>
      <c r="B6" s="19">
        <f>B3/B4</f>
        <v>16.881355932203391</v>
      </c>
    </row>
    <row r="7" spans="1:2" ht="23.25" customHeight="1">
      <c r="A7" s="12" t="s">
        <v>3851</v>
      </c>
      <c r="B7" s="20">
        <f>AVERAGE(Main!O:O)</f>
        <v>1534.0043842034761</v>
      </c>
    </row>
    <row r="8" spans="1:2" ht="23.25" customHeight="1">
      <c r="A8" s="27" t="s">
        <v>3852</v>
      </c>
      <c r="B8" s="28">
        <f>AVERAGE(Main!M:M)/100</f>
        <v>0.10731258366800535</v>
      </c>
    </row>
    <row r="9" spans="1:2" ht="23.25" customHeight="1">
      <c r="A9" s="9" t="s">
        <v>3853</v>
      </c>
      <c r="B9" s="16">
        <f>AVERAGE(Main!N:N)</f>
        <v>183.25967202141936</v>
      </c>
    </row>
    <row r="10" spans="1:2" ht="23.25" customHeight="1">
      <c r="A10" s="38" t="s">
        <v>3854</v>
      </c>
      <c r="B10" s="15">
        <f>MAX(Main!O:O)</f>
        <v>13495.5</v>
      </c>
    </row>
    <row r="11" spans="1:2" ht="23.25" customHeight="1">
      <c r="A11" s="9" t="s">
        <v>3855</v>
      </c>
      <c r="B11" s="18" t="str">
        <f>INDEX(Main!I:I,MATCH(KPI!B10,Main!O:O,0))</f>
        <v>Smartwatch</v>
      </c>
    </row>
    <row r="12" spans="1:2" ht="23.25" customHeight="1">
      <c r="A12" s="9" t="s">
        <v>3856</v>
      </c>
      <c r="B12" s="15">
        <f>MIN(Main!O:O)</f>
        <v>69.3</v>
      </c>
    </row>
    <row r="13" spans="1:2" ht="23.25" customHeight="1">
      <c r="A13" s="13" t="s">
        <v>3857</v>
      </c>
      <c r="B13" s="18" t="str">
        <f>INDEX(Main!I:I,MATCH(KPI!B12,Main!O:O,0))</f>
        <v>Gel Pen Pack</v>
      </c>
    </row>
    <row r="14" spans="1:2" ht="23.25" customHeight="1">
      <c r="A14" s="9" t="s">
        <v>3858</v>
      </c>
      <c r="B14" s="21">
        <f>SUMIFS(Main!O:O,Main!Q:Q,"New")</f>
        <v>1664872.6500000027</v>
      </c>
    </row>
    <row r="15" spans="1:2" ht="23.25" customHeight="1">
      <c r="A15" s="9" t="s">
        <v>3859</v>
      </c>
      <c r="B15" s="21">
        <f>SUMIFS(Main!O:O,Main!Q:Q,"Returning")</f>
        <v>2918732.4499999965</v>
      </c>
    </row>
    <row r="16" spans="1:2" ht="23.25" customHeight="1">
      <c r="A16" s="11" t="s">
        <v>3860</v>
      </c>
      <c r="B16" s="14">
        <f>SUM(Main!N:N)</f>
        <v>547579.90000000107</v>
      </c>
    </row>
    <row r="17" spans="1:2" ht="23.25" customHeight="1">
      <c r="A17" s="26" t="s">
        <v>3861</v>
      </c>
      <c r="B17" s="10">
        <f>B16/B2</f>
        <v>0.11946489456519775</v>
      </c>
    </row>
    <row r="18" spans="1:2" ht="23.25" customHeight="1">
      <c r="A18" s="24"/>
    </row>
    <row r="19" spans="1:2" ht="23.25" customHeight="1">
      <c r="A19" s="24"/>
    </row>
    <row r="20" spans="1:2" ht="23.25" customHeight="1">
      <c r="A20" s="24"/>
    </row>
    <row r="21" spans="1:2" ht="23.25" customHeight="1">
      <c r="A21" s="24"/>
    </row>
    <row r="22" spans="1:2" ht="23.25" customHeight="1"/>
    <row r="23" spans="1:2" ht="23.25" customHeight="1"/>
    <row r="24" spans="1:2" ht="23.25" customHeight="1"/>
    <row r="25" spans="1:2" ht="23.25" customHeight="1"/>
    <row r="26" spans="1:2" ht="23.25" customHeight="1"/>
    <row r="27" spans="1:2" ht="23.25" customHeight="1"/>
    <row r="28" spans="1:2" ht="23.25" customHeight="1"/>
    <row r="29" spans="1:2" ht="23.25" customHeight="1"/>
    <row r="30" spans="1:2" ht="23.25" customHeight="1"/>
    <row r="31" spans="1:2" ht="23.25" customHeight="1"/>
    <row r="32" spans="1: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F91C-F1D3-4AAB-A036-08ADAF30030D}">
  <dimension ref="H1:M3"/>
  <sheetViews>
    <sheetView topLeftCell="A37" workbookViewId="0">
      <selection activeCell="J49" sqref="J49"/>
    </sheetView>
  </sheetViews>
  <sheetFormatPr defaultRowHeight="15"/>
  <sheetData>
    <row r="1" spans="8:13">
      <c r="H1" s="30" t="s">
        <v>3862</v>
      </c>
      <c r="I1" s="31"/>
      <c r="J1" s="31"/>
      <c r="K1" s="31"/>
      <c r="L1" s="31"/>
      <c r="M1" s="31"/>
    </row>
    <row r="2" spans="8:13">
      <c r="H2" s="31"/>
      <c r="I2" s="31"/>
      <c r="J2" s="31"/>
      <c r="K2" s="31"/>
      <c r="L2" s="31"/>
      <c r="M2" s="31"/>
    </row>
    <row r="3" spans="8:13">
      <c r="H3" s="31"/>
      <c r="I3" s="31"/>
      <c r="J3" s="31"/>
      <c r="K3" s="31"/>
      <c r="L3" s="31"/>
      <c r="M3" s="31"/>
    </row>
  </sheetData>
  <mergeCells count="1">
    <mergeCell ref="H1:M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4994-1C5B-465A-A1EB-CEFD132DAEC3}">
  <dimension ref="A1:X30"/>
  <sheetViews>
    <sheetView workbookViewId="0">
      <selection activeCell="F23" sqref="F23"/>
    </sheetView>
  </sheetViews>
  <sheetFormatPr defaultRowHeight="15"/>
  <cols>
    <col min="1" max="1" width="11.7109375" bestFit="1" customWidth="1"/>
    <col min="2" max="2" width="19.85546875" bestFit="1" customWidth="1"/>
    <col min="3" max="3" width="8.5703125" customWidth="1"/>
    <col min="4" max="4" width="19.5703125" customWidth="1"/>
    <col min="5" max="5" width="19.85546875" customWidth="1"/>
    <col min="6" max="6" width="16.5703125" style="7" bestFit="1" customWidth="1"/>
    <col min="7" max="7" width="16.5703125" bestFit="1" customWidth="1"/>
    <col min="8" max="8" width="9" customWidth="1"/>
    <col min="9" max="9" width="15.5703125" bestFit="1" customWidth="1"/>
    <col min="10" max="10" width="19.85546875" style="7" bestFit="1" customWidth="1"/>
    <col min="11" max="11" width="23.42578125" bestFit="1" customWidth="1"/>
    <col min="12" max="12" width="24.5703125" style="7" bestFit="1" customWidth="1"/>
    <col min="13" max="13" width="8.140625" customWidth="1"/>
    <col min="14" max="14" width="21.7109375" bestFit="1" customWidth="1"/>
    <col min="15" max="15" width="19.85546875" bestFit="1" customWidth="1"/>
    <col min="16" max="16" width="15.85546875" bestFit="1" customWidth="1"/>
    <col min="18" max="18" width="11.7109375" bestFit="1" customWidth="1"/>
    <col min="19" max="19" width="17.28515625" bestFit="1" customWidth="1"/>
    <col min="20" max="20" width="19.85546875" bestFit="1" customWidth="1"/>
    <col min="21" max="21" width="16.5703125" bestFit="1" customWidth="1"/>
    <col min="22" max="22" width="19.85546875" bestFit="1" customWidth="1"/>
    <col min="23" max="23" width="21.85546875" bestFit="1" customWidth="1"/>
    <col min="24" max="24" width="25.140625" bestFit="1" customWidth="1"/>
    <col min="25" max="25" width="19.85546875" bestFit="1" customWidth="1"/>
    <col min="26" max="26" width="16.5703125" bestFit="1" customWidth="1"/>
    <col min="27" max="27" width="19.85546875" bestFit="1" customWidth="1"/>
    <col min="28" max="28" width="16.5703125" bestFit="1" customWidth="1"/>
    <col min="29" max="29" width="25.140625" bestFit="1" customWidth="1"/>
    <col min="30" max="30" width="21.85546875" bestFit="1" customWidth="1"/>
    <col min="31" max="31" width="19.85546875" bestFit="1" customWidth="1"/>
    <col min="32" max="32" width="16.5703125" bestFit="1" customWidth="1"/>
    <col min="33" max="33" width="24.5703125" bestFit="1" customWidth="1"/>
    <col min="34" max="34" width="25.140625" bestFit="1" customWidth="1"/>
    <col min="35" max="35" width="21.85546875" bestFit="1" customWidth="1"/>
    <col min="36" max="36" width="29.85546875" bestFit="1" customWidth="1"/>
  </cols>
  <sheetData>
    <row r="1" spans="1:24" ht="15" customHeight="1">
      <c r="A1" s="34" t="s">
        <v>3863</v>
      </c>
      <c r="B1" s="33"/>
      <c r="D1" s="35" t="s">
        <v>3864</v>
      </c>
      <c r="E1" s="33"/>
      <c r="F1" s="33"/>
      <c r="G1" s="33"/>
      <c r="I1" s="36" t="s">
        <v>3865</v>
      </c>
      <c r="J1" s="33"/>
      <c r="K1" s="33"/>
      <c r="L1" s="33"/>
      <c r="N1" s="35" t="s">
        <v>3866</v>
      </c>
      <c r="O1" s="33"/>
      <c r="P1" s="33"/>
      <c r="U1" s="32" t="s">
        <v>3867</v>
      </c>
      <c r="V1" s="33"/>
    </row>
    <row r="2" spans="1:24">
      <c r="A2" s="4" t="s">
        <v>2</v>
      </c>
      <c r="B2" t="s">
        <v>3868</v>
      </c>
      <c r="D2" s="4" t="s">
        <v>6</v>
      </c>
      <c r="E2" t="s">
        <v>3868</v>
      </c>
      <c r="F2" s="7" t="s">
        <v>3869</v>
      </c>
      <c r="G2" t="s">
        <v>3870</v>
      </c>
      <c r="I2" s="4" t="s">
        <v>7</v>
      </c>
      <c r="J2" s="7" t="s">
        <v>3868</v>
      </c>
      <c r="K2" t="s">
        <v>3871</v>
      </c>
      <c r="L2" s="7" t="s">
        <v>3869</v>
      </c>
      <c r="N2" s="4" t="s">
        <v>8</v>
      </c>
      <c r="O2" t="s">
        <v>3868</v>
      </c>
      <c r="P2" t="s">
        <v>3872</v>
      </c>
      <c r="S2" s="4" t="s">
        <v>16</v>
      </c>
      <c r="T2" s="4" t="s">
        <v>3873</v>
      </c>
    </row>
    <row r="3" spans="1:24">
      <c r="A3" t="s">
        <v>19</v>
      </c>
      <c r="B3" s="3">
        <v>316312.84999999992</v>
      </c>
      <c r="D3" t="s">
        <v>31</v>
      </c>
      <c r="E3" s="3">
        <v>995121.80000000075</v>
      </c>
      <c r="F3" s="7">
        <v>1523.9231240428801</v>
      </c>
      <c r="G3" s="3">
        <v>653</v>
      </c>
      <c r="I3" t="s">
        <v>24</v>
      </c>
      <c r="J3" s="7">
        <v>106236.45000000013</v>
      </c>
      <c r="K3" s="8">
        <v>32.497688564476881</v>
      </c>
      <c r="L3" s="7">
        <v>258.48284671532878</v>
      </c>
      <c r="N3" t="s">
        <v>51</v>
      </c>
      <c r="O3" s="3">
        <v>984721.64999999944</v>
      </c>
      <c r="P3" s="3">
        <v>366</v>
      </c>
      <c r="S3" t="s">
        <v>34</v>
      </c>
      <c r="U3" t="s">
        <v>27</v>
      </c>
      <c r="W3" t="s">
        <v>3874</v>
      </c>
      <c r="X3" t="s">
        <v>3875</v>
      </c>
    </row>
    <row r="4" spans="1:24">
      <c r="A4" t="s">
        <v>524</v>
      </c>
      <c r="B4" s="3">
        <v>252626.39999999991</v>
      </c>
      <c r="D4" t="s">
        <v>38</v>
      </c>
      <c r="E4" s="8">
        <v>938746.65000000084</v>
      </c>
      <c r="F4" s="7">
        <v>1641.1654720279735</v>
      </c>
      <c r="G4" s="3">
        <v>572</v>
      </c>
      <c r="I4" t="s">
        <v>46</v>
      </c>
      <c r="J4" s="7">
        <v>170091.59999999995</v>
      </c>
      <c r="K4" s="8">
        <v>53.885399449035837</v>
      </c>
      <c r="L4" s="7">
        <v>468.57190082644615</v>
      </c>
      <c r="N4" t="s">
        <v>66</v>
      </c>
      <c r="O4" s="3">
        <v>556821.44999999995</v>
      </c>
      <c r="P4" s="3">
        <v>315</v>
      </c>
      <c r="R4" s="4" t="s">
        <v>6</v>
      </c>
      <c r="S4" t="s">
        <v>3870</v>
      </c>
      <c r="T4" t="s">
        <v>3868</v>
      </c>
      <c r="U4" t="s">
        <v>3870</v>
      </c>
      <c r="V4" t="s">
        <v>3868</v>
      </c>
    </row>
    <row r="5" spans="1:24">
      <c r="A5" t="s">
        <v>839</v>
      </c>
      <c r="B5" s="3">
        <v>314403</v>
      </c>
      <c r="D5" t="s">
        <v>56</v>
      </c>
      <c r="E5" s="3">
        <v>933396.60000000056</v>
      </c>
      <c r="F5" s="7">
        <v>1566.1016778523499</v>
      </c>
      <c r="G5" s="3">
        <v>596</v>
      </c>
      <c r="I5" t="s">
        <v>70</v>
      </c>
      <c r="J5" s="7">
        <v>270868.5500000001</v>
      </c>
      <c r="K5" s="8">
        <v>87.726750700280135</v>
      </c>
      <c r="L5" s="7">
        <v>758.73543417366977</v>
      </c>
      <c r="N5" t="s">
        <v>140</v>
      </c>
      <c r="O5" s="3">
        <v>537541.19999999984</v>
      </c>
      <c r="P5" s="3">
        <v>335</v>
      </c>
      <c r="R5" t="s">
        <v>56</v>
      </c>
      <c r="S5" s="3">
        <v>215</v>
      </c>
      <c r="T5" s="6">
        <v>344976.69999999984</v>
      </c>
      <c r="U5" s="3">
        <v>381</v>
      </c>
      <c r="V5" s="6">
        <v>588419.90000000026</v>
      </c>
      <c r="W5" s="3">
        <v>596</v>
      </c>
      <c r="X5" s="6">
        <v>933396.60000000033</v>
      </c>
    </row>
    <row r="6" spans="1:24">
      <c r="A6" t="s">
        <v>1143</v>
      </c>
      <c r="B6" s="3">
        <v>291536.19999999995</v>
      </c>
      <c r="D6" t="s">
        <v>45</v>
      </c>
      <c r="E6" s="3">
        <v>882788.50000000058</v>
      </c>
      <c r="F6" s="7">
        <v>1543.3365384615395</v>
      </c>
      <c r="G6" s="3">
        <v>572</v>
      </c>
      <c r="I6" t="s">
        <v>57</v>
      </c>
      <c r="J6" s="7">
        <v>612745.10000000021</v>
      </c>
      <c r="K6" s="8">
        <v>196.08282548476436</v>
      </c>
      <c r="L6" s="7">
        <v>1697.35484764543</v>
      </c>
      <c r="N6" t="s">
        <v>109</v>
      </c>
      <c r="O6" s="3">
        <v>522251.59999999969</v>
      </c>
      <c r="P6" s="3">
        <v>391</v>
      </c>
      <c r="R6" t="s">
        <v>31</v>
      </c>
      <c r="S6" s="3">
        <v>234</v>
      </c>
      <c r="T6" s="6">
        <v>377547.29999999976</v>
      </c>
      <c r="U6" s="3">
        <v>419</v>
      </c>
      <c r="V6" s="6">
        <v>617574.50000000012</v>
      </c>
      <c r="W6" s="3">
        <v>653</v>
      </c>
      <c r="X6" s="6">
        <v>995121.8000000004</v>
      </c>
    </row>
    <row r="7" spans="1:24">
      <c r="A7" t="s">
        <v>1405</v>
      </c>
      <c r="B7" s="3">
        <v>348393.7</v>
      </c>
      <c r="D7" t="s">
        <v>23</v>
      </c>
      <c r="E7" s="8">
        <v>833551.55000000016</v>
      </c>
      <c r="F7" s="7">
        <v>1400.9269747899161</v>
      </c>
      <c r="G7" s="3">
        <v>595</v>
      </c>
      <c r="I7" t="s">
        <v>108</v>
      </c>
      <c r="J7" s="7">
        <v>737788.2500000007</v>
      </c>
      <c r="K7" s="8">
        <v>222.82712082262199</v>
      </c>
      <c r="L7" s="7">
        <v>1896.62789203085</v>
      </c>
      <c r="N7" t="s">
        <v>58</v>
      </c>
      <c r="O7" s="3">
        <v>346638.15</v>
      </c>
      <c r="P7" s="3">
        <v>298</v>
      </c>
      <c r="R7" t="s">
        <v>23</v>
      </c>
      <c r="S7" s="3">
        <v>204</v>
      </c>
      <c r="T7" s="6">
        <v>283236.59999999998</v>
      </c>
      <c r="U7" s="3">
        <v>391</v>
      </c>
      <c r="V7" s="6">
        <v>550314.94999999995</v>
      </c>
      <c r="W7" s="3">
        <v>595</v>
      </c>
      <c r="X7" s="6">
        <v>833551.5499999997</v>
      </c>
    </row>
    <row r="8" spans="1:24">
      <c r="A8" t="s">
        <v>1693</v>
      </c>
      <c r="B8" s="3">
        <v>450418.24999999988</v>
      </c>
      <c r="D8" t="s">
        <v>3876</v>
      </c>
      <c r="E8" s="3">
        <v>4583605.0999999894</v>
      </c>
      <c r="F8" s="7">
        <v>1534.004384203477</v>
      </c>
      <c r="G8" s="3">
        <v>2988</v>
      </c>
      <c r="I8" t="s">
        <v>65</v>
      </c>
      <c r="J8" s="7">
        <v>970794.20000000088</v>
      </c>
      <c r="K8" s="8">
        <v>232.74962406015035</v>
      </c>
      <c r="L8" s="7">
        <v>1824.8011278195506</v>
      </c>
      <c r="N8" t="s">
        <v>94</v>
      </c>
      <c r="O8" s="3">
        <v>266193.89999999991</v>
      </c>
      <c r="P8" s="3">
        <v>329</v>
      </c>
      <c r="R8" t="s">
        <v>45</v>
      </c>
      <c r="S8" s="3">
        <v>195</v>
      </c>
      <c r="T8" s="6">
        <v>344311.10000000003</v>
      </c>
      <c r="U8" s="3">
        <v>377</v>
      </c>
      <c r="V8" s="6">
        <v>538477.39999999991</v>
      </c>
      <c r="W8" s="3">
        <v>572</v>
      </c>
      <c r="X8" s="6">
        <v>882788.5000000007</v>
      </c>
    </row>
    <row r="9" spans="1:24">
      <c r="A9" t="s">
        <v>2018</v>
      </c>
      <c r="B9" s="3">
        <v>292230.84999999998</v>
      </c>
      <c r="I9" t="s">
        <v>39</v>
      </c>
      <c r="J9" s="7">
        <v>1715080.9500000018</v>
      </c>
      <c r="K9" s="8">
        <v>351.40182608695648</v>
      </c>
      <c r="L9" s="7">
        <v>2982.7494782608728</v>
      </c>
      <c r="N9" t="s">
        <v>62</v>
      </c>
      <c r="O9" s="3">
        <v>266106.9499999999</v>
      </c>
      <c r="P9" s="3">
        <v>371</v>
      </c>
      <c r="R9" t="s">
        <v>38</v>
      </c>
      <c r="S9" s="3">
        <v>197</v>
      </c>
      <c r="T9" s="6">
        <v>314800.94999999995</v>
      </c>
      <c r="U9" s="3">
        <v>375</v>
      </c>
      <c r="V9" s="6">
        <v>623945.70000000019</v>
      </c>
      <c r="W9" s="3">
        <v>572</v>
      </c>
      <c r="X9" s="6">
        <v>938746.65000000095</v>
      </c>
    </row>
    <row r="10" spans="1:24">
      <c r="A10" t="s">
        <v>2242</v>
      </c>
      <c r="B10" s="3">
        <v>338460.65000000014</v>
      </c>
      <c r="I10" t="s">
        <v>3876</v>
      </c>
      <c r="J10" s="7">
        <v>4583605.0999999885</v>
      </c>
      <c r="K10" s="8">
        <v>183.25967202141925</v>
      </c>
      <c r="L10" s="7">
        <v>1534.0043842034768</v>
      </c>
      <c r="N10" t="s">
        <v>130</v>
      </c>
      <c r="O10" s="3">
        <v>215536.64999999979</v>
      </c>
      <c r="P10" s="3">
        <v>341</v>
      </c>
      <c r="R10" t="s">
        <v>3876</v>
      </c>
      <c r="S10" s="3">
        <v>1045</v>
      </c>
      <c r="T10" s="6">
        <v>1664872.6500000018</v>
      </c>
      <c r="U10" s="3">
        <v>1943</v>
      </c>
      <c r="V10" s="6">
        <v>2918732.4499999946</v>
      </c>
      <c r="W10" s="3">
        <v>2988</v>
      </c>
      <c r="X10" s="6">
        <v>4583605.1000000024</v>
      </c>
    </row>
    <row r="11" spans="1:24">
      <c r="A11" t="s">
        <v>2480</v>
      </c>
      <c r="B11" s="3">
        <v>400044.95000000013</v>
      </c>
      <c r="D11" s="37" t="s">
        <v>3877</v>
      </c>
      <c r="E11" s="33"/>
      <c r="F11" s="33"/>
      <c r="N11" t="s">
        <v>40</v>
      </c>
      <c r="O11" s="3">
        <v>192818.09999999992</v>
      </c>
      <c r="P11" s="3">
        <v>362</v>
      </c>
    </row>
    <row r="12" spans="1:24">
      <c r="A12" t="s">
        <v>2752</v>
      </c>
      <c r="B12" s="3">
        <v>459198.54999999946</v>
      </c>
      <c r="D12" s="4" t="s">
        <v>15</v>
      </c>
      <c r="E12" t="s">
        <v>3868</v>
      </c>
      <c r="F12" t="s">
        <v>3870</v>
      </c>
      <c r="N12" t="s">
        <v>91</v>
      </c>
      <c r="O12" s="3">
        <v>174527.10000000006</v>
      </c>
      <c r="P12" s="3">
        <v>354</v>
      </c>
    </row>
    <row r="13" spans="1:24">
      <c r="A13" t="s">
        <v>3090</v>
      </c>
      <c r="B13" s="3">
        <v>517464.39999999985</v>
      </c>
      <c r="D13" t="s">
        <v>41</v>
      </c>
      <c r="E13" s="3">
        <v>1200164.4000000008</v>
      </c>
      <c r="F13" s="3">
        <v>728</v>
      </c>
      <c r="L13"/>
      <c r="N13" t="s">
        <v>3876</v>
      </c>
      <c r="O13" s="3">
        <v>4063156.7499999986</v>
      </c>
      <c r="P13" s="3">
        <v>3462</v>
      </c>
    </row>
    <row r="14" spans="1:24">
      <c r="A14" t="s">
        <v>3431</v>
      </c>
      <c r="B14" s="3">
        <v>602515.29999999993</v>
      </c>
      <c r="D14" t="s">
        <v>33</v>
      </c>
      <c r="E14" s="8">
        <v>1156478.6500000004</v>
      </c>
      <c r="F14" s="3">
        <v>755</v>
      </c>
      <c r="J14"/>
      <c r="L14"/>
    </row>
    <row r="15" spans="1:24">
      <c r="A15" t="s">
        <v>3876</v>
      </c>
      <c r="B15" s="3">
        <v>4583605.0999999987</v>
      </c>
      <c r="D15" t="s">
        <v>26</v>
      </c>
      <c r="E15" s="3">
        <v>1024706.5000000008</v>
      </c>
      <c r="F15" s="3">
        <v>753</v>
      </c>
      <c r="J15"/>
      <c r="L15"/>
    </row>
    <row r="16" spans="1:24">
      <c r="D16" t="s">
        <v>52</v>
      </c>
      <c r="E16" s="8">
        <v>701030.25000000023</v>
      </c>
      <c r="F16" s="3">
        <v>436</v>
      </c>
      <c r="J16"/>
      <c r="L16"/>
    </row>
    <row r="17" spans="4:12">
      <c r="D17" t="s">
        <v>86</v>
      </c>
      <c r="E17" s="3">
        <v>501225.29999999987</v>
      </c>
      <c r="F17" s="3">
        <v>316</v>
      </c>
      <c r="J17"/>
      <c r="L17"/>
    </row>
    <row r="18" spans="4:12">
      <c r="D18" t="s">
        <v>3876</v>
      </c>
      <c r="E18" s="3">
        <v>4583605.0999999959</v>
      </c>
      <c r="F18" s="3">
        <v>2988</v>
      </c>
      <c r="J18"/>
      <c r="L18"/>
    </row>
    <row r="19" spans="4:12">
      <c r="F19"/>
      <c r="J19"/>
      <c r="L19"/>
    </row>
    <row r="20" spans="4:12">
      <c r="F20"/>
      <c r="J20"/>
    </row>
    <row r="21" spans="4:12">
      <c r="F21"/>
      <c r="J21"/>
    </row>
    <row r="22" spans="4:12">
      <c r="F22"/>
      <c r="J22"/>
    </row>
    <row r="23" spans="4:12">
      <c r="F23"/>
      <c r="J23"/>
    </row>
    <row r="24" spans="4:12">
      <c r="F24"/>
      <c r="J24"/>
    </row>
    <row r="25" spans="4:12">
      <c r="F25"/>
      <c r="J25"/>
    </row>
    <row r="26" spans="4:12">
      <c r="F26"/>
      <c r="J26"/>
    </row>
    <row r="27" spans="4:12">
      <c r="F27"/>
      <c r="J27"/>
    </row>
    <row r="28" spans="4:12">
      <c r="F28"/>
      <c r="J28"/>
    </row>
    <row r="29" spans="4:12">
      <c r="F29"/>
      <c r="J29"/>
    </row>
    <row r="30" spans="4:12">
      <c r="J30"/>
    </row>
  </sheetData>
  <mergeCells count="6">
    <mergeCell ref="U1:V1"/>
    <mergeCell ref="A1:B1"/>
    <mergeCell ref="D1:G1"/>
    <mergeCell ref="I1:L1"/>
    <mergeCell ref="D11:F1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2026-09-12T05:32:32Z</dcterms:created>
  <dcterms:modified xsi:type="dcterms:W3CDTF">2026-09-14T14:13:01Z</dcterms:modified>
  <cp:category/>
  <cp:contentStatus/>
</cp:coreProperties>
</file>